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23" documentId="13_ncr:1_{3CD0B00F-44B0-4BFF-997C-F585A556F71D}" xr6:coauthVersionLast="47" xr6:coauthVersionMax="47" xr10:uidLastSave="{2EFA6503-BF0D-47E2-A393-BA24FCAB1F27}"/>
  <bookViews>
    <workbookView xWindow="-108" yWindow="-108" windowWidth="23256" windowHeight="12576" activeTab="9" xr2:uid="{00000000-000D-0000-FFFF-FFFF00000000}"/>
  </bookViews>
  <sheets>
    <sheet name="Page de garde" sheetId="10" r:id="rId1"/>
    <sheet name="Feuil1" sheetId="39" r:id="rId2"/>
    <sheet name="Raw data R1" sheetId="35" r:id="rId3"/>
    <sheet name="R1" sheetId="1" r:id="rId4"/>
    <sheet name="Graph R3" sheetId="8" r:id="rId5"/>
    <sheet name="Raw data R2" sheetId="36" r:id="rId6"/>
    <sheet name="R2" sheetId="23" r:id="rId7"/>
    <sheet name="Graph R4" sheetId="19" r:id="rId8"/>
    <sheet name="Raw data R3" sheetId="37" r:id="rId9"/>
    <sheet name="R3" sheetId="33" r:id="rId10"/>
    <sheet name="Graph R5"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O43" i="33"/>
  <c r="O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Q35" i="33"/>
  <c r="Q45" i="4" s="1"/>
  <c r="P34" i="33"/>
  <c r="P44" i="4" s="1"/>
  <c r="P33" i="33"/>
  <c r="P43" i="4" s="1"/>
  <c r="Q31" i="33"/>
  <c r="Q41" i="4" s="1"/>
  <c r="P30" i="33"/>
  <c r="P40" i="4" s="1"/>
  <c r="P29" i="33"/>
  <c r="P39" i="4" s="1"/>
  <c r="P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T35" i="33" s="1"/>
  <c r="T45" i="4" s="1"/>
  <c r="L23" i="33"/>
  <c r="J23" i="33"/>
  <c r="I23" i="33"/>
  <c r="H23" i="33"/>
  <c r="G23" i="33"/>
  <c r="F23" i="33"/>
  <c r="E23" i="33"/>
  <c r="D23" i="33"/>
  <c r="C23" i="33"/>
  <c r="B23" i="33"/>
  <c r="A22" i="33"/>
  <c r="H22" i="33"/>
  <c r="G45" i="33"/>
  <c r="F27" i="33"/>
  <c r="F52" i="33" s="1"/>
  <c r="E45" i="33"/>
  <c r="D22" i="33"/>
  <c r="C45" i="33"/>
  <c r="B45" i="33"/>
  <c r="Q56" i="33"/>
  <c r="P56" i="33"/>
  <c r="Q29" i="33" l="1"/>
  <c r="Q39" i="4" s="1"/>
  <c r="Q33" i="33"/>
  <c r="Q43" i="4" s="1"/>
  <c r="Q30" i="33"/>
  <c r="Q40" i="4" s="1"/>
  <c r="Q34" i="33"/>
  <c r="Q44" i="4" s="1"/>
  <c r="P31" i="33"/>
  <c r="P41" i="4" s="1"/>
  <c r="P35" i="33"/>
  <c r="P45" i="4" s="1"/>
  <c r="Q28" i="33"/>
  <c r="P32" i="33"/>
  <c r="P42" i="4" s="1"/>
  <c r="T28" i="33"/>
  <c r="Q32" i="33"/>
  <c r="Q42" i="4" s="1"/>
  <c r="C28" i="33"/>
  <c r="O42" i="33"/>
  <c r="O52" i="4" s="1"/>
  <c r="C30" i="33"/>
  <c r="C40" i="4" s="1"/>
  <c r="H28" i="33"/>
  <c r="H38" i="4" s="1"/>
  <c r="L29" i="33"/>
  <c r="L39" i="4" s="1"/>
  <c r="D35" i="33"/>
  <c r="D45" i="4" s="1"/>
  <c r="C32" i="33"/>
  <c r="C42" i="4" s="1"/>
  <c r="L31" i="33"/>
  <c r="L41" i="4" s="1"/>
  <c r="H30" i="33"/>
  <c r="H40" i="4" s="1"/>
  <c r="T30" i="33"/>
  <c r="T40" i="4" s="1"/>
  <c r="H32" i="33"/>
  <c r="H42" i="4" s="1"/>
  <c r="T32" i="33"/>
  <c r="T42" i="4" s="1"/>
  <c r="K28" i="33"/>
  <c r="D29" i="33"/>
  <c r="D39" i="4" s="1"/>
  <c r="K30" i="33"/>
  <c r="K40" i="4" s="1"/>
  <c r="D31" i="33"/>
  <c r="D41" i="4" s="1"/>
  <c r="K32" i="33"/>
  <c r="K42" i="4" s="1"/>
  <c r="G33" i="33"/>
  <c r="G43" i="4" s="1"/>
  <c r="T33" i="33"/>
  <c r="T43" i="4" s="1"/>
  <c r="O36" i="33"/>
  <c r="O46" i="4" s="1"/>
  <c r="O37" i="33"/>
  <c r="O47" i="4" s="1"/>
  <c r="O38" i="33"/>
  <c r="O48" i="4" s="1"/>
  <c r="O39" i="33"/>
  <c r="O49" i="4" s="1"/>
  <c r="O40" i="33"/>
  <c r="O50" i="4" s="1"/>
  <c r="O41" i="33"/>
  <c r="O51" i="4" s="1"/>
  <c r="G29" i="33"/>
  <c r="G39" i="4" s="1"/>
  <c r="U29" i="33"/>
  <c r="U39" i="4" s="1"/>
  <c r="G31" i="33"/>
  <c r="G41" i="4" s="1"/>
  <c r="U31" i="33"/>
  <c r="U41" i="4" s="1"/>
  <c r="K33" i="33"/>
  <c r="K43" i="4" s="1"/>
  <c r="C34" i="33"/>
  <c r="C44" i="4" s="1"/>
  <c r="O35" i="33"/>
  <c r="O45" i="4" s="1"/>
  <c r="G35" i="33"/>
  <c r="G45" i="4" s="1"/>
  <c r="D28" i="33"/>
  <c r="L28" i="33"/>
  <c r="U28" i="33"/>
  <c r="H29" i="33"/>
  <c r="D30" i="33"/>
  <c r="D40" i="4" s="1"/>
  <c r="L30" i="33"/>
  <c r="L40" i="4" s="1"/>
  <c r="U30" i="33"/>
  <c r="U40" i="4" s="1"/>
  <c r="H31" i="33"/>
  <c r="H41" i="4" s="1"/>
  <c r="D32" i="33"/>
  <c r="D42" i="4" s="1"/>
  <c r="L32" i="33"/>
  <c r="L42" i="4" s="1"/>
  <c r="U32" i="33"/>
  <c r="U42" i="4" s="1"/>
  <c r="G34" i="33"/>
  <c r="G44" i="4" s="1"/>
  <c r="T34" i="33"/>
  <c r="T44" i="4" s="1"/>
  <c r="K35" i="33"/>
  <c r="K45" i="4" s="1"/>
  <c r="S35" i="33"/>
  <c r="S45" i="4" s="1"/>
  <c r="J35" i="33"/>
  <c r="J45" i="4" s="1"/>
  <c r="F35" i="33"/>
  <c r="F45" i="4" s="1"/>
  <c r="B35" i="33"/>
  <c r="B45" i="4" s="1"/>
  <c r="S34" i="33"/>
  <c r="S44" i="4" s="1"/>
  <c r="O34" i="33"/>
  <c r="O44" i="4" s="1"/>
  <c r="J34" i="33"/>
  <c r="J44" i="4" s="1"/>
  <c r="F34" i="33"/>
  <c r="F44" i="4" s="1"/>
  <c r="B34" i="33"/>
  <c r="B44" i="4" s="1"/>
  <c r="S33" i="33"/>
  <c r="S43" i="4" s="1"/>
  <c r="O33" i="33"/>
  <c r="O43" i="4" s="1"/>
  <c r="J33" i="33"/>
  <c r="J43" i="4" s="1"/>
  <c r="F33" i="33"/>
  <c r="F43" i="4" s="1"/>
  <c r="B33" i="33"/>
  <c r="B43" i="4" s="1"/>
  <c r="S32" i="33"/>
  <c r="S42" i="4" s="1"/>
  <c r="O32" i="33"/>
  <c r="O42" i="4" s="1"/>
  <c r="J32" i="33"/>
  <c r="J42" i="4" s="1"/>
  <c r="F32" i="33"/>
  <c r="F42" i="4" s="1"/>
  <c r="B32" i="33"/>
  <c r="B42" i="4" s="1"/>
  <c r="S31" i="33"/>
  <c r="S41" i="4" s="1"/>
  <c r="O31" i="33"/>
  <c r="O41" i="4" s="1"/>
  <c r="J31" i="33"/>
  <c r="J41" i="4" s="1"/>
  <c r="F31" i="33"/>
  <c r="F41" i="4" s="1"/>
  <c r="B31" i="33"/>
  <c r="B41" i="4" s="1"/>
  <c r="S30" i="33"/>
  <c r="S40" i="4" s="1"/>
  <c r="O30" i="33"/>
  <c r="O40" i="4" s="1"/>
  <c r="J30" i="33"/>
  <c r="J40" i="4" s="1"/>
  <c r="F30" i="33"/>
  <c r="F40" i="4" s="1"/>
  <c r="B30" i="33"/>
  <c r="B40" i="4" s="1"/>
  <c r="S29" i="33"/>
  <c r="S39" i="4" s="1"/>
  <c r="O29" i="33"/>
  <c r="O39" i="4" s="1"/>
  <c r="J29" i="33"/>
  <c r="J39" i="4" s="1"/>
  <c r="F29" i="33"/>
  <c r="F39" i="4" s="1"/>
  <c r="B29" i="33"/>
  <c r="B39" i="4" s="1"/>
  <c r="S28" i="33"/>
  <c r="O28" i="33"/>
  <c r="O38" i="4" s="1"/>
  <c r="J28" i="33"/>
  <c r="J38" i="4" s="1"/>
  <c r="F28" i="33"/>
  <c r="B28" i="33"/>
  <c r="B38" i="4" s="1"/>
  <c r="R35" i="33"/>
  <c r="R45" i="4" s="1"/>
  <c r="M35" i="33"/>
  <c r="M45" i="4" s="1"/>
  <c r="I35" i="33"/>
  <c r="I45" i="4" s="1"/>
  <c r="E35" i="33"/>
  <c r="E45" i="4" s="1"/>
  <c r="V34" i="33"/>
  <c r="V44" i="4" s="1"/>
  <c r="R34" i="33"/>
  <c r="R44" i="4" s="1"/>
  <c r="M34" i="33"/>
  <c r="M44" i="4" s="1"/>
  <c r="I34" i="33"/>
  <c r="I44" i="4" s="1"/>
  <c r="E34" i="33"/>
  <c r="E44" i="4" s="1"/>
  <c r="V33" i="33"/>
  <c r="V43" i="4" s="1"/>
  <c r="R33" i="33"/>
  <c r="R43" i="4" s="1"/>
  <c r="M33" i="33"/>
  <c r="M43" i="4" s="1"/>
  <c r="I33" i="33"/>
  <c r="I43" i="4" s="1"/>
  <c r="E33" i="33"/>
  <c r="E43" i="4" s="1"/>
  <c r="V32" i="33"/>
  <c r="V42" i="4" s="1"/>
  <c r="R32" i="33"/>
  <c r="R42" i="4" s="1"/>
  <c r="M32" i="33"/>
  <c r="M42" i="4" s="1"/>
  <c r="I32" i="33"/>
  <c r="I42" i="4" s="1"/>
  <c r="E32" i="33"/>
  <c r="E42" i="4" s="1"/>
  <c r="V31" i="33"/>
  <c r="V41" i="4" s="1"/>
  <c r="R31" i="33"/>
  <c r="R41" i="4" s="1"/>
  <c r="M31" i="33"/>
  <c r="M41" i="4" s="1"/>
  <c r="I31" i="33"/>
  <c r="I41" i="4" s="1"/>
  <c r="E31" i="33"/>
  <c r="E41" i="4" s="1"/>
  <c r="V30" i="33"/>
  <c r="V40" i="4" s="1"/>
  <c r="R30" i="33"/>
  <c r="R40" i="4" s="1"/>
  <c r="M30" i="33"/>
  <c r="M40" i="4" s="1"/>
  <c r="I30" i="33"/>
  <c r="I40" i="4" s="1"/>
  <c r="E30" i="33"/>
  <c r="E40" i="4" s="1"/>
  <c r="V29" i="33"/>
  <c r="V39" i="4" s="1"/>
  <c r="R29" i="33"/>
  <c r="R39" i="4" s="1"/>
  <c r="M29" i="33"/>
  <c r="M39" i="4" s="1"/>
  <c r="I29" i="33"/>
  <c r="I39" i="4" s="1"/>
  <c r="E29" i="33"/>
  <c r="E39" i="4" s="1"/>
  <c r="V28" i="33"/>
  <c r="V38" i="4" s="1"/>
  <c r="R28" i="33"/>
  <c r="R38" i="4" s="1"/>
  <c r="M28" i="33"/>
  <c r="M38" i="4" s="1"/>
  <c r="I28" i="33"/>
  <c r="I38" i="4" s="1"/>
  <c r="E28" i="33"/>
  <c r="E38" i="4" s="1"/>
  <c r="U35" i="33"/>
  <c r="U45" i="4" s="1"/>
  <c r="L35" i="33"/>
  <c r="L45" i="4" s="1"/>
  <c r="H35" i="33"/>
  <c r="H45" i="4" s="1"/>
  <c r="U33" i="33"/>
  <c r="U43" i="4" s="1"/>
  <c r="L33" i="33"/>
  <c r="L43" i="4" s="1"/>
  <c r="H33" i="33"/>
  <c r="H43" i="4" s="1"/>
  <c r="D33" i="33"/>
  <c r="D43" i="4" s="1"/>
  <c r="V35" i="33"/>
  <c r="V45" i="4" s="1"/>
  <c r="U34" i="33"/>
  <c r="U44" i="4" s="1"/>
  <c r="L34" i="33"/>
  <c r="L44" i="4" s="1"/>
  <c r="H34" i="33"/>
  <c r="H44" i="4" s="1"/>
  <c r="D34" i="33"/>
  <c r="D44" i="4" s="1"/>
  <c r="G28" i="33"/>
  <c r="G38" i="4" s="1"/>
  <c r="C29" i="33"/>
  <c r="K29" i="33"/>
  <c r="T29" i="33"/>
  <c r="G30" i="33"/>
  <c r="G40" i="4" s="1"/>
  <c r="C31" i="33"/>
  <c r="C41" i="4" s="1"/>
  <c r="K31" i="33"/>
  <c r="K41" i="4" s="1"/>
  <c r="T31" i="33"/>
  <c r="T41" i="4" s="1"/>
  <c r="G32" i="33"/>
  <c r="G42" i="4" s="1"/>
  <c r="C33" i="33"/>
  <c r="C43" i="4" s="1"/>
  <c r="K34" i="33"/>
  <c r="K44" i="4" s="1"/>
  <c r="C35" i="33"/>
  <c r="C45" i="4" s="1"/>
  <c r="D38" i="4"/>
  <c r="B22" i="33"/>
  <c r="E22" i="33"/>
  <c r="I45" i="33"/>
  <c r="I52" i="33"/>
  <c r="I27" i="33"/>
  <c r="C38" i="4"/>
  <c r="K38" i="4"/>
  <c r="P46" i="33"/>
  <c r="P53" i="33" s="1"/>
  <c r="P38" i="4"/>
  <c r="P47" i="33"/>
  <c r="P48" i="33" s="1"/>
  <c r="P54" i="33" s="1"/>
  <c r="T38" i="4"/>
  <c r="B27" i="33"/>
  <c r="B52" i="33" s="1"/>
  <c r="Q47" i="33"/>
  <c r="Q48" i="33" s="1"/>
  <c r="Q54" i="33" s="1"/>
  <c r="Q38" i="4"/>
  <c r="D27" i="33"/>
  <c r="D52" i="33" s="1"/>
  <c r="I22" i="33"/>
  <c r="E27" i="33"/>
  <c r="E52" i="33" s="1"/>
  <c r="F38" i="4"/>
  <c r="S38" i="4"/>
  <c r="D45" i="33"/>
  <c r="P57" i="33"/>
  <c r="Q57" i="33"/>
  <c r="Q46" i="33"/>
  <c r="Q53" i="33" s="1"/>
  <c r="F22" i="33"/>
  <c r="F45" i="33"/>
  <c r="G22" i="33"/>
  <c r="G27" i="33"/>
  <c r="G52" i="33" s="1"/>
  <c r="C22" i="33"/>
  <c r="C27" i="33"/>
  <c r="C52" i="33" s="1"/>
  <c r="H27" i="33"/>
  <c r="H52" i="33" s="1"/>
  <c r="H45" i="33"/>
  <c r="T56" i="33"/>
  <c r="H56" i="33"/>
  <c r="R56" i="33"/>
  <c r="J56" i="33"/>
  <c r="K56" i="33"/>
  <c r="M56" i="33"/>
  <c r="G56" i="33"/>
  <c r="B56" i="33"/>
  <c r="S56" i="33"/>
  <c r="U56" i="33"/>
  <c r="D56" i="33"/>
  <c r="I56" i="33"/>
  <c r="E56" i="33"/>
  <c r="V56" i="33"/>
  <c r="L56" i="33"/>
  <c r="F56" i="33"/>
  <c r="C56" i="33"/>
  <c r="O56" i="33"/>
  <c r="C47" i="33" l="1"/>
  <c r="L46" i="33"/>
  <c r="L53" i="33" s="1"/>
  <c r="L38" i="4"/>
  <c r="E46" i="33"/>
  <c r="E53" i="33" s="1"/>
  <c r="K46" i="33"/>
  <c r="K53" i="33" s="1"/>
  <c r="U46" i="33"/>
  <c r="U53" i="33" s="1"/>
  <c r="C48" i="33"/>
  <c r="C54" i="33" s="1"/>
  <c r="G46" i="33"/>
  <c r="G53" i="33" s="1"/>
  <c r="C46" i="33"/>
  <c r="C53" i="33" s="1"/>
  <c r="T47" i="33"/>
  <c r="T48" i="33" s="1"/>
  <c r="T54" i="33" s="1"/>
  <c r="D46" i="33"/>
  <c r="D53" i="33" s="1"/>
  <c r="F46" i="33"/>
  <c r="F53" i="33" s="1"/>
  <c r="V46" i="33"/>
  <c r="V53" i="33" s="1"/>
  <c r="L47" i="33"/>
  <c r="L48" i="33" s="1"/>
  <c r="L54" i="33" s="1"/>
  <c r="G47" i="33"/>
  <c r="G48" i="33" s="1"/>
  <c r="G54" i="33" s="1"/>
  <c r="M46" i="33"/>
  <c r="M53" i="33" s="1"/>
  <c r="J47" i="33"/>
  <c r="J48" i="33" s="1"/>
  <c r="J54" i="33" s="1"/>
  <c r="T46" i="33"/>
  <c r="T53" i="33" s="1"/>
  <c r="C57" i="33"/>
  <c r="M57" i="33"/>
  <c r="O57" i="33"/>
  <c r="P59" i="33" s="1"/>
  <c r="L57" i="33"/>
  <c r="K57" i="33"/>
  <c r="G57" i="33"/>
  <c r="R57" i="33"/>
  <c r="B57" i="33"/>
  <c r="S57" i="33"/>
  <c r="D57" i="33"/>
  <c r="I57" i="33"/>
  <c r="J57" i="33"/>
  <c r="U57" i="33"/>
  <c r="U59" i="33" s="1"/>
  <c r="T57" i="33"/>
  <c r="E57" i="33"/>
  <c r="V57" i="33"/>
  <c r="F57" i="33"/>
  <c r="H57" i="33"/>
  <c r="C39" i="4"/>
  <c r="K39" i="4"/>
  <c r="V47" i="33"/>
  <c r="V48" i="33" s="1"/>
  <c r="V54" i="33" s="1"/>
  <c r="M47" i="33"/>
  <c r="M48" i="33" s="1"/>
  <c r="M54" i="33" s="1"/>
  <c r="E47" i="33"/>
  <c r="E48" i="33" s="1"/>
  <c r="E54" i="33" s="1"/>
  <c r="H47" i="33"/>
  <c r="H48" i="33" s="1"/>
  <c r="H54" i="33" s="1"/>
  <c r="O46" i="33"/>
  <c r="O53" i="33" s="1"/>
  <c r="O55" i="33" s="1"/>
  <c r="J46" i="33"/>
  <c r="J53" i="33" s="1"/>
  <c r="R46" i="33"/>
  <c r="R53" i="33" s="1"/>
  <c r="B46" i="33"/>
  <c r="B53" i="33" s="1"/>
  <c r="H46" i="33"/>
  <c r="H53" i="33" s="1"/>
  <c r="S47" i="33"/>
  <c r="S48" i="33" s="1"/>
  <c r="S54" i="33" s="1"/>
  <c r="O47" i="33"/>
  <c r="O48" i="33" s="1"/>
  <c r="O54" i="33" s="1"/>
  <c r="K47" i="33"/>
  <c r="K48" i="33" s="1"/>
  <c r="K54" i="33" s="1"/>
  <c r="I46" i="33"/>
  <c r="I53" i="33" s="1"/>
  <c r="R47" i="33"/>
  <c r="R48" i="33" s="1"/>
  <c r="R54" i="33" s="1"/>
  <c r="I47" i="33"/>
  <c r="I48" i="33" s="1"/>
  <c r="I54" i="33" s="1"/>
  <c r="B47" i="33"/>
  <c r="B48" i="33" s="1"/>
  <c r="B54" i="33" s="1"/>
  <c r="U47" i="33"/>
  <c r="U48" i="33" s="1"/>
  <c r="U54" i="33" s="1"/>
  <c r="D47" i="33"/>
  <c r="D48" i="33" s="1"/>
  <c r="D54" i="33" s="1"/>
  <c r="S46" i="33"/>
  <c r="S53" i="33" s="1"/>
  <c r="F47" i="33"/>
  <c r="F48" i="33" s="1"/>
  <c r="F54" i="33" s="1"/>
  <c r="U38" i="4"/>
  <c r="T39" i="4"/>
  <c r="H39" i="4"/>
  <c r="V55" i="33"/>
  <c r="S59" i="33"/>
  <c r="Q55" i="33" l="1"/>
  <c r="F59" i="33"/>
  <c r="F60" i="33" s="1"/>
  <c r="F61" i="33" s="1"/>
  <c r="U55" i="33"/>
  <c r="P55" i="33"/>
  <c r="S55" i="33"/>
  <c r="R55" i="33"/>
  <c r="R59" i="33"/>
  <c r="R60" i="33" s="1"/>
  <c r="B64" i="33"/>
  <c r="M55" i="33"/>
  <c r="T59" i="33"/>
  <c r="T60" i="33" s="1"/>
  <c r="T55" i="33"/>
  <c r="E59" i="33"/>
  <c r="H59" i="33"/>
  <c r="H60" i="33" s="1"/>
  <c r="H61" i="33" s="1"/>
  <c r="J59" i="33"/>
  <c r="J60" i="33" s="1"/>
  <c r="J61" i="33" s="1"/>
  <c r="B65" i="33"/>
  <c r="D59" i="33"/>
  <c r="D60" i="33" s="1"/>
  <c r="V59" i="33"/>
  <c r="V60" i="33" s="1"/>
  <c r="C59" i="33"/>
  <c r="C60" i="33" s="1"/>
  <c r="G59" i="33"/>
  <c r="G60" i="33" s="1"/>
  <c r="I59" i="33"/>
  <c r="I60" i="33" s="1"/>
  <c r="I61" i="33" s="1"/>
  <c r="L59" i="33"/>
  <c r="L60" i="33" s="1"/>
  <c r="L61" i="33" s="1"/>
  <c r="O59" i="33"/>
  <c r="O60" i="33" s="1"/>
  <c r="Q59" i="33"/>
  <c r="Q60" i="33" s="1"/>
  <c r="K59" i="33"/>
  <c r="K60" i="33" s="1"/>
  <c r="M59" i="33"/>
  <c r="M60" i="33" s="1"/>
  <c r="M61" i="33" s="1"/>
  <c r="D55" i="33"/>
  <c r="B55" i="33"/>
  <c r="K55" i="33"/>
  <c r="L55" i="33"/>
  <c r="G55" i="33"/>
  <c r="F55" i="33"/>
  <c r="C55" i="33"/>
  <c r="J55" i="33"/>
  <c r="H55" i="33"/>
  <c r="I55" i="33"/>
  <c r="E55" i="33"/>
  <c r="E60" i="33"/>
  <c r="S60" i="33"/>
  <c r="U60" i="33"/>
  <c r="P60" i="33"/>
  <c r="Q61" i="33" l="1"/>
  <c r="P61" i="33"/>
  <c r="R61" i="33"/>
  <c r="S61" i="33"/>
  <c r="O61" i="33"/>
  <c r="T61" i="33"/>
  <c r="U61" i="33"/>
  <c r="V61" i="33"/>
  <c r="C61" i="33"/>
  <c r="K61" i="33"/>
  <c r="E61" i="33"/>
  <c r="D61" i="33"/>
  <c r="G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36" i="23"/>
  <c r="P30" i="4" s="1"/>
  <c r="Q36" i="23"/>
  <c r="Q30" i="4" s="1"/>
  <c r="R36" i="23"/>
  <c r="R30" i="4" s="1"/>
  <c r="S36" i="23"/>
  <c r="S30" i="4" s="1"/>
  <c r="T36" i="23"/>
  <c r="T30" i="4" s="1"/>
  <c r="U36" i="23"/>
  <c r="U30" i="4" s="1"/>
  <c r="V36" i="23"/>
  <c r="V30" i="4" s="1"/>
  <c r="P37" i="23"/>
  <c r="P31" i="4" s="1"/>
  <c r="Q37" i="23"/>
  <c r="R37" i="23"/>
  <c r="R31" i="4" s="1"/>
  <c r="S37" i="23"/>
  <c r="S31" i="4" s="1"/>
  <c r="T37" i="23"/>
  <c r="T31" i="4" s="1"/>
  <c r="U37" i="23"/>
  <c r="U31" i="4" s="1"/>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U33" i="4" s="1"/>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Q37" i="4" s="1"/>
  <c r="R43" i="23"/>
  <c r="S43" i="23"/>
  <c r="T43" i="23"/>
  <c r="U43" i="23"/>
  <c r="U37" i="4" s="1"/>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Q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G28" i="23"/>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D33" i="1"/>
  <c r="D11" i="4" s="1"/>
  <c r="Q31" i="1"/>
  <c r="Q9" i="4" s="1"/>
  <c r="O42" i="1"/>
  <c r="O20" i="4" s="1"/>
  <c r="B33" i="1"/>
  <c r="B11" i="4" s="1"/>
  <c r="Q33" i="1"/>
  <c r="Q11"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Q28" i="1" l="1"/>
  <c r="Q34" i="1"/>
  <c r="Q12" i="4" s="1"/>
  <c r="E35" i="1"/>
  <c r="E13" i="4" s="1"/>
  <c r="O41" i="1"/>
  <c r="O19" i="4" s="1"/>
  <c r="O39" i="1"/>
  <c r="O17" i="4" s="1"/>
  <c r="P34" i="1"/>
  <c r="P12" i="4" s="1"/>
  <c r="P33" i="1"/>
  <c r="P11" i="4" s="1"/>
  <c r="I33" i="1"/>
  <c r="I11" i="4" s="1"/>
  <c r="D32" i="23"/>
  <c r="D26" i="4" s="1"/>
  <c r="P35" i="23"/>
  <c r="P29" i="4" s="1"/>
  <c r="F29" i="1"/>
  <c r="F7" i="4" s="1"/>
  <c r="O38" i="1"/>
  <c r="O16" i="4" s="1"/>
  <c r="P30" i="1"/>
  <c r="P8" i="4" s="1"/>
  <c r="E33" i="1"/>
  <c r="E11" i="4" s="1"/>
  <c r="Q32" i="23"/>
  <c r="Q26" i="4" s="1"/>
  <c r="Q35" i="1"/>
  <c r="Q13" i="4" s="1"/>
  <c r="P28" i="1"/>
  <c r="H33" i="1"/>
  <c r="H11" i="4" s="1"/>
  <c r="F30" i="23"/>
  <c r="F24" i="4" s="1"/>
  <c r="I29" i="23"/>
  <c r="I23" i="4" s="1"/>
  <c r="I28" i="23"/>
  <c r="H35" i="23"/>
  <c r="H29" i="4" s="1"/>
  <c r="H32" i="23"/>
  <c r="H26" i="4" s="1"/>
  <c r="I33" i="23"/>
  <c r="I27" i="4" s="1"/>
  <c r="I32" i="23"/>
  <c r="I26" i="4" s="1"/>
  <c r="M35" i="23"/>
  <c r="M29" i="4" s="1"/>
  <c r="L34" i="23"/>
  <c r="L28" i="4" s="1"/>
  <c r="K33" i="23"/>
  <c r="K27" i="4" s="1"/>
  <c r="M31" i="23"/>
  <c r="M25" i="4" s="1"/>
  <c r="L30" i="23"/>
  <c r="L24" i="4" s="1"/>
  <c r="R35" i="23"/>
  <c r="R29" i="4" s="1"/>
  <c r="U33" i="23"/>
  <c r="U27" i="4" s="1"/>
  <c r="R32" i="23"/>
  <c r="R26" i="4" s="1"/>
  <c r="U30" i="23"/>
  <c r="U24" i="4" s="1"/>
  <c r="R29" i="23"/>
  <c r="R23" i="4" s="1"/>
  <c r="E35" i="23"/>
  <c r="E29" i="4" s="1"/>
  <c r="H33" i="23"/>
  <c r="H27" i="4" s="1"/>
  <c r="J30" i="23"/>
  <c r="J24" i="4" s="1"/>
  <c r="F28" i="23"/>
  <c r="H34" i="23"/>
  <c r="H28" i="4" s="1"/>
  <c r="L35" i="23"/>
  <c r="L29" i="4" s="1"/>
  <c r="M32" i="23"/>
  <c r="M26" i="4" s="1"/>
  <c r="K30" i="23"/>
  <c r="K24" i="4" s="1"/>
  <c r="M28" i="23"/>
  <c r="T30" i="23"/>
  <c r="T24" i="4" s="1"/>
  <c r="V28" i="23"/>
  <c r="J33" i="23"/>
  <c r="J27" i="4" s="1"/>
  <c r="I35" i="23"/>
  <c r="I29" i="4" s="1"/>
  <c r="G30" i="23"/>
  <c r="G24" i="4" s="1"/>
  <c r="G34" i="23"/>
  <c r="G28" i="4" s="1"/>
  <c r="E34" i="23"/>
  <c r="E28" i="4" s="1"/>
  <c r="E31" i="23"/>
  <c r="E25" i="4" s="1"/>
  <c r="J34" i="23"/>
  <c r="J28" i="4" s="1"/>
  <c r="J28" i="23"/>
  <c r="J22" i="4" s="1"/>
  <c r="G31" i="23"/>
  <c r="G25" i="4" s="1"/>
  <c r="G35" i="23"/>
  <c r="G29" i="4" s="1"/>
  <c r="C28" i="23"/>
  <c r="K35" i="23"/>
  <c r="K29" i="4" s="1"/>
  <c r="M33" i="23"/>
  <c r="M27" i="4" s="1"/>
  <c r="L32" i="23"/>
  <c r="L26" i="4" s="1"/>
  <c r="K31" i="23"/>
  <c r="K25" i="4" s="1"/>
  <c r="M29" i="23"/>
  <c r="M23" i="4" s="1"/>
  <c r="L28" i="23"/>
  <c r="T35" i="23"/>
  <c r="T29" i="4" s="1"/>
  <c r="V34" i="23"/>
  <c r="V28" i="4" s="1"/>
  <c r="R34" i="23"/>
  <c r="R28" i="4" s="1"/>
  <c r="S33" i="23"/>
  <c r="S27" i="4" s="1"/>
  <c r="T32" i="23"/>
  <c r="T26" i="4" s="1"/>
  <c r="V31" i="23"/>
  <c r="V25" i="4" s="1"/>
  <c r="R31" i="23"/>
  <c r="R25" i="4" s="1"/>
  <c r="S30" i="23"/>
  <c r="S24" i="4" s="1"/>
  <c r="T29" i="23"/>
  <c r="T23" i="4" s="1"/>
  <c r="U28" i="23"/>
  <c r="K29" i="23"/>
  <c r="K23" i="4" s="1"/>
  <c r="V35" i="23"/>
  <c r="V29" i="4" s="1"/>
  <c r="T34" i="23"/>
  <c r="T28" i="4" s="1"/>
  <c r="V32" i="23"/>
  <c r="V26" i="4" s="1"/>
  <c r="T31" i="23"/>
  <c r="T25" i="4" s="1"/>
  <c r="V29" i="23"/>
  <c r="V23" i="4" s="1"/>
  <c r="S28" i="23"/>
  <c r="G32" i="23"/>
  <c r="G26" i="4" s="1"/>
  <c r="D29" i="23"/>
  <c r="D23" i="4" s="1"/>
  <c r="F34" i="23"/>
  <c r="F28" i="4" s="1"/>
  <c r="H30" i="23"/>
  <c r="H24" i="4" s="1"/>
  <c r="J29" i="23"/>
  <c r="J23" i="4" s="1"/>
  <c r="K34" i="23"/>
  <c r="K28" i="4" s="1"/>
  <c r="L31" i="23"/>
  <c r="L25" i="4" s="1"/>
  <c r="U35" i="23"/>
  <c r="U29" i="4" s="1"/>
  <c r="S34" i="23"/>
  <c r="S28" i="4" s="1"/>
  <c r="T33" i="23"/>
  <c r="T27" i="4" s="1"/>
  <c r="U32" i="23"/>
  <c r="U26" i="4" s="1"/>
  <c r="S31" i="23"/>
  <c r="S25" i="4" s="1"/>
  <c r="U29" i="23"/>
  <c r="U23" i="4" s="1"/>
  <c r="R28" i="23"/>
  <c r="R22" i="4" s="1"/>
  <c r="I30" i="23"/>
  <c r="H28" i="23"/>
  <c r="H22" i="4" s="1"/>
  <c r="E28" i="23"/>
  <c r="E22" i="4" s="1"/>
  <c r="J31" i="23"/>
  <c r="J25" i="4" s="1"/>
  <c r="J35" i="23"/>
  <c r="J29" i="4" s="1"/>
  <c r="I34" i="23"/>
  <c r="I28" i="4" s="1"/>
  <c r="D28" i="23"/>
  <c r="D22" i="4" s="1"/>
  <c r="I31" i="23"/>
  <c r="I25" i="4" s="1"/>
  <c r="E29" i="23"/>
  <c r="E23" i="4" s="1"/>
  <c r="J32" i="23"/>
  <c r="J26" i="4" s="1"/>
  <c r="F29" i="23"/>
  <c r="F23" i="4" s="1"/>
  <c r="M34" i="23"/>
  <c r="M28" i="4" s="1"/>
  <c r="L33" i="23"/>
  <c r="L27" i="4" s="1"/>
  <c r="K32" i="23"/>
  <c r="K26" i="4" s="1"/>
  <c r="M30" i="23"/>
  <c r="M24" i="4" s="1"/>
  <c r="L29" i="23"/>
  <c r="L23" i="4" s="1"/>
  <c r="K28" i="23"/>
  <c r="S35" i="23"/>
  <c r="S29" i="4" s="1"/>
  <c r="U34" i="23"/>
  <c r="U28" i="4" s="1"/>
  <c r="V33" i="23"/>
  <c r="V27" i="4" s="1"/>
  <c r="R33" i="23"/>
  <c r="R27" i="4" s="1"/>
  <c r="S32" i="23"/>
  <c r="S26" i="4" s="1"/>
  <c r="U31" i="23"/>
  <c r="U25" i="4" s="1"/>
  <c r="V30" i="23"/>
  <c r="V24" i="4" s="1"/>
  <c r="R30" i="23"/>
  <c r="R24" i="4" s="1"/>
  <c r="S29" i="23"/>
  <c r="S23" i="4" s="1"/>
  <c r="T28" i="23"/>
  <c r="G34" i="1"/>
  <c r="G12" i="4" s="1"/>
  <c r="I29" i="1"/>
  <c r="H34" i="1"/>
  <c r="H12" i="4" s="1"/>
  <c r="V35" i="1"/>
  <c r="V13" i="4" s="1"/>
  <c r="O40" i="23"/>
  <c r="O34" i="4" s="1"/>
  <c r="O33" i="23"/>
  <c r="O27" i="4" s="1"/>
  <c r="H35" i="1"/>
  <c r="H13" i="4" s="1"/>
  <c r="H30" i="1"/>
  <c r="H8" i="4" s="1"/>
  <c r="O40" i="1"/>
  <c r="O18" i="4" s="1"/>
  <c r="O43" i="1"/>
  <c r="O21" i="4" s="1"/>
  <c r="G35" i="1"/>
  <c r="G13" i="4" s="1"/>
  <c r="E29" i="1"/>
  <c r="E7" i="4" s="1"/>
  <c r="D35" i="1"/>
  <c r="D13" i="4" s="1"/>
  <c r="G29" i="1"/>
  <c r="G7" i="4" s="1"/>
  <c r="J32" i="1"/>
  <c r="J10" i="4" s="1"/>
  <c r="T34" i="1"/>
  <c r="T12" i="4" s="1"/>
  <c r="T32" i="1"/>
  <c r="T10" i="4" s="1"/>
  <c r="T30" i="1"/>
  <c r="T8" i="4" s="1"/>
  <c r="T28" i="1"/>
  <c r="F33" i="1"/>
  <c r="F11" i="4" s="1"/>
  <c r="C35" i="1"/>
  <c r="C13" i="4" s="1"/>
  <c r="H32" i="1"/>
  <c r="H10" i="4" s="1"/>
  <c r="F35" i="1"/>
  <c r="F13" i="4" s="1"/>
  <c r="I30" i="1"/>
  <c r="I8" i="4" s="1"/>
  <c r="E32" i="1"/>
  <c r="E10" i="4" s="1"/>
  <c r="C33" i="1"/>
  <c r="C11" i="4" s="1"/>
  <c r="J35" i="1"/>
  <c r="J13" i="4" s="1"/>
  <c r="J31" i="1"/>
  <c r="J9" i="4" s="1"/>
  <c r="J28" i="1"/>
  <c r="J6" i="4" s="1"/>
  <c r="S35" i="1"/>
  <c r="S13" i="4" s="1"/>
  <c r="S34" i="1"/>
  <c r="S12" i="4" s="1"/>
  <c r="S33" i="1"/>
  <c r="S11" i="4" s="1"/>
  <c r="S32" i="1"/>
  <c r="S10" i="4" s="1"/>
  <c r="S31" i="1"/>
  <c r="S9" i="4" s="1"/>
  <c r="S30" i="1"/>
  <c r="S8" i="4" s="1"/>
  <c r="S29" i="1"/>
  <c r="S7" i="4" s="1"/>
  <c r="S28" i="1"/>
  <c r="T35" i="1"/>
  <c r="T13" i="4" s="1"/>
  <c r="T33" i="1"/>
  <c r="T11" i="4" s="1"/>
  <c r="T31" i="1"/>
  <c r="T9" i="4" s="1"/>
  <c r="T29" i="1"/>
  <c r="T7" i="4" s="1"/>
  <c r="O32" i="1"/>
  <c r="O10" i="4" s="1"/>
  <c r="G30" i="1"/>
  <c r="G8" i="4" s="1"/>
  <c r="F34" i="1"/>
  <c r="F12" i="4" s="1"/>
  <c r="F30" i="1"/>
  <c r="I34" i="1"/>
  <c r="I12" i="4" s="1"/>
  <c r="E30" i="1"/>
  <c r="E8" i="4" s="1"/>
  <c r="H31" i="1"/>
  <c r="H9" i="4" s="1"/>
  <c r="F32" i="1"/>
  <c r="F10" i="4" s="1"/>
  <c r="J34" i="1"/>
  <c r="J12" i="4" s="1"/>
  <c r="J30" i="1"/>
  <c r="J8" i="4" s="1"/>
  <c r="V34" i="1"/>
  <c r="V12" i="4" s="1"/>
  <c r="V33" i="1"/>
  <c r="V11" i="4" s="1"/>
  <c r="V32" i="1"/>
  <c r="V10" i="4" s="1"/>
  <c r="V31" i="1"/>
  <c r="V9" i="4" s="1"/>
  <c r="V30" i="1"/>
  <c r="V8" i="4" s="1"/>
  <c r="V29" i="1"/>
  <c r="V7" i="4" s="1"/>
  <c r="V28" i="1"/>
  <c r="R33" i="1"/>
  <c r="R11" i="4" s="1"/>
  <c r="J33" i="1"/>
  <c r="J11" i="4" s="1"/>
  <c r="J29" i="1"/>
  <c r="J7" i="4" s="1"/>
  <c r="U35" i="1"/>
  <c r="U13" i="4" s="1"/>
  <c r="U34" i="1"/>
  <c r="U12" i="4" s="1"/>
  <c r="U33" i="1"/>
  <c r="U11" i="4" s="1"/>
  <c r="U32" i="1"/>
  <c r="U10" i="4" s="1"/>
  <c r="U31" i="1"/>
  <c r="U9" i="4" s="1"/>
  <c r="U30" i="1"/>
  <c r="U8" i="4" s="1"/>
  <c r="U29" i="1"/>
  <c r="U7" i="4" s="1"/>
  <c r="U28" i="1"/>
  <c r="U6" i="4" s="1"/>
  <c r="P31" i="23"/>
  <c r="P25" i="4" s="1"/>
  <c r="Q28" i="23"/>
  <c r="Q22" i="4" s="1"/>
  <c r="H31" i="23"/>
  <c r="H25" i="4" s="1"/>
  <c r="D35" i="23"/>
  <c r="D29" i="4" s="1"/>
  <c r="G33" i="23"/>
  <c r="G27" i="4" s="1"/>
  <c r="C30" i="23"/>
  <c r="C24" i="4" s="1"/>
  <c r="E32" i="23"/>
  <c r="E26" i="4" s="1"/>
  <c r="C34" i="23"/>
  <c r="C28" i="4" s="1"/>
  <c r="C33" i="23"/>
  <c r="C27" i="4" s="1"/>
  <c r="C31" i="23"/>
  <c r="C25" i="4" s="1"/>
  <c r="E33" i="23"/>
  <c r="E27" i="4" s="1"/>
  <c r="C35" i="23"/>
  <c r="C29" i="4" s="1"/>
  <c r="E30" i="23"/>
  <c r="O43" i="23"/>
  <c r="O37" i="4" s="1"/>
  <c r="O39" i="23"/>
  <c r="O33" i="4" s="1"/>
  <c r="O29" i="23"/>
  <c r="O23" i="4" s="1"/>
  <c r="Q33" i="23"/>
  <c r="Q27" i="4" s="1"/>
  <c r="P32" i="23"/>
  <c r="P26" i="4" s="1"/>
  <c r="Q29" i="23"/>
  <c r="Q23" i="4" s="1"/>
  <c r="P28" i="23"/>
  <c r="O42" i="23"/>
  <c r="O36" i="4" s="1"/>
  <c r="O36" i="23"/>
  <c r="O30" i="4" s="1"/>
  <c r="Q34" i="23"/>
  <c r="Q28" i="4" s="1"/>
  <c r="P33" i="23"/>
  <c r="P27" i="4" s="1"/>
  <c r="Q30" i="23"/>
  <c r="Q24" i="4" s="1"/>
  <c r="P29" i="23"/>
  <c r="P23" i="4" s="1"/>
  <c r="F33" i="23"/>
  <c r="F27" i="4" s="1"/>
  <c r="G29" i="23"/>
  <c r="H29" i="23"/>
  <c r="F31" i="23"/>
  <c r="D33" i="23"/>
  <c r="D27" i="4" s="1"/>
  <c r="F35" i="23"/>
  <c r="F29" i="4" s="1"/>
  <c r="C32" i="23"/>
  <c r="C26" i="4" s="1"/>
  <c r="C29" i="23"/>
  <c r="D30" i="23"/>
  <c r="F32" i="23"/>
  <c r="F26" i="4" s="1"/>
  <c r="D34" i="23"/>
  <c r="D28" i="4" s="1"/>
  <c r="D31" i="23"/>
  <c r="D25" i="4" s="1"/>
  <c r="O41" i="23"/>
  <c r="O35" i="4" s="1"/>
  <c r="O35" i="23"/>
  <c r="O29" i="4" s="1"/>
  <c r="Q35" i="23"/>
  <c r="Q29" i="4" s="1"/>
  <c r="P34" i="23"/>
  <c r="P28" i="4" s="1"/>
  <c r="Q31" i="23"/>
  <c r="Q25" i="4" s="1"/>
  <c r="P30" i="23"/>
  <c r="P24" i="4" s="1"/>
  <c r="M34" i="1"/>
  <c r="M12" i="4" s="1"/>
  <c r="L33" i="1"/>
  <c r="L11" i="4" s="1"/>
  <c r="K32" i="1"/>
  <c r="K10" i="4" s="1"/>
  <c r="M30" i="1"/>
  <c r="M8" i="4" s="1"/>
  <c r="L29" i="1"/>
  <c r="L7" i="4" s="1"/>
  <c r="K28" i="1"/>
  <c r="K6" i="4" s="1"/>
  <c r="M35" i="1"/>
  <c r="M13" i="4" s="1"/>
  <c r="L34" i="1"/>
  <c r="L12" i="4" s="1"/>
  <c r="K33" i="1"/>
  <c r="K11" i="4" s="1"/>
  <c r="M31" i="1"/>
  <c r="M9" i="4" s="1"/>
  <c r="L30" i="1"/>
  <c r="L8" i="4" s="1"/>
  <c r="K29" i="1"/>
  <c r="K7" i="4" s="1"/>
  <c r="L35" i="1"/>
  <c r="L13" i="4" s="1"/>
  <c r="K34" i="1"/>
  <c r="K12" i="4" s="1"/>
  <c r="M32" i="1"/>
  <c r="M10" i="4" s="1"/>
  <c r="L31" i="1"/>
  <c r="L9" i="4" s="1"/>
  <c r="K30" i="1"/>
  <c r="K8" i="4" s="1"/>
  <c r="M28" i="1"/>
  <c r="M6" i="4" s="1"/>
  <c r="K35" i="1"/>
  <c r="K13" i="4" s="1"/>
  <c r="M33" i="1"/>
  <c r="M11" i="4" s="1"/>
  <c r="L32" i="1"/>
  <c r="L10" i="4" s="1"/>
  <c r="K31" i="1"/>
  <c r="K9" i="4" s="1"/>
  <c r="M29" i="1"/>
  <c r="M7" i="4" s="1"/>
  <c r="L28" i="1"/>
  <c r="L6" i="4" s="1"/>
  <c r="O9" i="12"/>
  <c r="O10" i="12" s="1"/>
  <c r="F22" i="4"/>
  <c r="P6" i="4"/>
  <c r="Q6" i="4"/>
  <c r="I22" i="4"/>
  <c r="C22" i="4"/>
  <c r="S6" i="4"/>
  <c r="L22" i="4"/>
  <c r="G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R21" i="4"/>
  <c r="Q21" i="4"/>
  <c r="S4" i="33"/>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P37" i="1"/>
  <c r="F22" i="23"/>
  <c r="O36" i="1"/>
  <c r="H45" i="23"/>
  <c r="R31" i="1"/>
  <c r="R9" i="4" s="1"/>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O28" i="1"/>
  <c r="C30" i="1"/>
  <c r="C8" i="4" s="1"/>
  <c r="C31" i="1"/>
  <c r="C9" i="4" s="1"/>
  <c r="D29" i="1"/>
  <c r="D7" i="4" s="1"/>
  <c r="D30" i="1"/>
  <c r="G21" i="4"/>
  <c r="I21" i="4"/>
  <c r="F21" i="4"/>
  <c r="H21" i="4"/>
  <c r="E21" i="4"/>
  <c r="L52" i="23"/>
  <c r="D17" i="4"/>
  <c r="F8" i="4"/>
  <c r="C4" i="4"/>
  <c r="U47" i="23"/>
  <c r="U48" i="23" s="1"/>
  <c r="U54" i="23" s="1"/>
  <c r="A47" i="22"/>
  <c r="G27" i="23"/>
  <c r="G52" i="23" s="1"/>
  <c r="A50" i="22"/>
  <c r="H50" i="22"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M56" i="23"/>
  <c r="I56" i="23"/>
  <c r="R56" i="1"/>
  <c r="F56" i="23"/>
  <c r="B56" i="23"/>
  <c r="I56" i="1"/>
  <c r="E56" i="1"/>
  <c r="L78" i="4"/>
  <c r="P56" i="23"/>
  <c r="B56" i="1"/>
  <c r="H56" i="23"/>
  <c r="J56" i="1"/>
  <c r="O56" i="23"/>
  <c r="V56" i="23"/>
  <c r="U56" i="23"/>
  <c r="K56" i="23"/>
  <c r="K56" i="1"/>
  <c r="D56" i="1"/>
  <c r="H56" i="1"/>
  <c r="D56" i="23"/>
  <c r="G56" i="23"/>
  <c r="U56" i="1"/>
  <c r="P56" i="1"/>
  <c r="Q56" i="1"/>
  <c r="Q56" i="23"/>
  <c r="L56" i="23"/>
  <c r="C56" i="23"/>
  <c r="G56" i="1"/>
  <c r="M56" i="1"/>
  <c r="J56" i="23"/>
  <c r="T56" i="23"/>
  <c r="S56" i="23"/>
  <c r="L56" i="1"/>
  <c r="V56" i="1"/>
  <c r="O56" i="1"/>
  <c r="T56" i="1"/>
  <c r="J78" i="4"/>
  <c r="S56" i="1"/>
  <c r="C56" i="1"/>
  <c r="R56" i="23"/>
  <c r="E56" i="23"/>
  <c r="F56" i="1"/>
  <c r="V46" i="23" l="1"/>
  <c r="V53" i="23" s="1"/>
  <c r="I46" i="23"/>
  <c r="I53" i="23" s="1"/>
  <c r="K47" i="23"/>
  <c r="K48" i="23" s="1"/>
  <c r="K54" i="23" s="1"/>
  <c r="T46" i="23"/>
  <c r="T53" i="23" s="1"/>
  <c r="I47" i="23"/>
  <c r="I48" i="23" s="1"/>
  <c r="I54" i="23" s="1"/>
  <c r="V22" i="4"/>
  <c r="S57" i="23"/>
  <c r="K57" i="23"/>
  <c r="I57" i="23"/>
  <c r="L57" i="23"/>
  <c r="T57" i="23"/>
  <c r="U57" i="23"/>
  <c r="M57" i="23"/>
  <c r="R57" i="23"/>
  <c r="J57" i="23"/>
  <c r="V57" i="23"/>
  <c r="R47" i="23"/>
  <c r="R48" i="23" s="1"/>
  <c r="R54" i="23" s="1"/>
  <c r="S22" i="4"/>
  <c r="S57" i="4" s="1"/>
  <c r="S58" i="4" s="1"/>
  <c r="S76" i="4" s="1"/>
  <c r="L47" i="23"/>
  <c r="L48" i="23" s="1"/>
  <c r="L54" i="23" s="1"/>
  <c r="L46" i="23"/>
  <c r="L53" i="23" s="1"/>
  <c r="V47" i="23"/>
  <c r="V48" i="23" s="1"/>
  <c r="V54" i="23" s="1"/>
  <c r="K22" i="4"/>
  <c r="K57" i="4" s="1"/>
  <c r="K58" i="4" s="1"/>
  <c r="K76" i="4" s="1"/>
  <c r="I24" i="4"/>
  <c r="T22" i="4"/>
  <c r="U22" i="4"/>
  <c r="U57" i="4" s="1"/>
  <c r="U58" i="4" s="1"/>
  <c r="U76" i="4" s="1"/>
  <c r="S47" i="23"/>
  <c r="S48" i="23" s="1"/>
  <c r="S54" i="23" s="1"/>
  <c r="T47" i="23"/>
  <c r="T48" i="23" s="1"/>
  <c r="T54" i="23" s="1"/>
  <c r="S46" i="23"/>
  <c r="S53" i="23" s="1"/>
  <c r="J46" i="23"/>
  <c r="J53" i="23" s="1"/>
  <c r="J47" i="23"/>
  <c r="J48" i="23" s="1"/>
  <c r="J54" i="23" s="1"/>
  <c r="U46" i="23"/>
  <c r="U53" i="23" s="1"/>
  <c r="K46" i="23"/>
  <c r="K53" i="23" s="1"/>
  <c r="M47" i="23"/>
  <c r="M48" i="23" s="1"/>
  <c r="M54" i="23" s="1"/>
  <c r="M46" i="23"/>
  <c r="M53" i="23" s="1"/>
  <c r="R46" i="23"/>
  <c r="R53" i="23" s="1"/>
  <c r="M22" i="4"/>
  <c r="G47" i="23"/>
  <c r="G48" i="23" s="1"/>
  <c r="G54" i="23" s="1"/>
  <c r="V47" i="1"/>
  <c r="V48" i="1" s="1"/>
  <c r="V54" i="1" s="1"/>
  <c r="Q46" i="23"/>
  <c r="Q53" i="23" s="1"/>
  <c r="P47" i="23"/>
  <c r="P48" i="23" s="1"/>
  <c r="P54" i="23" s="1"/>
  <c r="Q47" i="23"/>
  <c r="Q48" i="23" s="1"/>
  <c r="Q54" i="23" s="1"/>
  <c r="T47" i="1"/>
  <c r="T48" i="1" s="1"/>
  <c r="T54" i="1" s="1"/>
  <c r="S46" i="1"/>
  <c r="S53" i="1" s="1"/>
  <c r="M47" i="1"/>
  <c r="T46" i="1"/>
  <c r="T53" i="1" s="1"/>
  <c r="V6" i="4"/>
  <c r="K47" i="1"/>
  <c r="K48" i="1" s="1"/>
  <c r="K54" i="1" s="1"/>
  <c r="T57" i="1"/>
  <c r="V57" i="1"/>
  <c r="U57" i="1"/>
  <c r="S57" i="1"/>
  <c r="J57" i="1"/>
  <c r="U46" i="1"/>
  <c r="U53" i="1" s="1"/>
  <c r="M46" i="1"/>
  <c r="M53" i="1" s="1"/>
  <c r="V46" i="1"/>
  <c r="V53" i="1" s="1"/>
  <c r="S47" i="1"/>
  <c r="S48" i="1" s="1"/>
  <c r="S54" i="1" s="1"/>
  <c r="J46" i="1"/>
  <c r="J53" i="1" s="1"/>
  <c r="U47" i="1"/>
  <c r="U48" i="1" s="1"/>
  <c r="U54" i="1" s="1"/>
  <c r="J47" i="1"/>
  <c r="J48" i="1" s="1"/>
  <c r="J54" i="1" s="1"/>
  <c r="T6" i="4"/>
  <c r="T63" i="4" s="1"/>
  <c r="T64" i="4" s="1"/>
  <c r="M48" i="1"/>
  <c r="M54" i="1" s="1"/>
  <c r="D47" i="23"/>
  <c r="D48" i="23" s="1"/>
  <c r="D54" i="23" s="1"/>
  <c r="C57" i="23"/>
  <c r="F57" i="23"/>
  <c r="Q57" i="23"/>
  <c r="G57" i="23"/>
  <c r="P57" i="23"/>
  <c r="D57" i="23"/>
  <c r="H57" i="23"/>
  <c r="E57" i="23"/>
  <c r="F46" i="23"/>
  <c r="F53" i="23" s="1"/>
  <c r="C47" i="23"/>
  <c r="C48" i="23" s="1"/>
  <c r="C54" i="23" s="1"/>
  <c r="H46" i="23"/>
  <c r="H53" i="23" s="1"/>
  <c r="H47" i="23"/>
  <c r="H48" i="23" s="1"/>
  <c r="H54" i="23" s="1"/>
  <c r="E46" i="23"/>
  <c r="E53" i="23" s="1"/>
  <c r="C23" i="4"/>
  <c r="F25" i="4"/>
  <c r="G23" i="4"/>
  <c r="F47" i="23"/>
  <c r="F48" i="23" s="1"/>
  <c r="F54" i="23" s="1"/>
  <c r="D46" i="23"/>
  <c r="D53" i="23" s="1"/>
  <c r="D24" i="4"/>
  <c r="C46" i="23"/>
  <c r="C53" i="23" s="1"/>
  <c r="E47" i="23"/>
  <c r="E48" i="23" s="1"/>
  <c r="E54" i="23" s="1"/>
  <c r="G46" i="23"/>
  <c r="G53" i="23" s="1"/>
  <c r="P46" i="23"/>
  <c r="P53" i="23" s="1"/>
  <c r="P22" i="4"/>
  <c r="H23" i="4"/>
  <c r="E24" i="4"/>
  <c r="L57" i="1"/>
  <c r="M57" i="1"/>
  <c r="K57" i="1"/>
  <c r="K46" i="1"/>
  <c r="K53" i="1" s="1"/>
  <c r="L47" i="1"/>
  <c r="L48" i="1" s="1"/>
  <c r="L54" i="1" s="1"/>
  <c r="L46" i="1"/>
  <c r="L53" i="1" s="1"/>
  <c r="F46" i="1"/>
  <c r="F53" i="1" s="1"/>
  <c r="L63" i="4"/>
  <c r="L64" i="4" s="1"/>
  <c r="M63" i="4"/>
  <c r="M64" i="4" s="1"/>
  <c r="P47" i="1"/>
  <c r="P48" i="1" s="1"/>
  <c r="P54" i="1" s="1"/>
  <c r="D6" i="4"/>
  <c r="R6" i="4"/>
  <c r="C6" i="4"/>
  <c r="B22" i="4"/>
  <c r="I6" i="4"/>
  <c r="P7" i="4"/>
  <c r="E6" i="4"/>
  <c r="H6" i="4"/>
  <c r="F6" i="4"/>
  <c r="O6" i="4"/>
  <c r="B6" i="4"/>
  <c r="G6" i="4"/>
  <c r="Q7" i="4"/>
  <c r="J63" i="4"/>
  <c r="J64" i="4" s="1"/>
  <c r="V63" i="4"/>
  <c r="V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H57" i="1"/>
  <c r="G57" i="1"/>
  <c r="F57" i="1"/>
  <c r="I57" i="1"/>
  <c r="E57" i="1"/>
  <c r="H7" i="4"/>
  <c r="G46" i="1"/>
  <c r="G53" i="1" s="1"/>
  <c r="H46" i="1"/>
  <c r="H53" i="1" s="1"/>
  <c r="H47" i="1"/>
  <c r="H48" i="1" s="1"/>
  <c r="H54" i="1" s="1"/>
  <c r="G11" i="4"/>
  <c r="F9" i="4"/>
  <c r="I13" i="4"/>
  <c r="E12" i="4"/>
  <c r="I55" i="4"/>
  <c r="I62" i="4"/>
  <c r="V57" i="4"/>
  <c r="V58" i="4" s="1"/>
  <c r="V76" i="4" s="1"/>
  <c r="V56" i="4"/>
  <c r="V75" i="4" s="1"/>
  <c r="L56" i="4"/>
  <c r="L75" i="4" s="1"/>
  <c r="J56" i="4"/>
  <c r="J75" i="4" s="1"/>
  <c r="O55" i="4"/>
  <c r="O62" i="4"/>
  <c r="F55" i="4"/>
  <c r="F62" i="4"/>
  <c r="M55" i="4"/>
  <c r="M62" i="4"/>
  <c r="J55" i="4"/>
  <c r="J62" i="4"/>
  <c r="L57" i="4"/>
  <c r="L58" i="4" s="1"/>
  <c r="L76" i="4" s="1"/>
  <c r="J57" i="4"/>
  <c r="J58" i="4" s="1"/>
  <c r="J76" i="4" s="1"/>
  <c r="P55" i="4"/>
  <c r="P62" i="4"/>
  <c r="G55" i="4"/>
  <c r="G62" i="4"/>
  <c r="H74" i="4"/>
  <c r="H62" i="4"/>
  <c r="U22" i="33"/>
  <c r="U45" i="33"/>
  <c r="U27" i="33"/>
  <c r="U52" i="33" s="1"/>
  <c r="R45" i="33"/>
  <c r="R27" i="33"/>
  <c r="R52" i="33" s="1"/>
  <c r="R22" i="33"/>
  <c r="M56" i="4"/>
  <c r="M75" i="4" s="1"/>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J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K78" i="4"/>
  <c r="H78" i="4"/>
  <c r="Q78" i="4"/>
  <c r="D78" i="4"/>
  <c r="G78" i="4"/>
  <c r="O78" i="4"/>
  <c r="F78" i="4"/>
  <c r="M78" i="4"/>
  <c r="B78" i="4"/>
  <c r="E78" i="4"/>
  <c r="S78" i="4"/>
  <c r="T78" i="4"/>
  <c r="U78" i="4"/>
  <c r="P78" i="4"/>
  <c r="C78" i="4"/>
  <c r="V78" i="4"/>
  <c r="R78" i="4"/>
  <c r="I78" i="4"/>
  <c r="U56" i="4" l="1"/>
  <c r="U75" i="4" s="1"/>
  <c r="U63" i="4"/>
  <c r="U64" i="4" s="1"/>
  <c r="U79" i="4"/>
  <c r="M79" i="4"/>
  <c r="K79" i="4"/>
  <c r="S79" i="4"/>
  <c r="K63" i="4"/>
  <c r="K64" i="4" s="1"/>
  <c r="S63" i="4"/>
  <c r="S64" i="4" s="1"/>
  <c r="K56" i="4"/>
  <c r="K75" i="4" s="1"/>
  <c r="S56" i="4"/>
  <c r="S75" i="4" s="1"/>
  <c r="V79" i="4"/>
  <c r="T56" i="4"/>
  <c r="T75" i="4" s="1"/>
  <c r="T57" i="4"/>
  <c r="T58" i="4" s="1"/>
  <c r="T76" i="4" s="1"/>
  <c r="T79" i="4"/>
  <c r="F55" i="23"/>
  <c r="C55" i="23"/>
  <c r="C63" i="4"/>
  <c r="C64" i="4" s="1"/>
  <c r="R63" i="4"/>
  <c r="R64" i="4" s="1"/>
  <c r="I57" i="4"/>
  <c r="I58" i="4" s="1"/>
  <c r="I76" i="4" s="1"/>
  <c r="H56" i="4"/>
  <c r="H75" i="4" s="1"/>
  <c r="G55" i="1"/>
  <c r="V4" i="4"/>
  <c r="V55" i="4" s="1"/>
  <c r="I63" i="4"/>
  <c r="I64" i="4" s="1"/>
  <c r="F63" i="4"/>
  <c r="F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G4" i="12"/>
  <c r="H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C56" i="4"/>
  <c r="C75" i="4" s="1"/>
  <c r="R2" i="12"/>
  <c r="R4" i="12" s="1"/>
  <c r="P56" i="4"/>
  <c r="R57" i="4"/>
  <c r="R58" i="4" s="1"/>
  <c r="R76" i="4" s="1"/>
  <c r="Q57" i="4"/>
  <c r="Q58" i="4" s="1"/>
  <c r="Q76" i="4" s="1"/>
  <c r="Q79" i="4"/>
  <c r="P79" i="4"/>
  <c r="R79" i="4"/>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T60" i="23" s="1"/>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H3" i="12"/>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G3" i="12"/>
  <c r="T27" i="23"/>
  <c r="T52" i="23" s="1"/>
  <c r="T45" i="23"/>
  <c r="T22" i="23"/>
  <c r="F3" i="12"/>
  <c r="J3" i="12"/>
  <c r="I3" i="12"/>
  <c r="T27" i="1"/>
  <c r="T52" i="1" s="1"/>
  <c r="T45" i="1"/>
  <c r="T4" i="4"/>
  <c r="T62" i="4" s="1"/>
  <c r="T22" i="1"/>
  <c r="T77" i="4" l="1"/>
  <c r="V62" i="4"/>
  <c r="V74" i="4"/>
  <c r="Z2" i="12" s="1"/>
  <c r="AA2" i="12"/>
  <c r="P75" i="4"/>
  <c r="O81" i="4"/>
  <c r="O82" i="4" s="1"/>
  <c r="AE2" i="12"/>
  <c r="U74" i="4"/>
  <c r="Y2" i="12" s="1"/>
  <c r="U62" i="4"/>
  <c r="B6" i="12"/>
  <c r="B6" i="27"/>
  <c r="R61" i="23"/>
  <c r="U55" i="4"/>
  <c r="F3" i="27"/>
  <c r="V77" i="4"/>
  <c r="U77" i="4"/>
  <c r="O77" i="4"/>
  <c r="S77" i="4"/>
  <c r="Q77" i="4"/>
  <c r="R77" i="4"/>
  <c r="P81" i="4"/>
  <c r="P82" i="4" s="1"/>
  <c r="Q81" i="4"/>
  <c r="Q82" i="4" s="1"/>
  <c r="B86" i="4"/>
  <c r="B87" i="4"/>
  <c r="B75" i="4"/>
  <c r="R94" i="4" s="1"/>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K94" i="4" l="1"/>
  <c r="Q94" i="4"/>
  <c r="G94" i="4"/>
  <c r="C94" i="4"/>
  <c r="I94" i="4"/>
  <c r="S94" i="4"/>
  <c r="E94" i="4"/>
  <c r="N94" i="4"/>
  <c r="B94" i="4"/>
  <c r="J94" i="4"/>
  <c r="M94" i="4"/>
  <c r="L94" i="4"/>
  <c r="V94" i="4"/>
  <c r="B5" i="27"/>
  <c r="P94" i="4"/>
  <c r="O94" i="4"/>
  <c r="D94" i="4"/>
  <c r="F94" i="4"/>
  <c r="T94" i="4"/>
  <c r="U94" i="4"/>
  <c r="H94" i="4"/>
  <c r="B5" i="12"/>
  <c r="P77" i="4"/>
  <c r="AB4" i="12"/>
  <c r="AD4" i="12"/>
  <c r="AE4" i="12"/>
  <c r="Z4" i="12"/>
  <c r="W4" i="12"/>
  <c r="AG4" i="12"/>
  <c r="AC4" i="12"/>
  <c r="AH4" i="12"/>
  <c r="AF4" i="12"/>
  <c r="Y4" i="12"/>
  <c r="AA4" i="12"/>
  <c r="K77" i="4"/>
  <c r="J77" i="4"/>
  <c r="G77" i="4"/>
  <c r="F77" i="4"/>
  <c r="L77" i="4"/>
  <c r="B77" i="4"/>
  <c r="B2" i="27"/>
  <c r="G6" i="27" s="1"/>
  <c r="M77" i="4"/>
  <c r="I77" i="4"/>
  <c r="B2" i="12"/>
  <c r="E6" i="12" s="1"/>
  <c r="H77" i="4"/>
  <c r="D77" i="4"/>
  <c r="C77" i="4"/>
  <c r="E77" i="4"/>
  <c r="AG8" i="12"/>
  <c r="U8" i="12"/>
  <c r="AJ8" i="12"/>
  <c r="AB8" i="12"/>
  <c r="Z8" i="12"/>
  <c r="AC8" i="12"/>
  <c r="AC9" i="12" s="1"/>
  <c r="AC10" i="12" s="1"/>
  <c r="V8" i="12"/>
  <c r="X8" i="12"/>
  <c r="AH8" i="12"/>
  <c r="AD8" i="12"/>
  <c r="AI8" i="12"/>
  <c r="W8" i="12"/>
  <c r="Y8" i="12"/>
  <c r="AE8" i="12"/>
  <c r="AE9" i="12" s="1"/>
  <c r="AE10" i="12" s="1"/>
  <c r="AA8" i="12"/>
  <c r="AF8" i="12"/>
  <c r="H8" i="27"/>
  <c r="J8" i="27"/>
  <c r="I8" i="27"/>
  <c r="I9" i="27" s="1"/>
  <c r="I10" i="27" s="1"/>
  <c r="P83" i="4"/>
  <c r="S5" i="12"/>
  <c r="Q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J9" i="27" l="1"/>
  <c r="J10" i="27" s="1"/>
  <c r="AD9" i="12"/>
  <c r="AD10" i="12" s="1"/>
  <c r="U9" i="12"/>
  <c r="U10" i="12" s="1"/>
  <c r="H9" i="27"/>
  <c r="H10" i="27" s="1"/>
  <c r="AA9" i="12"/>
  <c r="AA10" i="12" s="1"/>
  <c r="AI9" i="12"/>
  <c r="AI10" i="12" s="1"/>
  <c r="V9" i="12"/>
  <c r="V10" i="12" s="1"/>
  <c r="AJ9" i="12"/>
  <c r="AJ10" i="12" s="1"/>
  <c r="Y9" i="12"/>
  <c r="Y10" i="12" s="1"/>
  <c r="AH9" i="12"/>
  <c r="AH10" i="12" s="1"/>
  <c r="Z9" i="12"/>
  <c r="Z10" i="12" s="1"/>
  <c r="AG9" i="12"/>
  <c r="AG10" i="12" s="1"/>
  <c r="AF9" i="12"/>
  <c r="AF10" i="12" s="1"/>
  <c r="W9" i="12"/>
  <c r="W10" i="12" s="1"/>
  <c r="X9" i="12"/>
  <c r="X10" i="12" s="1"/>
  <c r="AB9" i="12"/>
  <c r="AB10" i="12" s="1"/>
  <c r="R5" i="12"/>
  <c r="Q5" i="12"/>
  <c r="P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K12" i="22" s="1"/>
  <c r="M12" i="22" s="1"/>
  <c r="F16" i="22"/>
  <c r="G16" i="22" s="1"/>
  <c r="F22" i="22"/>
  <c r="I22" i="22" s="1"/>
  <c r="J5" i="12"/>
  <c r="F15" i="22"/>
  <c r="K15" i="22" s="1"/>
  <c r="M15" i="22" s="1"/>
  <c r="L5" i="12"/>
  <c r="F21" i="22"/>
  <c r="G21" i="22" s="1"/>
  <c r="F5" i="12"/>
  <c r="F24" i="22"/>
  <c r="K24" i="22" s="1"/>
  <c r="M24" i="22" s="1"/>
  <c r="F10" i="22"/>
  <c r="F11" i="22"/>
  <c r="F13" i="22"/>
  <c r="I13" i="22" s="1"/>
  <c r="F14" i="22"/>
  <c r="K14" i="22" s="1"/>
  <c r="M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I14" i="22"/>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L3" i="28"/>
  <c r="G12" i="22" l="1"/>
  <c r="I12" i="22"/>
  <c r="G13" i="22"/>
  <c r="G24" i="22"/>
  <c r="K25" i="22"/>
  <c r="M25" i="22" s="1"/>
  <c r="G14" i="22"/>
  <c r="I24" i="22"/>
  <c r="I36" i="22"/>
  <c r="I15" i="22"/>
  <c r="G15" i="22"/>
  <c r="I34" i="22"/>
  <c r="K34" i="22" s="1"/>
  <c r="N34" i="22" s="1"/>
  <c r="I25" i="22"/>
  <c r="I32" i="22"/>
  <c r="K32" i="22" s="1"/>
  <c r="N32" i="22" s="1"/>
  <c r="I7" i="22"/>
  <c r="G3" i="28" s="1"/>
  <c r="I33" i="22"/>
  <c r="I9" i="22"/>
  <c r="K26" i="22"/>
  <c r="M26" i="22" s="1"/>
  <c r="I35" i="22"/>
  <c r="M35" i="22" s="1"/>
  <c r="I18" i="22"/>
  <c r="K19" i="22"/>
  <c r="M19" i="22" s="1"/>
  <c r="K16" i="22"/>
  <c r="M16" i="22" s="1"/>
  <c r="I19" i="22"/>
  <c r="K18" i="22"/>
  <c r="M18" i="22" s="1"/>
  <c r="G10" i="22"/>
  <c r="I10" i="22" s="1"/>
  <c r="K10" i="22" s="1"/>
  <c r="G22" i="22"/>
  <c r="K21" i="22"/>
  <c r="M21" i="22" s="1"/>
  <c r="G11" i="22"/>
  <c r="I11" i="22" s="1"/>
  <c r="K11" i="22" s="1"/>
  <c r="M11" i="22" s="1"/>
  <c r="I17" i="22"/>
  <c r="I26" i="22"/>
  <c r="G17" i="22"/>
  <c r="K13" i="22"/>
  <c r="M13" i="22" s="1"/>
  <c r="K9" i="22"/>
  <c r="M9" i="22" s="1"/>
  <c r="I16" i="22"/>
  <c r="G20" i="22"/>
  <c r="K23" i="22"/>
  <c r="M23" i="22" s="1"/>
  <c r="I21" i="22"/>
  <c r="K22" i="22"/>
  <c r="M22" i="22" s="1"/>
  <c r="I8" i="22"/>
  <c r="K8" i="22" s="1"/>
  <c r="M8" i="22" s="1"/>
  <c r="I23" i="22"/>
  <c r="K20" i="22"/>
  <c r="M20" i="22" s="1"/>
  <c r="H3" i="28"/>
  <c r="N15" i="22"/>
  <c r="N12" i="22"/>
  <c r="N24" i="22"/>
  <c r="N25" i="22"/>
  <c r="N17" i="22"/>
  <c r="N14" i="22"/>
  <c r="L2" i="28"/>
  <c r="K3" i="28"/>
  <c r="K2" i="28"/>
  <c r="G2" i="28"/>
  <c r="G13" i="28"/>
  <c r="G14" i="28"/>
  <c r="G4" i="28"/>
  <c r="G8" i="28"/>
  <c r="G11" i="28"/>
  <c r="G12" i="28"/>
  <c r="G9" i="28"/>
  <c r="G6" i="28"/>
  <c r="G15" i="28"/>
  <c r="G7" i="28"/>
  <c r="G5" i="28"/>
  <c r="G10" i="28"/>
  <c r="H6" i="28"/>
  <c r="H15" i="28"/>
  <c r="H12" i="28"/>
  <c r="H9" i="28"/>
  <c r="H14" i="28"/>
  <c r="H10" i="28"/>
  <c r="H13" i="28"/>
  <c r="H11" i="28"/>
  <c r="H8" i="28"/>
  <c r="H5" i="28"/>
  <c r="H4" i="28"/>
  <c r="H7" i="28"/>
  <c r="H2" i="28"/>
  <c r="K7" i="22" l="1"/>
  <c r="M7" i="22" s="1"/>
  <c r="M32" i="22"/>
  <c r="M34" i="22"/>
  <c r="M36" i="22"/>
  <c r="K36" i="22"/>
  <c r="N36" i="22" s="1"/>
  <c r="N20" i="22"/>
  <c r="N26" i="22"/>
  <c r="M10" i="22"/>
  <c r="N10" i="22"/>
  <c r="K33" i="22"/>
  <c r="N33" i="22" s="1"/>
  <c r="K35" i="22"/>
  <c r="N35" i="22" s="1"/>
  <c r="N18" i="22"/>
  <c r="N13" i="22"/>
  <c r="N19" i="22"/>
  <c r="N16" i="22"/>
  <c r="N8" i="22"/>
  <c r="N21" i="22"/>
  <c r="N11" i="22"/>
  <c r="N9" i="22"/>
  <c r="N23" i="22"/>
  <c r="N22" i="22"/>
  <c r="N7" i="22" l="1"/>
  <c r="M3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<sst xmlns="http://schemas.openxmlformats.org/spreadsheetml/2006/main" count="488" uniqueCount="174">
  <si>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</si>
  <si>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</si>
  <si>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</si>
  <si>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</si>
  <si>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</si>
  <si>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</si>
  <si>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</si>
  <si>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</si>
  <si>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</si>
  <si>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</si>
  <si>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</si>
  <si>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</si>
  <si>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</si>
  <si>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</si>
  <si>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</si>
  <si>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</si>
  <si>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</si>
  <si>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</si>
  <si>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</si>
  <si>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</si>
  <si>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</si>
  <si>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</si>
  <si>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</si>
  <si>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</si>
  <si>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</si>
  <si>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</si>
  <si>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</si>
  <si>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</si>
  <si>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</si>
  <si>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</si>
  <si>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</si>
  <si>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</si>
  <si>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</si>
  <si>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</si>
  <si>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</si>
  <si>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</si>
  <si>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</si>
  <si>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</si>
  <si>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</si>
  <si>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</si>
  <si>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</si>
  <si>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</si>
  <si>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</si>
  <si>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</si>
  <si>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</si>
  <si>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</si>
  <si>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</si>
  <si>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</si>
  <si>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</si>
  <si>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</si>
  <si>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</si>
  <si>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</si>
  <si>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</si>
  <si>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</si>
  <si>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</si>
  <si>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</si>
  <si>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</si>
  <si>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</si>
  <si>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</si>
  <si>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</si>
  <si>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</si>
  <si>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</si>
  <si>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</si>
  <si>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</si>
  <si>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</si>
  <si>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</si>
  <si>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</si>
  <si>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</si>
  <si>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</si>
  <si>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</si>
  <si>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</si>
  <si>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</si>
  <si>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</si>
  <si>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</si>
  <si>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</si>
  <si>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</si>
  <si>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</si>
  <si>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</si>
  <si>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</si>
  <si>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</si>
  <si>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</si>
  <si>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</si>
  <si>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</si>
  <si>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</si>
  <si>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</si>
  <si>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</si>
  <si>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</si>
  <si>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</si>
  <si>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</si>
  <si>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</si>
  <si>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</si>
  <si>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</si>
  <si>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</si>
  <si>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</si>
  <si>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</si>
  <si>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</si>
  <si>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</si>
  <si>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</si>
  <si>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</si>
  <si>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</si>
  <si>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</si>
  <si>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</si>
  <si>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</si>
  <si>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</si>
  <si>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</si>
  <si>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</si>
  <si>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</si>
  <si>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</si>
  <si>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</si>
  <si>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</si>
  <si>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</si>
  <si>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</si>
  <si>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</si>
  <si>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</si>
  <si>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</si>
  <si>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</si>
  <si>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</si>
  <si>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</si>
  <si>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</si>
  <si>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</si>
  <si>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</si>
  <si>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</si>
  <si>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</si>
  <si>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</si>
  <si>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</si>
  <si>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</si>
  <si>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</si>
  <si>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</si>
  <si>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</si>
  <si>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</si>
  <si>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</si>
  <si>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</si>
  <si>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</si>
  <si>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</si>
  <si>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</si>
  <si>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</si>
  <si>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</si>
  <si>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</si>
  <si>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</si>
  <si>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</si>
  <si>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</si>
  <si>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</si>
  <si>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</si>
  <si>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</si>
  <si>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</si>
  <si>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</si>
  <si>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</si>
  <si>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</si>
  <si>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</si>
  <si>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</si>
  <si>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</si>
  <si>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</si>
  <si>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</si>
  <si>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</si>
  <si>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</si>
  <si>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</si>
  <si>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</si>
  <si>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</si>
  <si>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</si>
  <si>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</si>
  <si>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</si>
  <si>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</si>
  <si>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</si>
  <si>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</si>
  <si>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</si>
  <si>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</si>
  <si>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Test</t>
  </si>
  <si>
    <t>estradiol</t>
  </si>
  <si>
    <t>ns</t>
  </si>
  <si>
    <t>&gt;0,99</t>
  </si>
  <si>
    <t>***</t>
  </si>
  <si>
    <t>&lt;0,001</t>
  </si>
  <si>
    <t>**</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</si>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</sst>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2">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0.36917465692726648</c:v>
                  </c:pt>
                  <c:pt idx="2">
                    <c:v>0.47229409990554033</c:v>
                  </c:pt>
                  <c:pt idx="3">
                    <c:v>2.4347555671737044E-2</c:v>
                  </c:pt>
                  <c:pt idx="4">
                    <c:v>1.0927306715039855</c:v>
                  </c:pt>
                  <c:pt idx="5">
                    <c:v>0.47212816863566659</c:v>
                  </c:pt>
                  <c:pt idx="6">
                    <c:v>0.8679399398550357</c:v>
                  </c:pt>
                  <c:pt idx="7">
                    <c:v>0.85357048875187969</c:v>
                  </c:pt>
                  <c:pt idx="8">
                    <c:v>1.4409694629133769</c:v>
                  </c:pt>
                </c:numCache>
              </c:numRef>
            </c:plus>
            <c:minus>
              <c:numRef>
                <c:f>'R1'!$N$48:$V$48</c:f>
                <c:numCache>
                  <c:formatCode>General</c:formatCode>
                  <c:ptCount val="9"/>
                  <c:pt idx="0">
                    <c:v>0</c:v>
                  </c:pt>
                  <c:pt idx="1">
                    <c:v>0.36917465692726648</c:v>
                  </c:pt>
                  <c:pt idx="2">
                    <c:v>0.47229409990554033</c:v>
                  </c:pt>
                  <c:pt idx="3">
                    <c:v>2.4347555671737044E-2</c:v>
                  </c:pt>
                  <c:pt idx="4">
                    <c:v>1.0927306715039855</c:v>
                  </c:pt>
                  <c:pt idx="5">
                    <c:v>0.47212816863566659</c:v>
                  </c:pt>
                  <c:pt idx="6">
                    <c:v>0.8679399398550357</c:v>
                  </c:pt>
                  <c:pt idx="7">
                    <c:v>0.85357048875187969</c:v>
                  </c:pt>
                  <c:pt idx="8">
                    <c:v>1.4409694629133769</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estradiol-34ng/L</c:v>
                </c:pt>
                <c:pt idx="8">
                  <c:v>estradiol-68ng/L</c:v>
                </c:pt>
                <c:pt idx="9">
                  <c:v>estradiol-135ng/L</c:v>
                </c:pt>
                <c:pt idx="10">
                  <c:v>estradiol-270ng/L</c:v>
                </c:pt>
                <c:pt idx="11">
                  <c:v>estradiol-540ng/L</c:v>
                </c:pt>
                <c:pt idx="13">
                  <c:v>Testo -30µg/L</c:v>
                </c:pt>
                <c:pt idx="14">
                  <c:v>Testo 30µg/L + EE2 -64ng/L</c:v>
                </c:pt>
                <c:pt idx="15">
                  <c:v>Testo 30µg/L + FAD-10µg/L</c:v>
                </c:pt>
                <c:pt idx="16">
                  <c:v>estradiol-34ng/L + Testostérone</c:v>
                </c:pt>
                <c:pt idx="17">
                  <c:v>estradiol-68ng/L + Testostérone</c:v>
                </c:pt>
                <c:pt idx="18">
                  <c:v>estradiol-135ng/L + Testostérone</c:v>
                </c:pt>
                <c:pt idx="19">
                  <c:v>estradiol-270ng/L + Testostérone</c:v>
                </c:pt>
                <c:pt idx="20">
                  <c:v>estradiol-540ng/L + Testostérone</c:v>
                </c:pt>
              </c:strCache>
            </c:strRef>
          </c:cat>
          <c:val>
            <c:numRef>
              <c:f>'R1'!$B$53:$V$53</c:f>
              <c:numCache>
                <c:formatCode>0.0000</c:formatCode>
                <c:ptCount val="21"/>
                <c:pt idx="0">
                  <c:v>8.8883574144122346E-2</c:v>
                </c:pt>
                <c:pt idx="1">
                  <c:v>0.21461443181402268</c:v>
                </c:pt>
                <c:pt idx="2">
                  <c:v>0.55509271692906592</c:v>
                </c:pt>
                <c:pt idx="3">
                  <c:v>0.48956652872533107</c:v>
                </c:pt>
                <c:pt idx="4">
                  <c:v>3.7239819905230593</c:v>
                </c:pt>
                <c:pt idx="5">
                  <c:v>6.0217654604122393</c:v>
                </c:pt>
                <c:pt idx="6">
                  <c:v>10.064237680127739</c:v>
                </c:pt>
                <c:pt idx="7">
                  <c:v>0.14759708090113374</c:v>
                </c:pt>
                <c:pt idx="8">
                  <c:v>0.20020771958774375</c:v>
                </c:pt>
                <c:pt idx="9">
                  <c:v>1.54831337612098</c:v>
                </c:pt>
                <c:pt idx="10">
                  <c:v>6.454423025924247</c:v>
                </c:pt>
                <c:pt idx="11">
                  <c:v>10.311592026361529</c:v>
                </c:pt>
                <c:pt idx="13">
                  <c:v>1</c:v>
                </c:pt>
                <c:pt idx="14">
                  <c:v>4.1912094163898672</c:v>
                </c:pt>
                <c:pt idx="15">
                  <c:v>9.9831454427817101E-2</c:v>
                </c:pt>
                <c:pt idx="16">
                  <c:v>3.5839106079687681</c:v>
                </c:pt>
                <c:pt idx="17">
                  <c:v>1.2019788237057176</c:v>
                </c:pt>
                <c:pt idx="18">
                  <c:v>5.4716065935039699</c:v>
                </c:pt>
                <c:pt idx="19">
                  <c:v>7.8809770812498527</c:v>
                </c:pt>
                <c:pt idx="20">
                  <c:v>11.51596367065712</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4.9416815389441175E-3</c:v>
                  </c:pt>
                  <c:pt idx="1">
                    <c:v>1.0293315247253815E-2</c:v>
                  </c:pt>
                  <c:pt idx="2">
                    <c:v>8.6510739667866321E-3</c:v>
                  </c:pt>
                  <c:pt idx="3">
                    <c:v>0.49273026804478054</c:v>
                  </c:pt>
                  <c:pt idx="4">
                    <c:v>0.46950053025627242</c:v>
                  </c:pt>
                  <c:pt idx="5">
                    <c:v>0.32376219471548628</c:v>
                  </c:pt>
                  <c:pt idx="6">
                    <c:v>1.3753749601484939</c:v>
                  </c:pt>
                  <c:pt idx="7">
                    <c:v>2.4955033687038122E-2</c:v>
                  </c:pt>
                  <c:pt idx="8">
                    <c:v>9.0885231829023316E-3</c:v>
                  </c:pt>
                  <c:pt idx="9">
                    <c:v>0.19228268882050195</c:v>
                  </c:pt>
                  <c:pt idx="10">
                    <c:v>0.88324343579153763</c:v>
                  </c:pt>
                  <c:pt idx="11">
                    <c:v>0.82539514455389118</c:v>
                  </c:pt>
                  <c:pt idx="13">
                    <c:v>0.2659399367479145</c:v>
                  </c:pt>
                  <c:pt idx="14">
                    <c:v>1.1639538050434453</c:v>
                  </c:pt>
                  <c:pt idx="15">
                    <c:v>9.1929177421295003E-3</c:v>
                  </c:pt>
                  <c:pt idx="16">
                    <c:v>0.52510888211076368</c:v>
                  </c:pt>
                  <c:pt idx="17">
                    <c:v>0.63551708152314212</c:v>
                  </c:pt>
                  <c:pt idx="18">
                    <c:v>0.53254111043782582</c:v>
                  </c:pt>
                  <c:pt idx="19">
                    <c:v>0.80479255218380508</c:v>
                  </c:pt>
                  <c:pt idx="20">
                    <c:v>1.0645632601905488</c:v>
                  </c:pt>
                </c:numCache>
              </c:numRef>
            </c:plus>
            <c:minus>
              <c:numRef>
                <c:f>'R1'!$N$48:$V$48</c:f>
                <c:numCache>
                  <c:formatCode>General</c:formatCode>
                  <c:ptCount val="9"/>
                  <c:pt idx="0">
                    <c:v>0</c:v>
                  </c:pt>
                  <c:pt idx="1">
                    <c:v>0.36917465692726648</c:v>
                  </c:pt>
                  <c:pt idx="2">
                    <c:v>0.47229409990554033</c:v>
                  </c:pt>
                  <c:pt idx="3">
                    <c:v>2.4347555671737044E-2</c:v>
                  </c:pt>
                  <c:pt idx="4">
                    <c:v>1.0927306715039855</c:v>
                  </c:pt>
                  <c:pt idx="5">
                    <c:v>0.47212816863566659</c:v>
                  </c:pt>
                  <c:pt idx="6">
                    <c:v>0.8679399398550357</c:v>
                  </c:pt>
                  <c:pt idx="7">
                    <c:v>0.85357048875187969</c:v>
                  </c:pt>
                  <c:pt idx="8">
                    <c:v>1.4409694629133769</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estradiol-34ng/L</c:v>
                </c:pt>
                <c:pt idx="8">
                  <c:v>estradiol-68ng/L</c:v>
                </c:pt>
                <c:pt idx="9">
                  <c:v>estradiol-135ng/L</c:v>
                </c:pt>
                <c:pt idx="10">
                  <c:v>estradiol-270ng/L</c:v>
                </c:pt>
                <c:pt idx="11">
                  <c:v>estradiol-540ng/L</c:v>
                </c:pt>
                <c:pt idx="13">
                  <c:v>Testo -30µg/L</c:v>
                </c:pt>
                <c:pt idx="14">
                  <c:v>Testo 30µg/L + EE2 -64ng/L</c:v>
                </c:pt>
                <c:pt idx="15">
                  <c:v>Testo 30µg/L + FAD-10µg/L</c:v>
                </c:pt>
                <c:pt idx="16">
                  <c:v>estradiol-34ng/L + Testostérone</c:v>
                </c:pt>
                <c:pt idx="17">
                  <c:v>estradiol-68ng/L + Testostérone</c:v>
                </c:pt>
                <c:pt idx="18">
                  <c:v>estradiol-135ng/L + Testostérone</c:v>
                </c:pt>
                <c:pt idx="19">
                  <c:v>estradiol-270ng/L + Testostérone</c:v>
                </c:pt>
                <c:pt idx="20">
                  <c:v>estradiol-540ng/L + Testostérone</c:v>
                </c:pt>
              </c:strCache>
            </c:strRef>
          </c:cat>
          <c:val>
            <c:numRef>
              <c:f>'R2'!$B$53:$V$53</c:f>
              <c:numCache>
                <c:formatCode>0.0000</c:formatCode>
                <c:ptCount val="21"/>
                <c:pt idx="0">
                  <c:v>1.6162211086146443E-2</c:v>
                </c:pt>
                <c:pt idx="1">
                  <c:v>3.9690630379691297E-2</c:v>
                </c:pt>
                <c:pt idx="2">
                  <c:v>3.0862335833954705E-2</c:v>
                </c:pt>
                <c:pt idx="3">
                  <c:v>0.52958194806202097</c:v>
                </c:pt>
                <c:pt idx="4">
                  <c:v>1.6228532607939918</c:v>
                </c:pt>
                <c:pt idx="5">
                  <c:v>4.9501177178042042</c:v>
                </c:pt>
                <c:pt idx="6">
                  <c:v>10.276422077117445</c:v>
                </c:pt>
                <c:pt idx="7">
                  <c:v>5.7636144912641005E-2</c:v>
                </c:pt>
                <c:pt idx="8">
                  <c:v>3.6818371579130496E-2</c:v>
                </c:pt>
                <c:pt idx="9">
                  <c:v>0.40336942686771754</c:v>
                </c:pt>
                <c:pt idx="10">
                  <c:v>4.4821861242243433</c:v>
                </c:pt>
                <c:pt idx="11">
                  <c:v>8.1736441903273942</c:v>
                </c:pt>
                <c:pt idx="13">
                  <c:v>1.0000000000000002</c:v>
                </c:pt>
                <c:pt idx="14">
                  <c:v>11.734795800785445</c:v>
                </c:pt>
                <c:pt idx="15">
                  <c:v>2.6528299706223078E-2</c:v>
                </c:pt>
                <c:pt idx="16">
                  <c:v>2.2962880960555032</c:v>
                </c:pt>
                <c:pt idx="17">
                  <c:v>4.1601087286693463</c:v>
                </c:pt>
                <c:pt idx="18">
                  <c:v>5.058720310593305</c:v>
                </c:pt>
                <c:pt idx="19">
                  <c:v>7.7283830465349181</c:v>
                </c:pt>
                <c:pt idx="20">
                  <c:v>9.8707500535361845</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6.784955293073134E-3</c:v>
                  </c:pt>
                  <c:pt idx="1">
                    <c:v>8.7261605408122354E-3</c:v>
                  </c:pt>
                  <c:pt idx="2">
                    <c:v>0.17315518295553542</c:v>
                  </c:pt>
                  <c:pt idx="3">
                    <c:v>3.0464331283298514E-2</c:v>
                  </c:pt>
                  <c:pt idx="4">
                    <c:v>0.19370649183095101</c:v>
                  </c:pt>
                  <c:pt idx="5">
                    <c:v>0.51102405279107554</c:v>
                  </c:pt>
                  <c:pt idx="6">
                    <c:v>0.57212778679366183</c:v>
                  </c:pt>
                  <c:pt idx="7">
                    <c:v>6.9956131960550658E-3</c:v>
                  </c:pt>
                  <c:pt idx="8">
                    <c:v>8.6183750075962354E-3</c:v>
                  </c:pt>
                  <c:pt idx="9">
                    <c:v>0.44848435592789448</c:v>
                  </c:pt>
                  <c:pt idx="10">
                    <c:v>0.64135051245833463</c:v>
                  </c:pt>
                  <c:pt idx="11">
                    <c:v>0.48677705670748711</c:v>
                  </c:pt>
                  <c:pt idx="13">
                    <c:v>0.28078105840837625</c:v>
                  </c:pt>
                  <c:pt idx="14">
                    <c:v>0.80072754773037613</c:v>
                  </c:pt>
                  <c:pt idx="15">
                    <c:v>1.0098309650651919E-2</c:v>
                  </c:pt>
                  <c:pt idx="16">
                    <c:v>0.36402829561178934</c:v>
                  </c:pt>
                  <c:pt idx="17">
                    <c:v>0.58210121053707964</c:v>
                  </c:pt>
                  <c:pt idx="18">
                    <c:v>0.5858230180338807</c:v>
                  </c:pt>
                  <c:pt idx="19">
                    <c:v>0.59311092201878246</c:v>
                  </c:pt>
                  <c:pt idx="20">
                    <c:v>0.87516436171218981</c:v>
                  </c:pt>
                </c:numCache>
              </c:numRef>
            </c:plus>
            <c:minus>
              <c:numRef>
                <c:f>'R1'!$N$48:$V$48</c:f>
                <c:numCache>
                  <c:formatCode>General</c:formatCode>
                  <c:ptCount val="9"/>
                  <c:pt idx="0">
                    <c:v>0</c:v>
                  </c:pt>
                  <c:pt idx="1">
                    <c:v>0.36917465692726648</c:v>
                  </c:pt>
                  <c:pt idx="2">
                    <c:v>0.47229409990554033</c:v>
                  </c:pt>
                  <c:pt idx="3">
                    <c:v>2.4347555671737044E-2</c:v>
                  </c:pt>
                  <c:pt idx="4">
                    <c:v>1.0927306715039855</c:v>
                  </c:pt>
                  <c:pt idx="5">
                    <c:v>0.47212816863566659</c:v>
                  </c:pt>
                  <c:pt idx="6">
                    <c:v>0.8679399398550357</c:v>
                  </c:pt>
                  <c:pt idx="7">
                    <c:v>0.85357048875187969</c:v>
                  </c:pt>
                  <c:pt idx="8">
                    <c:v>1.4409694629133769</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estradiol-34ng/L</c:v>
                </c:pt>
                <c:pt idx="8">
                  <c:v>estradiol-68ng/L</c:v>
                </c:pt>
                <c:pt idx="9">
                  <c:v>estradiol-135ng/L</c:v>
                </c:pt>
                <c:pt idx="10">
                  <c:v>estradiol-270ng/L</c:v>
                </c:pt>
                <c:pt idx="11">
                  <c:v>estradiol-540ng/L</c:v>
                </c:pt>
                <c:pt idx="13">
                  <c:v>Testo -30µg/L</c:v>
                </c:pt>
                <c:pt idx="14">
                  <c:v>Testo 30µg/L + EE2 -64ng/L</c:v>
                </c:pt>
                <c:pt idx="15">
                  <c:v>Testo 30µg/L + FAD-10µg/L</c:v>
                </c:pt>
                <c:pt idx="16">
                  <c:v>estradiol-34ng/L + Testostérone</c:v>
                </c:pt>
                <c:pt idx="17">
                  <c:v>estradiol-68ng/L + Testostérone</c:v>
                </c:pt>
                <c:pt idx="18">
                  <c:v>estradiol-135ng/L + Testostérone</c:v>
                </c:pt>
                <c:pt idx="19">
                  <c:v>estradiol-270ng/L + Testostérone</c:v>
                </c:pt>
                <c:pt idx="20">
                  <c:v>estradiol-540ng/L + Testostérone</c:v>
                </c:pt>
              </c:strCache>
            </c:strRef>
          </c:cat>
          <c:val>
            <c:numRef>
              <c:f>'R3'!$B$53:$V$53</c:f>
              <c:numCache>
                <c:formatCode>0.0000</c:formatCode>
                <c:ptCount val="21"/>
                <c:pt idx="0">
                  <c:v>2.2000019991030108E-2</c:v>
                </c:pt>
                <c:pt idx="1">
                  <c:v>1.9608593013917233E-2</c:v>
                </c:pt>
                <c:pt idx="2">
                  <c:v>0.65483270115322179</c:v>
                </c:pt>
                <c:pt idx="3">
                  <c:v>5.7056790170671244E-2</c:v>
                </c:pt>
                <c:pt idx="4">
                  <c:v>1.6030100841709283</c:v>
                </c:pt>
                <c:pt idx="5">
                  <c:v>3.286653879650522</c:v>
                </c:pt>
                <c:pt idx="6">
                  <c:v>7.9366316939529753</c:v>
                </c:pt>
                <c:pt idx="7">
                  <c:v>2.7663783033004322E-2</c:v>
                </c:pt>
                <c:pt idx="8">
                  <c:v>2.5869696727381458E-2</c:v>
                </c:pt>
                <c:pt idx="9">
                  <c:v>1.0209561405491101</c:v>
                </c:pt>
                <c:pt idx="10">
                  <c:v>3.1136292324487447</c:v>
                </c:pt>
                <c:pt idx="11">
                  <c:v>6.4377791138932441</c:v>
                </c:pt>
                <c:pt idx="13">
                  <c:v>1</c:v>
                </c:pt>
                <c:pt idx="14">
                  <c:v>8.0151172386998528</c:v>
                </c:pt>
                <c:pt idx="15">
                  <c:v>2.032168919982736E-2</c:v>
                </c:pt>
                <c:pt idx="16">
                  <c:v>0.96595777459852794</c:v>
                </c:pt>
                <c:pt idx="17">
                  <c:v>2.243576903754489</c:v>
                </c:pt>
                <c:pt idx="18">
                  <c:v>2.3156283789186762</c:v>
                </c:pt>
                <c:pt idx="19">
                  <c:v>4.8960983593448502</c:v>
                </c:pt>
                <c:pt idx="20">
                  <c:v>7.0777624996088706</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78A39890-FD3F-4B43-A1E5-45FEF9D2CC4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7512FDC5-0F8F-46BE-A048-F888BB5BE3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95F49D22-CC01-468F-992A-3574E9FE8C1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39153178-BCD4-489E-AFF2-1CAA2D5B9F9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5B593B11-C896-4130-9E4C-10A138EADAB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38CFB544-D305-4E33-A6F2-E4FE554C3FC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B674B105-5545-494C-A6F1-D7BCF9F5AA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A640464E-7678-4309-AEB2-AB473C7869F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CF80E50D-5A2A-479D-9F79-9FB78924F38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37E74068-A8E9-4EA3-BA3E-80328AF69FD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CE74715C-7FD2-4684-9490-6985380CE9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458C26CD-74D7-48FE-AD1F-BE50B00302A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48D4F516-44A2-40B9-8A3F-44691968397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894A38F2-9ECA-42EE-855A-138BB5E69FE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9C6A63B9-E110-47EB-8383-8130FF58E1F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284046B0-7DDF-4BF7-BCB4-8AD09744C80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80C6546C-59B6-4778-B9E4-FCF8BB04967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CE9CB962-46BE-4A1C-A999-E0E789767B6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2AEE95A9-C25B-4B4B-A939-E9377416309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F420594B-E901-42AA-B32F-DA61E524643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1.0015798487406847E-2</c:v>
                  </c:pt>
                  <c:pt idx="1">
                    <c:v>3.1378723047414556E-2</c:v>
                  </c:pt>
                  <c:pt idx="2">
                    <c:v>0.1533446441197934</c:v>
                  </c:pt>
                  <c:pt idx="3">
                    <c:v>0.17174323426271881</c:v>
                  </c:pt>
                  <c:pt idx="4">
                    <c:v>0.29714443148285891</c:v>
                  </c:pt>
                  <c:pt idx="5">
                    <c:v>0.42721467540441821</c:v>
                  </c:pt>
                  <c:pt idx="6">
                    <c:v>0.62599749452445075</c:v>
                  </c:pt>
                  <c:pt idx="7">
                    <c:v>2.3679946440474647E-2</c:v>
                  </c:pt>
                  <c:pt idx="8">
                    <c:v>3.0921364028070712E-2</c:v>
                  </c:pt>
                  <c:pt idx="9">
                    <c:v>0.25321616836897093</c:v>
                  </c:pt>
                  <c:pt idx="10">
                    <c:v>0.5266791009691848</c:v>
                  </c:pt>
                  <c:pt idx="11">
                    <c:v>0.72571618953507733</c:v>
                  </c:pt>
                  <c:pt idx="13">
                    <c:v>0.17503711133625158</c:v>
                  </c:pt>
                  <c:pt idx="14">
                    <c:v>0.81220581260144553</c:v>
                  </c:pt>
                  <c:pt idx="15">
                    <c:v>1.1982404010560695E-2</c:v>
                  </c:pt>
                  <c:pt idx="16">
                    <c:v>0.4606761936351641</c:v>
                  </c:pt>
                  <c:pt idx="17">
                    <c:v>0.40400625309327326</c:v>
                  </c:pt>
                  <c:pt idx="18">
                    <c:v>0.47465982194796408</c:v>
                  </c:pt>
                  <c:pt idx="19">
                    <c:v>0.50716489906711748</c:v>
                  </c:pt>
                  <c:pt idx="20">
                    <c:v>0.741107505567007</c:v>
                  </c:pt>
                </c:numCache>
              </c:numRef>
            </c:plus>
            <c:minus>
              <c:numRef>
                <c:f>'pooled normalised values'!$B$76:$V$76</c:f>
                <c:numCache>
                  <c:formatCode>General</c:formatCode>
                  <c:ptCount val="21"/>
                  <c:pt idx="0">
                    <c:v>1.0015798487406847E-2</c:v>
                  </c:pt>
                  <c:pt idx="1">
                    <c:v>3.1378723047414556E-2</c:v>
                  </c:pt>
                  <c:pt idx="2">
                    <c:v>0.1533446441197934</c:v>
                  </c:pt>
                  <c:pt idx="3">
                    <c:v>0.17174323426271881</c:v>
                  </c:pt>
                  <c:pt idx="4">
                    <c:v>0.29714443148285891</c:v>
                  </c:pt>
                  <c:pt idx="5">
                    <c:v>0.42721467540441821</c:v>
                  </c:pt>
                  <c:pt idx="6">
                    <c:v>0.62599749452445075</c:v>
                  </c:pt>
                  <c:pt idx="7">
                    <c:v>2.3679946440474647E-2</c:v>
                  </c:pt>
                  <c:pt idx="8">
                    <c:v>3.0921364028070712E-2</c:v>
                  </c:pt>
                  <c:pt idx="9">
                    <c:v>0.25321616836897093</c:v>
                  </c:pt>
                  <c:pt idx="10">
                    <c:v>0.5266791009691848</c:v>
                  </c:pt>
                  <c:pt idx="11">
                    <c:v>0.72571618953507733</c:v>
                  </c:pt>
                  <c:pt idx="13">
                    <c:v>0.17503711133625158</c:v>
                  </c:pt>
                  <c:pt idx="14">
                    <c:v>0.81220581260144553</c:v>
                  </c:pt>
                  <c:pt idx="15">
                    <c:v>1.1982404010560695E-2</c:v>
                  </c:pt>
                  <c:pt idx="16">
                    <c:v>0.4606761936351641</c:v>
                  </c:pt>
                  <c:pt idx="17">
                    <c:v>0.40400625309327326</c:v>
                  </c:pt>
                  <c:pt idx="18">
                    <c:v>0.47465982194796408</c:v>
                  </c:pt>
                  <c:pt idx="19">
                    <c:v>0.50716489906711748</c:v>
                  </c:pt>
                  <c:pt idx="20">
                    <c:v>0.741107505567007</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estradiol-34ng/L</c:v>
                </c:pt>
                <c:pt idx="8">
                  <c:v>estradiol-68ng/L</c:v>
                </c:pt>
                <c:pt idx="9">
                  <c:v>estradiol-135ng/L</c:v>
                </c:pt>
                <c:pt idx="10">
                  <c:v>estradiol-270ng/L</c:v>
                </c:pt>
                <c:pt idx="11">
                  <c:v>estradiol-540ng/L</c:v>
                </c:pt>
                <c:pt idx="13">
                  <c:v>Testo -30µg/L</c:v>
                </c:pt>
                <c:pt idx="14">
                  <c:v>Testo 30µg/L + EE2 -64ng/L</c:v>
                </c:pt>
                <c:pt idx="15">
                  <c:v>Testo 30µg/L + FAD-10µg/L</c:v>
                </c:pt>
                <c:pt idx="16">
                  <c:v>estradiol-34ng/L + Testostérone</c:v>
                </c:pt>
                <c:pt idx="17">
                  <c:v>estradiol-68ng/L + Testostérone</c:v>
                </c:pt>
                <c:pt idx="18">
                  <c:v>estradiol-135ng/L + Testostérone</c:v>
                </c:pt>
                <c:pt idx="19">
                  <c:v>estradiol-270ng/L + Testostérone</c:v>
                </c:pt>
                <c:pt idx="20">
                  <c:v>estradiol-540ng/L + Testostérone</c:v>
                </c:pt>
              </c:strCache>
            </c:strRef>
          </c:cat>
          <c:val>
            <c:numRef>
              <c:f>'pooled normalised values'!$B$75:$V$75</c:f>
              <c:numCache>
                <c:formatCode>0.0000</c:formatCode>
                <c:ptCount val="21"/>
                <c:pt idx="0">
                  <c:v>4.2348601740432971E-2</c:v>
                </c:pt>
                <c:pt idx="1">
                  <c:v>9.1304551735877093E-2</c:v>
                </c:pt>
                <c:pt idx="2">
                  <c:v>0.40744388323482045</c:v>
                </c:pt>
                <c:pt idx="3">
                  <c:v>0.3587350889860077</c:v>
                </c:pt>
                <c:pt idx="4">
                  <c:v>2.3166151118293268</c:v>
                </c:pt>
                <c:pt idx="5">
                  <c:v>4.7528456859556547</c:v>
                </c:pt>
                <c:pt idx="6">
                  <c:v>9.4257638170660503</c:v>
                </c:pt>
                <c:pt idx="7">
                  <c:v>7.7632336282259684E-2</c:v>
                </c:pt>
                <c:pt idx="8">
                  <c:v>8.7631929298085262E-2</c:v>
                </c:pt>
                <c:pt idx="9">
                  <c:v>0.99087964784593596</c:v>
                </c:pt>
                <c:pt idx="10">
                  <c:v>4.6834127941991106</c:v>
                </c:pt>
                <c:pt idx="11">
                  <c:v>8.3076717768607242</c:v>
                </c:pt>
                <c:pt idx="13">
                  <c:v>0.99999999999999989</c:v>
                </c:pt>
                <c:pt idx="14">
                  <c:v>8.1451204448091943</c:v>
                </c:pt>
                <c:pt idx="15">
                  <c:v>5.0136080759613601E-2</c:v>
                </c:pt>
                <c:pt idx="16">
                  <c:v>2.282052159540934</c:v>
                </c:pt>
                <c:pt idx="17">
                  <c:v>2.535221485376518</c:v>
                </c:pt>
                <c:pt idx="18">
                  <c:v>4.2819850943386504</c:v>
                </c:pt>
                <c:pt idx="19">
                  <c:v>6.8351528290432064</c:v>
                </c:pt>
                <c:pt idx="20">
                  <c:v>9.4881587412673927</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c:v>
                  </c:pt>
                  <c:pt idx="10">
                    <c:v>***</c:v>
                  </c:pt>
                  <c:pt idx="11">
                    <c:v>***</c:v>
                  </c:pt>
                  <c:pt idx="13">
                    <c:v>#NAME?</c:v>
                  </c:pt>
                  <c:pt idx="14">
                    <c:v>#NAME?</c:v>
                  </c:pt>
                  <c:pt idx="15">
                    <c:v>#NAME?</c:v>
                  </c:pt>
                  <c:pt idx="16">
                    <c:v>ns</c:v>
                  </c:pt>
                  <c:pt idx="17">
                    <c:v>ns</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estradiol-34ng/L : 0%</c:v>
                  </c:pt>
                  <c:pt idx="1">
                    <c:v>estradiol-68ng/L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estradiol-34ng/L : 0%</c:v>
                  </c:pt>
                  <c:pt idx="1">
                    <c:v>estradiol-68ng/L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estradiol-34ng/L : 0%</c:v>
                  </c:pt>
                  <c:pt idx="1">
                    <c:v>estradiol-68ng/L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estradiol-34ng/L : 0%</c:v>
                  </c:pt>
                  <c:pt idx="1">
                    <c:v>estradiol-68ng/L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estradiol-68ng/L</c:v>
                </c:pt>
                <c:pt idx="2">
                  <c:v>estradiol-135ng/L</c:v>
                </c:pt>
                <c:pt idx="3">
                  <c:v>estradiol-270ng/L</c:v>
                </c:pt>
                <c:pt idx="4">
                  <c:v>estradiol-540ng/L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estradiol-68ng/L</c:v>
                </c:pt>
                <c:pt idx="2">
                  <c:v>estradiol-135ng/L</c:v>
                </c:pt>
                <c:pt idx="3">
                  <c:v>estradiol-270ng/L</c:v>
                </c:pt>
                <c:pt idx="4">
                  <c:v>estradiol-540ng/L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estradiol-68ng/L</c:v>
                </c:pt>
                <c:pt idx="2">
                  <c:v>estradiol-135ng/L</c:v>
                </c:pt>
                <c:pt idx="3">
                  <c:v>estradiol-270ng/L</c:v>
                </c:pt>
                <c:pt idx="4">
                  <c:v>estradiol-540ng/L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3926F889-7631-4795-967B-6099416755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87C14146-D194-42D1-9E23-D094D6F7308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DA0503AA-7BF7-43E7-8DB2-B2D4D830FA4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832D7BAB-7C1B-4E5F-9C88-B72AEA62598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9E416296-F8EA-4F68-A66F-7DE557F1723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1E8E95F5-9C16-4993-8B42-CF5197312B8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55A20596-BB27-4EC6-A1D1-7C3708A0431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65E927F8-87A0-4B7F-A192-900AC53720E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A80C4F33-8752-411A-A988-F438766A7E9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22F4F39E-2946-442A-A0EA-1F038B63453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14308B3D-188A-41E3-9C68-25695263740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7345687D-20D3-4562-A05D-EFFC35CE20D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3ED3F389-222D-46DB-8A83-C76B5917268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A9A0C3ED-3611-4259-A595-E71362BB2C2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3.0921364028070712E-2</c:v>
                  </c:pt>
                  <c:pt idx="2">
                    <c:v>0.25321616836897093</c:v>
                  </c:pt>
                  <c:pt idx="3">
                    <c:v>0.5266791009691848</c:v>
                  </c:pt>
                  <c:pt idx="4">
                    <c:v>0.72571618953507733</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3.0921364028070712E-2</c:v>
                  </c:pt>
                  <c:pt idx="2">
                    <c:v>0.25321616836897093</c:v>
                  </c:pt>
                  <c:pt idx="3">
                    <c:v>0.5266791009691848</c:v>
                  </c:pt>
                  <c:pt idx="4">
                    <c:v>0.72571618953507733</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estradiol-68ng/L</c:v>
                </c:pt>
                <c:pt idx="2">
                  <c:v>estradiol-135ng/L</c:v>
                </c:pt>
                <c:pt idx="3">
                  <c:v>estradiol-270ng/L</c:v>
                </c:pt>
                <c:pt idx="4">
                  <c:v>estradiol-540ng/L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8.7631929298085262E-2</c:v>
                </c:pt>
                <c:pt idx="2">
                  <c:v>0.99087964784593596</c:v>
                </c:pt>
                <c:pt idx="3">
                  <c:v>4.6834127941991106</c:v>
                </c:pt>
                <c:pt idx="4">
                  <c:v>8.3076717768607242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4.2348601740432971E-2</c:v>
                </c:pt>
                <c:pt idx="1">
                  <c:v>4.2348601740432971E-2</c:v>
                </c:pt>
                <c:pt idx="2">
                  <c:v>4.2348601740432971E-2</c:v>
                </c:pt>
                <c:pt idx="3">
                  <c:v>4.2348601740432971E-2</c:v>
                </c:pt>
                <c:pt idx="4">
                  <c:v>4.2348601740432971E-2</c:v>
                </c:pt>
                <c:pt idx="5">
                  <c:v>4.2348601740432971E-2</c:v>
                </c:pt>
                <c:pt idx="6">
                  <c:v>4.2348601740432971E-2</c:v>
                </c:pt>
                <c:pt idx="7">
                  <c:v>4.2348601740432971E-2</c:v>
                </c:pt>
                <c:pt idx="8">
                  <c:v>4.2348601740432971E-2</c:v>
                </c:pt>
                <c:pt idx="9">
                  <c:v>4.2348601740432971E-2</c:v>
                </c:pt>
                <c:pt idx="10">
                  <c:v>4.2348601740432971E-2</c:v>
                </c:pt>
                <c:pt idx="11">
                  <c:v>4.2348601740432971E-2</c:v>
                </c:pt>
                <c:pt idx="12">
                  <c:v>4.2348601740432971E-2</c:v>
                </c:pt>
                <c:pt idx="13">
                  <c:v>4.2348601740432971E-2</c:v>
                </c:pt>
                <c:pt idx="14">
                  <c:v>4.2348601740432971E-2</c:v>
                </c:pt>
                <c:pt idx="15">
                  <c:v>4.2348601740432971E-2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5.0136080759613601E-2</c:v>
                </c:pt>
                <c:pt idx="1">
                  <c:v>5.0136080759613601E-2</c:v>
                </c:pt>
                <c:pt idx="2">
                  <c:v>5.0136080759613601E-2</c:v>
                </c:pt>
                <c:pt idx="3">
                  <c:v>5.0136080759613601E-2</c:v>
                </c:pt>
                <c:pt idx="4">
                  <c:v>5.0136080759613601E-2</c:v>
                </c:pt>
                <c:pt idx="5">
                  <c:v>5.0136080759613601E-2</c:v>
                </c:pt>
                <c:pt idx="6">
                  <c:v>5.0136080759613601E-2</c:v>
                </c:pt>
                <c:pt idx="7">
                  <c:v>5.0136080759613601E-2</c:v>
                </c:pt>
                <c:pt idx="8">
                  <c:v>5.0136080759613601E-2</c:v>
                </c:pt>
                <c:pt idx="9">
                  <c:v>5.0136080759613601E-2</c:v>
                </c:pt>
                <c:pt idx="10">
                  <c:v>5.0136080759613601E-2</c:v>
                </c:pt>
                <c:pt idx="11">
                  <c:v>5.0136080759613601E-2</c:v>
                </c:pt>
                <c:pt idx="12">
                  <c:v>5.0136080759613601E-2</c:v>
                </c:pt>
                <c:pt idx="13">
                  <c:v>5.0136080759613601E-2</c:v>
                </c:pt>
                <c:pt idx="14">
                  <c:v>5.0136080759613601E-2</c:v>
                </c:pt>
                <c:pt idx="15">
                  <c:v>5.0136080759613601E-2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8.09498436404958</c:v>
                </c:pt>
                <c:pt idx="1">
                  <c:v>8.09498436404958</c:v>
                </c:pt>
                <c:pt idx="2">
                  <c:v>8.09498436404958</c:v>
                </c:pt>
                <c:pt idx="3">
                  <c:v>8.09498436404958</c:v>
                </c:pt>
                <c:pt idx="4">
                  <c:v>8.09498436404958</c:v>
                </c:pt>
                <c:pt idx="5">
                  <c:v>8.09498436404958</c:v>
                </c:pt>
                <c:pt idx="6">
                  <c:v>8.09498436404958</c:v>
                </c:pt>
                <c:pt idx="7">
                  <c:v>8.09498436404958</c:v>
                </c:pt>
                <c:pt idx="8">
                  <c:v>8.09498436404958</c:v>
                </c:pt>
                <c:pt idx="9">
                  <c:v>8.09498436404958</c:v>
                </c:pt>
                <c:pt idx="10">
                  <c:v>8.09498436404958</c:v>
                </c:pt>
                <c:pt idx="11">
                  <c:v>8.09498436404958</c:v>
                </c:pt>
                <c:pt idx="12">
                  <c:v>8.09498436404958</c:v>
                </c:pt>
                <c:pt idx="13">
                  <c:v>8.09498436404958</c:v>
                </c:pt>
                <c:pt idx="14">
                  <c:v>8.09498436404958</c:v>
                </c:pt>
                <c:pt idx="15">
                  <c:v>8.09498436404958</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-5.59498436404958</c:v>
                </c:pt>
                <c:pt idx="1">
                  <c:v>-5.59498436404958</c:v>
                </c:pt>
                <c:pt idx="2">
                  <c:v>-5.59498436404958</c:v>
                </c:pt>
                <c:pt idx="3">
                  <c:v>-5.59498436404958</c:v>
                </c:pt>
                <c:pt idx="4">
                  <c:v>-5.59498436404958</c:v>
                </c:pt>
                <c:pt idx="5">
                  <c:v>-5.59498436404958</c:v>
                </c:pt>
                <c:pt idx="6">
                  <c:v>-5.59498436404958</c:v>
                </c:pt>
                <c:pt idx="7">
                  <c:v>-5.59498436404958</c:v>
                </c:pt>
                <c:pt idx="8">
                  <c:v>-5.59498436404958</c:v>
                </c:pt>
                <c:pt idx="9">
                  <c:v>-5.59498436404958</c:v>
                </c:pt>
                <c:pt idx="10">
                  <c:v>-5.59498436404958</c:v>
                </c:pt>
                <c:pt idx="11">
                  <c:v>-5.59498436404958</c:v>
                </c:pt>
                <c:pt idx="12">
                  <c:v>-5.59498436404958</c:v>
                </c:pt>
                <c:pt idx="13">
                  <c:v>-5.59498436404958</c:v>
                </c:pt>
                <c:pt idx="14">
                  <c:v>-5.59498436404958</c:v>
                </c:pt>
                <c:pt idx="15">
                  <c:v>-5.59498436404958</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651C5F1C-BCA2-4BB2-BCC3-8A504F1AC5A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51782B8D-985B-4F6E-BDE4-2207AB87DEE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6E01C60A-9625-49E5-90F4-134931EA419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F4AF39C0-135C-4F5C-8B02-35C984C8DFB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64FA157B-3385-4ED6-8B57-D9FD702A56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E57ADFB4-0A1F-44ED-BEC1-93B103A4D68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AABED702-E7D7-482F-AB29-2CEEF74E7E4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7D6A98C0-2EA8-4100-98B4-6E5B7D330A3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78124AE3-96AB-4220-8604-57B9CDDF63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BDBAA70E-79C4-4A5B-8551-942A69DF3F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FDD27892-9B64-4DCF-AC14-BC3A7ADEA7B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7F94F8F0-7609-4967-B14E-419AB407427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7F0D39AF-7793-43F0-83AA-6740A9051A8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B114BEBE-3D78-46B8-9762-D6F49C025E7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0.4606761936351641</c:v>
                  </c:pt>
                  <c:pt idx="2">
                    <c:v>0.40400625309327326</c:v>
                  </c:pt>
                  <c:pt idx="3">
                    <c:v>0.47465982194796408</c:v>
                  </c:pt>
                  <c:pt idx="4">
                    <c:v>0.50716489906711748</c:v>
                  </c:pt>
                  <c:pt idx="5">
                    <c:v>0.741107505567007</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0.4606761936351641</c:v>
                  </c:pt>
                  <c:pt idx="2">
                    <c:v>0.40400625309327326</c:v>
                  </c:pt>
                  <c:pt idx="3">
                    <c:v>0.47465982194796408</c:v>
                  </c:pt>
                  <c:pt idx="4">
                    <c:v>0.50716489906711748</c:v>
                  </c:pt>
                  <c:pt idx="5">
                    <c:v>0.741107505567007</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2.282052159540934</c:v>
                </c:pt>
                <c:pt idx="2">
                  <c:v>2.535221485376518</c:v>
                </c:pt>
                <c:pt idx="3">
                  <c:v>4.2819850943386504</c:v>
                </c:pt>
                <c:pt idx="4">
                  <c:v>6.8351528290432064</c:v>
                </c:pt>
                <c:pt idx="5">
                  <c:v>9.4881587412673927</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0.99999999999999989</c:v>
                </c:pt>
                <c:pt idx="1">
                  <c:v>0.99999999999999989</c:v>
                </c:pt>
                <c:pt idx="2">
                  <c:v>0.99999999999999989</c:v>
                </c:pt>
                <c:pt idx="3">
                  <c:v>0.99999999999999989</c:v>
                </c:pt>
                <c:pt idx="4">
                  <c:v>0.99999999999999989</c:v>
                </c:pt>
                <c:pt idx="5">
                  <c:v>0.99999999999999989</c:v>
                </c:pt>
                <c:pt idx="6">
                  <c:v>0.99999999999999989</c:v>
                </c:pt>
                <c:pt idx="7">
                  <c:v>0.99999999999999989</c:v>
                </c:pt>
                <c:pt idx="8">
                  <c:v>0.99999999999999989</c:v>
                </c:pt>
                <c:pt idx="9">
                  <c:v>0.99999999999999989</c:v>
                </c:pt>
                <c:pt idx="10">
                  <c:v>0.99999999999999989</c:v>
                </c:pt>
                <c:pt idx="11">
                  <c:v>0.99999999999999989</c:v>
                </c:pt>
                <c:pt idx="12">
                  <c:v>0.99999999999999989</c:v>
                </c:pt>
                <c:pt idx="13">
                  <c:v>0.99999999999999989</c:v>
                </c:pt>
                <c:pt idx="14">
                  <c:v>0.99999999999999989</c:v>
                </c:pt>
                <c:pt idx="15">
                  <c:v>0.99999999999999989</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estradiol-68ng/L</c:v>
                </c:pt>
                <c:pt idx="2">
                  <c:v>estradiol-135ng/L</c:v>
                </c:pt>
                <c:pt idx="3">
                  <c:v>estradiol-270ng/L</c:v>
                </c:pt>
                <c:pt idx="4">
                  <c:v>estradiol-540ng/L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estradiol-68ng/L</c:v>
                </c:pt>
                <c:pt idx="2">
                  <c:v>estradiol-135ng/L</c:v>
                </c:pt>
                <c:pt idx="3">
                  <c:v>estradiol-270ng/L</c:v>
                </c:pt>
                <c:pt idx="4">
                  <c:v>estradiol-540ng/L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estradiol-68ng/L</c:v>
                </c:pt>
                <c:pt idx="2">
                  <c:v>estradiol-135ng/L</c:v>
                </c:pt>
                <c:pt idx="3">
                  <c:v>estradiol-270ng/L</c:v>
                </c:pt>
                <c:pt idx="4">
                  <c:v>estradiol-540ng/L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C31969E8-3DF9-4FB5-8217-87A69220073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D5EB65D5-1C64-4C68-854C-E73490D7205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E4AE721C-9F75-4072-A4AF-B93BEB983CF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E41F1649-8848-4243-A431-18010E9DA58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DC617B2D-51DF-4EE0-8249-48E089E553E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EEEAC679-C083-4289-B9A3-6EEAC4F45B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05AF7107-EC26-4A3E-8D1D-4FB71C6E985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98904108-D13D-4DE0-8B1D-71E657921B7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15E7B85F-BC04-41F6-AEE8-4E4CA1D946E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F0910565-30D6-4E4E-A4FB-64D132D26E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53367205-A641-41C9-BA3B-889C47EC774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E46186F1-CC29-44EB-BD09-BF644E436F9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3ACFFEBC-0FBC-42C8-9D6A-64BA8A5805F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912FC70A-87EC-42A1-8BAA-DDFA2E291F1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3.0921364028070712E-2</c:v>
                  </c:pt>
                  <c:pt idx="2">
                    <c:v>0.25321616836897093</c:v>
                  </c:pt>
                  <c:pt idx="3">
                    <c:v>0.5266791009691848</c:v>
                  </c:pt>
                  <c:pt idx="4">
                    <c:v>0.72571618953507733</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3.0921364028070712E-2</c:v>
                  </c:pt>
                  <c:pt idx="2">
                    <c:v>0.25321616836897093</c:v>
                  </c:pt>
                  <c:pt idx="3">
                    <c:v>0.5266791009691848</c:v>
                  </c:pt>
                  <c:pt idx="4">
                    <c:v>0.72571618953507733</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estradiol-68ng/L</c:v>
                </c:pt>
                <c:pt idx="2">
                  <c:v>estradiol-135ng/L</c:v>
                </c:pt>
                <c:pt idx="3">
                  <c:v>estradiol-270ng/L</c:v>
                </c:pt>
                <c:pt idx="4">
                  <c:v>estradiol-540ng/L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8.7631929298085262E-2</c:v>
                </c:pt>
                <c:pt idx="2">
                  <c:v>0.99087964784593596</c:v>
                </c:pt>
                <c:pt idx="3">
                  <c:v>4.6834127941991106</c:v>
                </c:pt>
                <c:pt idx="4">
                  <c:v>8.3076717768607242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4.2348601740432971E-2</c:v>
                </c:pt>
                <c:pt idx="1">
                  <c:v>4.2348601740432971E-2</c:v>
                </c:pt>
                <c:pt idx="2">
                  <c:v>4.2348601740432971E-2</c:v>
                </c:pt>
                <c:pt idx="3">
                  <c:v>4.2348601740432971E-2</c:v>
                </c:pt>
                <c:pt idx="4">
                  <c:v>4.2348601740432971E-2</c:v>
                </c:pt>
                <c:pt idx="5">
                  <c:v>4.2348601740432971E-2</c:v>
                </c:pt>
                <c:pt idx="6">
                  <c:v>4.2348601740432971E-2</c:v>
                </c:pt>
                <c:pt idx="7">
                  <c:v>4.2348601740432971E-2</c:v>
                </c:pt>
                <c:pt idx="8">
                  <c:v>4.2348601740432971E-2</c:v>
                </c:pt>
                <c:pt idx="9">
                  <c:v>4.2348601740432971E-2</c:v>
                </c:pt>
                <c:pt idx="10">
                  <c:v>4.2348601740432971E-2</c:v>
                </c:pt>
                <c:pt idx="11">
                  <c:v>4.2348601740432971E-2</c:v>
                </c:pt>
                <c:pt idx="12">
                  <c:v>4.2348601740432971E-2</c:v>
                </c:pt>
                <c:pt idx="13">
                  <c:v>4.2348601740432971E-2</c:v>
                </c:pt>
                <c:pt idx="14">
                  <c:v>4.2348601740432971E-2</c:v>
                </c:pt>
                <c:pt idx="15">
                  <c:v>4.2348601740432971E-2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5.0136080759613601E-2</c:v>
                </c:pt>
                <c:pt idx="1">
                  <c:v>5.0136080759613601E-2</c:v>
                </c:pt>
                <c:pt idx="2">
                  <c:v>5.0136080759613601E-2</c:v>
                </c:pt>
                <c:pt idx="3">
                  <c:v>5.0136080759613601E-2</c:v>
                </c:pt>
                <c:pt idx="4">
                  <c:v>5.0136080759613601E-2</c:v>
                </c:pt>
                <c:pt idx="5">
                  <c:v>5.0136080759613601E-2</c:v>
                </c:pt>
                <c:pt idx="6">
                  <c:v>5.0136080759613601E-2</c:v>
                </c:pt>
                <c:pt idx="7">
                  <c:v>5.0136080759613601E-2</c:v>
                </c:pt>
                <c:pt idx="8">
                  <c:v>5.0136080759613601E-2</c:v>
                </c:pt>
                <c:pt idx="9">
                  <c:v>5.0136080759613601E-2</c:v>
                </c:pt>
                <c:pt idx="10">
                  <c:v>5.0136080759613601E-2</c:v>
                </c:pt>
                <c:pt idx="11">
                  <c:v>5.0136080759613601E-2</c:v>
                </c:pt>
                <c:pt idx="12">
                  <c:v>5.0136080759613601E-2</c:v>
                </c:pt>
                <c:pt idx="13">
                  <c:v>5.0136080759613601E-2</c:v>
                </c:pt>
                <c:pt idx="14">
                  <c:v>5.0136080759613601E-2</c:v>
                </c:pt>
                <c:pt idx="15">
                  <c:v>5.0136080759613601E-2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8.09498436404958</c:v>
                </c:pt>
                <c:pt idx="1">
                  <c:v>8.09498436404958</c:v>
                </c:pt>
                <c:pt idx="2">
                  <c:v>8.09498436404958</c:v>
                </c:pt>
                <c:pt idx="3">
                  <c:v>8.09498436404958</c:v>
                </c:pt>
                <c:pt idx="4">
                  <c:v>8.09498436404958</c:v>
                </c:pt>
                <c:pt idx="5">
                  <c:v>8.09498436404958</c:v>
                </c:pt>
                <c:pt idx="6">
                  <c:v>8.09498436404958</c:v>
                </c:pt>
                <c:pt idx="7">
                  <c:v>8.09498436404958</c:v>
                </c:pt>
                <c:pt idx="8">
                  <c:v>8.09498436404958</c:v>
                </c:pt>
                <c:pt idx="9">
                  <c:v>8.09498436404958</c:v>
                </c:pt>
                <c:pt idx="10">
                  <c:v>8.09498436404958</c:v>
                </c:pt>
                <c:pt idx="11">
                  <c:v>8.09498436404958</c:v>
                </c:pt>
                <c:pt idx="12">
                  <c:v>8.09498436404958</c:v>
                </c:pt>
                <c:pt idx="13">
                  <c:v>8.09498436404958</c:v>
                </c:pt>
                <c:pt idx="14">
                  <c:v>8.09498436404958</c:v>
                </c:pt>
                <c:pt idx="15">
                  <c:v>8.09498436404958</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-5.59498436404958</c:v>
                </c:pt>
                <c:pt idx="1">
                  <c:v>-5.59498436404958</c:v>
                </c:pt>
                <c:pt idx="2">
                  <c:v>-5.59498436404958</c:v>
                </c:pt>
                <c:pt idx="3">
                  <c:v>-5.59498436404958</c:v>
                </c:pt>
                <c:pt idx="4">
                  <c:v>-5.59498436404958</c:v>
                </c:pt>
                <c:pt idx="5">
                  <c:v>-5.59498436404958</c:v>
                </c:pt>
                <c:pt idx="6">
                  <c:v>-5.59498436404958</c:v>
                </c:pt>
                <c:pt idx="7">
                  <c:v>-5.59498436404958</c:v>
                </c:pt>
                <c:pt idx="8">
                  <c:v>-5.59498436404958</c:v>
                </c:pt>
                <c:pt idx="9">
                  <c:v>-5.59498436404958</c:v>
                </c:pt>
                <c:pt idx="10">
                  <c:v>-5.59498436404958</c:v>
                </c:pt>
                <c:pt idx="11">
                  <c:v>-5.59498436404958</c:v>
                </c:pt>
                <c:pt idx="12">
                  <c:v>-5.59498436404958</c:v>
                </c:pt>
                <c:pt idx="13">
                  <c:v>-5.59498436404958</c:v>
                </c:pt>
                <c:pt idx="14">
                  <c:v>-5.59498436404958</c:v>
                </c:pt>
                <c:pt idx="15">
                  <c:v>-5.59498436404958</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1F88C616-79FC-46D3-9B05-0FC7B9F225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035E3C8E-EC7C-498D-8CBA-AA98B8264F1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5A5DDE4C-BD3C-40E2-AAB8-9B27459DA4D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38FD1DBF-9D4B-4BC0-A264-AE83D715146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4FD2AF08-9D3A-43E5-AB57-06EB3D6F21E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4B6CEE0B-2D97-46AF-A754-F23CB931E3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FBA22123-2DA9-4078-916D-5336B4EEB7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13637FAA-45F1-4D86-8A2E-BFCAEFD4157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08A67AB0-3162-418B-8255-697803BB05A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E2C234E2-5FB0-4D60-A972-B17F6F07D2C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A8E6CF8D-EA98-45D3-8294-6624A1E2C1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11A55335-D4EC-4590-9932-D355027CCDB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AA5486DB-368A-4D05-8111-8D858DF5278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E7A03132-6EE9-4ED8-B97D-DF3BDEAF3B0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0.4606761936351641</c:v>
                  </c:pt>
                  <c:pt idx="2">
                    <c:v>0.40400625309327326</c:v>
                  </c:pt>
                  <c:pt idx="3">
                    <c:v>0.47465982194796408</c:v>
                  </c:pt>
                  <c:pt idx="4">
                    <c:v>0.50716489906711748</c:v>
                  </c:pt>
                  <c:pt idx="5">
                    <c:v>0.741107505567007</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0.4606761936351641</c:v>
                  </c:pt>
                  <c:pt idx="2">
                    <c:v>0.40400625309327326</c:v>
                  </c:pt>
                  <c:pt idx="3">
                    <c:v>0.47465982194796408</c:v>
                  </c:pt>
                  <c:pt idx="4">
                    <c:v>0.50716489906711748</c:v>
                  </c:pt>
                  <c:pt idx="5">
                    <c:v>0.741107505567007</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2.282052159540934</c:v>
                </c:pt>
                <c:pt idx="2">
                  <c:v>2.535221485376518</c:v>
                </c:pt>
                <c:pt idx="3">
                  <c:v>4.2819850943386504</c:v>
                </c:pt>
                <c:pt idx="4">
                  <c:v>6.8351528290432064</c:v>
                </c:pt>
                <c:pt idx="5">
                  <c:v>9.4881587412673927</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estradiol-34ng/L + Testostérone</c:v>
                </c:pt>
                <c:pt idx="2">
                  <c:v>estradiol-68ng/L + Testostérone</c:v>
                </c:pt>
                <c:pt idx="3">
                  <c:v>estradiol-135ng/L + Testostérone</c:v>
                </c:pt>
                <c:pt idx="4">
                  <c:v>estradiol-270ng/L + Testostérone</c:v>
                </c:pt>
                <c:pt idx="5">
                  <c:v>estradiol-540ng/L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0.99999999999999989</c:v>
                </c:pt>
                <c:pt idx="1">
                  <c:v>0.99999999999999989</c:v>
                </c:pt>
                <c:pt idx="2">
                  <c:v>0.99999999999999989</c:v>
                </c:pt>
                <c:pt idx="3">
                  <c:v>0.99999999999999989</c:v>
                </c:pt>
                <c:pt idx="4">
                  <c:v>0.99999999999999989</c:v>
                </c:pt>
                <c:pt idx="5">
                  <c:v>0.99999999999999989</c:v>
                </c:pt>
                <c:pt idx="6">
                  <c:v>0.99999999999999989</c:v>
                </c:pt>
                <c:pt idx="7">
                  <c:v>0.99999999999999989</c:v>
                </c:pt>
                <c:pt idx="8">
                  <c:v>0.99999999999999989</c:v>
                </c:pt>
                <c:pt idx="9">
                  <c:v>0.99999999999999989</c:v>
                </c:pt>
                <c:pt idx="10">
                  <c:v>0.99999999999999989</c:v>
                </c:pt>
                <c:pt idx="11">
                  <c:v>0.99999999999999989</c:v>
                </c:pt>
                <c:pt idx="12">
                  <c:v>0.99999999999999989</c:v>
                </c:pt>
                <c:pt idx="13">
                  <c:v>0.99999999999999989</c:v>
                </c:pt>
                <c:pt idx="14">
                  <c:v>0.99999999999999989</c:v>
                </c:pt>
                <c:pt idx="15">
                  <c:v>0.99999999999999989</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estradiol-68ng/L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estradiol-68ng/L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estradiol-68ng/L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2697188F-FF60-45D7-9CBA-950453F2BE5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D11DC065-954E-477F-AFDF-20713689E5B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3.0921364028070712E-2</c:v>
                  </c:pt>
                </c:numCache>
              </c:numRef>
            </c:plus>
            <c:minus>
              <c:numRef>
                <c:f>'Graph format rapport CHG 1éch'!$E$4:$G$4</c:f>
                <c:numCache>
                  <c:formatCode>General</c:formatCode>
                  <c:ptCount val="3"/>
                  <c:pt idx="1">
                    <c:v>3.0921364028070712E-2</c:v>
                  </c:pt>
                </c:numCache>
              </c:numRef>
            </c:minus>
          </c:errBars>
          <c:cat>
            <c:strRef>
              <c:f>'Graph format rapport CHG 1éch'!$E$2:$G$2</c:f>
              <c:strCache>
                <c:ptCount val="2"/>
                <c:pt idx="1">
                  <c:v>estradiol-68ng/L</c:v>
                </c:pt>
              </c:strCache>
            </c:strRef>
          </c:cat>
          <c:val>
            <c:numRef>
              <c:f>'Graph format rapport CHG 1éch'!$E$3:$G$3</c:f>
              <c:numCache>
                <c:formatCode>General</c:formatCode>
                <c:ptCount val="3"/>
                <c:pt idx="1">
                  <c:v>8.7631929298085262E-2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4.2348601740432971E-2</c:v>
                </c:pt>
                <c:pt idx="1">
                  <c:v>4.2348601740432971E-2</c:v>
                </c:pt>
                <c:pt idx="2">
                  <c:v>4.2348601740432971E-2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estradiol-34ng/L + Testostérone</c:v>
                </c:pt>
              </c:strCache>
            </c:strRef>
          </c:cat>
          <c:val>
            <c:numRef>
              <c:f>'Graph format rapport CHG 1éch'!$H$8:$J$8</c:f>
              <c:numCache>
                <c:formatCode>General</c:formatCode>
                <c:ptCount val="3"/>
                <c:pt idx="0">
                  <c:v>5.0136080759613601E-2</c:v>
                </c:pt>
                <c:pt idx="1">
                  <c:v>5.0136080759613601E-2</c:v>
                </c:pt>
                <c:pt idx="2">
                  <c:v>5.0136080759613601E-2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estradiol-34ng/L + Testostérone</c:v>
                </c:pt>
              </c:strCache>
            </c:strRef>
          </c:cat>
          <c:val>
            <c:numRef>
              <c:f>'Graph format rapport CHG 1éch'!$H$9:$J$9</c:f>
              <c:numCache>
                <c:formatCode>General</c:formatCode>
                <c:ptCount val="3"/>
                <c:pt idx="0">
                  <c:v>8.09498436404958</c:v>
                </c:pt>
                <c:pt idx="1">
                  <c:v>8.09498436404958</c:v>
                </c:pt>
                <c:pt idx="2">
                  <c:v>8.09498436404958</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estradiol-34ng/L + Testostérone</c:v>
                </c:pt>
              </c:strCache>
            </c:strRef>
          </c:cat>
          <c:val>
            <c:numRef>
              <c:f>'Graph format rapport CHG 1éch'!$H$10:$J$10</c:f>
              <c:numCache>
                <c:formatCode>General</c:formatCode>
                <c:ptCount val="3"/>
                <c:pt idx="0">
                  <c:v>-5.59498436404958</c:v>
                </c:pt>
                <c:pt idx="1">
                  <c:v>-5.59498436404958</c:v>
                </c:pt>
                <c:pt idx="2">
                  <c:v>-5.59498436404958</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BE8285E0-96DB-4EB4-B689-1ECA1443420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F34826CD-F7DA-45F8-A2BD-2943FFF4D39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0.4606761936351641</c:v>
                  </c:pt>
                </c:numCache>
              </c:numRef>
            </c:plus>
            <c:minus>
              <c:numRef>
                <c:f>'Graph format rapport CHG 1éch'!$H$4:$J$4</c:f>
                <c:numCache>
                  <c:formatCode>General</c:formatCode>
                  <c:ptCount val="3"/>
                  <c:pt idx="1">
                    <c:v>0.4606761936351641</c:v>
                  </c:pt>
                </c:numCache>
              </c:numRef>
            </c:minus>
          </c:errBars>
          <c:cat>
            <c:strRef>
              <c:f>'Graph format rapport CHG 1éch'!$H$2:$J$2</c:f>
              <c:strCache>
                <c:ptCount val="2"/>
                <c:pt idx="1">
                  <c:v>estradiol-34ng/L + Testostérone</c:v>
                </c:pt>
              </c:strCache>
            </c:strRef>
          </c:cat>
          <c:val>
            <c:numRef>
              <c:f>'Graph format rapport CHG 1éch'!$H$3:$J$3</c:f>
              <c:numCache>
                <c:formatCode>General</c:formatCode>
                <c:ptCount val="3"/>
                <c:pt idx="1">
                  <c:v>2.282052159540934</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estradiol-34ng/L + Testostérone</c:v>
                </c:pt>
              </c:strCache>
            </c:strRef>
          </c:cat>
          <c:val>
            <c:numRef>
              <c:f>'Graph format rapport CHG 1éch'!$H$7:$J$7</c:f>
              <c:numCache>
                <c:formatCode>General</c:formatCode>
                <c:ptCount val="3"/>
                <c:pt idx="0">
                  <c:v>0.99999999999999989</c:v>
                </c:pt>
                <c:pt idx="1">
                  <c:v>0.99999999999999989</c:v>
                </c:pt>
                <c:pt idx="2">
                  <c:v>0.99999999999999989</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estradiol-68ng/L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estradiol-68ng/L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estradiol-68ng/L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CFD0C670-AEAC-4BDF-A184-6608EF65507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53E5CC4B-39D6-401C-880C-66FB59AD772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3.0921364028070712E-2</c:v>
                  </c:pt>
                </c:numCache>
              </c:numRef>
            </c:plus>
            <c:minus>
              <c:numRef>
                <c:f>'Graph format rapport CHG 1éch'!$E$4:$G$4</c:f>
                <c:numCache>
                  <c:formatCode>General</c:formatCode>
                  <c:ptCount val="3"/>
                  <c:pt idx="1">
                    <c:v>3.0921364028070712E-2</c:v>
                  </c:pt>
                </c:numCache>
              </c:numRef>
            </c:minus>
          </c:errBars>
          <c:cat>
            <c:strRef>
              <c:f>'Graph format rapport CHG 1éch'!$E$2:$G$2</c:f>
              <c:strCache>
                <c:ptCount val="2"/>
                <c:pt idx="1">
                  <c:v>estradiol-68ng/L</c:v>
                </c:pt>
              </c:strCache>
            </c:strRef>
          </c:cat>
          <c:val>
            <c:numRef>
              <c:f>'Graph format rapport CHG 1éch'!$E$3:$G$3</c:f>
              <c:numCache>
                <c:formatCode>General</c:formatCode>
                <c:ptCount val="3"/>
                <c:pt idx="1">
                  <c:v>8.7631929298085262E-2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4.2348601740432971E-2</c:v>
                </c:pt>
                <c:pt idx="1">
                  <c:v>4.2348601740432971E-2</c:v>
                </c:pt>
                <c:pt idx="2">
                  <c:v>4.2348601740432971E-2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estradiol-34ng/L + Testostérone</c:v>
                </c:pt>
              </c:strCache>
            </c:strRef>
          </c:cat>
          <c:val>
            <c:numRef>
              <c:f>'Graph format rapport CHG 1éch'!$H$8:$J$8</c:f>
              <c:numCache>
                <c:formatCode>General</c:formatCode>
                <c:ptCount val="3"/>
                <c:pt idx="0">
                  <c:v>5.0136080759613601E-2</c:v>
                </c:pt>
                <c:pt idx="1">
                  <c:v>5.0136080759613601E-2</c:v>
                </c:pt>
                <c:pt idx="2">
                  <c:v>5.0136080759613601E-2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estradiol-34ng/L + Testostérone</c:v>
                </c:pt>
              </c:strCache>
            </c:strRef>
          </c:cat>
          <c:val>
            <c:numRef>
              <c:f>'Graph format rapport CHG 1éch'!$H$9:$J$9</c:f>
              <c:numCache>
                <c:formatCode>General</c:formatCode>
                <c:ptCount val="3"/>
                <c:pt idx="0">
                  <c:v>8.09498436404958</c:v>
                </c:pt>
                <c:pt idx="1">
                  <c:v>8.09498436404958</c:v>
                </c:pt>
                <c:pt idx="2">
                  <c:v>8.09498436404958</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estradiol-34ng/L + Testostérone</c:v>
                </c:pt>
              </c:strCache>
            </c:strRef>
          </c:cat>
          <c:val>
            <c:numRef>
              <c:f>'Graph format rapport CHG 1éch'!$H$10:$J$10</c:f>
              <c:numCache>
                <c:formatCode>General</c:formatCode>
                <c:ptCount val="3"/>
                <c:pt idx="0">
                  <c:v>-5.59498436404958</c:v>
                </c:pt>
                <c:pt idx="1">
                  <c:v>-5.59498436404958</c:v>
                </c:pt>
                <c:pt idx="2">
                  <c:v>-5.59498436404958</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0E266FB3-A87D-47E7-8AB1-9B506209DC8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D0823718-13AC-4D96-B212-F8322974DE8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0.4606761936351641</c:v>
                  </c:pt>
                </c:numCache>
              </c:numRef>
            </c:plus>
            <c:minus>
              <c:numRef>
                <c:f>'Graph format rapport CHG 1éch'!$H$4:$J$4</c:f>
                <c:numCache>
                  <c:formatCode>General</c:formatCode>
                  <c:ptCount val="3"/>
                  <c:pt idx="1">
                    <c:v>0.4606761936351641</c:v>
                  </c:pt>
                </c:numCache>
              </c:numRef>
            </c:minus>
          </c:errBars>
          <c:cat>
            <c:strRef>
              <c:f>'Graph format rapport CHG 1éch'!$H$2:$J$2</c:f>
              <c:strCache>
                <c:ptCount val="2"/>
                <c:pt idx="1">
                  <c:v>estradiol-34ng/L + Testostérone</c:v>
                </c:pt>
              </c:strCache>
            </c:strRef>
          </c:cat>
          <c:val>
            <c:numRef>
              <c:f>'Graph format rapport CHG 1éch'!$H$3:$J$3</c:f>
              <c:numCache>
                <c:formatCode>General</c:formatCode>
                <c:ptCount val="3"/>
                <c:pt idx="1">
                  <c:v>2.282052159540934</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estradiol-34ng/L + Testostérone</c:v>
                </c:pt>
              </c:strCache>
            </c:strRef>
          </c:cat>
          <c:val>
            <c:numRef>
              <c:f>'Graph format rapport CHG 1éch'!$H$7:$J$7</c:f>
              <c:numCache>
                <c:formatCode>General</c:formatCode>
                <c:ptCount val="3"/>
                <c:pt idx="0">
                  <c:v>0.99999999999999989</c:v>
                </c:pt>
                <c:pt idx="1">
                  <c:v>0.99999999999999989</c:v>
                </c:pt>
                <c:pt idx="2">
                  <c:v>0.99999999999999989</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80"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6875" cy="6057900"/>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014376" y="9913925"/>
          <a:ext cx="8260636" cy="1056562"/>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177852" y="3792683"/>
          <a:ext cx="8260636" cy="1048398"/>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195487" y="9913925"/>
          <a:ext cx="8260636" cy="1056562"/>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358963" y="3792683"/>
          <a:ext cx="8260636" cy="1048398"/>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013892" createdVersion="6" refreshedVersion="8" minRefreshableVersion="3" recordCount="52" xr:uid="{8DEF666A-6C7D-4C16-AD6D-82242760D5D9}">
  <cacheSource type="worksheet">
    <worksheetSource name="liste_groupe"/>
  </cacheSource>
  <cacheFields count="6">
    <cacheField name="Nom sur le graphique" numFmtId="0">
      <sharedItems count="14">
        <s v="Témoin solvant"/>
        <s v="EE2-22,5ng/L"/>
        <s v="EE2-33,8ng/L"/>
        <s v="EE2-50,6ng/L"/>
        <s v="EE2-76ng/L"/>
        <s v="EE2-114ng/L"/>
        <s v="EE2-170,9ng/L"/>
        <s v="EE2-488ng/L"/>
        <s v=" "/>
        <s v="Testo -30µg/L"/>
        <s v="Testo 30µg/L + EE2 -64ng/L"/>
        <s v="Testo 30µg/L + FAD-10µg/L"/>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361108" createdVersion="5" refreshedVersion="8"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592592" createdVersion="5" refreshedVersion="8"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708331" createdVersion="5" refreshedVersion="8"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µ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3"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2"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1"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7" zoomScale="55" zoomScaleNormal="55" workbookViewId="0">
      <selection activeCell="D20" sqref="D20"/>
    </sheetView>
  </sheetViews>
  <sheetFormatPr defaultColWidth="11.5546875" defaultRowHeight="39" customHeight="1" x14ac:dyDescent="0.3"/>
  <cols>
    <col min="1" max="1" width="42" bestFit="1" customWidth="1"/>
    <col min="2" max="2" width="33.77734375" style="44" bestFit="1" customWidth="1"/>
    <col min="3" max="3" width="21.21875" customWidth="1"/>
    <col min="4" max="4" width="30.44140625" customWidth="1"/>
    <col min="5" max="5" width="62.21875" style="160" bestFit="1" customWidth="1"/>
    <col min="6" max="6" width="56.77734375" bestFit="1" customWidth="1"/>
    <col min="7" max="7" width="19.44140625" customWidth="1"/>
    <col min="8" max="8" width="15.21875" customWidth="1"/>
    <col min="9" max="9" width="18" customWidth="1"/>
    <col min="10" max="10" width="19.5546875" bestFit="1" customWidth="1"/>
  </cols>
  <sheetData>
    <row r="1" spans="1:9" ht="39" customHeight="1" thickBot="1" x14ac:dyDescent="0.35">
      <c r="A1" s="195" t="s">
        <v>36</v>
      </c>
      <c r="B1" s="196"/>
      <c r="C1" s="196"/>
      <c r="D1" s="196"/>
      <c r="E1" s="196"/>
      <c r="F1" s="196"/>
      <c r="G1" s="196"/>
      <c r="H1" s="196"/>
      <c r="I1" s="197"/>
    </row>
    <row r="2" spans="1:9" ht="21" x14ac:dyDescent="0.4">
      <c r="A2" s="188" t="s">
        <v>17</v>
      </c>
      <c r="B2" s="42" t="s">
        <v>115</v>
      </c>
      <c r="C2" s="198"/>
      <c r="D2" s="199"/>
      <c r="E2" s="42" t="s">
        <v>21</v>
      </c>
      <c r="F2" s="210"/>
      <c r="G2" s="211"/>
      <c r="H2" s="211"/>
      <c r="I2" s="212"/>
    </row>
    <row r="3" spans="1:9" ht="21" x14ac:dyDescent="0.4">
      <c r="A3" s="189" t="s">
        <v>18</v>
      </c>
      <c r="B3" s="43" t="s">
        <v>115</v>
      </c>
      <c r="C3" s="200"/>
      <c r="D3" s="201"/>
      <c r="E3" s="43" t="s">
        <v>21</v>
      </c>
      <c r="F3" s="207"/>
      <c r="G3" s="208"/>
      <c r="H3" s="208"/>
      <c r="I3" s="209"/>
    </row>
    <row r="4" spans="1:9" ht="21.6" thickBot="1" x14ac:dyDescent="0.45">
      <c r="A4" s="190" t="s">
        <v>22</v>
      </c>
      <c r="B4" s="178" t="s">
        <v>115</v>
      </c>
      <c r="C4" s="202"/>
      <c r="D4" s="203"/>
      <c r="E4" s="178" t="s">
        <v>21</v>
      </c>
      <c r="F4" s="204"/>
      <c r="G4" s="205"/>
      <c r="H4" s="205"/>
      <c r="I4" s="206"/>
    </row>
    <row r="5" spans="1:9" s="1" customFormat="1" ht="65.25" customHeight="1" thickBot="1" x14ac:dyDescent="0.35">
      <c r="A5" s="195" t="s">
        <v>37</v>
      </c>
      <c r="B5" s="196"/>
      <c r="C5" s="196"/>
      <c r="D5" s="196"/>
      <c r="E5" s="196"/>
      <c r="F5" s="196"/>
      <c r="G5" s="196"/>
      <c r="H5" s="196"/>
      <c r="I5" s="197"/>
    </row>
    <row r="6" spans="1:9" s="109" customFormat="1" ht="39" customHeight="1" x14ac:dyDescent="0.4">
      <c r="A6" s="75" t="s">
        <v>35</v>
      </c>
      <c r="B6" s="100" t="s">
        <v>7</v>
      </c>
      <c r="C6" s="64" t="s">
        <v>19</v>
      </c>
      <c r="D6" s="64" t="s">
        <v>75</v>
      </c>
      <c r="E6" s="157" t="s">
        <v>51</v>
      </c>
      <c r="F6" s="108" t="s">
        <v>78</v>
      </c>
    </row>
    <row r="7" spans="1:9" s="166" customFormat="1" ht="39" customHeight="1" x14ac:dyDescent="0.4">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0"/>
    </row>
    <row r="8" spans="1:9" s="166" customFormat="1" ht="39" customHeight="1" x14ac:dyDescent="0.4">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0"/>
    </row>
    <row r="9" spans="1:9" s="166" customFormat="1" ht="39" customHeight="1" x14ac:dyDescent="0.4">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0"/>
    </row>
    <row r="10" spans="1:9" s="166" customFormat="1" ht="39" customHeight="1" x14ac:dyDescent="0.4">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0"/>
    </row>
    <row r="11" spans="1:9" s="166" customFormat="1" ht="39" customHeight="1" x14ac:dyDescent="0.4">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0"/>
    </row>
    <row r="12" spans="1:9" s="166" customFormat="1" ht="39" customHeight="1" x14ac:dyDescent="0.4">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0"/>
    </row>
    <row r="13" spans="1:9" s="166" customFormat="1" ht="39" customHeight="1" x14ac:dyDescent="0.4">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0"/>
    </row>
    <row r="14" spans="1:9" s="166" customFormat="1" ht="39" customHeight="1" x14ac:dyDescent="0.4">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0"/>
    </row>
    <row r="15" spans="1:9" s="166" customFormat="1" ht="39" customHeight="1" x14ac:dyDescent="0.4">
      <c r="A15"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estradiol-34ng/L</v>
      </c>
      <c r="B15" s="162" t="s">
        <v>166</v>
      </c>
      <c r="C15" s="163">
        <v>34</v>
      </c>
      <c r="D15" s="164" t="s">
        <v>124</v>
      </c>
      <c r="E15" s="165" t="s">
        <v>167</v>
      </c>
      <c r="F15" s="110"/>
    </row>
    <row r="16" spans="1:9" s="111" customFormat="1" ht="39" customHeight="1" x14ac:dyDescent="0.3">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estradiol-68ng/L</v>
      </c>
      <c r="B16" s="162" t="s">
        <v>166</v>
      </c>
      <c r="C16" s="105">
        <v>68</v>
      </c>
      <c r="D16" s="164" t="s">
        <v>124</v>
      </c>
      <c r="E16" s="165" t="s">
        <v>167</v>
      </c>
      <c r="F16" s="110"/>
    </row>
    <row r="17" spans="1:6" s="111" customFormat="1" ht="39" customHeight="1" x14ac:dyDescent="0.3">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estradiol-135ng/L</v>
      </c>
      <c r="B17" s="162" t="s">
        <v>166</v>
      </c>
      <c r="C17" s="105">
        <v>135</v>
      </c>
      <c r="D17" s="164" t="s">
        <v>124</v>
      </c>
      <c r="E17" s="165" t="s">
        <v>167</v>
      </c>
      <c r="F17" s="110"/>
    </row>
    <row r="18" spans="1:6" s="111" customFormat="1" ht="39" customHeight="1" x14ac:dyDescent="0.3">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estradiol-270ng/L</v>
      </c>
      <c r="B18" s="162" t="s">
        <v>166</v>
      </c>
      <c r="C18" s="105">
        <v>270</v>
      </c>
      <c r="D18" s="164" t="s">
        <v>124</v>
      </c>
      <c r="E18" s="165" t="s">
        <v>167</v>
      </c>
      <c r="F18" s="110"/>
    </row>
    <row r="19" spans="1:6" s="111" customFormat="1" ht="39" customHeight="1" x14ac:dyDescent="0.3">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estradiol-540ng/L</v>
      </c>
      <c r="B19" s="162" t="s">
        <v>166</v>
      </c>
      <c r="C19" s="105">
        <v>540</v>
      </c>
      <c r="D19" s="164" t="s">
        <v>124</v>
      </c>
      <c r="E19" s="165" t="s">
        <v>167</v>
      </c>
      <c r="F19" s="110"/>
    </row>
    <row r="20" spans="1:6" s="111" customFormat="1" ht="39" customHeight="1" x14ac:dyDescent="0.3">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3">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5">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5"/>
      <c r="E35" s="167"/>
      <c r="F35" s="110"/>
    </row>
    <row r="36" spans="1:6" s="111" customFormat="1" ht="39" customHeight="1" x14ac:dyDescent="0.3">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8" t="s">
        <v>20</v>
      </c>
      <c r="F36" s="170"/>
    </row>
    <row r="37" spans="1:6" s="111" customFormat="1" ht="39" customHeight="1" thickBot="1" x14ac:dyDescent="0.35">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9" t="s">
        <v>128</v>
      </c>
      <c r="F37" s="172"/>
    </row>
    <row r="38" spans="1:6" s="111" customFormat="1" ht="39" customHeight="1" thickBot="1" x14ac:dyDescent="0.35">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4" t="s">
        <v>123</v>
      </c>
      <c r="C38" s="175">
        <v>10</v>
      </c>
      <c r="D38" s="116" t="s">
        <v>127</v>
      </c>
      <c r="E38" s="176" t="s">
        <v>129</v>
      </c>
      <c r="F38" s="177"/>
    </row>
    <row r="39" spans="1:6" s="111" customFormat="1" ht="39" customHeight="1" x14ac:dyDescent="0.3">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estradiol-34ng/L + Testostérone</v>
      </c>
      <c r="B39" s="191" t="str">
        <f>B15</f>
        <v>Test</v>
      </c>
      <c r="C39" s="191">
        <f t="shared" ref="C39:E39" si="0">C15</f>
        <v>34</v>
      </c>
      <c r="D39" s="191" t="str">
        <f t="shared" si="0"/>
        <v>ng/L</v>
      </c>
      <c r="E39" s="191" t="str">
        <f t="shared" si="0"/>
        <v>estradiol</v>
      </c>
      <c r="F39" s="112" t="s">
        <v>50</v>
      </c>
    </row>
    <row r="40" spans="1:6" s="111" customFormat="1" ht="39" customHeight="1" x14ac:dyDescent="0.3">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estradiol-68ng/L + Testostérone</v>
      </c>
      <c r="B40" s="193" t="str">
        <f t="shared" ref="B40:E40" si="1">B16</f>
        <v>Test</v>
      </c>
      <c r="C40" s="193">
        <f t="shared" si="1"/>
        <v>68</v>
      </c>
      <c r="D40" s="193" t="str">
        <f t="shared" si="1"/>
        <v>ng/L</v>
      </c>
      <c r="E40" s="193" t="str">
        <f t="shared" si="1"/>
        <v>estradiol</v>
      </c>
      <c r="F40" s="113" t="s">
        <v>50</v>
      </c>
    </row>
    <row r="41" spans="1:6" s="111" customFormat="1" ht="39" customHeight="1" x14ac:dyDescent="0.3">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estradiol-135ng/L + Testostérone</v>
      </c>
      <c r="B41" s="193" t="str">
        <f t="shared" ref="B41:E41" si="2">B17</f>
        <v>Test</v>
      </c>
      <c r="C41" s="193">
        <f t="shared" si="2"/>
        <v>135</v>
      </c>
      <c r="D41" s="193" t="str">
        <f t="shared" si="2"/>
        <v>ng/L</v>
      </c>
      <c r="E41" s="193" t="str">
        <f t="shared" si="2"/>
        <v>estradiol</v>
      </c>
      <c r="F41" s="113" t="s">
        <v>50</v>
      </c>
    </row>
    <row r="42" spans="1:6" s="111" customFormat="1" ht="39" customHeight="1" x14ac:dyDescent="0.3">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estradiol-270ng/L + Testostérone</v>
      </c>
      <c r="B42" s="193" t="str">
        <f t="shared" ref="B42:E42" si="3">B18</f>
        <v>Test</v>
      </c>
      <c r="C42" s="193">
        <f t="shared" si="3"/>
        <v>270</v>
      </c>
      <c r="D42" s="193" t="str">
        <f t="shared" si="3"/>
        <v>ng/L</v>
      </c>
      <c r="E42" s="193" t="str">
        <f t="shared" si="3"/>
        <v>estradiol</v>
      </c>
      <c r="F42" s="113" t="s">
        <v>50</v>
      </c>
    </row>
    <row r="43" spans="1:6" s="111" customFormat="1" ht="39" customHeight="1" x14ac:dyDescent="0.3">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estradiol-540ng/L + Testostérone</v>
      </c>
      <c r="B43" s="193" t="str">
        <f t="shared" ref="B43:E43" si="4">B19</f>
        <v>Test</v>
      </c>
      <c r="C43" s="193">
        <f t="shared" si="4"/>
        <v>540</v>
      </c>
      <c r="D43" s="193" t="str">
        <f t="shared" si="4"/>
        <v>ng/L</v>
      </c>
      <c r="E43" s="193" t="str">
        <f t="shared" si="4"/>
        <v>estradiol</v>
      </c>
      <c r="F43" s="113" t="s">
        <v>50</v>
      </c>
    </row>
    <row r="44" spans="1:6" s="111" customFormat="1" ht="39" customHeight="1" x14ac:dyDescent="0.3">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3">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3">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3">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3">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3">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3">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3">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3">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3">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3">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3">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3">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3">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3">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24"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5546875" defaultRowHeight="14.4" x14ac:dyDescent="0.3"/>
  <cols>
    <col min="1" max="1" width="14.21875" customWidth="1"/>
    <col min="2" max="2" width="14" customWidth="1"/>
    <col min="3" max="3" width="11.5546875" customWidth="1"/>
    <col min="4" max="4" width="12.44140625" customWidth="1"/>
    <col min="5" max="5" width="17.21875" customWidth="1"/>
    <col min="7" max="7" width="19.5546875" customWidth="1"/>
    <col min="9" max="9" width="15.77734375" customWidth="1"/>
  </cols>
  <sheetData>
    <row r="1" spans="1:9" x14ac:dyDescent="0.3">
      <c r="A1" t="s">
        <v>107</v>
      </c>
      <c r="B1" t="s">
        <v>108</v>
      </c>
      <c r="C1" t="s">
        <v>109</v>
      </c>
      <c r="D1" t="s">
        <v>110</v>
      </c>
      <c r="E1" t="s">
        <v>111</v>
      </c>
      <c r="F1" t="s">
        <v>112</v>
      </c>
      <c r="G1" t="s">
        <v>113</v>
      </c>
      <c r="H1" t="s">
        <v>117</v>
      </c>
      <c r="I1" t="s">
        <v>118</v>
      </c>
    </row>
    <row r="2" spans="1:9" x14ac:dyDescent="0.3">
      <c r="A2" t="s">
        <v>152</v>
      </c>
      <c r="B2" t="s">
        <v>163</v>
      </c>
      <c r="C2" t="s">
        <v>143</v>
      </c>
      <c r="D2" t="s">
        <v>146</v>
      </c>
      <c r="E2" t="s">
        <v>147</v>
      </c>
      <c r="F2" t="s">
        <v>112</v>
      </c>
      <c r="G2">
        <v>360268</v>
      </c>
    </row>
    <row r="3" spans="1:9" x14ac:dyDescent="0.3">
      <c r="A3" t="s">
        <v>152</v>
      </c>
      <c r="B3" t="s">
        <v>163</v>
      </c>
      <c r="C3" t="s">
        <v>144</v>
      </c>
      <c r="D3" t="s">
        <v>148</v>
      </c>
      <c r="E3" t="s">
        <v>149</v>
      </c>
      <c r="F3" t="s">
        <v>112</v>
      </c>
      <c r="G3">
        <v>372315</v>
      </c>
    </row>
    <row r="4" spans="1:9" x14ac:dyDescent="0.3">
      <c r="A4" t="s">
        <v>152</v>
      </c>
      <c r="B4" t="s">
        <v>163</v>
      </c>
      <c r="C4" t="s">
        <v>145</v>
      </c>
      <c r="D4" t="s">
        <v>150</v>
      </c>
      <c r="E4" t="s">
        <v>151</v>
      </c>
      <c r="F4" t="s">
        <v>112</v>
      </c>
      <c r="G4">
        <v>237626</v>
      </c>
    </row>
    <row r="5" spans="1:9" x14ac:dyDescent="0.3">
      <c r="A5" t="s">
        <v>152</v>
      </c>
      <c r="B5" t="s">
        <v>163</v>
      </c>
      <c r="C5" t="s">
        <v>160</v>
      </c>
      <c r="D5" t="s">
        <v>161</v>
      </c>
      <c r="E5" t="s">
        <v>162</v>
      </c>
      <c r="F5" t="s">
        <v>112</v>
      </c>
      <c r="G5">
        <v>1439015</v>
      </c>
    </row>
    <row r="6" spans="1:9" x14ac:dyDescent="0.3">
      <c r="A6" t="s">
        <v>152</v>
      </c>
      <c r="B6" t="s">
        <v>163</v>
      </c>
      <c r="C6" t="s">
        <v>157</v>
      </c>
      <c r="D6" t="s">
        <v>158</v>
      </c>
      <c r="E6" t="s">
        <v>159</v>
      </c>
      <c r="F6" t="s">
        <v>112</v>
      </c>
      <c r="G6">
        <v>1433586</v>
      </c>
    </row>
    <row r="7" spans="1:9" x14ac:dyDescent="0.3">
      <c r="A7" t="s">
        <v>152</v>
      </c>
      <c r="B7" t="s">
        <v>163</v>
      </c>
      <c r="C7" t="s">
        <v>154</v>
      </c>
      <c r="D7" t="s">
        <v>155</v>
      </c>
      <c r="E7" t="s">
        <v>156</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A1536" zoomScale="70" zoomScaleNormal="70" workbookViewId="0">
      <selection activeCell="A2" sqref="A2:A1557"/>
    </sheetView>
  </sheetViews>
  <sheetFormatPr defaultColWidth="11.44140625" defaultRowHeight="14.4" x14ac:dyDescent="0.3"/>
  <cols>
    <col min="1" max="1" width="15" style="1" customWidth="1"/>
    <col min="2" max="2" width="26.5546875" style="1" customWidth="1"/>
    <col min="3" max="3" width="87.21875" style="1" bestFit="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5.44140625" style="1" customWidth="1"/>
    <col min="12" max="12" width="15.44140625" style="1" customWidth="1"/>
    <col min="13" max="14" width="12.77734375" style="1" customWidth="1"/>
    <col min="15" max="20" width="12.21875" style="1" customWidth="1"/>
    <col min="21" max="21" width="17.44140625" style="1" customWidth="1"/>
    <col min="22" max="25" width="12.21875" style="1" customWidth="1"/>
    <col min="26" max="27" width="15.5546875" style="1" customWidth="1"/>
    <col min="28" max="28" width="14.21875" style="1" customWidth="1"/>
    <col min="29"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G1" activePane="topRight" state="frozen"/>
      <selection pane="topRight" activeCell="Q5" sqref="Q5:Q12"/>
    </sheetView>
  </sheetViews>
  <sheetFormatPr defaultColWidth="9.21875" defaultRowHeight="14.4" x14ac:dyDescent="0.3"/>
  <cols>
    <col min="1" max="1" width="29.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8.21875" bestFit="1" customWidth="1"/>
    <col min="15" max="15" width="14.77734375" customWidth="1"/>
    <col min="16" max="16" width="17.77734375" customWidth="1"/>
    <col min="17" max="18" width="25.77734375" bestFit="1" customWidth="1"/>
    <col min="19" max="22" width="25.77734375" style="1" customWidth="1"/>
  </cols>
  <sheetData>
    <row r="1" spans="1:22" s="1" customFormat="1" ht="26.4" thickBot="1" x14ac:dyDescent="0.55000000000000004">
      <c r="A1" s="213" t="s">
        <v>40</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35">
      <c r="A2"/>
      <c r="B2"/>
      <c r="C2"/>
      <c r="D2"/>
      <c r="E2"/>
      <c r="F2"/>
      <c r="G2"/>
      <c r="H2"/>
      <c r="I2"/>
      <c r="J2"/>
      <c r="K2"/>
      <c r="L2"/>
      <c r="M2"/>
      <c r="S2"/>
      <c r="T2"/>
      <c r="U2"/>
      <c r="V2"/>
    </row>
    <row r="3" spans="1:22" ht="15" thickBot="1" x14ac:dyDescent="0.35">
      <c r="A3" s="51" t="s">
        <v>17</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estradiol-34ng/L</v>
      </c>
      <c r="J4" s="35" t="str">
        <f>'Page de garde'!A16</f>
        <v>estradiol-68ng/L</v>
      </c>
      <c r="K4" s="35" t="str">
        <f>'Page de garde'!A17</f>
        <v>estradiol-135ng/L</v>
      </c>
      <c r="L4" s="35" t="str">
        <f>'Page de garde'!A18</f>
        <v>estradiol-270ng/L</v>
      </c>
      <c r="M4" s="35" t="str">
        <f>'Page de garde'!A19</f>
        <v>estradiol-540ng/L</v>
      </c>
      <c r="N4" s="3"/>
      <c r="O4" s="36" t="str">
        <f>'Page de garde'!A36</f>
        <v>Testo -30µg/L</v>
      </c>
      <c r="P4" s="36" t="str">
        <f>'Page de garde'!A37</f>
        <v>Testo 30µg/L + EE2 -64ng/L</v>
      </c>
      <c r="Q4" s="36" t="str">
        <f>'Page de garde'!A38</f>
        <v>Testo 30µg/L + FAD-10µg/L</v>
      </c>
      <c r="R4" s="36" t="str">
        <f>'Page de garde'!A39</f>
        <v>estradiol-34ng/L + Testostérone</v>
      </c>
      <c r="S4" s="36" t="str">
        <f>'Page de garde'!A40</f>
        <v>estradiol-68ng/L + Testostérone</v>
      </c>
      <c r="T4" s="36" t="str">
        <f>'Page de garde'!A41</f>
        <v>estradiol-135ng/L + Testostérone</v>
      </c>
      <c r="U4" s="36" t="str">
        <f>'Page de garde'!A42</f>
        <v>estradiol-270ng/L + Testostérone</v>
      </c>
      <c r="V4" s="36" t="str">
        <f>'Page de garde'!A43</f>
        <v>estradiol-540ng/L + Testostérone</v>
      </c>
    </row>
    <row r="5" spans="1:22" x14ac:dyDescent="0.3">
      <c r="A5" s="217" t="s">
        <v>33</v>
      </c>
      <c r="B5" s="1">
        <v>158766</v>
      </c>
      <c r="C5" s="1">
        <v>57136</v>
      </c>
      <c r="D5" s="1">
        <v>186916</v>
      </c>
      <c r="E5" s="1">
        <v>1223699</v>
      </c>
      <c r="F5" s="1">
        <v>2276002</v>
      </c>
      <c r="G5" s="1">
        <v>5426030</v>
      </c>
      <c r="H5" s="1">
        <v>14275997</v>
      </c>
      <c r="I5" s="1">
        <v>21564</v>
      </c>
      <c r="J5" s="1">
        <v>940681</v>
      </c>
      <c r="K5" s="1">
        <v>2653634</v>
      </c>
      <c r="L5" s="1">
        <v>9146505</v>
      </c>
      <c r="M5" s="1">
        <v>17428910</v>
      </c>
      <c r="N5" s="3"/>
      <c r="O5" s="1">
        <v>819719</v>
      </c>
      <c r="P5" s="1">
        <v>3016064</v>
      </c>
      <c r="Q5" s="1">
        <v>168672</v>
      </c>
      <c r="R5" s="1">
        <v>3094</v>
      </c>
      <c r="S5" s="1">
        <v>457854</v>
      </c>
      <c r="T5" s="1">
        <v>4177506</v>
      </c>
      <c r="U5" s="1">
        <v>9644132</v>
      </c>
      <c r="V5" s="1">
        <v>20074792</v>
      </c>
    </row>
    <row r="6" spans="1:22" x14ac:dyDescent="0.3">
      <c r="A6" s="218"/>
      <c r="B6" s="1">
        <v>261710</v>
      </c>
      <c r="C6" s="1">
        <v>436459</v>
      </c>
      <c r="D6" s="1">
        <v>4102877</v>
      </c>
      <c r="E6" s="1">
        <v>637027</v>
      </c>
      <c r="F6" s="1">
        <v>6327600</v>
      </c>
      <c r="G6" s="1">
        <v>12479308</v>
      </c>
      <c r="H6" s="1">
        <v>5166605</v>
      </c>
      <c r="I6" s="1">
        <v>80718</v>
      </c>
      <c r="J6" s="1">
        <v>171264</v>
      </c>
      <c r="K6" s="1">
        <v>147559</v>
      </c>
      <c r="L6" s="1">
        <v>12245910</v>
      </c>
      <c r="M6" s="1">
        <v>708503</v>
      </c>
      <c r="N6" s="3"/>
      <c r="O6" s="1">
        <v>380926</v>
      </c>
      <c r="P6" s="1">
        <v>6364434</v>
      </c>
      <c r="Q6" s="1">
        <v>140088</v>
      </c>
      <c r="R6" s="1">
        <v>3141201</v>
      </c>
      <c r="S6" s="1">
        <v>88834</v>
      </c>
      <c r="T6" s="1">
        <v>12534503</v>
      </c>
      <c r="U6" s="1">
        <v>11739345</v>
      </c>
      <c r="V6" s="1">
        <v>18057721</v>
      </c>
    </row>
    <row r="7" spans="1:22" x14ac:dyDescent="0.3">
      <c r="A7" s="218"/>
      <c r="B7" s="1">
        <v>101318</v>
      </c>
      <c r="C7" s="1">
        <v>309636</v>
      </c>
      <c r="D7" s="1">
        <v>163681</v>
      </c>
      <c r="E7" s="1">
        <v>1644129</v>
      </c>
      <c r="F7" s="1">
        <v>5805732</v>
      </c>
      <c r="G7" s="1">
        <v>6832013</v>
      </c>
      <c r="H7" s="1">
        <v>13720090</v>
      </c>
      <c r="I7" s="1">
        <v>608283</v>
      </c>
      <c r="J7" s="1">
        <v>31305</v>
      </c>
      <c r="K7" s="1">
        <v>3408440</v>
      </c>
      <c r="L7" s="1">
        <v>9081678</v>
      </c>
      <c r="M7" s="1">
        <v>14517618</v>
      </c>
      <c r="N7" s="3"/>
      <c r="O7" s="1">
        <v>46897</v>
      </c>
      <c r="P7" s="1">
        <v>5294147</v>
      </c>
      <c r="Q7" s="1">
        <v>189563</v>
      </c>
      <c r="R7" s="1">
        <v>4035725</v>
      </c>
      <c r="S7" s="1">
        <v>156223</v>
      </c>
      <c r="T7" s="1">
        <v>6808176</v>
      </c>
      <c r="U7" s="1">
        <v>10251358</v>
      </c>
      <c r="V7" s="1">
        <v>14046661</v>
      </c>
    </row>
    <row r="8" spans="1:22" x14ac:dyDescent="0.3">
      <c r="A8" s="218"/>
      <c r="B8" s="1">
        <v>86576</v>
      </c>
      <c r="C8" s="1">
        <v>340614</v>
      </c>
      <c r="D8" s="1">
        <v>41827</v>
      </c>
      <c r="E8" s="1">
        <v>229004</v>
      </c>
      <c r="F8" s="1">
        <v>6172423</v>
      </c>
      <c r="G8" s="1">
        <v>10358241</v>
      </c>
      <c r="H8" s="1">
        <v>9790582</v>
      </c>
      <c r="I8" s="1">
        <v>6576</v>
      </c>
      <c r="J8" s="1">
        <v>153258</v>
      </c>
      <c r="K8" s="1">
        <v>5312067</v>
      </c>
      <c r="L8" s="1">
        <v>6183162</v>
      </c>
      <c r="M8" s="1">
        <v>9051414</v>
      </c>
      <c r="N8" s="3"/>
      <c r="O8" s="1">
        <v>6736051</v>
      </c>
      <c r="P8" s="1">
        <v>4331760</v>
      </c>
      <c r="Q8" s="1">
        <v>35504</v>
      </c>
      <c r="R8" s="1">
        <v>2042507</v>
      </c>
      <c r="S8" s="1">
        <v>3266339</v>
      </c>
      <c r="T8" s="1">
        <v>8697859</v>
      </c>
      <c r="U8" s="1">
        <v>8877786</v>
      </c>
      <c r="V8" s="1">
        <v>8164878</v>
      </c>
    </row>
    <row r="9" spans="1:22" x14ac:dyDescent="0.3">
      <c r="A9" s="218"/>
      <c r="B9" s="1">
        <v>112558</v>
      </c>
      <c r="C9" s="1">
        <v>102767</v>
      </c>
      <c r="D9" s="1">
        <v>184680</v>
      </c>
      <c r="E9" s="1">
        <v>56960</v>
      </c>
      <c r="F9" s="1">
        <v>3221587</v>
      </c>
      <c r="G9" s="1">
        <v>1245206</v>
      </c>
      <c r="H9" s="1">
        <v>14734883</v>
      </c>
      <c r="I9" s="1">
        <v>18326</v>
      </c>
      <c r="J9" s="1">
        <v>131692</v>
      </c>
      <c r="K9" s="1">
        <v>271306</v>
      </c>
      <c r="L9" s="1">
        <v>8490659</v>
      </c>
      <c r="M9" s="1">
        <v>17581765</v>
      </c>
      <c r="N9" s="3"/>
      <c r="O9" s="1">
        <v>28732</v>
      </c>
      <c r="P9" s="1">
        <v>4275985</v>
      </c>
      <c r="Q9" s="1">
        <v>45650</v>
      </c>
      <c r="R9" s="1">
        <v>9149881</v>
      </c>
      <c r="S9" s="1">
        <v>914319</v>
      </c>
      <c r="T9" s="1">
        <v>7981005</v>
      </c>
      <c r="U9" s="1">
        <v>6224821</v>
      </c>
      <c r="V9" s="1">
        <v>5752762</v>
      </c>
    </row>
    <row r="10" spans="1:22" x14ac:dyDescent="0.3">
      <c r="A10" s="218"/>
      <c r="B10" s="1">
        <v>7589</v>
      </c>
      <c r="C10" s="1">
        <v>854529</v>
      </c>
      <c r="D10" s="1">
        <v>168508</v>
      </c>
      <c r="E10" s="1">
        <v>183911</v>
      </c>
      <c r="F10" s="1">
        <v>3427207</v>
      </c>
      <c r="G10" s="1">
        <v>8430899</v>
      </c>
      <c r="H10" s="1">
        <v>11851558</v>
      </c>
      <c r="I10" s="1">
        <v>153566</v>
      </c>
      <c r="J10" s="1">
        <v>279369</v>
      </c>
      <c r="K10" s="1">
        <v>656636</v>
      </c>
      <c r="L10" s="1">
        <v>2378052</v>
      </c>
      <c r="M10" s="1">
        <v>14416071</v>
      </c>
      <c r="N10" s="3"/>
      <c r="O10" s="1">
        <v>1319588</v>
      </c>
      <c r="P10" s="1">
        <v>6080033</v>
      </c>
      <c r="Q10" s="1">
        <v>58464</v>
      </c>
      <c r="R10" s="1">
        <v>193871</v>
      </c>
      <c r="S10" s="1">
        <v>3173078</v>
      </c>
      <c r="T10" s="1">
        <v>2188421</v>
      </c>
      <c r="U10" s="1">
        <v>15441013</v>
      </c>
      <c r="V10" s="1">
        <v>14533381</v>
      </c>
    </row>
    <row r="11" spans="1:22" x14ac:dyDescent="0.3">
      <c r="A11" s="218"/>
      <c r="B11" s="1">
        <v>47764</v>
      </c>
      <c r="C11" s="1">
        <v>26914</v>
      </c>
      <c r="D11" s="1">
        <v>68208</v>
      </c>
      <c r="E11" s="1">
        <v>909449</v>
      </c>
      <c r="F11" s="1">
        <v>4703796</v>
      </c>
      <c r="G11" s="1">
        <v>8972192</v>
      </c>
      <c r="H11" s="1">
        <v>14321736</v>
      </c>
      <c r="I11" s="1">
        <v>426221</v>
      </c>
      <c r="J11" s="1">
        <v>246573</v>
      </c>
      <c r="K11" s="1">
        <v>3194958</v>
      </c>
      <c r="L11" s="1">
        <v>6784070</v>
      </c>
      <c r="M11" s="1">
        <v>9674168</v>
      </c>
      <c r="N11" s="3"/>
      <c r="O11" s="1">
        <v>2132397</v>
      </c>
      <c r="P11" s="1">
        <v>7760937</v>
      </c>
      <c r="Q11" s="1">
        <v>287830</v>
      </c>
      <c r="R11" s="1">
        <v>8296545</v>
      </c>
      <c r="S11" s="1">
        <v>27139</v>
      </c>
      <c r="T11" s="1">
        <v>7354873</v>
      </c>
      <c r="U11" s="1">
        <v>6142538</v>
      </c>
      <c r="V11" s="1">
        <v>17100255</v>
      </c>
    </row>
    <row r="12" spans="1:22" x14ac:dyDescent="0.3">
      <c r="A12" s="218"/>
      <c r="B12" s="1">
        <v>123468</v>
      </c>
      <c r="C12" s="1">
        <v>44440</v>
      </c>
      <c r="E12" s="1">
        <v>71596</v>
      </c>
      <c r="F12" s="1">
        <v>5762709</v>
      </c>
      <c r="G12" s="32">
        <v>7213127</v>
      </c>
      <c r="H12" s="1">
        <v>18016628</v>
      </c>
      <c r="I12" s="32">
        <v>178839</v>
      </c>
      <c r="J12" s="1">
        <v>72517</v>
      </c>
      <c r="K12" s="1">
        <v>28638</v>
      </c>
      <c r="L12" s="1">
        <v>11026678</v>
      </c>
      <c r="M12" s="1">
        <v>21003544</v>
      </c>
      <c r="N12" s="3"/>
      <c r="O12" s="1">
        <v>4916</v>
      </c>
      <c r="P12" s="1"/>
      <c r="Q12" s="1">
        <v>84801</v>
      </c>
      <c r="R12" s="1">
        <v>9416320</v>
      </c>
      <c r="S12" s="1">
        <v>4083583</v>
      </c>
      <c r="T12" s="1">
        <v>5645535</v>
      </c>
      <c r="U12" s="1">
        <v>11456416</v>
      </c>
      <c r="V12" s="32">
        <v>18843134</v>
      </c>
    </row>
    <row r="13" spans="1:22" ht="16.8" x14ac:dyDescent="0.3">
      <c r="A13" s="218"/>
      <c r="B13" s="14"/>
      <c r="C13" s="13"/>
      <c r="D13" s="16"/>
      <c r="E13" s="16"/>
      <c r="F13" s="16"/>
      <c r="G13" s="16"/>
      <c r="H13" s="16"/>
      <c r="I13" s="32"/>
      <c r="J13" s="16"/>
      <c r="K13" s="13"/>
      <c r="L13" s="13"/>
      <c r="M13" s="13"/>
      <c r="N13" s="3"/>
      <c r="O13" s="1">
        <v>1283555</v>
      </c>
      <c r="P13" s="13"/>
      <c r="Q13" s="13"/>
      <c r="R13" s="4"/>
      <c r="S13" s="32"/>
      <c r="T13" s="32"/>
      <c r="U13" s="32"/>
      <c r="V13" s="32"/>
    </row>
    <row r="14" spans="1:22" ht="16.8" x14ac:dyDescent="0.3">
      <c r="A14" s="218"/>
      <c r="B14" s="14"/>
      <c r="C14" s="16"/>
      <c r="D14" s="16"/>
      <c r="E14" s="16"/>
      <c r="F14" s="16"/>
      <c r="G14" s="16"/>
      <c r="H14" s="16"/>
      <c r="I14" s="32"/>
      <c r="J14" s="16"/>
      <c r="K14" s="13"/>
      <c r="L14" s="13"/>
      <c r="M14" s="13"/>
      <c r="N14" s="3"/>
      <c r="O14" s="1">
        <v>1050960</v>
      </c>
      <c r="P14" s="13"/>
      <c r="Q14" s="13"/>
      <c r="R14" s="4"/>
      <c r="S14" s="32"/>
      <c r="T14" s="32"/>
      <c r="U14" s="32"/>
      <c r="V14" s="32"/>
    </row>
    <row r="15" spans="1:22" ht="16.8" x14ac:dyDescent="0.3">
      <c r="A15" s="218"/>
      <c r="B15" s="14"/>
      <c r="C15" s="16"/>
      <c r="D15" s="16"/>
      <c r="E15" s="16"/>
      <c r="F15" s="16"/>
      <c r="G15" s="16"/>
      <c r="H15" s="16"/>
      <c r="I15" s="32"/>
      <c r="J15" s="16"/>
      <c r="K15" s="13"/>
      <c r="L15" s="13"/>
      <c r="M15" s="13"/>
      <c r="N15" s="3"/>
      <c r="O15" s="1">
        <v>156410</v>
      </c>
      <c r="P15" s="13"/>
      <c r="Q15" s="13"/>
      <c r="R15" s="4"/>
      <c r="S15" s="32"/>
      <c r="T15" s="32"/>
      <c r="U15" s="32"/>
      <c r="V15" s="32"/>
    </row>
    <row r="16" spans="1:22" ht="16.8" x14ac:dyDescent="0.3">
      <c r="A16" s="218"/>
      <c r="B16" s="14"/>
      <c r="C16" s="16"/>
      <c r="D16" s="16"/>
      <c r="E16" s="16"/>
      <c r="F16" s="16"/>
      <c r="G16" s="16"/>
      <c r="H16" s="16"/>
      <c r="I16" s="32"/>
      <c r="J16" s="16"/>
      <c r="K16" s="13"/>
      <c r="L16" s="13"/>
      <c r="M16" s="13"/>
      <c r="N16" s="3"/>
      <c r="O16" s="1">
        <v>4685186</v>
      </c>
      <c r="P16" s="13"/>
      <c r="Q16" s="13"/>
      <c r="R16" s="4"/>
      <c r="S16" s="32"/>
      <c r="T16" s="32"/>
      <c r="U16" s="32"/>
      <c r="V16" s="32"/>
    </row>
    <row r="17" spans="1:22" s="1" customFormat="1" ht="16.8" x14ac:dyDescent="0.3">
      <c r="A17" s="218"/>
      <c r="B17" s="14"/>
      <c r="C17" s="32"/>
      <c r="D17" s="32"/>
      <c r="E17" s="32"/>
      <c r="F17" s="32"/>
      <c r="G17" s="32"/>
      <c r="H17" s="32"/>
      <c r="I17" s="32"/>
      <c r="J17" s="32"/>
      <c r="K17" s="13"/>
      <c r="L17" s="13"/>
      <c r="M17" s="13"/>
      <c r="N17" s="3"/>
      <c r="O17" s="1">
        <v>534144</v>
      </c>
      <c r="P17" s="13"/>
      <c r="Q17" s="13"/>
      <c r="R17" s="32"/>
      <c r="S17" s="32"/>
      <c r="T17" s="32"/>
      <c r="U17" s="32"/>
      <c r="V17" s="32"/>
    </row>
    <row r="18" spans="1:22" s="1" customFormat="1" ht="16.8" x14ac:dyDescent="0.3">
      <c r="A18" s="218"/>
      <c r="B18" s="14"/>
      <c r="C18" s="32"/>
      <c r="D18" s="32"/>
      <c r="E18" s="32"/>
      <c r="F18" s="32"/>
      <c r="G18" s="32"/>
      <c r="H18" s="32"/>
      <c r="I18" s="32"/>
      <c r="J18" s="32"/>
      <c r="K18" s="13"/>
      <c r="L18" s="13"/>
      <c r="M18" s="13"/>
      <c r="N18" s="3"/>
      <c r="O18" s="1">
        <v>488837</v>
      </c>
      <c r="P18" s="13"/>
      <c r="Q18" s="13"/>
      <c r="R18" s="32"/>
      <c r="S18" s="32"/>
      <c r="T18" s="32"/>
      <c r="U18" s="32"/>
      <c r="V18" s="32"/>
    </row>
    <row r="19" spans="1:22" s="1" customFormat="1" ht="16.8" x14ac:dyDescent="0.3">
      <c r="A19" s="218"/>
      <c r="B19" s="14"/>
      <c r="C19" s="32"/>
      <c r="D19" s="32"/>
      <c r="E19" s="32"/>
      <c r="F19" s="32"/>
      <c r="G19" s="32"/>
      <c r="H19" s="32"/>
      <c r="I19" s="32"/>
      <c r="J19" s="32"/>
      <c r="K19" s="13"/>
      <c r="L19" s="13"/>
      <c r="M19" s="13"/>
      <c r="N19" s="3"/>
      <c r="O19" s="1">
        <v>78980</v>
      </c>
      <c r="P19" s="13"/>
      <c r="Q19" s="13"/>
      <c r="R19" s="32"/>
      <c r="S19" s="32"/>
      <c r="T19" s="32"/>
      <c r="U19" s="32"/>
      <c r="V19" s="32"/>
    </row>
    <row r="20" spans="1:22" ht="16.8" x14ac:dyDescent="0.3">
      <c r="A20" s="218"/>
      <c r="B20" s="14"/>
      <c r="C20" s="16"/>
      <c r="D20" s="16"/>
      <c r="E20" s="16"/>
      <c r="F20" s="16"/>
      <c r="G20" s="16"/>
      <c r="H20" s="16"/>
      <c r="I20" s="32"/>
      <c r="J20" s="16"/>
      <c r="K20" s="13"/>
      <c r="L20" s="13"/>
      <c r="M20" s="13"/>
      <c r="N20" s="3"/>
      <c r="O20" s="1">
        <v>498265</v>
      </c>
      <c r="P20" s="13"/>
      <c r="Q20" s="13"/>
      <c r="R20" s="4"/>
      <c r="S20" s="32"/>
      <c r="T20" s="32"/>
      <c r="U20" s="32"/>
      <c r="V20" s="32"/>
    </row>
    <row r="21" spans="1:22" s="1" customFormat="1" ht="16.8" x14ac:dyDescent="0.3">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estradiol-34ng/L</v>
      </c>
      <c r="J22" s="68" t="str">
        <f t="shared" si="0"/>
        <v>estradiol-68ng/L</v>
      </c>
      <c r="K22" s="68" t="str">
        <f t="shared" si="0"/>
        <v>estradiol-135ng/L</v>
      </c>
      <c r="L22" s="68" t="str">
        <f t="shared" si="0"/>
        <v>estradiol-270ng/L</v>
      </c>
      <c r="M22" s="68" t="str">
        <f t="shared" si="0"/>
        <v>estradiol-540ng/L</v>
      </c>
      <c r="N22" s="68" t="s">
        <v>47</v>
      </c>
      <c r="O22" s="68" t="str">
        <f t="shared" ref="O22:V22" si="1">O4</f>
        <v>Testo -30µg/L</v>
      </c>
      <c r="P22" s="68" t="str">
        <f t="shared" si="1"/>
        <v>Testo 30µg/L + EE2 -64ng/L</v>
      </c>
      <c r="Q22" s="68" t="str">
        <f t="shared" si="1"/>
        <v>Testo 30µg/L + FAD-10µg/L</v>
      </c>
      <c r="R22" s="68" t="str">
        <f t="shared" si="1"/>
        <v>estradiol-34ng/L + Testostérone</v>
      </c>
      <c r="S22" s="68" t="str">
        <f t="shared" si="1"/>
        <v>estradiol-68ng/L + Testostérone</v>
      </c>
      <c r="T22" s="68" t="str">
        <f t="shared" si="1"/>
        <v>estradiol-135ng/L + Testostérone</v>
      </c>
      <c r="U22" s="68" t="str">
        <f t="shared" si="1"/>
        <v>estradiol-270ng/L + Testostérone</v>
      </c>
      <c r="V22" s="68" t="str">
        <f t="shared" si="1"/>
        <v>estradiol-540ng/L + Testostérone</v>
      </c>
    </row>
    <row r="23" spans="1:22" x14ac:dyDescent="0.3">
      <c r="A23" s="5" t="s">
        <v>0</v>
      </c>
      <c r="B23" s="5">
        <f t="shared" ref="B23:M23" si="2">AVERAGE(B5:B20)</f>
        <v>112468.625</v>
      </c>
      <c r="C23" s="5">
        <f t="shared" si="2"/>
        <v>271561.875</v>
      </c>
      <c r="D23" s="5">
        <f t="shared" si="2"/>
        <v>702385.28571428568</v>
      </c>
      <c r="E23" s="5">
        <f t="shared" si="2"/>
        <v>619471.875</v>
      </c>
      <c r="F23" s="5">
        <f t="shared" si="2"/>
        <v>4712132</v>
      </c>
      <c r="G23" s="5">
        <f t="shared" si="2"/>
        <v>7619627</v>
      </c>
      <c r="H23" s="5">
        <f t="shared" si="2"/>
        <v>12734759.875</v>
      </c>
      <c r="I23" s="5">
        <f t="shared" si="2"/>
        <v>186761.625</v>
      </c>
      <c r="J23" s="5">
        <f t="shared" si="2"/>
        <v>253332.375</v>
      </c>
      <c r="K23" s="5">
        <f t="shared" si="2"/>
        <v>1959154.75</v>
      </c>
      <c r="L23" s="5">
        <f t="shared" si="2"/>
        <v>8167089.25</v>
      </c>
      <c r="M23" s="5">
        <f t="shared" si="2"/>
        <v>13047749.125</v>
      </c>
      <c r="N23" s="5" t="s">
        <v>0</v>
      </c>
      <c r="O23" s="5">
        <f t="shared" ref="O23:V23" si="3">AVERAGE(O5:O20)</f>
        <v>1265347.6875</v>
      </c>
      <c r="P23" s="5">
        <f t="shared" si="3"/>
        <v>5303337.1428571427</v>
      </c>
      <c r="Q23" s="5">
        <f t="shared" si="3"/>
        <v>126321.5</v>
      </c>
      <c r="R23" s="5">
        <f t="shared" si="3"/>
        <v>4534893</v>
      </c>
      <c r="S23" s="5">
        <f t="shared" si="3"/>
        <v>1520921.125</v>
      </c>
      <c r="T23" s="5">
        <f t="shared" si="3"/>
        <v>6923484.75</v>
      </c>
      <c r="U23" s="5">
        <f t="shared" si="3"/>
        <v>9972176.125</v>
      </c>
      <c r="V23" s="5">
        <f t="shared" si="3"/>
        <v>14571698</v>
      </c>
    </row>
    <row r="24" spans="1:22" x14ac:dyDescent="0.3">
      <c r="A24" s="3" t="s">
        <v>1</v>
      </c>
      <c r="B24" s="3">
        <f t="shared" ref="B24:M24" si="4">STDEV(B5:B20)</f>
        <v>76081.364233933316</v>
      </c>
      <c r="C24" s="3">
        <f t="shared" si="4"/>
        <v>282632.18403502938</v>
      </c>
      <c r="D24" s="3">
        <f t="shared" si="4"/>
        <v>1500600.8012619161</v>
      </c>
      <c r="E24" s="3">
        <f t="shared" si="4"/>
        <v>592594.00447727344</v>
      </c>
      <c r="F24" s="3">
        <f t="shared" si="4"/>
        <v>1551470.048285082</v>
      </c>
      <c r="G24" s="3">
        <f t="shared" si="4"/>
        <v>3377124.5026884717</v>
      </c>
      <c r="H24" s="3">
        <f t="shared" si="4"/>
        <v>3863540.2174081407</v>
      </c>
      <c r="I24" s="3">
        <f t="shared" si="4"/>
        <v>218945.10215311803</v>
      </c>
      <c r="J24" s="3">
        <f t="shared" si="4"/>
        <v>289509.08248863404</v>
      </c>
      <c r="K24" s="3">
        <f t="shared" si="4"/>
        <v>1960543.7282945442</v>
      </c>
      <c r="L24" s="3">
        <f t="shared" si="4"/>
        <v>3072367.945945126</v>
      </c>
      <c r="M24" s="3">
        <f t="shared" si="4"/>
        <v>6399643.9733042857</v>
      </c>
      <c r="N24" s="3" t="s">
        <v>1</v>
      </c>
      <c r="O24" s="3">
        <f t="shared" ref="O24:V24" si="5">STDEV(O5:O20)</f>
        <v>1868537.1937060899</v>
      </c>
      <c r="P24" s="3">
        <f t="shared" si="5"/>
        <v>1581143.9693719042</v>
      </c>
      <c r="Q24" s="3">
        <f t="shared" si="5"/>
        <v>87138.531506692598</v>
      </c>
      <c r="R24" s="3">
        <f t="shared" si="5"/>
        <v>3910821.5761350854</v>
      </c>
      <c r="S24" s="3">
        <f t="shared" si="5"/>
        <v>1689720.1449101765</v>
      </c>
      <c r="T24" s="3">
        <f t="shared" si="5"/>
        <v>3106308.1984352306</v>
      </c>
      <c r="U24" s="3">
        <f t="shared" si="5"/>
        <v>3054880.7416273314</v>
      </c>
      <c r="V24" s="3">
        <f t="shared" si="5"/>
        <v>5157148.6122533139</v>
      </c>
    </row>
    <row r="25" spans="1:22" ht="15" thickBot="1" x14ac:dyDescent="0.35"/>
    <row r="26" spans="1:22" ht="15" thickBot="1" x14ac:dyDescent="0.35">
      <c r="B26" s="221" t="s">
        <v>6</v>
      </c>
      <c r="C26" s="222"/>
      <c r="D26" s="222"/>
      <c r="E26" s="222"/>
      <c r="F26" s="222"/>
      <c r="G26" s="222"/>
      <c r="H26" s="222"/>
      <c r="I26" s="222"/>
      <c r="J26" s="222"/>
      <c r="K26" s="222"/>
      <c r="L26" s="222"/>
      <c r="M26" s="222"/>
      <c r="N26" s="1"/>
      <c r="O26" s="221" t="s">
        <v>3</v>
      </c>
      <c r="P26" s="222"/>
      <c r="Q26" s="222"/>
      <c r="R26" s="222"/>
      <c r="S26" s="222"/>
      <c r="T26" s="222"/>
      <c r="U26" s="222"/>
      <c r="V26" s="222"/>
    </row>
    <row r="27" spans="1:22" s="1" customFormat="1" x14ac:dyDescent="0.3">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estradiol-34ng/L</v>
      </c>
      <c r="J27" s="35" t="str">
        <f t="shared" si="6"/>
        <v>estradiol-68ng/L</v>
      </c>
      <c r="K27" s="35" t="str">
        <f t="shared" si="6"/>
        <v>estradiol-135ng/L</v>
      </c>
      <c r="L27" s="35" t="str">
        <f t="shared" si="6"/>
        <v>estradiol-270ng/L</v>
      </c>
      <c r="M27" s="35" t="str">
        <f t="shared" si="6"/>
        <v>estradiol-540ng/L</v>
      </c>
      <c r="N27" s="3"/>
      <c r="O27" s="36" t="str">
        <f t="shared" ref="O27:V27" si="7">O4</f>
        <v>Testo -30µg/L</v>
      </c>
      <c r="P27" s="36" t="str">
        <f t="shared" si="7"/>
        <v>Testo 30µg/L + EE2 -64ng/L</v>
      </c>
      <c r="Q27" s="36" t="str">
        <f t="shared" si="7"/>
        <v>Testo 30µg/L + FAD-10µg/L</v>
      </c>
      <c r="R27" s="36" t="str">
        <f t="shared" si="7"/>
        <v>estradiol-34ng/L + Testostérone</v>
      </c>
      <c r="S27" s="36" t="str">
        <f t="shared" si="7"/>
        <v>estradiol-68ng/L + Testostérone</v>
      </c>
      <c r="T27" s="36" t="str">
        <f t="shared" si="7"/>
        <v>estradiol-135ng/L + Testostérone</v>
      </c>
      <c r="U27" s="36" t="str">
        <f t="shared" si="7"/>
        <v>estradiol-270ng/L + Testostérone</v>
      </c>
      <c r="V27" s="36" t="str">
        <f t="shared" si="7"/>
        <v>estradiol-540ng/L + Testostérone</v>
      </c>
    </row>
    <row r="28" spans="1:22" x14ac:dyDescent="0.3">
      <c r="A28" s="219" t="s">
        <v>34</v>
      </c>
      <c r="B28" s="11">
        <f t="shared" ref="B28:M28" si="8">IF(B5="","",(B5/$O$23))</f>
        <v>0.12547223310114913</v>
      </c>
      <c r="C28" s="11">
        <f t="shared" si="8"/>
        <v>4.5154387655211167E-2</v>
      </c>
      <c r="D28" s="11">
        <f t="shared" si="8"/>
        <v>0.14771908294177841</v>
      </c>
      <c r="E28" s="11">
        <f t="shared" si="8"/>
        <v>0.96708518305961655</v>
      </c>
      <c r="F28" s="11">
        <f t="shared" si="8"/>
        <v>1.7987166867130344</v>
      </c>
      <c r="G28" s="11">
        <f t="shared" si="8"/>
        <v>4.2881731666340919</v>
      </c>
      <c r="H28" s="11">
        <f t="shared" si="8"/>
        <v>11.28227216995645</v>
      </c>
      <c r="I28" s="11">
        <f t="shared" si="8"/>
        <v>1.7041956304203545E-2</v>
      </c>
      <c r="J28" s="11">
        <f t="shared" si="8"/>
        <v>0.74341701438483088</v>
      </c>
      <c r="K28" s="11">
        <f t="shared" si="8"/>
        <v>2.0971579797509214</v>
      </c>
      <c r="L28" s="11">
        <f t="shared" si="8"/>
        <v>7.2284519822936018</v>
      </c>
      <c r="M28" s="11">
        <f t="shared" si="8"/>
        <v>13.774008655624939</v>
      </c>
      <c r="N28" s="6"/>
      <c r="O28" s="11">
        <f t="shared" ref="O28:V28" si="9">IF(O5="","",(O5/$O$23))</f>
        <v>0.64782115468954848</v>
      </c>
      <c r="P28" s="11">
        <f t="shared" si="9"/>
        <v>2.3835851835782487</v>
      </c>
      <c r="Q28" s="11">
        <f t="shared" si="9"/>
        <v>0.13330091141451586</v>
      </c>
      <c r="R28" s="11">
        <f t="shared" si="9"/>
        <v>2.4451777409203192E-3</v>
      </c>
      <c r="S28" s="11">
        <f t="shared" si="9"/>
        <v>0.36184046845227275</v>
      </c>
      <c r="T28" s="11">
        <f t="shared" si="9"/>
        <v>3.3014688699938848</v>
      </c>
      <c r="U28" s="11">
        <f t="shared" si="9"/>
        <v>7.6217249181956559</v>
      </c>
      <c r="V28" s="11">
        <f t="shared" si="9"/>
        <v>15.865040255981027</v>
      </c>
    </row>
    <row r="29" spans="1:22" x14ac:dyDescent="0.3">
      <c r="A29" s="220"/>
      <c r="B29" s="11">
        <f t="shared" ref="B29:M29" si="10">IF(B6="","",(B6/$O$23))</f>
        <v>0.20682852830518964</v>
      </c>
      <c r="C29" s="11">
        <f t="shared" si="10"/>
        <v>0.34493207227677491</v>
      </c>
      <c r="D29" s="11">
        <f t="shared" si="10"/>
        <v>3.2424898235727007</v>
      </c>
      <c r="E29" s="11">
        <f t="shared" si="10"/>
        <v>0.50344028466879387</v>
      </c>
      <c r="F29" s="11">
        <f t="shared" si="10"/>
        <v>5.0006808899312905</v>
      </c>
      <c r="G29" s="11">
        <f t="shared" si="10"/>
        <v>9.8623549268548381</v>
      </c>
      <c r="H29" s="11">
        <f t="shared" si="10"/>
        <v>4.0831504661045974</v>
      </c>
      <c r="I29" s="11">
        <f t="shared" si="10"/>
        <v>6.3791162537687893E-2</v>
      </c>
      <c r="J29" s="11">
        <f t="shared" si="10"/>
        <v>0.13534936025241678</v>
      </c>
      <c r="K29" s="11">
        <f t="shared" si="10"/>
        <v>0.11661537888573412</v>
      </c>
      <c r="L29" s="11">
        <f t="shared" si="10"/>
        <v>9.6779012764426451</v>
      </c>
      <c r="M29" s="11">
        <f t="shared" si="10"/>
        <v>0.55992752584850325</v>
      </c>
      <c r="N29" s="6"/>
      <c r="O29" s="11">
        <f t="shared" ref="O29:V29" si="11">IF(O6="","",(O6/$O$23))</f>
        <v>0.30104453010271931</v>
      </c>
      <c r="P29" s="11">
        <f t="shared" si="11"/>
        <v>5.0297906756161828</v>
      </c>
      <c r="Q29" s="11">
        <f t="shared" si="11"/>
        <v>0.11071107284099731</v>
      </c>
      <c r="R29" s="11">
        <f t="shared" si="11"/>
        <v>2.4824805316601966</v>
      </c>
      <c r="S29" s="11">
        <f t="shared" si="11"/>
        <v>7.0205209902041252E-2</v>
      </c>
      <c r="T29" s="11">
        <f t="shared" si="11"/>
        <v>9.9059753487714808</v>
      </c>
      <c r="U29" s="11">
        <f t="shared" si="11"/>
        <v>9.2775646693549589</v>
      </c>
      <c r="V29" s="11">
        <f t="shared" si="11"/>
        <v>14.270955863267423</v>
      </c>
    </row>
    <row r="30" spans="1:22" x14ac:dyDescent="0.3">
      <c r="A30" s="220"/>
      <c r="B30" s="11">
        <f t="shared" ref="B30:M30" si="12">IF(B7="","",(B7/$O$23))</f>
        <v>8.0071272900635065E-2</v>
      </c>
      <c r="C30" s="11">
        <f t="shared" si="12"/>
        <v>0.24470428409424821</v>
      </c>
      <c r="D30" s="11">
        <f t="shared" si="12"/>
        <v>0.12935654098628918</v>
      </c>
      <c r="E30" s="11">
        <f t="shared" si="12"/>
        <v>1.2993495908214556</v>
      </c>
      <c r="F30" s="11">
        <f t="shared" si="12"/>
        <v>4.5882503736744686</v>
      </c>
      <c r="G30" s="11">
        <f t="shared" si="12"/>
        <v>5.3993167786936818</v>
      </c>
      <c r="H30" s="11">
        <f t="shared" si="12"/>
        <v>10.842940747066407</v>
      </c>
      <c r="I30" s="11">
        <f t="shared" si="12"/>
        <v>0.48072399863614562</v>
      </c>
      <c r="J30" s="11">
        <f t="shared" si="12"/>
        <v>2.4740235675342791E-2</v>
      </c>
      <c r="K30" s="11">
        <f t="shared" si="12"/>
        <v>2.6936786099749361</v>
      </c>
      <c r="L30" s="11">
        <f t="shared" si="12"/>
        <v>7.1772194233373501</v>
      </c>
      <c r="M30" s="11">
        <f t="shared" si="12"/>
        <v>11.473224429471287</v>
      </c>
      <c r="N30" s="6"/>
      <c r="O30" s="11">
        <f t="shared" ref="O30:V30" si="13">IF(O7="","",(O7/$O$23))</f>
        <v>3.706254056753077E-2</v>
      </c>
      <c r="P30" s="11">
        <f t="shared" si="13"/>
        <v>4.1839464775565887</v>
      </c>
      <c r="Q30" s="11">
        <f t="shared" si="13"/>
        <v>0.14981099809375517</v>
      </c>
      <c r="R30" s="11">
        <f t="shared" si="13"/>
        <v>3.1894198249759711</v>
      </c>
      <c r="S30" s="11">
        <f t="shared" si="13"/>
        <v>0.12346250879760666</v>
      </c>
      <c r="T30" s="11">
        <f t="shared" si="13"/>
        <v>5.3804784781732176</v>
      </c>
      <c r="U30" s="11">
        <f t="shared" si="13"/>
        <v>8.1016135733049257</v>
      </c>
      <c r="V30" s="11">
        <f t="shared" si="13"/>
        <v>11.101028704412913</v>
      </c>
    </row>
    <row r="31" spans="1:22" x14ac:dyDescent="0.3">
      <c r="A31" s="220"/>
      <c r="B31" s="11">
        <f t="shared" ref="B31:M31" si="14">IF(B8="","",(B8/$O$23))</f>
        <v>6.842072013507354E-2</v>
      </c>
      <c r="C31" s="11">
        <f t="shared" si="14"/>
        <v>0.26918609277499472</v>
      </c>
      <c r="D31" s="11">
        <f t="shared" si="14"/>
        <v>3.3055736706358821E-2</v>
      </c>
      <c r="E31" s="11">
        <f t="shared" si="14"/>
        <v>0.18098108706584254</v>
      </c>
      <c r="F31" s="11">
        <f t="shared" si="14"/>
        <v>4.8780450313977441</v>
      </c>
      <c r="G31" s="11">
        <f t="shared" si="14"/>
        <v>8.1860828468934148</v>
      </c>
      <c r="H31" s="11">
        <f t="shared" si="14"/>
        <v>7.7374638581302975</v>
      </c>
      <c r="I31" s="11">
        <f t="shared" si="14"/>
        <v>5.196990570230129E-3</v>
      </c>
      <c r="J31" s="11">
        <f t="shared" si="14"/>
        <v>0.12111927932060966</v>
      </c>
      <c r="K31" s="11">
        <f t="shared" si="14"/>
        <v>4.1981085929791133</v>
      </c>
      <c r="L31" s="11">
        <f t="shared" si="14"/>
        <v>4.8865320267952042</v>
      </c>
      <c r="M31" s="11">
        <f t="shared" si="14"/>
        <v>7.1533018864429705</v>
      </c>
      <c r="N31" s="6"/>
      <c r="O31" s="11">
        <f t="shared" ref="O31:V31" si="15">IF(O8="","",(O8/$O$23))</f>
        <v>5.3234783344874135</v>
      </c>
      <c r="P31" s="11">
        <f t="shared" si="15"/>
        <v>3.4233752847475767</v>
      </c>
      <c r="Q31" s="11">
        <f t="shared" si="15"/>
        <v>2.8058691180877508E-2</v>
      </c>
      <c r="R31" s="11">
        <f t="shared" si="15"/>
        <v>1.6141863775287455</v>
      </c>
      <c r="S31" s="11">
        <f t="shared" si="15"/>
        <v>2.5813766700387637</v>
      </c>
      <c r="T31" s="11">
        <f t="shared" si="15"/>
        <v>6.8738885651142425</v>
      </c>
      <c r="U31" s="11">
        <f t="shared" si="15"/>
        <v>7.0160842649819122</v>
      </c>
      <c r="V31" s="11">
        <f t="shared" si="15"/>
        <v>6.4526754825242447</v>
      </c>
    </row>
    <row r="32" spans="1:22" x14ac:dyDescent="0.3">
      <c r="A32" s="220"/>
      <c r="B32" s="11">
        <f t="shared" ref="B32:M32" si="16">IF(B9="","",(B9/$O$23))</f>
        <v>8.895420690449557E-2</v>
      </c>
      <c r="C32" s="11">
        <f t="shared" si="16"/>
        <v>8.1216412702378296E-2</v>
      </c>
      <c r="D32" s="11">
        <f t="shared" si="16"/>
        <v>0.14595197970044102</v>
      </c>
      <c r="E32" s="11">
        <f t="shared" si="16"/>
        <v>4.501529545016851E-2</v>
      </c>
      <c r="F32" s="11">
        <f t="shared" si="16"/>
        <v>2.5460093157201902</v>
      </c>
      <c r="G32" s="11">
        <f t="shared" si="16"/>
        <v>0.98408209245650513</v>
      </c>
      <c r="H32" s="11">
        <f t="shared" si="16"/>
        <v>11.644928224520108</v>
      </c>
      <c r="I32" s="11">
        <f t="shared" si="16"/>
        <v>1.4482975850066505E-2</v>
      </c>
      <c r="J32" s="11">
        <f t="shared" si="16"/>
        <v>0.10407574242316699</v>
      </c>
      <c r="K32" s="11">
        <f t="shared" si="16"/>
        <v>0.2144122146664926</v>
      </c>
      <c r="L32" s="11">
        <f t="shared" si="16"/>
        <v>6.7101391055412982</v>
      </c>
      <c r="M32" s="11">
        <f t="shared" si="16"/>
        <v>13.894809445407866</v>
      </c>
      <c r="N32" s="6"/>
      <c r="O32" s="11">
        <f t="shared" ref="O32:V32" si="17">IF(O9="","",(O9/$O$23))</f>
        <v>2.2706802473213515E-2</v>
      </c>
      <c r="P32" s="11">
        <f t="shared" si="17"/>
        <v>3.3792964907915874</v>
      </c>
      <c r="Q32" s="11">
        <f t="shared" si="17"/>
        <v>3.6077040682938773E-2</v>
      </c>
      <c r="R32" s="11">
        <f t="shared" si="17"/>
        <v>7.2311200236812381</v>
      </c>
      <c r="S32" s="11">
        <f t="shared" si="17"/>
        <v>0.7225832148999759</v>
      </c>
      <c r="T32" s="11">
        <f t="shared" si="17"/>
        <v>6.3073612721957897</v>
      </c>
      <c r="U32" s="11">
        <f t="shared" si="17"/>
        <v>4.9194549936694774</v>
      </c>
      <c r="V32" s="11">
        <f t="shared" si="17"/>
        <v>4.546388361736347</v>
      </c>
    </row>
    <row r="33" spans="1:22" x14ac:dyDescent="0.3">
      <c r="A33" s="220"/>
      <c r="B33" s="11">
        <f t="shared" ref="B33:M33" si="18">IF(B10="","",(B10/$O$23))</f>
        <v>5.9975610458449591E-3</v>
      </c>
      <c r="C33" s="11">
        <f t="shared" si="18"/>
        <v>0.67533138001645099</v>
      </c>
      <c r="D33" s="11">
        <f t="shared" si="18"/>
        <v>0.13317130276890793</v>
      </c>
      <c r="E33" s="11">
        <f t="shared" si="18"/>
        <v>0.14534424159999898</v>
      </c>
      <c r="F33" s="11">
        <f t="shared" si="18"/>
        <v>2.708510106634229</v>
      </c>
      <c r="G33" s="11">
        <f t="shared" si="18"/>
        <v>6.6629109795563597</v>
      </c>
      <c r="H33" s="11">
        <f t="shared" si="18"/>
        <v>9.3662462239257067</v>
      </c>
      <c r="I33" s="11">
        <f t="shared" si="18"/>
        <v>0.12136269067943431</v>
      </c>
      <c r="J33" s="11">
        <f t="shared" si="18"/>
        <v>0.22078437631000927</v>
      </c>
      <c r="K33" s="11">
        <f t="shared" si="18"/>
        <v>0.5189372110817565</v>
      </c>
      <c r="L33" s="11">
        <f t="shared" si="18"/>
        <v>1.8793664567391877</v>
      </c>
      <c r="M33" s="11">
        <f t="shared" si="18"/>
        <v>11.392972178644772</v>
      </c>
      <c r="N33" s="6"/>
      <c r="O33" s="11">
        <f t="shared" ref="O33:V33" si="19">IF(O10="","",(O10/$O$23))</f>
        <v>1.0428659356126575</v>
      </c>
      <c r="P33" s="11">
        <f t="shared" si="19"/>
        <v>4.8050295267165453</v>
      </c>
      <c r="Q33" s="11">
        <f t="shared" si="19"/>
        <v>4.6203901565987568E-2</v>
      </c>
      <c r="R33" s="11">
        <f t="shared" si="19"/>
        <v>0.15321559593082199</v>
      </c>
      <c r="S33" s="11">
        <f t="shared" si="19"/>
        <v>2.5076728170019278</v>
      </c>
      <c r="T33" s="11">
        <f t="shared" si="19"/>
        <v>1.7295017184753025</v>
      </c>
      <c r="U33" s="11">
        <f t="shared" si="19"/>
        <v>12.202980376490395</v>
      </c>
      <c r="V33" s="11">
        <f t="shared" si="19"/>
        <v>11.485681875085421</v>
      </c>
    </row>
    <row r="34" spans="1:22" x14ac:dyDescent="0.3">
      <c r="A34" s="220"/>
      <c r="B34" s="11">
        <f t="shared" ref="B34:M34" si="20">IF(B11="","",(B11/$O$23))</f>
        <v>3.774772773668976E-2</v>
      </c>
      <c r="C34" s="11">
        <f t="shared" si="20"/>
        <v>2.1270043218852445E-2</v>
      </c>
      <c r="D34" s="11">
        <f t="shared" si="20"/>
        <v>5.3904551826985496E-2</v>
      </c>
      <c r="E34" s="11">
        <f t="shared" si="20"/>
        <v>0.71873447036271598</v>
      </c>
      <c r="F34" s="11">
        <f t="shared" si="20"/>
        <v>3.7173940779024024</v>
      </c>
      <c r="G34" s="11">
        <f t="shared" si="20"/>
        <v>7.0906930076481451</v>
      </c>
      <c r="H34" s="11">
        <f t="shared" si="20"/>
        <v>11.318419547038529</v>
      </c>
      <c r="I34" s="11">
        <f t="shared" si="20"/>
        <v>0.3368410154857141</v>
      </c>
      <c r="J34" s="11">
        <f t="shared" si="20"/>
        <v>0.19486580837490169</v>
      </c>
      <c r="K34" s="11">
        <f t="shared" si="20"/>
        <v>2.5249645070379123</v>
      </c>
      <c r="L34" s="11">
        <f t="shared" si="20"/>
        <v>5.3614275878620914</v>
      </c>
      <c r="M34" s="11">
        <f t="shared" si="20"/>
        <v>7.6454622674607764</v>
      </c>
      <c r="N34" s="6"/>
      <c r="O34" s="11">
        <f t="shared" ref="O34:V34" si="21">IF(O11="","",(O11/$O$23))</f>
        <v>1.6852261406610427</v>
      </c>
      <c r="P34" s="11">
        <f t="shared" si="21"/>
        <v>6.1334422757223397</v>
      </c>
      <c r="Q34" s="11">
        <f t="shared" si="21"/>
        <v>0.22747107600811101</v>
      </c>
      <c r="R34" s="11">
        <f t="shared" si="21"/>
        <v>6.5567314675319226</v>
      </c>
      <c r="S34" s="11">
        <f t="shared" si="21"/>
        <v>2.144785995825357E-2</v>
      </c>
      <c r="T34" s="11">
        <f t="shared" si="21"/>
        <v>5.8125312691971072</v>
      </c>
      <c r="U34" s="11">
        <f t="shared" si="21"/>
        <v>4.8544270169221768</v>
      </c>
      <c r="V34" s="11">
        <f t="shared" si="21"/>
        <v>13.514273720123269</v>
      </c>
    </row>
    <row r="35" spans="1:22" x14ac:dyDescent="0.3">
      <c r="A35" s="220"/>
      <c r="B35" s="11">
        <f t="shared" ref="B35:M35" si="22">IF(B12="","",(B12/$O$23))</f>
        <v>9.7576343023901085E-2</v>
      </c>
      <c r="C35" s="11">
        <f t="shared" si="22"/>
        <v>3.5120781773270521E-2</v>
      </c>
      <c r="D35" s="11" t="str">
        <f t="shared" si="22"/>
        <v/>
      </c>
      <c r="E35" s="11">
        <f t="shared" si="22"/>
        <v>5.6582076774056619E-2</v>
      </c>
      <c r="F35" s="11">
        <f t="shared" si="22"/>
        <v>4.5542494422111153</v>
      </c>
      <c r="G35" s="11">
        <f t="shared" si="22"/>
        <v>5.700509884560879</v>
      </c>
      <c r="H35" s="11">
        <f t="shared" si="22"/>
        <v>14.238480204279822</v>
      </c>
      <c r="I35" s="11">
        <f t="shared" si="22"/>
        <v>0.14133585714558791</v>
      </c>
      <c r="J35" s="11">
        <f t="shared" si="22"/>
        <v>5.730993996067188E-2</v>
      </c>
      <c r="K35" s="11">
        <f t="shared" si="22"/>
        <v>2.2632514590974824E-2</v>
      </c>
      <c r="L35" s="11">
        <f t="shared" si="22"/>
        <v>8.7143463483826054</v>
      </c>
      <c r="M35" s="11">
        <f t="shared" si="22"/>
        <v>16.59902982199112</v>
      </c>
      <c r="N35" s="6"/>
      <c r="O35" s="11">
        <f t="shared" ref="O35:V35" si="23">IF(O12="","",(O12/$O$23))</f>
        <v>3.8850981817596282E-3</v>
      </c>
      <c r="P35" s="11" t="str">
        <f t="shared" si="23"/>
        <v/>
      </c>
      <c r="Q35" s="11">
        <f t="shared" si="23"/>
        <v>6.7017943635353586E-2</v>
      </c>
      <c r="R35" s="11">
        <f t="shared" si="23"/>
        <v>7.4416858647003297</v>
      </c>
      <c r="S35" s="11">
        <f t="shared" si="23"/>
        <v>3.2272418405948997</v>
      </c>
      <c r="T35" s="11">
        <f t="shared" si="23"/>
        <v>4.4616472261107285</v>
      </c>
      <c r="U35" s="11">
        <f t="shared" si="23"/>
        <v>9.0539668370793152</v>
      </c>
      <c r="V35" s="11">
        <f t="shared" si="23"/>
        <v>14.891665102126328</v>
      </c>
    </row>
    <row r="36" spans="1:22" s="1" customFormat="1" x14ac:dyDescent="0.3">
      <c r="A36" s="220"/>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1.0143891775200324</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
      <c r="A37" s="220"/>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0.830570135293348</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
      <c r="A38" s="220"/>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0.12361029426546449</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
      <c r="A39" s="220"/>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3.7026866578123809</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
      <c r="A40" s="220"/>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0.42213219755854653</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
      <c r="A41" s="220"/>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0.38632622861611704</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
      <c r="A42" s="220"/>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6.2417627012891663E-2</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
      <c r="A43" s="220"/>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0.3937771451453338</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
      <c r="A44" s="7"/>
      <c r="B44" s="3"/>
      <c r="C44" s="3"/>
      <c r="D44" s="3"/>
      <c r="E44" s="3"/>
      <c r="F44" s="3"/>
      <c r="G44" s="3"/>
      <c r="H44" s="3"/>
      <c r="I44" s="3"/>
      <c r="J44" s="3"/>
      <c r="N44" s="7"/>
      <c r="O44" s="3"/>
      <c r="P44" s="3"/>
      <c r="Q44" s="3"/>
      <c r="R44" s="3"/>
      <c r="S44" s="3"/>
      <c r="T44" s="3"/>
      <c r="U44" s="3"/>
      <c r="V44" s="3"/>
    </row>
    <row r="45" spans="1:22" s="69" customFormat="1" x14ac:dyDescent="0.3">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estradiol-34ng/L</v>
      </c>
      <c r="J45" s="70" t="str">
        <f t="shared" si="46"/>
        <v>estradiol-68ng/L</v>
      </c>
      <c r="K45" s="70" t="str">
        <f t="shared" si="46"/>
        <v>estradiol-135ng/L</v>
      </c>
      <c r="L45" s="70" t="str">
        <f t="shared" si="46"/>
        <v>estradiol-270ng/L</v>
      </c>
      <c r="M45" s="70" t="str">
        <f t="shared" si="46"/>
        <v>estradiol-540ng/L</v>
      </c>
      <c r="N45" s="70" t="str">
        <f>N22</f>
        <v>Nom des groupes</v>
      </c>
      <c r="O45" s="70" t="str">
        <f t="shared" ref="O45:V45" si="47">O4</f>
        <v>Testo -30µg/L</v>
      </c>
      <c r="P45" s="70" t="str">
        <f t="shared" si="47"/>
        <v>Testo 30µg/L + EE2 -64ng/L</v>
      </c>
      <c r="Q45" s="70" t="str">
        <f t="shared" si="47"/>
        <v>Testo 30µg/L + FAD-10µg/L</v>
      </c>
      <c r="R45" s="70" t="str">
        <f t="shared" si="47"/>
        <v>estradiol-34ng/L + Testostérone</v>
      </c>
      <c r="S45" s="70" t="str">
        <f t="shared" si="47"/>
        <v>estradiol-68ng/L + Testostérone</v>
      </c>
      <c r="T45" s="70" t="str">
        <f t="shared" si="47"/>
        <v>estradiol-135ng/L + Testostérone</v>
      </c>
      <c r="U45" s="70" t="str">
        <f t="shared" si="47"/>
        <v>estradiol-270ng/L + Testostérone</v>
      </c>
      <c r="V45" s="70" t="str">
        <f t="shared" si="47"/>
        <v>estradiol-540ng/L + Testostérone</v>
      </c>
    </row>
    <row r="46" spans="1:22" x14ac:dyDescent="0.3">
      <c r="A46" s="8" t="s">
        <v>0</v>
      </c>
      <c r="B46" s="10">
        <f t="shared" ref="B46:H46" si="48">AVERAGE(B28:B43)</f>
        <v>8.8883574144122346E-2</v>
      </c>
      <c r="C46" s="10">
        <f t="shared" si="48"/>
        <v>0.21461443181402268</v>
      </c>
      <c r="D46" s="10">
        <f t="shared" si="48"/>
        <v>0.55509271692906592</v>
      </c>
      <c r="E46" s="10">
        <f t="shared" si="48"/>
        <v>0.48956652872533107</v>
      </c>
      <c r="F46" s="10">
        <f t="shared" si="48"/>
        <v>3.7239819905230593</v>
      </c>
      <c r="G46" s="10">
        <f t="shared" si="48"/>
        <v>6.0217654604122393</v>
      </c>
      <c r="H46" s="10">
        <f t="shared" si="48"/>
        <v>10.064237680127739</v>
      </c>
      <c r="I46" s="10">
        <f>AVERAGE(I28:I43)</f>
        <v>0.14759708090113374</v>
      </c>
      <c r="J46" s="9">
        <f>AVERAGE(J28:J43)</f>
        <v>0.20020771958774375</v>
      </c>
      <c r="K46" s="9">
        <f>AVERAGE(K28:K43)</f>
        <v>1.54831337612098</v>
      </c>
      <c r="L46" s="9">
        <f t="shared" ref="L46:M46" si="49">AVERAGE(L28:L43)</f>
        <v>6.454423025924247</v>
      </c>
      <c r="M46" s="9">
        <f t="shared" si="49"/>
        <v>10.311592026361529</v>
      </c>
      <c r="N46" s="8" t="s">
        <v>0</v>
      </c>
      <c r="O46" s="10">
        <f>AVERAGE(O28:O43)</f>
        <v>1</v>
      </c>
      <c r="P46" s="10">
        <f>AVERAGE(P28:P43)</f>
        <v>4.1912094163898672</v>
      </c>
      <c r="Q46" s="10">
        <f>AVERAGE(Q28:Q43)</f>
        <v>9.9831454427817101E-2</v>
      </c>
      <c r="R46" s="10">
        <f>AVERAGE(R28:R43)</f>
        <v>3.5839106079687681</v>
      </c>
      <c r="S46" s="10">
        <f t="shared" ref="S46:V46" si="50">AVERAGE(S28:S43)</f>
        <v>1.2019788237057176</v>
      </c>
      <c r="T46" s="10">
        <f t="shared" si="50"/>
        <v>5.4716065935039699</v>
      </c>
      <c r="U46" s="10">
        <f t="shared" si="50"/>
        <v>7.8809770812498527</v>
      </c>
      <c r="V46" s="10">
        <f t="shared" si="50"/>
        <v>11.51596367065712</v>
      </c>
    </row>
    <row r="47" spans="1:22" x14ac:dyDescent="0.3">
      <c r="A47" s="8" t="s">
        <v>1</v>
      </c>
      <c r="B47" s="8">
        <f t="shared" ref="B47:K47" si="51">STDEV(B28:B43)</f>
        <v>6.0126844965631872E-2</v>
      </c>
      <c r="C47" s="8">
        <f t="shared" si="51"/>
        <v>0.22336325962189688</v>
      </c>
      <c r="D47" s="8">
        <f t="shared" si="51"/>
        <v>1.185919740547134</v>
      </c>
      <c r="E47" s="8">
        <f t="shared" si="51"/>
        <v>0.46832503851023433</v>
      </c>
      <c r="F47" s="8">
        <f t="shared" si="51"/>
        <v>1.2261215345091323</v>
      </c>
      <c r="G47" s="8">
        <f t="shared" si="51"/>
        <v>2.6689300783097782</v>
      </c>
      <c r="H47" s="8">
        <f t="shared" si="51"/>
        <v>3.0533427733538572</v>
      </c>
      <c r="I47" s="8">
        <f>STDEV(I28:I43)</f>
        <v>0.17303157410094688</v>
      </c>
      <c r="J47" s="8">
        <f t="shared" si="51"/>
        <v>0.22879804922284178</v>
      </c>
      <c r="K47" s="8">
        <f t="shared" si="51"/>
        <v>1.5494110809718014</v>
      </c>
      <c r="L47" s="8">
        <f t="shared" ref="L47:M47" si="52">STDEV(L28:L43)</f>
        <v>2.4280820017266036</v>
      </c>
      <c r="M47" s="8">
        <f t="shared" si="52"/>
        <v>5.0576169984933763</v>
      </c>
      <c r="N47" s="8" t="s">
        <v>1</v>
      </c>
      <c r="O47" s="8">
        <f>STDEV(O28:O43)</f>
        <v>1.4766986277090659</v>
      </c>
      <c r="P47" s="8">
        <f>STDEV(P28:P43)</f>
        <v>1.2495727340331542</v>
      </c>
      <c r="Q47" s="8">
        <f>STDEV(Q28:Q43)</f>
        <v>6.8865286883209004E-2</v>
      </c>
      <c r="R47" s="8">
        <f>STDEV(R28:R43)</f>
        <v>3.0907090713239915</v>
      </c>
      <c r="S47" s="8">
        <f t="shared" ref="S47:V47" si="53">STDEV(S28:S43)</f>
        <v>1.3353801185258629</v>
      </c>
      <c r="T47" s="8">
        <f t="shared" si="53"/>
        <v>2.45490486853656</v>
      </c>
      <c r="U47" s="8">
        <f t="shared" si="53"/>
        <v>2.4142619232686795</v>
      </c>
      <c r="V47" s="8">
        <f t="shared" si="53"/>
        <v>4.0756771148351447</v>
      </c>
    </row>
    <row r="48" spans="1:22" x14ac:dyDescent="0.3">
      <c r="A48" s="8" t="s">
        <v>2</v>
      </c>
      <c r="B48" s="8">
        <f t="shared" ref="B48:K48" si="54" xml:space="preserve"> B47/SQRT(COUNT(B28:B43))</f>
        <v>2.1258049903275261E-2</v>
      </c>
      <c r="C48" s="8">
        <f t="shared" si="54"/>
        <v>7.8970837773287311E-2</v>
      </c>
      <c r="D48" s="8">
        <f t="shared" si="54"/>
        <v>0.44823552976713699</v>
      </c>
      <c r="E48" s="8">
        <f t="shared" si="54"/>
        <v>0.16557790526501884</v>
      </c>
      <c r="F48" s="8">
        <f t="shared" si="54"/>
        <v>0.4334994258051314</v>
      </c>
      <c r="G48" s="8">
        <f t="shared" si="54"/>
        <v>0.94360927844279374</v>
      </c>
      <c r="H48" s="8">
        <f t="shared" si="54"/>
        <v>1.079519690162726</v>
      </c>
      <c r="I48" s="8">
        <f xml:space="preserve"> I47/SQRT(COUNT(I28:I43))</f>
        <v>6.1175899703081064E-2</v>
      </c>
      <c r="J48" s="8">
        <f t="shared" si="54"/>
        <v>8.0892326063862444E-2</v>
      </c>
      <c r="K48" s="8">
        <f t="shared" si="54"/>
        <v>0.54779954110036977</v>
      </c>
      <c r="L48" s="8">
        <f t="shared" ref="L48:M48" si="55" xml:space="preserve"> L47/SQRT(COUNT(L28:L43))</f>
        <v>0.85845662434894388</v>
      </c>
      <c r="M48" s="8">
        <f t="shared" si="55"/>
        <v>1.7881376381395093</v>
      </c>
      <c r="N48" s="8" t="s">
        <v>2</v>
      </c>
      <c r="O48" s="8">
        <f xml:space="preserve"> O47/SQRT(COUNT(O28:O43))</f>
        <v>0.36917465692726648</v>
      </c>
      <c r="P48" s="8">
        <f xml:space="preserve"> P47/SQRT(COUNT(P28:P43))</f>
        <v>0.47229409990554033</v>
      </c>
      <c r="Q48" s="8">
        <f xml:space="preserve"> Q47/SQRT(COUNT(Q28:Q43))</f>
        <v>2.4347555671737044E-2</v>
      </c>
      <c r="R48" s="8">
        <f xml:space="preserve"> R47/SQRT(COUNT(R28:R43))</f>
        <v>1.0927306715039855</v>
      </c>
      <c r="S48" s="8">
        <f t="shared" ref="S48:V48" si="56" xml:space="preserve"> S47/SQRT(COUNT(S28:S43))</f>
        <v>0.47212816863566659</v>
      </c>
      <c r="T48" s="8">
        <f t="shared" si="56"/>
        <v>0.8679399398550357</v>
      </c>
      <c r="U48" s="8">
        <f t="shared" si="56"/>
        <v>0.85357048875187969</v>
      </c>
      <c r="V48" s="8">
        <f t="shared" si="56"/>
        <v>1.4409694629133769</v>
      </c>
    </row>
    <row r="49" spans="1:22" s="1" customFormat="1"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38</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35">
      <c r="A51"/>
      <c r="B51"/>
      <c r="C51"/>
      <c r="D51"/>
      <c r="E51"/>
      <c r="F51"/>
      <c r="G51"/>
      <c r="H51"/>
      <c r="I51"/>
      <c r="J51"/>
      <c r="K51"/>
      <c r="L51"/>
      <c r="M51"/>
      <c r="S51"/>
      <c r="T51"/>
      <c r="U51"/>
      <c r="V51"/>
    </row>
    <row r="52" spans="1:22" x14ac:dyDescent="0.3">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estradiol-34ng/L</v>
      </c>
      <c r="J52" s="46" t="str">
        <f>J4</f>
        <v>estradiol-68ng/L</v>
      </c>
      <c r="K52" s="46" t="str">
        <f>K27</f>
        <v>estradiol-135ng/L</v>
      </c>
      <c r="L52" s="46" t="str">
        <f t="shared" ref="L52:M52" si="58">L27</f>
        <v>estradiol-270ng/L</v>
      </c>
      <c r="M52" s="46" t="str">
        <f t="shared" si="58"/>
        <v>estradiol-540ng/L</v>
      </c>
      <c r="N52" s="47"/>
      <c r="O52" s="46" t="str">
        <f>O27</f>
        <v>Testo -30µg/L</v>
      </c>
      <c r="P52" s="46" t="str">
        <f>P27</f>
        <v>Testo 30µg/L + EE2 -64ng/L</v>
      </c>
      <c r="Q52" s="46" t="str">
        <f>Q27</f>
        <v>Testo 30µg/L + FAD-10µg/L</v>
      </c>
      <c r="R52" s="46" t="str">
        <f>R27</f>
        <v>estradiol-34ng/L + Testostérone</v>
      </c>
      <c r="S52" s="46" t="str">
        <f t="shared" ref="S52:V52" si="59">S27</f>
        <v>estradiol-68ng/L + Testostérone</v>
      </c>
      <c r="T52" s="46" t="str">
        <f t="shared" si="59"/>
        <v>estradiol-135ng/L + Testostérone</v>
      </c>
      <c r="U52" s="46" t="str">
        <f t="shared" si="59"/>
        <v>estradiol-270ng/L + Testostérone</v>
      </c>
      <c r="V52" s="46" t="str">
        <f t="shared" si="59"/>
        <v>estradiol-540ng/L + Testostérone</v>
      </c>
    </row>
    <row r="53" spans="1:22" s="3" customFormat="1" x14ac:dyDescent="0.3">
      <c r="A53" s="61" t="s">
        <v>32</v>
      </c>
      <c r="B53" s="141">
        <f t="shared" ref="B53:M53" si="60">B46</f>
        <v>8.8883574144122346E-2</v>
      </c>
      <c r="C53" s="141">
        <f t="shared" si="60"/>
        <v>0.21461443181402268</v>
      </c>
      <c r="D53" s="141">
        <f t="shared" si="60"/>
        <v>0.55509271692906592</v>
      </c>
      <c r="E53" s="141">
        <f t="shared" si="60"/>
        <v>0.48956652872533107</v>
      </c>
      <c r="F53" s="141">
        <f t="shared" si="60"/>
        <v>3.7239819905230593</v>
      </c>
      <c r="G53" s="141">
        <f t="shared" si="60"/>
        <v>6.0217654604122393</v>
      </c>
      <c r="H53" s="141">
        <f t="shared" si="60"/>
        <v>10.064237680127739</v>
      </c>
      <c r="I53" s="141">
        <f t="shared" si="60"/>
        <v>0.14759708090113374</v>
      </c>
      <c r="J53" s="141">
        <f t="shared" si="60"/>
        <v>0.20020771958774375</v>
      </c>
      <c r="K53" s="141">
        <f t="shared" si="60"/>
        <v>1.54831337612098</v>
      </c>
      <c r="L53" s="141">
        <f t="shared" si="60"/>
        <v>6.454423025924247</v>
      </c>
      <c r="M53" s="141">
        <f t="shared" si="60"/>
        <v>10.311592026361529</v>
      </c>
      <c r="N53" s="141"/>
      <c r="O53" s="141">
        <f t="shared" ref="O53:V53" si="61">O46</f>
        <v>1</v>
      </c>
      <c r="P53" s="141">
        <f t="shared" si="61"/>
        <v>4.1912094163898672</v>
      </c>
      <c r="Q53" s="141">
        <f t="shared" si="61"/>
        <v>9.9831454427817101E-2</v>
      </c>
      <c r="R53" s="141">
        <f t="shared" si="61"/>
        <v>3.5839106079687681</v>
      </c>
      <c r="S53" s="141">
        <f t="shared" si="61"/>
        <v>1.2019788237057176</v>
      </c>
      <c r="T53" s="141">
        <f t="shared" si="61"/>
        <v>5.4716065935039699</v>
      </c>
      <c r="U53" s="141">
        <f t="shared" si="61"/>
        <v>7.8809770812498527</v>
      </c>
      <c r="V53" s="141">
        <f t="shared" si="61"/>
        <v>11.51596367065712</v>
      </c>
    </row>
    <row r="54" spans="1:22" s="3" customFormat="1" x14ac:dyDescent="0.3">
      <c r="A54" s="61" t="s">
        <v>2</v>
      </c>
      <c r="B54" s="141">
        <f t="shared" ref="B54:M54" si="62">B48</f>
        <v>2.1258049903275261E-2</v>
      </c>
      <c r="C54" s="141">
        <f t="shared" si="62"/>
        <v>7.8970837773287311E-2</v>
      </c>
      <c r="D54" s="141">
        <f t="shared" si="62"/>
        <v>0.44823552976713699</v>
      </c>
      <c r="E54" s="141">
        <f t="shared" si="62"/>
        <v>0.16557790526501884</v>
      </c>
      <c r="F54" s="141">
        <f t="shared" si="62"/>
        <v>0.4334994258051314</v>
      </c>
      <c r="G54" s="141">
        <f t="shared" si="62"/>
        <v>0.94360927844279374</v>
      </c>
      <c r="H54" s="141">
        <f t="shared" si="62"/>
        <v>1.079519690162726</v>
      </c>
      <c r="I54" s="141">
        <f t="shared" si="62"/>
        <v>6.1175899703081064E-2</v>
      </c>
      <c r="J54" s="141">
        <f t="shared" si="62"/>
        <v>8.0892326063862444E-2</v>
      </c>
      <c r="K54" s="141">
        <f t="shared" si="62"/>
        <v>0.54779954110036977</v>
      </c>
      <c r="L54" s="141">
        <f t="shared" si="62"/>
        <v>0.85845662434894388</v>
      </c>
      <c r="M54" s="141">
        <f t="shared" si="62"/>
        <v>1.7881376381395093</v>
      </c>
      <c r="N54" s="141"/>
      <c r="O54" s="141">
        <f t="shared" ref="O54:V54" si="63">O48</f>
        <v>0.36917465692726648</v>
      </c>
      <c r="P54" s="141">
        <f t="shared" si="63"/>
        <v>0.47229409990554033</v>
      </c>
      <c r="Q54" s="141">
        <f t="shared" si="63"/>
        <v>2.4347555671737044E-2</v>
      </c>
      <c r="R54" s="141">
        <f t="shared" si="63"/>
        <v>1.0927306715039855</v>
      </c>
      <c r="S54" s="141">
        <f t="shared" si="63"/>
        <v>0.47212816863566659</v>
      </c>
      <c r="T54" s="141">
        <f t="shared" si="63"/>
        <v>0.8679399398550357</v>
      </c>
      <c r="U54" s="141">
        <f t="shared" si="63"/>
        <v>0.85357048875187969</v>
      </c>
      <c r="V54" s="141">
        <f t="shared" si="63"/>
        <v>1.4409694629133769</v>
      </c>
    </row>
    <row r="55" spans="1:22" s="3" customFormat="1" x14ac:dyDescent="0.3">
      <c r="A55" s="61" t="s">
        <v>79</v>
      </c>
      <c r="B55" s="141">
        <f t="shared" ref="B55:M55" si="64">(B53*100/$B$53)-100</f>
        <v>0</v>
      </c>
      <c r="C55" s="141">
        <f t="shared" si="64"/>
        <v>141.45567263759116</v>
      </c>
      <c r="D55" s="141">
        <f t="shared" si="64"/>
        <v>524.51664694423505</v>
      </c>
      <c r="E55" s="141">
        <f t="shared" si="64"/>
        <v>450.79527734957185</v>
      </c>
      <c r="F55" s="141">
        <f t="shared" si="64"/>
        <v>4089.7302469911056</v>
      </c>
      <c r="G55" s="141">
        <f t="shared" si="64"/>
        <v>6674.8912196623714</v>
      </c>
      <c r="H55" s="141">
        <f t="shared" si="64"/>
        <v>11222.944398937925</v>
      </c>
      <c r="I55" s="141">
        <f t="shared" si="64"/>
        <v>66.056644686462562</v>
      </c>
      <c r="J55" s="141">
        <f t="shared" si="64"/>
        <v>125.24715226135288</v>
      </c>
      <c r="K55" s="141">
        <f t="shared" si="64"/>
        <v>1641.956701257795</v>
      </c>
      <c r="L55" s="141">
        <f t="shared" si="64"/>
        <v>7161.6600852015372</v>
      </c>
      <c r="M55" s="141">
        <f t="shared" si="64"/>
        <v>11501.234677671217</v>
      </c>
      <c r="N55" s="141"/>
      <c r="O55" s="141">
        <f>(O53*100/$O$53)-100</f>
        <v>0</v>
      </c>
      <c r="P55" s="141">
        <f t="shared" ref="P55:V55" si="65">(P53*100/$O$53)-100</f>
        <v>319.12094163898672</v>
      </c>
      <c r="Q55" s="141">
        <f t="shared" si="65"/>
        <v>-90.016854557218295</v>
      </c>
      <c r="R55" s="141">
        <f t="shared" si="65"/>
        <v>258.39106079687679</v>
      </c>
      <c r="S55" s="141">
        <f t="shared" si="65"/>
        <v>20.197882370571762</v>
      </c>
      <c r="T55" s="141">
        <f t="shared" si="65"/>
        <v>447.16065935039694</v>
      </c>
      <c r="U55" s="141">
        <f t="shared" si="65"/>
        <v>688.09770812498527</v>
      </c>
      <c r="V55" s="141">
        <f t="shared" si="65"/>
        <v>1051.596367065712</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t="shared" ref="B57:M57" ca="1" si="66">IF(B56&gt;0.05,"Oui","Non")</f>
        <v>#NAME?</v>
      </c>
      <c r="C57" s="141" t="e">
        <f t="shared" ca="1" si="66"/>
        <v>#NAME?</v>
      </c>
      <c r="D57" s="141" t="e">
        <f t="shared" ca="1" si="66"/>
        <v>#NAME?</v>
      </c>
      <c r="E57" s="141" t="e">
        <f t="shared" ca="1" si="66"/>
        <v>#NAME?</v>
      </c>
      <c r="F57" s="141" t="e">
        <f t="shared" ca="1" si="66"/>
        <v>#NAME?</v>
      </c>
      <c r="G57" s="141" t="e">
        <f t="shared" ca="1" si="66"/>
        <v>#NAME?</v>
      </c>
      <c r="H57" s="141" t="e">
        <f t="shared" ca="1" si="66"/>
        <v>#NAME?</v>
      </c>
      <c r="I57" s="141" t="e">
        <f t="shared" ca="1" si="66"/>
        <v>#NAME?</v>
      </c>
      <c r="J57" s="141" t="e">
        <f t="shared" ca="1" si="66"/>
        <v>#NAME?</v>
      </c>
      <c r="K57" s="141" t="e">
        <f t="shared" ca="1" si="66"/>
        <v>#NAME?</v>
      </c>
      <c r="L57" s="141" t="e">
        <f t="shared" ca="1" si="66"/>
        <v>#NAME?</v>
      </c>
      <c r="M57" s="141" t="e">
        <f t="shared" ca="1" si="66"/>
        <v>#NAME?</v>
      </c>
      <c r="N57" s="141"/>
      <c r="O57" s="141" t="e">
        <f t="shared" ref="O57:V57" ca="1" si="67">IF(O56&gt;0.05,"Oui","Non")</f>
        <v>#NAME?</v>
      </c>
      <c r="P57" s="141" t="e">
        <f t="shared" ca="1" si="67"/>
        <v>#NAME?</v>
      </c>
      <c r="Q57" s="141" t="e">
        <f t="shared" ca="1" si="67"/>
        <v>#NAME?</v>
      </c>
      <c r="R57" s="141" t="e">
        <f t="shared" ca="1" si="67"/>
        <v>#NAME?</v>
      </c>
      <c r="S57" s="141" t="e">
        <f t="shared" ca="1" si="67"/>
        <v>#NAME?</v>
      </c>
      <c r="T57" s="141" t="e">
        <f t="shared" ca="1" si="67"/>
        <v>#NAME?</v>
      </c>
      <c r="U57" s="141" t="e">
        <f t="shared" ca="1" si="67"/>
        <v>#NAME?</v>
      </c>
      <c r="V57" s="141" t="e">
        <f t="shared" ca="1" si="67"/>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M59" ca="1" si="68">IF($B57="Non",IF(C$57="Non","Mann Withney",IF(C$57="Oui","Mann Withney","")),IF($B$57="Oui",IF(C$57="Oui","T-Test Welch",IF(C$57="Non","Mann Withney",""))))</f>
        <v>#NAME?</v>
      </c>
      <c r="D59" s="150" t="e">
        <f t="shared" ca="1" si="68"/>
        <v>#NAME?</v>
      </c>
      <c r="E59" s="150" t="e">
        <f t="shared" ca="1" si="68"/>
        <v>#NAME?</v>
      </c>
      <c r="F59" s="150" t="e">
        <f t="shared" ca="1" si="68"/>
        <v>#NAME?</v>
      </c>
      <c r="G59" s="150" t="e">
        <f t="shared" ca="1" si="68"/>
        <v>#NAME?</v>
      </c>
      <c r="H59" s="150" t="e">
        <f t="shared" ca="1" si="68"/>
        <v>#NAME?</v>
      </c>
      <c r="I59" s="150" t="e">
        <f t="shared" ca="1" si="68"/>
        <v>#NAME?</v>
      </c>
      <c r="J59" s="150" t="e">
        <f t="shared" ca="1" si="68"/>
        <v>#NAME?</v>
      </c>
      <c r="K59" s="150" t="e">
        <f t="shared" ca="1" si="68"/>
        <v>#NAME?</v>
      </c>
      <c r="L59" s="150" t="e">
        <f t="shared" ca="1" si="68"/>
        <v>#NAME?</v>
      </c>
      <c r="M59" s="150" t="e">
        <f t="shared" ca="1" si="68"/>
        <v>#NAME?</v>
      </c>
      <c r="N59" s="150"/>
      <c r="O59" s="150" t="e">
        <f ca="1">IF($B57="Non",IF(O$57="Non","Mann Withney",IF(O$57="Oui","Mann Withney","")),IF($B$57="Oui",IF(O$57="Oui","T-Test Welch",IF(O$57="Non","Mann Withney",""))))</f>
        <v>#NAME?</v>
      </c>
      <c r="P59" s="150" t="e">
        <f ca="1">IF($O57="Non",IF(P$57="Non","Mann Withney",IF(P$57="Oui","Mann Withney","")),IF($O$57="Oui",IF(P$57="Oui","T-Test Welch",IF(P$57="Non","Mann Withney",""))))</f>
        <v>#NAME?</v>
      </c>
      <c r="Q59" s="150" t="e">
        <f t="shared" ref="Q59:V59" ca="1" si="69">IF($O57="Non",IF(Q$57="Non","Mann Withney",IF(Q$57="Oui","Mann Withney","")),IF($O$57="Oui",IF(Q$57="Oui","T-Test Welch",IF(Q$57="Non","Mann Withney",""))))</f>
        <v>#NAME?</v>
      </c>
      <c r="R59" s="150" t="e">
        <f t="shared" ca="1" si="69"/>
        <v>#NAME?</v>
      </c>
      <c r="S59" s="150" t="e">
        <f t="shared" ca="1" si="69"/>
        <v>#NAME?</v>
      </c>
      <c r="T59" s="150" t="e">
        <f t="shared" ca="1" si="69"/>
        <v>#NAME?</v>
      </c>
      <c r="U59" s="150" t="e">
        <f t="shared" ca="1" si="69"/>
        <v>#NAME?</v>
      </c>
      <c r="V59" s="150" t="e">
        <f t="shared" ca="1" si="69"/>
        <v>#NAME?</v>
      </c>
    </row>
    <row r="60" spans="1:22" s="3" customFormat="1" x14ac:dyDescent="0.3">
      <c r="A60" s="61" t="s">
        <v>83</v>
      </c>
      <c r="B60" s="151"/>
      <c r="C60" s="151" t="e">
        <f ca="1">IF(C59="Mann Withney",[1]!MTEST($B28:$B43,C28:C43,2), IF(C59="T-Test Welch",_xlfn.T.TEST($B28:$B43,C28:C43,2,3),""))</f>
        <v>#NAME?</v>
      </c>
      <c r="D60" s="151" t="e">
        <f ca="1">IF(D59="Mann Withney",[1]!MTEST($B28:$B43,D28:D43,2), IF(D59="T-Test Welch",_xlfn.T.TEST($B28:$B43,D28:D43,2,3),""))</f>
        <v>#NAME?</v>
      </c>
      <c r="E60" s="151" t="e">
        <f ca="1">IF(E59="Mann Withney",[1]!MTEST($B28:$B43,E28:E43,2), IF(E59="T-Test Welch",_xlfn.T.TEST($B28:$B43,E28:E43,2,3),""))</f>
        <v>#NAME?</v>
      </c>
      <c r="F60" s="151" t="e">
        <f ca="1">IF(F59="Mann Withney",[1]!MTEST($B28:$B43,F28:F43,2), IF(F59="T-Test Welch",_xlfn.T.TEST($B28:$B43,F28:F43,2,3),""))</f>
        <v>#NAME?</v>
      </c>
      <c r="G60" s="151" t="e">
        <f ca="1">IF(G59="Mann Withney",[1]!MTEST($B28:$B43,G28:G43,2), IF(G59="T-Test Welch",_xlfn.T.TEST($B28:$B43,G28:G43,2,3),""))</f>
        <v>#NAME?</v>
      </c>
      <c r="H60" s="151" t="e">
        <f ca="1">IF(H59="Mann Withney",[1]!MTEST($B28:$B43,H28:H43,2), IF(H59="T-Test Welch",_xlfn.T.TEST($B28:$B43,H28:H43,2,3),""))</f>
        <v>#NAME?</v>
      </c>
      <c r="I60" s="151" t="e">
        <f ca="1">IF(I59="Mann Withney",[1]!MTEST($B28:$B43,I28:I43,2), IF(I59="T-Test Welch",_xlfn.T.TEST($B28:$B43,I28:I43,2,3),""))</f>
        <v>#NAME?</v>
      </c>
      <c r="J60" s="151" t="e">
        <f ca="1">IF(J59="Mann Withney",[1]!MTEST($B28:$B43,J28:J43,2), IF(J59="T-Test Welch",_xlfn.T.TEST($B28:$B43,J28:J43,2,3),""))</f>
        <v>#NAME?</v>
      </c>
      <c r="K60" s="151" t="e">
        <f ca="1">IF(K59="Mann Withney",[1]!MTEST($B28:$B43,K28:K43,2), IF(K59="T-Test Welch",_xlfn.T.TEST($B28:$B43,K28:K43,2,3),""))</f>
        <v>#NAME?</v>
      </c>
      <c r="L60" s="151" t="e">
        <f ca="1">IF(L59="Mann Withney",[1]!MTEST($B28:$B43,L28:L43,2), IF(L59="T-Test Welch",_xlfn.T.TEST($B28:$B43,L28:L43,2,3),""))</f>
        <v>#NAME?</v>
      </c>
      <c r="M60" s="151" t="e">
        <f ca="1">IF(M59="Mann Withney",[1]!MTEST($B28:$B43,M28:M43,2), IF(M59="T-Test Welch",_xlfn.T.TEST($B28:$B43,M28:M43,2,3),""))</f>
        <v>#NAME?</v>
      </c>
      <c r="N60" s="151"/>
      <c r="O60" s="151" t="e">
        <f ca="1">IF(O59="Mann Withney",[1]!MTEST($B28:$B43,O28:O43,2), IF(O59="T-Test Welch",_xlfn.T.TEST($B28:$B43,O28:O43,2,3),""))</f>
        <v>#NAME?</v>
      </c>
      <c r="P60" s="151" t="e">
        <f ca="1">IF(P59="Mann Withney",[1]!MTEST($O28:$O43,P28:P43,2), IF(P59="T-Test Welch",_xlfn.T.TEST($O28:$O43,P28:P43,2,3),""))</f>
        <v>#NAME?</v>
      </c>
      <c r="Q60" s="151" t="e">
        <f ca="1">IF(Q59="Mann Withney",[1]!MTEST($O28:$O43,Q28:Q43,2), IF(Q59="T-Test Welch",_xlfn.T.TEST($O28:$O43,Q28:Q43,2,3),""))</f>
        <v>#NAME?</v>
      </c>
      <c r="R60" s="151" t="e">
        <f ca="1">IF(R59="Mann Withney",[1]!MTEST($O28:$O43,R28:R43,2), IF(R59="T-Test Welch",_xlfn.T.TEST($O28:$O43,R28:R43,2,3),""))</f>
        <v>#NAME?</v>
      </c>
      <c r="S60" s="151" t="e">
        <f ca="1">IF(S59="Mann Withney",[1]!MTEST($O28:$O43,S28:S43,2), IF(S59="T-Test Welch",_xlfn.T.TEST($O28:$O43,S28:S43,2,3),""))</f>
        <v>#NAME?</v>
      </c>
      <c r="T60" s="151" t="e">
        <f ca="1">IF(T59="Mann Withney",[1]!MTEST($O28:$O43,T28:T43,2), IF(T59="T-Test Welch",_xlfn.T.TEST($O28:$O43,T28:T43,2,3),""))</f>
        <v>#NAME?</v>
      </c>
      <c r="U60" s="151" t="e">
        <f ca="1">IF(U59="Mann Withney",[1]!MTEST($O28:$O43,U28:U43,2), IF(U59="T-Test Welch",_xlfn.T.TEST($O28:$O43,U28:U43,2,3),""))</f>
        <v>#NAME?</v>
      </c>
      <c r="V60" s="151" t="e">
        <f ca="1">IF(V59="Mann Withney",[1]!MTEST($O28:$O43,V28:V43,2), IF(V59="T-Test Welch",_xlfn.T.TEST($O28:$O43,V28:V43,2,3),""))</f>
        <v>#NAME?</v>
      </c>
    </row>
    <row r="61" spans="1:22" s="3" customFormat="1" ht="15" thickBot="1" x14ac:dyDescent="0.35">
      <c r="A61" s="62" t="s">
        <v>84</v>
      </c>
      <c r="B61" s="142"/>
      <c r="C61" s="142" t="e">
        <f t="shared" ref="C61:M61" ca="1" si="70">IF(C60&gt;0.05,"NS",IF(C60&gt;0.01,"*",IF(C60&gt;0.001,"**","***")))</f>
        <v>#NAME?</v>
      </c>
      <c r="D61" s="142" t="e">
        <f t="shared" ca="1" si="70"/>
        <v>#NAME?</v>
      </c>
      <c r="E61" s="142" t="e">
        <f t="shared" ca="1" si="70"/>
        <v>#NAME?</v>
      </c>
      <c r="F61" s="142" t="e">
        <f t="shared" ca="1" si="70"/>
        <v>#NAME?</v>
      </c>
      <c r="G61" s="142" t="e">
        <f t="shared" ca="1" si="70"/>
        <v>#NAME?</v>
      </c>
      <c r="H61" s="142" t="e">
        <f t="shared" ca="1" si="70"/>
        <v>#NAME?</v>
      </c>
      <c r="I61" s="142" t="e">
        <f t="shared" ca="1" si="70"/>
        <v>#NAME?</v>
      </c>
      <c r="J61" s="142" t="e">
        <f t="shared" ca="1" si="70"/>
        <v>#NAME?</v>
      </c>
      <c r="K61" s="142" t="e">
        <f t="shared" ca="1" si="70"/>
        <v>#NAME?</v>
      </c>
      <c r="L61" s="142" t="e">
        <f t="shared" ca="1" si="70"/>
        <v>#NAME?</v>
      </c>
      <c r="M61" s="142" t="e">
        <f t="shared" ca="1" si="70"/>
        <v>#NAME?</v>
      </c>
      <c r="N61" s="142"/>
      <c r="O61" s="142" t="e">
        <f ca="1">IF(O60&gt;0.05,"NS",IF(O60&gt;0.01,"*",IF(O60&gt;0.001,"**","***")))</f>
        <v>#NAME?</v>
      </c>
      <c r="P61" s="142" t="e">
        <f ca="1">IF(P60&gt;0.05,"NS",IF(P60&gt;0.01,"*",IF(P60&gt;0.001,"**","***")))</f>
        <v>#NAME?</v>
      </c>
      <c r="Q61" s="142" t="e">
        <f t="shared" ref="Q61" ca="1" si="71">IF(Q60&gt;0.05,"NS",IF(Q60&gt;0.01,"*",IF(Q60&gt;0.001,"**","***")))</f>
        <v>#NAME?</v>
      </c>
      <c r="R61" s="142" t="e">
        <f t="shared" ref="R61" ca="1" si="72">IF(R60&gt;0.05,"NS",IF(R60&gt;0.01,"*",IF(R60&gt;0.001,"**","***")))</f>
        <v>#NAME?</v>
      </c>
      <c r="S61" s="142" t="e">
        <f t="shared" ref="S61" ca="1" si="73">IF(S60&gt;0.05,"NS",IF(S60&gt;0.01,"*",IF(S60&gt;0.001,"**","***")))</f>
        <v>#NAME?</v>
      </c>
      <c r="T61" s="142" t="e">
        <f t="shared" ref="T61" ca="1" si="74">IF(T60&gt;0.05,"NS",IF(T60&gt;0.01,"*",IF(T60&gt;0.001,"**","***")))</f>
        <v>#NAME?</v>
      </c>
      <c r="U61" s="142" t="e">
        <f t="shared" ref="U61" ca="1" si="75">IF(U60&gt;0.05,"NS",IF(U60&gt;0.01,"*",IF(U60&gt;0.001,"**","***")))</f>
        <v>#NAME?</v>
      </c>
      <c r="V61" s="142" t="e">
        <f t="shared" ref="V61" ca="1" si="76">IF(V60&gt;0.05,"NS",IF(V60&gt;0.01,"*",IF(V60&gt;0.001,"**","***")))</f>
        <v>#NAME?</v>
      </c>
    </row>
    <row r="63" spans="1:22" x14ac:dyDescent="0.3">
      <c r="A63" s="2" t="s">
        <v>39</v>
      </c>
    </row>
    <row r="64" spans="1:22" x14ac:dyDescent="0.3">
      <c r="A64" s="1" t="s">
        <v>23</v>
      </c>
      <c r="B64" s="1">
        <f>B46+(3*B47)</f>
        <v>0.26926410904101794</v>
      </c>
    </row>
    <row r="65" spans="1:22" x14ac:dyDescent="0.3">
      <c r="A65" s="1" t="s">
        <v>24</v>
      </c>
      <c r="B65" s="1">
        <f>B46+(10*B47)</f>
        <v>0.69015202380044105</v>
      </c>
    </row>
    <row r="66" spans="1:22" ht="15" thickBot="1" x14ac:dyDescent="0.35"/>
    <row r="67" spans="1:22" s="1" customFormat="1" ht="26.4" thickBot="1" x14ac:dyDescent="0.55000000000000004">
      <c r="A67" s="215" t="s">
        <v>52</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J1" zoomScale="70" zoomScaleNormal="70" zoomScaleSheetLayoutView="40" zoomScalePageLayoutView="30" workbookViewId="0">
      <selection activeCell="Q5" sqref="Q5:Q12"/>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3" t="s">
        <v>43</v>
      </c>
      <c r="B1" s="214"/>
      <c r="C1" s="214"/>
      <c r="D1" s="214"/>
      <c r="E1" s="214"/>
      <c r="F1" s="214"/>
      <c r="G1" s="214"/>
      <c r="H1" s="214"/>
      <c r="I1" s="214"/>
      <c r="J1" s="214"/>
      <c r="K1" s="214"/>
      <c r="L1" s="214"/>
      <c r="M1" s="214"/>
      <c r="N1" s="214"/>
      <c r="O1" s="214"/>
      <c r="P1" s="214"/>
      <c r="Q1" s="214"/>
      <c r="R1" s="214"/>
      <c r="S1" s="214"/>
      <c r="T1" s="214"/>
      <c r="U1" s="214"/>
      <c r="V1" s="214"/>
    </row>
    <row r="2" spans="1:22" customFormat="1" ht="15" thickBot="1" x14ac:dyDescent="0.35"/>
    <row r="3" spans="1:22" ht="15" thickBot="1" x14ac:dyDescent="0.35">
      <c r="A3" s="51" t="s">
        <v>18</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estradiol-34ng/L</v>
      </c>
      <c r="J4" s="35" t="str">
        <f>'Page de garde'!A16</f>
        <v>estradiol-68ng/L</v>
      </c>
      <c r="K4" s="35" t="str">
        <f>'Page de garde'!A17</f>
        <v>estradiol-135ng/L</v>
      </c>
      <c r="L4" s="35" t="str">
        <f>'Page de garde'!A18</f>
        <v>estradiol-270ng/L</v>
      </c>
      <c r="M4" s="35" t="str">
        <f>'Page de garde'!A19</f>
        <v>estradiol-540ng/L</v>
      </c>
      <c r="N4" s="3"/>
      <c r="O4" s="36" t="str">
        <f>'Page de garde'!A36</f>
        <v>Testo -30µg/L</v>
      </c>
      <c r="P4" s="36" t="str">
        <f>'Page de garde'!A37</f>
        <v>Testo 30µg/L + EE2 -64ng/L</v>
      </c>
      <c r="Q4" s="36" t="str">
        <f>'Page de garde'!A38</f>
        <v>Testo 30µg/L + FAD-10µg/L</v>
      </c>
      <c r="R4" s="36" t="str">
        <f>'Page de garde'!A39</f>
        <v>estradiol-34ng/L + Testostérone</v>
      </c>
      <c r="S4" s="36" t="str">
        <f>'Page de garde'!A40</f>
        <v>estradiol-68ng/L + Testostérone</v>
      </c>
      <c r="T4" s="36" t="str">
        <f>'Page de garde'!A41</f>
        <v>estradiol-135ng/L + Testostérone</v>
      </c>
      <c r="U4" s="36" t="str">
        <f>'Page de garde'!A42</f>
        <v>estradiol-270ng/L + Testostérone</v>
      </c>
      <c r="V4" s="36" t="str">
        <f>'Page de garde'!A43</f>
        <v>estradiol-540ng/L + Testostérone</v>
      </c>
    </row>
    <row r="5" spans="1:22" x14ac:dyDescent="0.3">
      <c r="A5" s="223" t="s">
        <v>33</v>
      </c>
      <c r="B5" s="32">
        <v>10173</v>
      </c>
      <c r="C5" s="32">
        <v>157</v>
      </c>
      <c r="D5" s="32">
        <v>8959</v>
      </c>
      <c r="E5" s="32">
        <v>13918</v>
      </c>
      <c r="F5" s="32">
        <v>150141</v>
      </c>
      <c r="G5" s="32">
        <v>2848553</v>
      </c>
      <c r="H5" s="32">
        <v>7959806</v>
      </c>
      <c r="I5" s="32">
        <v>163168</v>
      </c>
      <c r="J5" s="32">
        <v>11250</v>
      </c>
      <c r="K5" s="13">
        <v>26674</v>
      </c>
      <c r="L5" s="13">
        <v>3218542</v>
      </c>
      <c r="M5" s="13">
        <v>8971519</v>
      </c>
      <c r="N5" s="3"/>
      <c r="O5" s="32">
        <v>2657612</v>
      </c>
      <c r="P5" s="13">
        <v>6398088</v>
      </c>
      <c r="Q5" s="13">
        <v>50923</v>
      </c>
      <c r="R5" s="32">
        <v>325385</v>
      </c>
      <c r="S5" s="32">
        <v>4332156</v>
      </c>
      <c r="T5" s="32">
        <v>3922089</v>
      </c>
      <c r="U5" s="32">
        <v>5563180</v>
      </c>
      <c r="V5" s="32">
        <v>10269591</v>
      </c>
    </row>
    <row r="6" spans="1:22" ht="16.8" x14ac:dyDescent="0.3">
      <c r="A6" s="223"/>
      <c r="B6" s="14">
        <v>6271</v>
      </c>
      <c r="C6" s="13">
        <v>7017</v>
      </c>
      <c r="D6" s="32">
        <v>65230</v>
      </c>
      <c r="E6" s="32">
        <v>27628</v>
      </c>
      <c r="F6" s="32">
        <v>2974358</v>
      </c>
      <c r="G6" s="32">
        <v>4354462</v>
      </c>
      <c r="H6" s="32">
        <v>14280025</v>
      </c>
      <c r="I6" s="32">
        <v>34008</v>
      </c>
      <c r="J6" s="32">
        <v>35676</v>
      </c>
      <c r="K6" s="13">
        <v>7102</v>
      </c>
      <c r="L6" s="13">
        <v>2835973</v>
      </c>
      <c r="M6" s="13">
        <v>4692012</v>
      </c>
      <c r="N6" s="3"/>
      <c r="O6" s="32">
        <v>1727382</v>
      </c>
      <c r="P6" s="13">
        <v>9792424</v>
      </c>
      <c r="Q6" s="13">
        <v>11624</v>
      </c>
      <c r="R6" s="32">
        <v>2650297</v>
      </c>
      <c r="S6" s="32">
        <v>3939090</v>
      </c>
      <c r="T6" s="32">
        <v>2259875</v>
      </c>
      <c r="U6" s="32">
        <v>3462783</v>
      </c>
      <c r="V6" s="32">
        <v>7267988</v>
      </c>
    </row>
    <row r="7" spans="1:22" ht="16.8" x14ac:dyDescent="0.3">
      <c r="A7" s="223"/>
      <c r="B7" s="14">
        <v>12768</v>
      </c>
      <c r="C7" s="13">
        <v>56678</v>
      </c>
      <c r="D7" s="32">
        <v>21507</v>
      </c>
      <c r="E7" s="32">
        <v>1702</v>
      </c>
      <c r="F7" s="32">
        <v>411737</v>
      </c>
      <c r="G7" s="32">
        <v>3533015</v>
      </c>
      <c r="H7" s="32">
        <v>4887070</v>
      </c>
      <c r="I7" s="32">
        <v>4672</v>
      </c>
      <c r="J7" s="32">
        <v>17413</v>
      </c>
      <c r="K7" s="13">
        <v>209938</v>
      </c>
      <c r="L7" s="13">
        <v>5228493</v>
      </c>
      <c r="M7" s="13">
        <v>6345528</v>
      </c>
      <c r="N7" s="3"/>
      <c r="O7" s="32">
        <v>13202</v>
      </c>
      <c r="P7" s="13">
        <v>12663003</v>
      </c>
      <c r="Q7" s="13">
        <v>25323</v>
      </c>
      <c r="R7" s="32">
        <v>115767</v>
      </c>
      <c r="S7" s="32">
        <v>5120693</v>
      </c>
      <c r="T7" s="32">
        <v>5149738</v>
      </c>
      <c r="U7" s="32">
        <v>7260192</v>
      </c>
      <c r="V7" s="32">
        <v>7067206</v>
      </c>
    </row>
    <row r="8" spans="1:22" ht="16.8" x14ac:dyDescent="0.3">
      <c r="A8" s="223"/>
      <c r="B8" s="14">
        <v>6979</v>
      </c>
      <c r="C8" s="13">
        <v>50406</v>
      </c>
      <c r="D8" s="32">
        <v>12279</v>
      </c>
      <c r="E8" s="32">
        <v>10067</v>
      </c>
      <c r="F8" s="32">
        <v>2678045</v>
      </c>
      <c r="G8" s="32">
        <v>4383668</v>
      </c>
      <c r="H8" s="32">
        <v>4357384</v>
      </c>
      <c r="I8" s="32">
        <v>7882</v>
      </c>
      <c r="J8" s="32">
        <v>7861</v>
      </c>
      <c r="K8" s="13">
        <v>506352</v>
      </c>
      <c r="L8" s="13">
        <v>4033902</v>
      </c>
      <c r="M8" s="13">
        <v>7987784</v>
      </c>
      <c r="N8" s="3"/>
      <c r="O8" s="32">
        <v>323922</v>
      </c>
      <c r="P8" s="13">
        <v>11023898</v>
      </c>
      <c r="Q8" s="13">
        <v>1801</v>
      </c>
      <c r="R8" s="32">
        <v>1460764</v>
      </c>
      <c r="S8" s="32">
        <v>3510466</v>
      </c>
      <c r="T8" s="32">
        <v>6172084</v>
      </c>
      <c r="U8" s="32">
        <v>7158072</v>
      </c>
      <c r="V8" s="32">
        <v>9187180</v>
      </c>
    </row>
    <row r="9" spans="1:22" ht="16.8" x14ac:dyDescent="0.3">
      <c r="A9" s="223"/>
      <c r="B9" s="14">
        <v>28240</v>
      </c>
      <c r="C9" s="13">
        <v>25562</v>
      </c>
      <c r="D9" s="32">
        <v>28293</v>
      </c>
      <c r="E9" s="32">
        <v>1050</v>
      </c>
      <c r="F9" s="32">
        <v>213668</v>
      </c>
      <c r="G9" s="32">
        <v>4878805</v>
      </c>
      <c r="H9" s="32">
        <v>10111982</v>
      </c>
      <c r="I9" s="32">
        <v>916</v>
      </c>
      <c r="J9" s="32">
        <v>22922</v>
      </c>
      <c r="K9" s="13">
        <v>3227</v>
      </c>
      <c r="L9" s="13">
        <v>3794629</v>
      </c>
      <c r="M9" s="13">
        <v>5918215</v>
      </c>
      <c r="N9" s="3"/>
      <c r="O9" s="32">
        <v>459201</v>
      </c>
      <c r="P9" s="13">
        <v>12481983</v>
      </c>
      <c r="Q9" s="13">
        <v>55152</v>
      </c>
      <c r="R9" s="32">
        <v>2217387</v>
      </c>
      <c r="S9" s="32">
        <v>1998148</v>
      </c>
      <c r="T9" s="32">
        <v>2856806</v>
      </c>
      <c r="U9" s="32">
        <v>4636409</v>
      </c>
      <c r="V9" s="32">
        <v>12171170</v>
      </c>
    </row>
    <row r="10" spans="1:22" ht="16.8" x14ac:dyDescent="0.3">
      <c r="A10" s="223"/>
      <c r="B10" s="14">
        <v>7661</v>
      </c>
      <c r="C10" s="13">
        <v>66004</v>
      </c>
      <c r="D10" s="32">
        <v>537</v>
      </c>
      <c r="E10" s="32">
        <v>3216989</v>
      </c>
      <c r="F10" s="32">
        <v>1584429</v>
      </c>
      <c r="G10" s="32">
        <v>4908527</v>
      </c>
      <c r="H10" s="32">
        <v>8293317</v>
      </c>
      <c r="I10" s="32">
        <v>20123</v>
      </c>
      <c r="J10" s="32">
        <v>22834</v>
      </c>
      <c r="K10" s="13">
        <v>537751</v>
      </c>
      <c r="L10" s="13">
        <v>3903</v>
      </c>
      <c r="M10" s="13">
        <v>7162448</v>
      </c>
      <c r="N10" s="3"/>
      <c r="O10" s="32">
        <v>1822313</v>
      </c>
      <c r="P10" s="13">
        <v>6123815</v>
      </c>
      <c r="Q10" s="13">
        <v>2954</v>
      </c>
      <c r="R10" s="32">
        <v>3332527</v>
      </c>
      <c r="S10" s="32">
        <v>871064</v>
      </c>
      <c r="T10" s="32">
        <v>4271945</v>
      </c>
      <c r="U10" s="32">
        <v>5854080</v>
      </c>
      <c r="V10" s="32">
        <v>4587718</v>
      </c>
    </row>
    <row r="11" spans="1:22" ht="16.8" x14ac:dyDescent="0.3">
      <c r="A11" s="223"/>
      <c r="B11" s="14">
        <v>77</v>
      </c>
      <c r="C11" s="13">
        <v>22672</v>
      </c>
      <c r="D11" s="32">
        <v>31905</v>
      </c>
      <c r="E11" s="32">
        <v>129108</v>
      </c>
      <c r="F11" s="32">
        <v>1259099</v>
      </c>
      <c r="G11" s="32">
        <v>3406614</v>
      </c>
      <c r="H11" s="32">
        <v>9532868</v>
      </c>
      <c r="I11" s="32">
        <v>40878</v>
      </c>
      <c r="J11" s="32">
        <v>54103</v>
      </c>
      <c r="K11" s="13">
        <v>1270567</v>
      </c>
      <c r="L11" s="13">
        <v>7000333</v>
      </c>
      <c r="M11" s="13">
        <v>3463721</v>
      </c>
      <c r="N11" s="3"/>
      <c r="O11" s="32">
        <v>122003</v>
      </c>
      <c r="P11" s="13">
        <v>10488565</v>
      </c>
      <c r="Q11" s="13">
        <v>5907</v>
      </c>
      <c r="R11" s="32">
        <v>1642222</v>
      </c>
      <c r="S11" s="32">
        <v>2514415</v>
      </c>
      <c r="T11" s="32">
        <v>4015566</v>
      </c>
      <c r="U11" s="32">
        <v>6548169</v>
      </c>
      <c r="V11" s="32">
        <v>5966905</v>
      </c>
    </row>
    <row r="12" spans="1:22" ht="16.8" x14ac:dyDescent="0.3">
      <c r="A12" s="223"/>
      <c r="B12" s="14">
        <v>32437</v>
      </c>
      <c r="C12" s="13">
        <v>28392</v>
      </c>
      <c r="D12" s="32">
        <v>31039</v>
      </c>
      <c r="E12" s="32">
        <v>27129</v>
      </c>
      <c r="F12" s="32">
        <v>1232048</v>
      </c>
      <c r="G12" s="32">
        <v>3724795</v>
      </c>
      <c r="H12" s="32">
        <v>7089203</v>
      </c>
      <c r="I12" s="32">
        <v>101389</v>
      </c>
      <c r="J12" s="32">
        <v>66239</v>
      </c>
      <c r="K12" s="13">
        <v>49100</v>
      </c>
      <c r="L12" s="13">
        <v>2894090</v>
      </c>
      <c r="M12" s="13">
        <v>8360707</v>
      </c>
      <c r="N12" s="3"/>
      <c r="O12" s="32">
        <v>79166</v>
      </c>
      <c r="P12" s="13">
        <v>6978850</v>
      </c>
      <c r="Q12" s="13">
        <v>18014</v>
      </c>
      <c r="R12" s="32">
        <v>3117820</v>
      </c>
      <c r="S12" s="32">
        <v>4639265</v>
      </c>
      <c r="T12" s="32">
        <v>4093240</v>
      </c>
      <c r="U12" s="32">
        <v>9537204</v>
      </c>
      <c r="V12" s="32">
        <v>7368283</v>
      </c>
    </row>
    <row r="13" spans="1:22" ht="16.8" x14ac:dyDescent="0.3">
      <c r="A13" s="223"/>
      <c r="B13" s="14"/>
      <c r="C13" s="13"/>
      <c r="D13" s="32"/>
      <c r="E13" s="32"/>
      <c r="F13" s="32"/>
      <c r="G13" s="32"/>
      <c r="H13" s="32"/>
      <c r="I13" s="32"/>
      <c r="J13" s="32"/>
      <c r="K13" s="13"/>
      <c r="L13" s="13"/>
      <c r="M13" s="13"/>
      <c r="N13" s="3"/>
      <c r="O13" s="32">
        <v>239988</v>
      </c>
      <c r="P13" s="13"/>
      <c r="Q13" s="13"/>
      <c r="R13" s="32"/>
      <c r="S13" s="32"/>
      <c r="T13" s="32"/>
      <c r="U13" s="32"/>
      <c r="V13" s="32"/>
    </row>
    <row r="14" spans="1:22" ht="16.8" x14ac:dyDescent="0.3">
      <c r="A14" s="223"/>
      <c r="B14" s="14"/>
      <c r="C14" s="32"/>
      <c r="D14" s="32"/>
      <c r="E14" s="32"/>
      <c r="F14" s="32"/>
      <c r="G14" s="32"/>
      <c r="H14" s="32"/>
      <c r="I14" s="32"/>
      <c r="J14" s="32"/>
      <c r="K14" s="13"/>
      <c r="L14" s="13"/>
      <c r="M14" s="13"/>
      <c r="N14" s="3"/>
      <c r="O14" s="32">
        <v>4398</v>
      </c>
      <c r="P14" s="13"/>
      <c r="Q14" s="13"/>
      <c r="R14" s="32"/>
      <c r="S14" s="32"/>
      <c r="T14" s="32"/>
      <c r="U14" s="32"/>
      <c r="V14" s="32"/>
    </row>
    <row r="15" spans="1:22" ht="16.8" x14ac:dyDescent="0.3">
      <c r="A15" s="223"/>
      <c r="B15" s="14"/>
      <c r="C15" s="32"/>
      <c r="D15" s="32"/>
      <c r="E15" s="32"/>
      <c r="F15" s="32"/>
      <c r="G15" s="32"/>
      <c r="H15" s="32"/>
      <c r="I15" s="32"/>
      <c r="J15" s="32"/>
      <c r="K15" s="13"/>
      <c r="L15" s="13"/>
      <c r="M15" s="13"/>
      <c r="N15" s="3"/>
      <c r="O15" s="32">
        <v>2285682</v>
      </c>
      <c r="P15" s="13"/>
      <c r="Q15" s="13"/>
      <c r="R15" s="32"/>
      <c r="S15" s="32"/>
      <c r="T15" s="32"/>
      <c r="U15" s="32"/>
      <c r="V15" s="32"/>
    </row>
    <row r="16" spans="1:22" ht="16.8" x14ac:dyDescent="0.3">
      <c r="A16" s="223"/>
      <c r="B16" s="14"/>
      <c r="C16" s="32"/>
      <c r="D16" s="32"/>
      <c r="E16" s="32"/>
      <c r="F16" s="32"/>
      <c r="G16" s="32"/>
      <c r="H16" s="32"/>
      <c r="I16" s="32"/>
      <c r="J16" s="32"/>
      <c r="K16" s="13"/>
      <c r="L16" s="13"/>
      <c r="M16" s="13"/>
      <c r="N16" s="3"/>
      <c r="O16" s="32">
        <v>60641</v>
      </c>
      <c r="P16" s="13"/>
      <c r="Q16" s="13"/>
      <c r="R16" s="32"/>
      <c r="S16" s="32"/>
      <c r="T16" s="32"/>
      <c r="U16" s="32"/>
      <c r="V16" s="32"/>
    </row>
    <row r="17" spans="1:22" ht="16.8" x14ac:dyDescent="0.3">
      <c r="A17" s="223"/>
      <c r="B17" s="14"/>
      <c r="C17" s="32"/>
      <c r="D17" s="32"/>
      <c r="E17" s="32"/>
      <c r="F17" s="32"/>
      <c r="G17" s="32"/>
      <c r="H17" s="32"/>
      <c r="I17" s="32"/>
      <c r="J17" s="32"/>
      <c r="K17" s="13"/>
      <c r="L17" s="13"/>
      <c r="M17" s="13"/>
      <c r="N17" s="3"/>
      <c r="O17" s="32">
        <v>812465</v>
      </c>
      <c r="P17" s="13"/>
      <c r="Q17" s="13"/>
      <c r="R17" s="32"/>
      <c r="S17" s="32"/>
      <c r="T17" s="32"/>
      <c r="U17" s="32"/>
      <c r="V17" s="32"/>
    </row>
    <row r="18" spans="1:22" ht="16.8" x14ac:dyDescent="0.3">
      <c r="A18" s="223"/>
      <c r="B18" s="14"/>
      <c r="C18" s="32"/>
      <c r="D18" s="32"/>
      <c r="E18" s="32"/>
      <c r="F18" s="32"/>
      <c r="G18" s="32"/>
      <c r="H18" s="32"/>
      <c r="I18" s="32"/>
      <c r="J18" s="32"/>
      <c r="K18" s="13"/>
      <c r="L18" s="13"/>
      <c r="M18" s="13"/>
      <c r="N18" s="3"/>
      <c r="O18" s="32">
        <v>571211</v>
      </c>
      <c r="P18" s="13"/>
      <c r="Q18" s="13"/>
      <c r="R18" s="32"/>
      <c r="S18" s="32"/>
      <c r="T18" s="32"/>
      <c r="U18" s="32"/>
      <c r="V18" s="32"/>
    </row>
    <row r="19" spans="1:22" ht="16.8" x14ac:dyDescent="0.3">
      <c r="A19" s="223"/>
      <c r="B19" s="14"/>
      <c r="C19" s="32"/>
      <c r="D19" s="32"/>
      <c r="E19" s="32"/>
      <c r="F19" s="32"/>
      <c r="G19" s="32"/>
      <c r="H19" s="32"/>
      <c r="I19" s="32"/>
      <c r="J19" s="32"/>
      <c r="K19" s="13"/>
      <c r="L19" s="13"/>
      <c r="M19" s="13"/>
      <c r="N19" s="3"/>
      <c r="O19" s="32">
        <v>728512</v>
      </c>
      <c r="P19" s="13"/>
      <c r="Q19" s="13"/>
      <c r="R19" s="32"/>
      <c r="S19" s="32"/>
      <c r="T19" s="32"/>
      <c r="U19" s="32"/>
      <c r="V19" s="32"/>
    </row>
    <row r="20" spans="1:22" ht="16.8" x14ac:dyDescent="0.3">
      <c r="A20" s="223"/>
      <c r="B20" s="14"/>
      <c r="C20" s="32"/>
      <c r="D20" s="32"/>
      <c r="E20" s="32"/>
      <c r="F20" s="32"/>
      <c r="G20" s="32"/>
      <c r="H20" s="32"/>
      <c r="I20" s="32"/>
      <c r="J20" s="32"/>
      <c r="K20" s="13"/>
      <c r="L20" s="13"/>
      <c r="M20" s="13"/>
      <c r="N20" s="3"/>
      <c r="O20" s="32">
        <v>1036818</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estradiol-34ng/L</v>
      </c>
      <c r="J22" s="3" t="str">
        <f t="shared" si="0"/>
        <v>estradiol-68ng/L</v>
      </c>
      <c r="K22" s="3" t="str">
        <f t="shared" si="0"/>
        <v>estradiol-135ng/L</v>
      </c>
      <c r="L22" s="3" t="str">
        <f t="shared" si="0"/>
        <v>estradiol-270ng/L</v>
      </c>
      <c r="M22" s="3" t="str">
        <f t="shared" si="0"/>
        <v>estradiol-540ng/L</v>
      </c>
      <c r="N22" s="3" t="s">
        <v>41</v>
      </c>
      <c r="O22" s="3" t="str">
        <f t="shared" si="0"/>
        <v>Testo -30µg/L</v>
      </c>
      <c r="P22" s="3" t="str">
        <f t="shared" si="0"/>
        <v>Testo 30µg/L + EE2 -64ng/L</v>
      </c>
      <c r="Q22" s="3" t="str">
        <f t="shared" si="0"/>
        <v>Testo 30µg/L + FAD-10µg/L</v>
      </c>
      <c r="R22" s="3" t="str">
        <f t="shared" si="0"/>
        <v>estradiol-34ng/L + Testostérone</v>
      </c>
      <c r="S22" s="3" t="str">
        <f t="shared" si="0"/>
        <v>estradiol-68ng/L + Testostérone</v>
      </c>
      <c r="T22" s="3" t="str">
        <f t="shared" si="0"/>
        <v>estradiol-135ng/L + Testostérone</v>
      </c>
      <c r="U22" s="3" t="str">
        <f t="shared" si="0"/>
        <v>estradiol-270ng/L + Testostérone</v>
      </c>
      <c r="V22" s="3" t="str">
        <f t="shared" si="0"/>
        <v>estradiol-540ng/L + Testostérone</v>
      </c>
    </row>
    <row r="23" spans="1:22" x14ac:dyDescent="0.3">
      <c r="A23" s="5" t="s">
        <v>0</v>
      </c>
      <c r="B23" s="5">
        <f t="shared" ref="B23:J23" si="1">AVERAGE(B5:B20)</f>
        <v>13075.75</v>
      </c>
      <c r="C23" s="5">
        <f t="shared" si="1"/>
        <v>32111</v>
      </c>
      <c r="D23" s="5">
        <f t="shared" si="1"/>
        <v>24968.625</v>
      </c>
      <c r="E23" s="5">
        <f t="shared" si="1"/>
        <v>428448.875</v>
      </c>
      <c r="F23" s="5">
        <f t="shared" si="1"/>
        <v>1312940.625</v>
      </c>
      <c r="G23" s="5">
        <f t="shared" si="1"/>
        <v>4004804.875</v>
      </c>
      <c r="H23" s="5">
        <f t="shared" si="1"/>
        <v>8313956.875</v>
      </c>
      <c r="I23" s="5">
        <f t="shared" si="1"/>
        <v>46629.5</v>
      </c>
      <c r="J23" s="5">
        <f t="shared" si="1"/>
        <v>29787.25</v>
      </c>
      <c r="K23" s="5"/>
      <c r="L23" s="5">
        <f>AVERAGE(L5:L20)</f>
        <v>3626233.125</v>
      </c>
      <c r="M23" s="5"/>
      <c r="N23" s="5" t="s">
        <v>0</v>
      </c>
      <c r="O23" s="5">
        <f>AVERAGE(O5:O20)</f>
        <v>809032.25</v>
      </c>
      <c r="P23" s="5">
        <f>AVERAGE(P5:P20)</f>
        <v>9493828.25</v>
      </c>
      <c r="Q23" s="5">
        <f>AVERAGE(Q5:Q20)</f>
        <v>21462.25</v>
      </c>
      <c r="R23" s="5">
        <f>AVERAGE(R5:R20)</f>
        <v>1857771.125</v>
      </c>
      <c r="S23" s="5">
        <f>AVERAGE(S5:S20)</f>
        <v>3365662.125</v>
      </c>
      <c r="T23" s="5">
        <f t="shared" ref="T23:V23" si="2">AVERAGE(T5:T20)</f>
        <v>4092667.875</v>
      </c>
      <c r="U23" s="5">
        <f t="shared" si="2"/>
        <v>6252511.125</v>
      </c>
      <c r="V23" s="5">
        <f t="shared" si="2"/>
        <v>7985755.125</v>
      </c>
    </row>
    <row r="24" spans="1:22" x14ac:dyDescent="0.3">
      <c r="A24" s="3" t="s">
        <v>1</v>
      </c>
      <c r="B24" s="3">
        <f t="shared" ref="B24:J24" si="3">STDEV(B5:B20)</f>
        <v>11307.994324497035</v>
      </c>
      <c r="C24" s="3">
        <f t="shared" si="3"/>
        <v>23554.077590575631</v>
      </c>
      <c r="D24" s="3">
        <f t="shared" si="3"/>
        <v>19796.155326134129</v>
      </c>
      <c r="E24" s="3">
        <f t="shared" si="3"/>
        <v>1127509.1344208305</v>
      </c>
      <c r="F24" s="3">
        <f t="shared" si="3"/>
        <v>1074352.7865255086</v>
      </c>
      <c r="G24" s="3">
        <f t="shared" si="3"/>
        <v>740861.39130521333</v>
      </c>
      <c r="H24" s="3">
        <f t="shared" si="3"/>
        <v>3147255.0630483627</v>
      </c>
      <c r="I24" s="3">
        <f t="shared" si="3"/>
        <v>57104.32310880049</v>
      </c>
      <c r="J24" s="3">
        <f t="shared" si="3"/>
        <v>20797.16545074627</v>
      </c>
      <c r="K24" s="3"/>
      <c r="L24" s="3">
        <f>STDEV(L5:L20)</f>
        <v>2021116.0270789177</v>
      </c>
      <c r="M24" s="3"/>
      <c r="N24" s="3" t="s">
        <v>1</v>
      </c>
      <c r="O24" s="3">
        <f>STDEV(O5:O20)</f>
        <v>860615.94156809186</v>
      </c>
      <c r="P24" s="3">
        <f>STDEV(P5:P20)</f>
        <v>2663462.4100484452</v>
      </c>
      <c r="Q24" s="3">
        <f>STDEV(Q5:Q20)</f>
        <v>21036.050347303451</v>
      </c>
      <c r="R24" s="3">
        <f>STDEV(R5:R20)</f>
        <v>1201600.7530748826</v>
      </c>
      <c r="S24" s="3">
        <f>STDEV(S5:S20)</f>
        <v>1454246.5948787401</v>
      </c>
      <c r="T24" s="3">
        <f t="shared" ref="T24:V24" si="4">STDEV(T5:T20)</f>
        <v>1218607.837622616</v>
      </c>
      <c r="U24" s="3">
        <f t="shared" si="4"/>
        <v>1841597.7518527948</v>
      </c>
      <c r="V24" s="3">
        <f t="shared" si="4"/>
        <v>2436028.1433422631</v>
      </c>
    </row>
    <row r="25" spans="1:22" ht="15" thickBot="1" x14ac:dyDescent="0.35"/>
    <row r="26" spans="1:22" ht="15" thickBot="1" x14ac:dyDescent="0.35">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estradiol-34ng/L</v>
      </c>
      <c r="J27" s="35" t="str">
        <f t="shared" si="5"/>
        <v>estradiol-68ng/L</v>
      </c>
      <c r="K27" s="35" t="str">
        <f t="shared" si="5"/>
        <v>estradiol-135ng/L</v>
      </c>
      <c r="L27" s="35" t="str">
        <f t="shared" si="5"/>
        <v>estradiol-270ng/L</v>
      </c>
      <c r="M27" s="35" t="str">
        <f t="shared" si="5"/>
        <v>estradiol-540ng/L</v>
      </c>
      <c r="N27" s="3"/>
      <c r="O27" s="36" t="str">
        <f>O4</f>
        <v>Testo -30µg/L</v>
      </c>
      <c r="P27" s="36" t="str">
        <f t="shared" ref="P27:R27" si="6">P4</f>
        <v>Testo 30µg/L + EE2 -64ng/L</v>
      </c>
      <c r="Q27" s="36" t="str">
        <f t="shared" si="6"/>
        <v>Testo 30µg/L + FAD-10µg/L</v>
      </c>
      <c r="R27" s="36" t="str">
        <f t="shared" si="6"/>
        <v>estradiol-34ng/L + Testostérone</v>
      </c>
      <c r="S27" s="36" t="str">
        <f t="shared" ref="S27:V27" si="7">S4</f>
        <v>estradiol-68ng/L + Testostérone</v>
      </c>
      <c r="T27" s="36" t="str">
        <f t="shared" si="7"/>
        <v>estradiol-135ng/L + Testostérone</v>
      </c>
      <c r="U27" s="36" t="str">
        <f t="shared" si="7"/>
        <v>estradiol-270ng/L + Testostérone</v>
      </c>
      <c r="V27" s="36" t="str">
        <f t="shared" si="7"/>
        <v>estradiol-540ng/L + Testostérone</v>
      </c>
    </row>
    <row r="28" spans="1:22" x14ac:dyDescent="0.3">
      <c r="A28" s="224" t="s">
        <v>34</v>
      </c>
      <c r="B28" s="11">
        <f t="shared" ref="B28:M28" si="8">IF(B5="","",(B5/$O$23))</f>
        <v>1.2574282421992449E-2</v>
      </c>
      <c r="C28" s="11">
        <f t="shared" si="8"/>
        <v>1.9405901309867436E-4</v>
      </c>
      <c r="D28" s="11">
        <f t="shared" si="8"/>
        <v>1.1073724193318622E-2</v>
      </c>
      <c r="E28" s="11">
        <f t="shared" si="8"/>
        <v>1.7203269708964013E-2</v>
      </c>
      <c r="F28" s="11">
        <f t="shared" si="8"/>
        <v>0.18558098271113418</v>
      </c>
      <c r="G28" s="11">
        <f t="shared" si="8"/>
        <v>3.5209387512055299</v>
      </c>
      <c r="H28" s="11">
        <f t="shared" si="8"/>
        <v>9.8386757759038659</v>
      </c>
      <c r="I28" s="11">
        <f t="shared" si="8"/>
        <v>0.20168293661964651</v>
      </c>
      <c r="J28" s="11">
        <f t="shared" si="8"/>
        <v>1.3905502530955967E-2</v>
      </c>
      <c r="K28" s="11">
        <f t="shared" si="8"/>
        <v>3.2970255512063951E-2</v>
      </c>
      <c r="L28" s="11">
        <f t="shared" si="8"/>
        <v>3.9782616823989403</v>
      </c>
      <c r="M28" s="11">
        <f t="shared" si="8"/>
        <v>11.08919823653507</v>
      </c>
      <c r="N28" s="6"/>
      <c r="O28" s="11">
        <f t="shared" ref="O28:S37" si="9">IF(O5="","",(O5/$O$23))</f>
        <v>3.2849271459821288</v>
      </c>
      <c r="P28" s="11">
        <f t="shared" si="9"/>
        <v>7.9083225668692441</v>
      </c>
      <c r="Q28" s="11">
        <f t="shared" si="9"/>
        <v>6.2943102700788497E-2</v>
      </c>
      <c r="R28" s="11">
        <f t="shared" si="9"/>
        <v>0.40219039475867618</v>
      </c>
      <c r="S28" s="11">
        <f t="shared" si="9"/>
        <v>5.3547383308885399</v>
      </c>
      <c r="T28" s="11">
        <f t="shared" ref="T28:V43" si="10">IF(T5="","",(T5/$O$23))</f>
        <v>4.8478772014341827</v>
      </c>
      <c r="U28" s="11">
        <f t="shared" si="10"/>
        <v>6.8763389840145432</v>
      </c>
      <c r="V28" s="11">
        <f t="shared" si="10"/>
        <v>12.693673212656233</v>
      </c>
    </row>
    <row r="29" spans="1:22" x14ac:dyDescent="0.3">
      <c r="A29" s="224"/>
      <c r="B29" s="11">
        <f t="shared" ref="B29:M29" si="11">IF(B6="","",(B6/$O$23))</f>
        <v>7.7512361219222101E-3</v>
      </c>
      <c r="C29" s="11">
        <f t="shared" si="11"/>
        <v>8.6733254453082685E-3</v>
      </c>
      <c r="D29" s="11">
        <f t="shared" si="11"/>
        <v>8.0627193786156237E-2</v>
      </c>
      <c r="E29" s="11">
        <f t="shared" si="11"/>
        <v>3.4149442126689016E-2</v>
      </c>
      <c r="F29" s="11">
        <f t="shared" si="11"/>
        <v>3.6764393508416999</v>
      </c>
      <c r="G29" s="11">
        <f t="shared" si="11"/>
        <v>5.3823095432845847</v>
      </c>
      <c r="H29" s="11">
        <f t="shared" si="11"/>
        <v>17.650748780410176</v>
      </c>
      <c r="I29" s="11">
        <f t="shared" si="11"/>
        <v>4.2035407117577819E-2</v>
      </c>
      <c r="J29" s="11">
        <f t="shared" si="11"/>
        <v>4.4097129626167561E-2</v>
      </c>
      <c r="K29" s="11">
        <f t="shared" si="11"/>
        <v>8.7783892422088235E-3</v>
      </c>
      <c r="L29" s="11">
        <f t="shared" si="11"/>
        <v>3.5053893092642476</v>
      </c>
      <c r="M29" s="11">
        <f t="shared" si="11"/>
        <v>5.7995364214467351</v>
      </c>
      <c r="N29" s="6"/>
      <c r="O29" s="11">
        <f t="shared" si="9"/>
        <v>2.1351213131491358</v>
      </c>
      <c r="P29" s="11">
        <f t="shared" si="9"/>
        <v>12.103873485883906</v>
      </c>
      <c r="Q29" s="11">
        <f t="shared" si="9"/>
        <v>1.4367783237318413E-2</v>
      </c>
      <c r="R29" s="11">
        <f t="shared" si="9"/>
        <v>3.2758854792253338</v>
      </c>
      <c r="S29" s="11">
        <f t="shared" si="9"/>
        <v>4.8688911968589634</v>
      </c>
      <c r="T29" s="11">
        <f t="shared" si="10"/>
        <v>2.7933064473016991</v>
      </c>
      <c r="U29" s="11">
        <f t="shared" si="10"/>
        <v>4.2801544685023369</v>
      </c>
      <c r="V29" s="11">
        <f t="shared" si="10"/>
        <v>8.9835578247962307</v>
      </c>
    </row>
    <row r="30" spans="1:22" x14ac:dyDescent="0.3">
      <c r="A30" s="224"/>
      <c r="B30" s="11">
        <f t="shared" ref="B30:M30" si="12">IF(B7="","",(B7/$O$23))</f>
        <v>1.5781818339132957E-2</v>
      </c>
      <c r="C30" s="11">
        <f t="shared" si="12"/>
        <v>7.0056539773290863E-2</v>
      </c>
      <c r="D30" s="11">
        <f t="shared" si="12"/>
        <v>2.6583612705179553E-2</v>
      </c>
      <c r="E30" s="11">
        <f t="shared" si="12"/>
        <v>2.1037480273499603E-3</v>
      </c>
      <c r="F30" s="11">
        <f t="shared" si="12"/>
        <v>0.50892532405228597</v>
      </c>
      <c r="G30" s="11">
        <f t="shared" si="12"/>
        <v>4.3669643577249238</v>
      </c>
      <c r="H30" s="11">
        <f t="shared" si="12"/>
        <v>6.0406368225741307</v>
      </c>
      <c r="I30" s="11">
        <f t="shared" si="12"/>
        <v>5.7748006955223351E-3</v>
      </c>
      <c r="J30" s="11">
        <f t="shared" si="12"/>
        <v>2.1523245828580999E-2</v>
      </c>
      <c r="K30" s="11">
        <f t="shared" si="12"/>
        <v>0.25949274580834075</v>
      </c>
      <c r="L30" s="11">
        <f t="shared" si="12"/>
        <v>6.4626509017409379</v>
      </c>
      <c r="M30" s="11">
        <f t="shared" si="12"/>
        <v>7.8433560590446181</v>
      </c>
      <c r="N30" s="6"/>
      <c r="O30" s="11">
        <f t="shared" si="9"/>
        <v>1.6318261725660504E-2</v>
      </c>
      <c r="P30" s="11">
        <f t="shared" si="9"/>
        <v>15.652037356978044</v>
      </c>
      <c r="Q30" s="11">
        <f t="shared" si="9"/>
        <v>3.130035916367982E-2</v>
      </c>
      <c r="R30" s="11">
        <f t="shared" si="9"/>
        <v>0.14309318324454928</v>
      </c>
      <c r="S30" s="11">
        <f t="shared" si="9"/>
        <v>6.3294052863776447</v>
      </c>
      <c r="T30" s="11">
        <f t="shared" si="10"/>
        <v>6.3653062038008992</v>
      </c>
      <c r="U30" s="11">
        <f t="shared" si="10"/>
        <v>8.9739216205534458</v>
      </c>
      <c r="V30" s="11">
        <f t="shared" si="10"/>
        <v>8.7353823039810834</v>
      </c>
    </row>
    <row r="31" spans="1:22" x14ac:dyDescent="0.3">
      <c r="A31" s="224"/>
      <c r="B31" s="11">
        <f t="shared" ref="B31:M31" si="13">IF(B8="","",(B8/$O$23))</f>
        <v>8.626355747870372E-3</v>
      </c>
      <c r="C31" s="11">
        <f t="shared" si="13"/>
        <v>6.2304067606699237E-2</v>
      </c>
      <c r="D31" s="11">
        <f t="shared" si="13"/>
        <v>1.5177392495787406E-2</v>
      </c>
      <c r="E31" s="11">
        <f t="shared" si="13"/>
        <v>1.2443261687034107E-2</v>
      </c>
      <c r="F31" s="11">
        <f t="shared" si="13"/>
        <v>3.3101832467123531</v>
      </c>
      <c r="G31" s="11">
        <f t="shared" si="13"/>
        <v>5.4184094638996161</v>
      </c>
      <c r="H31" s="11">
        <f t="shared" si="13"/>
        <v>5.3859212658086246</v>
      </c>
      <c r="I31" s="11">
        <f t="shared" si="13"/>
        <v>9.7425040843551053E-3</v>
      </c>
      <c r="J31" s="11">
        <f t="shared" si="13"/>
        <v>9.7165471462973205E-3</v>
      </c>
      <c r="K31" s="11">
        <f t="shared" si="13"/>
        <v>0.62587369044929919</v>
      </c>
      <c r="L31" s="11">
        <f t="shared" si="13"/>
        <v>4.986083064055852</v>
      </c>
      <c r="M31" s="11">
        <f t="shared" si="13"/>
        <v>9.8732578336648515</v>
      </c>
      <c r="N31" s="6"/>
      <c r="O31" s="11">
        <f t="shared" si="9"/>
        <v>0.40038206140731719</v>
      </c>
      <c r="P31" s="11">
        <f t="shared" si="9"/>
        <v>13.626030359111148</v>
      </c>
      <c r="Q31" s="11">
        <f t="shared" si="9"/>
        <v>2.226116449622373E-3</v>
      </c>
      <c r="R31" s="11">
        <f t="shared" si="9"/>
        <v>1.8055695554781654</v>
      </c>
      <c r="S31" s="11">
        <f t="shared" si="9"/>
        <v>4.3390927864742102</v>
      </c>
      <c r="T31" s="11">
        <f t="shared" si="10"/>
        <v>7.6289715274020287</v>
      </c>
      <c r="U31" s="11">
        <f t="shared" si="10"/>
        <v>8.8476967389124468</v>
      </c>
      <c r="V31" s="11">
        <f t="shared" si="10"/>
        <v>11.355764865986492</v>
      </c>
    </row>
    <row r="32" spans="1:22" x14ac:dyDescent="0.3">
      <c r="A32" s="224"/>
      <c r="B32" s="11">
        <f t="shared" ref="B32:M32" si="14">IF(B9="","",(B9/$O$23))</f>
        <v>3.4905901464373022E-2</v>
      </c>
      <c r="C32" s="11">
        <f t="shared" si="14"/>
        <v>3.1595773839670792E-2</v>
      </c>
      <c r="D32" s="11">
        <f t="shared" si="14"/>
        <v>3.4971411831852192E-2</v>
      </c>
      <c r="E32" s="11">
        <f t="shared" si="14"/>
        <v>1.2978469028892235E-3</v>
      </c>
      <c r="F32" s="11">
        <f t="shared" si="14"/>
        <v>0.26410319242527108</v>
      </c>
      <c r="G32" s="11">
        <f t="shared" si="14"/>
        <v>6.0304209133813886</v>
      </c>
      <c r="H32" s="11">
        <f t="shared" si="14"/>
        <v>12.498861448353882</v>
      </c>
      <c r="I32" s="11">
        <f t="shared" si="14"/>
        <v>1.1322169171871703E-3</v>
      </c>
      <c r="J32" s="11">
        <f t="shared" si="14"/>
        <v>2.8332615912406458E-2</v>
      </c>
      <c r="K32" s="11">
        <f t="shared" si="14"/>
        <v>3.9887161482128801E-3</v>
      </c>
      <c r="L32" s="11">
        <f t="shared" si="14"/>
        <v>4.6903309478701249</v>
      </c>
      <c r="M32" s="11">
        <f t="shared" si="14"/>
        <v>7.3151781032214727</v>
      </c>
      <c r="N32" s="6"/>
      <c r="O32" s="11">
        <f t="shared" si="9"/>
        <v>0.56759294824155648</v>
      </c>
      <c r="P32" s="11">
        <f t="shared" si="9"/>
        <v>15.428288550919941</v>
      </c>
      <c r="Q32" s="11">
        <f t="shared" si="9"/>
        <v>6.8170335607758523E-2</v>
      </c>
      <c r="R32" s="11">
        <f t="shared" si="9"/>
        <v>2.740789381387454</v>
      </c>
      <c r="S32" s="11">
        <f t="shared" si="9"/>
        <v>2.4698001841088537</v>
      </c>
      <c r="T32" s="11">
        <f t="shared" si="10"/>
        <v>3.5311398278622392</v>
      </c>
      <c r="U32" s="11">
        <f t="shared" si="10"/>
        <v>5.730808629693068</v>
      </c>
      <c r="V32" s="11">
        <f t="shared" si="10"/>
        <v>15.04410979908403</v>
      </c>
    </row>
    <row r="33" spans="1:22" x14ac:dyDescent="0.3">
      <c r="A33" s="224"/>
      <c r="B33" s="11">
        <f t="shared" ref="B33:M33" si="15">IF(B10="","",(B10/$O$23))</f>
        <v>9.4693382124136586E-3</v>
      </c>
      <c r="C33" s="11">
        <f t="shared" si="15"/>
        <v>8.1583892360286014E-2</v>
      </c>
      <c r="D33" s="11">
        <f t="shared" si="15"/>
        <v>6.6375598747763149E-4</v>
      </c>
      <c r="E33" s="11">
        <f t="shared" si="15"/>
        <v>3.9763421050273338</v>
      </c>
      <c r="F33" s="11">
        <f t="shared" si="15"/>
        <v>1.9584250195217805</v>
      </c>
      <c r="G33" s="11">
        <f t="shared" si="15"/>
        <v>6.0671586330458398</v>
      </c>
      <c r="H33" s="11">
        <f t="shared" si="15"/>
        <v>10.250910269646235</v>
      </c>
      <c r="I33" s="11">
        <f t="shared" si="15"/>
        <v>2.4872926882704614E-2</v>
      </c>
      <c r="J33" s="11">
        <f t="shared" si="15"/>
        <v>2.8223843981497649E-2</v>
      </c>
      <c r="K33" s="11">
        <f t="shared" si="15"/>
        <v>0.66468425702436462</v>
      </c>
      <c r="L33" s="11">
        <f t="shared" si="15"/>
        <v>4.8242823447396561E-3</v>
      </c>
      <c r="M33" s="11">
        <f t="shared" si="15"/>
        <v>8.8531056703858226</v>
      </c>
      <c r="N33" s="6"/>
      <c r="O33" s="11">
        <f t="shared" si="9"/>
        <v>2.2524602696616851</v>
      </c>
      <c r="P33" s="11">
        <f t="shared" si="9"/>
        <v>7.5693088872538761</v>
      </c>
      <c r="Q33" s="11">
        <f t="shared" si="9"/>
        <v>3.6512759534616823E-3</v>
      </c>
      <c r="R33" s="11">
        <f t="shared" si="9"/>
        <v>4.1191522340425859</v>
      </c>
      <c r="S33" s="11">
        <f t="shared" si="9"/>
        <v>1.0766740139221891</v>
      </c>
      <c r="T33" s="11">
        <f t="shared" si="10"/>
        <v>5.2803148452981938</v>
      </c>
      <c r="U33" s="11">
        <f t="shared" si="10"/>
        <v>7.2359043783483292</v>
      </c>
      <c r="V33" s="11">
        <f t="shared" si="10"/>
        <v>5.6706243786944217</v>
      </c>
    </row>
    <row r="34" spans="1:22" x14ac:dyDescent="0.3">
      <c r="A34" s="224"/>
      <c r="B34" s="11">
        <f t="shared" ref="B34:M34" si="16">IF(B11="","",(B11/$O$23))</f>
        <v>9.5175439545209728E-5</v>
      </c>
      <c r="C34" s="11">
        <f t="shared" si="16"/>
        <v>2.8023604745051882E-2</v>
      </c>
      <c r="D34" s="11">
        <f t="shared" si="16"/>
        <v>3.9436005177791118E-2</v>
      </c>
      <c r="E34" s="11">
        <f t="shared" si="16"/>
        <v>0.15958325517925892</v>
      </c>
      <c r="F34" s="11">
        <f t="shared" si="16"/>
        <v>1.5563026072199224</v>
      </c>
      <c r="G34" s="11">
        <f t="shared" si="16"/>
        <v>4.2107270754657806</v>
      </c>
      <c r="H34" s="11">
        <f t="shared" si="16"/>
        <v>11.783050675668369</v>
      </c>
      <c r="I34" s="11">
        <f t="shared" si="16"/>
        <v>5.0527033996481598E-2</v>
      </c>
      <c r="J34" s="11">
        <f t="shared" si="16"/>
        <v>6.6873724749538718E-2</v>
      </c>
      <c r="K34" s="11">
        <f t="shared" si="16"/>
        <v>1.5704775674888114</v>
      </c>
      <c r="L34" s="11">
        <f t="shared" si="16"/>
        <v>8.6527242888030731</v>
      </c>
      <c r="M34" s="11">
        <f t="shared" si="16"/>
        <v>4.2813138784022513</v>
      </c>
      <c r="N34" s="6"/>
      <c r="O34" s="11">
        <f t="shared" si="9"/>
        <v>0.15080115780304185</v>
      </c>
      <c r="P34" s="11">
        <f t="shared" si="9"/>
        <v>12.964334858097438</v>
      </c>
      <c r="Q34" s="11">
        <f t="shared" si="9"/>
        <v>7.3013158622539463E-3</v>
      </c>
      <c r="R34" s="11">
        <f t="shared" si="9"/>
        <v>2.0298597491014729</v>
      </c>
      <c r="S34" s="11">
        <f t="shared" si="9"/>
        <v>3.1079292574554351</v>
      </c>
      <c r="T34" s="11">
        <f t="shared" si="10"/>
        <v>4.9634189489973979</v>
      </c>
      <c r="U34" s="11">
        <f t="shared" si="10"/>
        <v>8.0938293869002127</v>
      </c>
      <c r="V34" s="11">
        <f t="shared" si="10"/>
        <v>7.3753611181754497</v>
      </c>
    </row>
    <row r="35" spans="1:22" x14ac:dyDescent="0.3">
      <c r="A35" s="224"/>
      <c r="B35" s="11">
        <f t="shared" ref="B35:M35" si="17">IF(B12="","",(B12/$O$23))</f>
        <v>4.0093580941921662E-2</v>
      </c>
      <c r="C35" s="11">
        <f t="shared" si="17"/>
        <v>3.5093780254124601E-2</v>
      </c>
      <c r="D35" s="11">
        <f t="shared" si="17"/>
        <v>3.8365590494074862E-2</v>
      </c>
      <c r="E35" s="11">
        <f t="shared" si="17"/>
        <v>3.3532655836649279E-2</v>
      </c>
      <c r="F35" s="11">
        <f t="shared" si="17"/>
        <v>1.5228663628674877</v>
      </c>
      <c r="G35" s="11">
        <f t="shared" si="17"/>
        <v>4.6040130044259673</v>
      </c>
      <c r="H35" s="11">
        <f t="shared" si="17"/>
        <v>8.7625715785742777</v>
      </c>
      <c r="I35" s="11">
        <f t="shared" si="17"/>
        <v>0.12532133298765283</v>
      </c>
      <c r="J35" s="11">
        <f t="shared" si="17"/>
        <v>8.1874362857599317E-2</v>
      </c>
      <c r="K35" s="11">
        <f t="shared" si="17"/>
        <v>6.068979326843893E-2</v>
      </c>
      <c r="L35" s="11">
        <f t="shared" si="17"/>
        <v>3.5772245173168313</v>
      </c>
      <c r="M35" s="11">
        <f t="shared" si="17"/>
        <v>10.334207319918335</v>
      </c>
      <c r="N35" s="6"/>
      <c r="O35" s="11">
        <f t="shared" si="9"/>
        <v>9.7852712299169781E-2</v>
      </c>
      <c r="P35" s="11">
        <f t="shared" si="9"/>
        <v>8.62617034116996</v>
      </c>
      <c r="Q35" s="11">
        <f t="shared" si="9"/>
        <v>2.2266108674901402E-2</v>
      </c>
      <c r="R35" s="11">
        <f t="shared" si="9"/>
        <v>3.8537647912057893</v>
      </c>
      <c r="S35" s="11">
        <f t="shared" si="9"/>
        <v>5.7343387732689273</v>
      </c>
      <c r="T35" s="11">
        <f t="shared" si="10"/>
        <v>5.0594274826497951</v>
      </c>
      <c r="U35" s="11">
        <f t="shared" si="10"/>
        <v>11.788410165354966</v>
      </c>
      <c r="V35" s="11">
        <f t="shared" si="10"/>
        <v>9.1075269249155397</v>
      </c>
    </row>
    <row r="36" spans="1:22" x14ac:dyDescent="0.3">
      <c r="A36" s="224"/>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0.29663588812436092</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
      <c r="A37" s="224"/>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5.4361244561017194E-3</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
      <c r="A38" s="224"/>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2.8252050520853773</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
      <c r="A39" s="224"/>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7.4954984798195623E-2</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
      <c r="A40" s="224"/>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1.0042430323389457</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
      <c r="A41" s="224"/>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0.70604231166310116</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
      <c r="A42" s="224"/>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0.90047337420727047</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
      <c r="A43" s="224"/>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f t="shared" si="21"/>
        <v>1.2815533620569515</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estradiol-34ng/L</v>
      </c>
      <c r="J45" s="7" t="str">
        <f t="shared" si="27"/>
        <v>estradiol-68ng/L</v>
      </c>
      <c r="K45" s="7" t="str">
        <f t="shared" ref="K45:M45" si="28">K4</f>
        <v>estradiol-135ng/L</v>
      </c>
      <c r="L45" s="7" t="str">
        <f t="shared" si="28"/>
        <v>estradiol-270ng/L</v>
      </c>
      <c r="M45" s="7" t="str">
        <f t="shared" si="28"/>
        <v>estradiol-540ng/L</v>
      </c>
      <c r="N45" s="7"/>
      <c r="O45" s="7" t="str">
        <f t="shared" si="27"/>
        <v>Testo -30µg/L</v>
      </c>
      <c r="P45" s="7" t="str">
        <f t="shared" si="27"/>
        <v>Testo 30µg/L + EE2 -64ng/L</v>
      </c>
      <c r="Q45" s="7" t="str">
        <f t="shared" si="27"/>
        <v>Testo 30µg/L + FAD-10µg/L</v>
      </c>
      <c r="R45" s="7" t="str">
        <f t="shared" si="27"/>
        <v>estradiol-34ng/L + Testostérone</v>
      </c>
      <c r="S45" s="7" t="str">
        <f t="shared" ref="S45:V45" si="29">S4</f>
        <v>estradiol-68ng/L + Testostérone</v>
      </c>
      <c r="T45" s="7" t="str">
        <f t="shared" si="29"/>
        <v>estradiol-135ng/L + Testostérone</v>
      </c>
      <c r="U45" s="7" t="str">
        <f t="shared" si="29"/>
        <v>estradiol-270ng/L + Testostérone</v>
      </c>
      <c r="V45" s="7" t="str">
        <f t="shared" si="29"/>
        <v>estradiol-540ng/L + Testostérone</v>
      </c>
    </row>
    <row r="46" spans="1:22" x14ac:dyDescent="0.3">
      <c r="A46" s="8" t="s">
        <v>0</v>
      </c>
      <c r="B46" s="10">
        <f t="shared" ref="B46:H46" si="30">AVERAGE(B28:B43)</f>
        <v>1.6162211086146443E-2</v>
      </c>
      <c r="C46" s="10">
        <f t="shared" si="30"/>
        <v>3.9690630379691297E-2</v>
      </c>
      <c r="D46" s="10">
        <f t="shared" si="30"/>
        <v>3.0862335833954705E-2</v>
      </c>
      <c r="E46" s="10">
        <f t="shared" si="30"/>
        <v>0.52958194806202097</v>
      </c>
      <c r="F46" s="10">
        <f t="shared" si="30"/>
        <v>1.6228532607939918</v>
      </c>
      <c r="G46" s="10">
        <f t="shared" si="30"/>
        <v>4.9501177178042042</v>
      </c>
      <c r="H46" s="10">
        <f t="shared" si="30"/>
        <v>10.276422077117445</v>
      </c>
      <c r="I46" s="10">
        <f>AVERAGE(I28:I43)</f>
        <v>5.7636144912641005E-2</v>
      </c>
      <c r="J46" s="9">
        <f>AVERAGE(J28:J43)</f>
        <v>3.6818371579130496E-2</v>
      </c>
      <c r="K46" s="9">
        <f t="shared" ref="K46:M46" si="31">AVERAGE(K28:K43)</f>
        <v>0.40336942686771754</v>
      </c>
      <c r="L46" s="9">
        <f t="shared" si="31"/>
        <v>4.4821861242243433</v>
      </c>
      <c r="M46" s="9">
        <f t="shared" si="31"/>
        <v>8.1736441903273942</v>
      </c>
      <c r="N46" s="8" t="s">
        <v>0</v>
      </c>
      <c r="O46" s="10">
        <f t="shared" ref="O46:R46" si="32">AVERAGE(O28:O43)</f>
        <v>1.0000000000000002</v>
      </c>
      <c r="P46" s="10">
        <f t="shared" si="32"/>
        <v>11.734795800785445</v>
      </c>
      <c r="Q46" s="10">
        <f t="shared" si="32"/>
        <v>2.6528299706223078E-2</v>
      </c>
      <c r="R46" s="10">
        <f t="shared" si="32"/>
        <v>2.2962880960555032</v>
      </c>
      <c r="S46" s="10">
        <f t="shared" ref="S46:V46" si="33">AVERAGE(S28:S43)</f>
        <v>4.1601087286693463</v>
      </c>
      <c r="T46" s="10">
        <f t="shared" si="33"/>
        <v>5.058720310593305</v>
      </c>
      <c r="U46" s="10">
        <f t="shared" si="33"/>
        <v>7.7283830465349181</v>
      </c>
      <c r="V46" s="10">
        <f t="shared" si="33"/>
        <v>9.8707500535361845</v>
      </c>
    </row>
    <row r="47" spans="1:22" x14ac:dyDescent="0.3">
      <c r="A47" s="8" t="s">
        <v>1</v>
      </c>
      <c r="B47" s="8">
        <f t="shared" ref="B47:J47" si="34">STDEV(B28:B43)</f>
        <v>1.397718610660704E-2</v>
      </c>
      <c r="C47" s="8">
        <f t="shared" si="34"/>
        <v>2.911389204889623E-2</v>
      </c>
      <c r="D47" s="8">
        <f t="shared" si="34"/>
        <v>2.4468932265844932E-2</v>
      </c>
      <c r="E47" s="8">
        <f t="shared" si="34"/>
        <v>1.3936516553213183</v>
      </c>
      <c r="F47" s="8">
        <f t="shared" si="34"/>
        <v>1.3279480348595603</v>
      </c>
      <c r="G47" s="8">
        <f t="shared" si="34"/>
        <v>0.91573777350063912</v>
      </c>
      <c r="H47" s="8">
        <f t="shared" si="34"/>
        <v>3.8901478439807109</v>
      </c>
      <c r="I47" s="8">
        <f t="shared" si="34"/>
        <v>7.0583494179373554E-2</v>
      </c>
      <c r="J47" s="8">
        <f t="shared" si="34"/>
        <v>2.5706225494405533E-2</v>
      </c>
      <c r="K47" s="8">
        <f t="shared" ref="K47:M47" si="35">STDEV(K28:K43)</f>
        <v>0.54385757267903878</v>
      </c>
      <c r="L47" s="8">
        <f t="shared" si="35"/>
        <v>2.4981896915468051</v>
      </c>
      <c r="M47" s="8">
        <f t="shared" si="35"/>
        <v>2.3345700154900286</v>
      </c>
      <c r="N47" s="8" t="s">
        <v>1</v>
      </c>
      <c r="O47" s="8">
        <f t="shared" ref="O47:R47" si="36">STDEV(O28:O43)</f>
        <v>1.063759746991658</v>
      </c>
      <c r="P47" s="8">
        <f t="shared" si="36"/>
        <v>3.2921585141364198</v>
      </c>
      <c r="Q47" s="8">
        <f t="shared" si="36"/>
        <v>2.6001497897399584E-2</v>
      </c>
      <c r="R47" s="8">
        <f t="shared" si="36"/>
        <v>1.4852322056072333</v>
      </c>
      <c r="S47" s="8">
        <f t="shared" ref="S47:V47" si="37">STDEV(S28:S43)</f>
        <v>1.7975137516195911</v>
      </c>
      <c r="T47" s="8">
        <f t="shared" si="37"/>
        <v>1.5062537218048031</v>
      </c>
      <c r="U47" s="8">
        <f t="shared" si="37"/>
        <v>2.276297084390388</v>
      </c>
      <c r="V47" s="8">
        <f t="shared" si="37"/>
        <v>3.0110396011311846</v>
      </c>
    </row>
    <row r="48" spans="1:22" x14ac:dyDescent="0.3">
      <c r="A48" s="8" t="s">
        <v>2</v>
      </c>
      <c r="B48" s="8">
        <f t="shared" ref="B48:J48" si="38" xml:space="preserve"> B47/SQRT(COUNT(B28:B43))</f>
        <v>4.9416815389441175E-3</v>
      </c>
      <c r="C48" s="8">
        <f t="shared" si="38"/>
        <v>1.0293315247253815E-2</v>
      </c>
      <c r="D48" s="8">
        <f t="shared" si="38"/>
        <v>8.6510739667866321E-3</v>
      </c>
      <c r="E48" s="8">
        <f t="shared" si="38"/>
        <v>0.49273026804478054</v>
      </c>
      <c r="F48" s="8">
        <f t="shared" si="38"/>
        <v>0.46950053025627242</v>
      </c>
      <c r="G48" s="8">
        <f t="shared" si="38"/>
        <v>0.32376219471548628</v>
      </c>
      <c r="H48" s="8">
        <f t="shared" si="38"/>
        <v>1.3753749601484939</v>
      </c>
      <c r="I48" s="8">
        <f t="shared" si="38"/>
        <v>2.4955033687038122E-2</v>
      </c>
      <c r="J48" s="8">
        <f t="shared" si="38"/>
        <v>9.0885231829023316E-3</v>
      </c>
      <c r="K48" s="8">
        <f t="shared" ref="K48:M48" si="39" xml:space="preserve"> K47/SQRT(COUNT(K28:K43))</f>
        <v>0.19228268882050195</v>
      </c>
      <c r="L48" s="8">
        <f t="shared" si="39"/>
        <v>0.88324343579153763</v>
      </c>
      <c r="M48" s="8">
        <f t="shared" si="39"/>
        <v>0.82539514455389118</v>
      </c>
      <c r="N48" s="8" t="s">
        <v>2</v>
      </c>
      <c r="O48" s="8">
        <f t="shared" ref="O48:R48" si="40" xml:space="preserve"> O47/SQRT(COUNT(O28:O43))</f>
        <v>0.2659399367479145</v>
      </c>
      <c r="P48" s="8">
        <f t="shared" si="40"/>
        <v>1.1639538050434453</v>
      </c>
      <c r="Q48" s="8">
        <f t="shared" si="40"/>
        <v>9.1929177421295003E-3</v>
      </c>
      <c r="R48" s="8">
        <f t="shared" si="40"/>
        <v>0.52510888211076368</v>
      </c>
      <c r="S48" s="8">
        <f t="shared" ref="S48:V48" si="41" xml:space="preserve"> S47/SQRT(COUNT(S28:S43))</f>
        <v>0.63551708152314212</v>
      </c>
      <c r="T48" s="8">
        <f t="shared" si="41"/>
        <v>0.53254111043782582</v>
      </c>
      <c r="U48" s="8">
        <f t="shared" si="41"/>
        <v>0.80479255218380508</v>
      </c>
      <c r="V48" s="8">
        <f t="shared" si="41"/>
        <v>1.0645632601905488</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customFormat="1" ht="15" thickBot="1" x14ac:dyDescent="0.35"/>
    <row r="52" spans="1:22" x14ac:dyDescent="0.3">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estradiol-34ng/L</v>
      </c>
      <c r="J52" s="46" t="str">
        <f>J4</f>
        <v>estradiol-68ng/L</v>
      </c>
      <c r="K52" s="46" t="str">
        <f t="shared" ref="K52:M52" si="43">K4</f>
        <v>estradiol-135ng/L</v>
      </c>
      <c r="L52" s="46" t="str">
        <f t="shared" si="43"/>
        <v>estradiol-270ng/L</v>
      </c>
      <c r="M52" s="46" t="str">
        <f t="shared" si="43"/>
        <v>estradiol-540ng/L</v>
      </c>
      <c r="N52" s="47"/>
      <c r="O52" s="46" t="str">
        <f>O27</f>
        <v>Testo -30µg/L</v>
      </c>
      <c r="P52" s="46" t="str">
        <f>P27</f>
        <v>Testo 30µg/L + EE2 -64ng/L</v>
      </c>
      <c r="Q52" s="46" t="str">
        <f>Q27</f>
        <v>Testo 30µg/L + FAD-10µg/L</v>
      </c>
      <c r="R52" s="46" t="str">
        <f>R27</f>
        <v>estradiol-34ng/L + Testostérone</v>
      </c>
      <c r="S52" s="46" t="str">
        <f t="shared" ref="S52:V52" si="44">S27</f>
        <v>estradiol-68ng/L + Testostérone</v>
      </c>
      <c r="T52" s="46" t="str">
        <f t="shared" si="44"/>
        <v>estradiol-135ng/L + Testostérone</v>
      </c>
      <c r="U52" s="46" t="str">
        <f t="shared" si="44"/>
        <v>estradiol-270ng/L + Testostérone</v>
      </c>
      <c r="V52" s="46" t="str">
        <f t="shared" si="44"/>
        <v>estradiol-540ng/L + Testostérone</v>
      </c>
    </row>
    <row r="53" spans="1:22" s="3" customFormat="1" x14ac:dyDescent="0.3">
      <c r="A53" s="61" t="s">
        <v>32</v>
      </c>
      <c r="B53" s="141">
        <f t="shared" ref="B53" si="45">B46</f>
        <v>1.6162211086146443E-2</v>
      </c>
      <c r="C53" s="141">
        <f t="shared" ref="C53:V53" si="46">C46</f>
        <v>3.9690630379691297E-2</v>
      </c>
      <c r="D53" s="141">
        <f t="shared" si="46"/>
        <v>3.0862335833954705E-2</v>
      </c>
      <c r="E53" s="141">
        <f t="shared" si="46"/>
        <v>0.52958194806202097</v>
      </c>
      <c r="F53" s="141">
        <f t="shared" si="46"/>
        <v>1.6228532607939918</v>
      </c>
      <c r="G53" s="141">
        <f t="shared" si="46"/>
        <v>4.9501177178042042</v>
      </c>
      <c r="H53" s="141">
        <f t="shared" si="46"/>
        <v>10.276422077117445</v>
      </c>
      <c r="I53" s="141">
        <f t="shared" si="46"/>
        <v>5.7636144912641005E-2</v>
      </c>
      <c r="J53" s="141">
        <f t="shared" si="46"/>
        <v>3.6818371579130496E-2</v>
      </c>
      <c r="K53" s="141">
        <f t="shared" si="46"/>
        <v>0.40336942686771754</v>
      </c>
      <c r="L53" s="141">
        <f t="shared" si="46"/>
        <v>4.4821861242243433</v>
      </c>
      <c r="M53" s="141">
        <f t="shared" si="46"/>
        <v>8.1736441903273942</v>
      </c>
      <c r="N53" s="141"/>
      <c r="O53" s="141">
        <f t="shared" si="46"/>
        <v>1.0000000000000002</v>
      </c>
      <c r="P53" s="141">
        <f t="shared" si="46"/>
        <v>11.734795800785445</v>
      </c>
      <c r="Q53" s="141">
        <f t="shared" si="46"/>
        <v>2.6528299706223078E-2</v>
      </c>
      <c r="R53" s="141">
        <f t="shared" si="46"/>
        <v>2.2962880960555032</v>
      </c>
      <c r="S53" s="141">
        <f t="shared" si="46"/>
        <v>4.1601087286693463</v>
      </c>
      <c r="T53" s="141">
        <f t="shared" si="46"/>
        <v>5.058720310593305</v>
      </c>
      <c r="U53" s="141">
        <f t="shared" si="46"/>
        <v>7.7283830465349181</v>
      </c>
      <c r="V53" s="141">
        <f t="shared" si="46"/>
        <v>9.8707500535361845</v>
      </c>
    </row>
    <row r="54" spans="1:22" s="3" customFormat="1" x14ac:dyDescent="0.3">
      <c r="A54" s="61" t="s">
        <v>2</v>
      </c>
      <c r="B54" s="141">
        <f t="shared" ref="B54" si="47">B48</f>
        <v>4.9416815389441175E-3</v>
      </c>
      <c r="C54" s="141">
        <f t="shared" ref="C54:V54" si="48">C48</f>
        <v>1.0293315247253815E-2</v>
      </c>
      <c r="D54" s="141">
        <f t="shared" si="48"/>
        <v>8.6510739667866321E-3</v>
      </c>
      <c r="E54" s="141">
        <f t="shared" si="48"/>
        <v>0.49273026804478054</v>
      </c>
      <c r="F54" s="141">
        <f t="shared" si="48"/>
        <v>0.46950053025627242</v>
      </c>
      <c r="G54" s="141">
        <f t="shared" si="48"/>
        <v>0.32376219471548628</v>
      </c>
      <c r="H54" s="141">
        <f t="shared" si="48"/>
        <v>1.3753749601484939</v>
      </c>
      <c r="I54" s="141">
        <f t="shared" si="48"/>
        <v>2.4955033687038122E-2</v>
      </c>
      <c r="J54" s="141">
        <f t="shared" si="48"/>
        <v>9.0885231829023316E-3</v>
      </c>
      <c r="K54" s="141">
        <f t="shared" si="48"/>
        <v>0.19228268882050195</v>
      </c>
      <c r="L54" s="141">
        <f t="shared" si="48"/>
        <v>0.88324343579153763</v>
      </c>
      <c r="M54" s="141">
        <f t="shared" si="48"/>
        <v>0.82539514455389118</v>
      </c>
      <c r="N54" s="141"/>
      <c r="O54" s="141">
        <f t="shared" si="48"/>
        <v>0.2659399367479145</v>
      </c>
      <c r="P54" s="141">
        <f t="shared" si="48"/>
        <v>1.1639538050434453</v>
      </c>
      <c r="Q54" s="141">
        <f t="shared" si="48"/>
        <v>9.1929177421295003E-3</v>
      </c>
      <c r="R54" s="141">
        <f t="shared" si="48"/>
        <v>0.52510888211076368</v>
      </c>
      <c r="S54" s="141">
        <f t="shared" si="48"/>
        <v>0.63551708152314212</v>
      </c>
      <c r="T54" s="141">
        <f t="shared" si="48"/>
        <v>0.53254111043782582</v>
      </c>
      <c r="U54" s="141">
        <f t="shared" si="48"/>
        <v>0.80479255218380508</v>
      </c>
      <c r="V54" s="141">
        <f t="shared" si="48"/>
        <v>1.0645632601905488</v>
      </c>
    </row>
    <row r="55" spans="1:22" s="3" customFormat="1" x14ac:dyDescent="0.3">
      <c r="A55" s="61" t="s">
        <v>79</v>
      </c>
      <c r="B55" s="141">
        <f>(B53*100/$B53)-100</f>
        <v>0</v>
      </c>
      <c r="C55" s="141">
        <f t="shared" ref="C55:M55" si="49">(C53*100/$B53)-100</f>
        <v>145.57673556010175</v>
      </c>
      <c r="D55" s="141">
        <f t="shared" si="49"/>
        <v>90.953673785442533</v>
      </c>
      <c r="E55" s="141">
        <f t="shared" si="49"/>
        <v>3176.6676863659823</v>
      </c>
      <c r="F55" s="141">
        <f t="shared" si="49"/>
        <v>9941.0349310746969</v>
      </c>
      <c r="G55" s="141">
        <f t="shared" si="49"/>
        <v>30527.725943062542</v>
      </c>
      <c r="H55" s="141">
        <f t="shared" si="49"/>
        <v>63483.021050417752</v>
      </c>
      <c r="I55" s="141">
        <f t="shared" si="49"/>
        <v>256.61051947307038</v>
      </c>
      <c r="J55" s="141">
        <f t="shared" si="49"/>
        <v>127.80528841557842</v>
      </c>
      <c r="K55" s="141">
        <f t="shared" si="49"/>
        <v>2395.7564575645756</v>
      </c>
      <c r="L55" s="141">
        <f t="shared" si="49"/>
        <v>27632.505783607055</v>
      </c>
      <c r="M55" s="141">
        <f t="shared" si="49"/>
        <v>50472.561803338234</v>
      </c>
      <c r="N55" s="141"/>
      <c r="O55" s="141">
        <f t="shared" ref="O55:V55" si="50">(O53*100/$O53)-100</f>
        <v>0</v>
      </c>
      <c r="P55" s="141">
        <f t="shared" si="50"/>
        <v>1073.4795800785444</v>
      </c>
      <c r="Q55" s="141">
        <f t="shared" si="50"/>
        <v>-97.347170029377693</v>
      </c>
      <c r="R55" s="141">
        <f t="shared" si="50"/>
        <v>129.62880960555026</v>
      </c>
      <c r="S55" s="141">
        <f t="shared" si="50"/>
        <v>316.01087286693451</v>
      </c>
      <c r="T55" s="141">
        <f t="shared" si="50"/>
        <v>405.87203105933037</v>
      </c>
      <c r="U55" s="141">
        <f t="shared" si="50"/>
        <v>672.8383046534916</v>
      </c>
      <c r="V55" s="141">
        <f t="shared" si="50"/>
        <v>887.07500535361828</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51">IF(C56&gt;0.05,"Oui","Non")</f>
        <v>#NAME?</v>
      </c>
      <c r="D57" s="141" t="e">
        <f t="shared" ca="1" si="51"/>
        <v>#NAME?</v>
      </c>
      <c r="E57" s="141" t="e">
        <f t="shared" ca="1" si="51"/>
        <v>#NAME?</v>
      </c>
      <c r="F57" s="141" t="e">
        <f t="shared" ca="1" si="51"/>
        <v>#NAME?</v>
      </c>
      <c r="G57" s="141" t="e">
        <f t="shared" ca="1" si="51"/>
        <v>#NAME?</v>
      </c>
      <c r="H57" s="141" t="e">
        <f t="shared" ca="1" si="51"/>
        <v>#NAME?</v>
      </c>
      <c r="I57" s="141" t="e">
        <f t="shared" ca="1" si="51"/>
        <v>#NAME?</v>
      </c>
      <c r="J57" s="141" t="e">
        <f t="shared" ca="1" si="51"/>
        <v>#NAME?</v>
      </c>
      <c r="K57" s="141" t="e">
        <f t="shared" ca="1" si="51"/>
        <v>#NAME?</v>
      </c>
      <c r="L57" s="141" t="e">
        <f t="shared" ca="1" si="51"/>
        <v>#NAME?</v>
      </c>
      <c r="M57" s="141" t="e">
        <f t="shared" ca="1" si="51"/>
        <v>#NAME?</v>
      </c>
      <c r="N57" s="141"/>
      <c r="O57" s="141" t="e">
        <f t="shared" ca="1" si="51"/>
        <v>#NAME?</v>
      </c>
      <c r="P57" s="141" t="e">
        <f t="shared" ca="1" si="51"/>
        <v>#NAME?</v>
      </c>
      <c r="Q57" s="141" t="e">
        <f t="shared" ca="1" si="51"/>
        <v>#NAME?</v>
      </c>
      <c r="R57" s="141" t="e">
        <f t="shared" ca="1" si="51"/>
        <v>#NAME?</v>
      </c>
      <c r="S57" s="141" t="e">
        <f t="shared" ca="1" si="51"/>
        <v>#NAME?</v>
      </c>
      <c r="T57" s="141" t="e">
        <f t="shared" ca="1" si="51"/>
        <v>#NAME?</v>
      </c>
      <c r="U57" s="141" t="e">
        <f t="shared" ca="1" si="51"/>
        <v>#NAME?</v>
      </c>
      <c r="V57" s="141" t="e">
        <f t="shared" ca="1" si="5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O59" ca="1" si="52">IF($B57="Non",IF(C57="Non","MW",IF(C57="Oui","MW","")),IF($B57="Oui",IF(C57="Oui","T-Test Welch",IF(C57="Non","MW",""))))</f>
        <v>#NAME?</v>
      </c>
      <c r="D59" s="150" t="e">
        <f t="shared" ca="1" si="52"/>
        <v>#NAME?</v>
      </c>
      <c r="E59" s="150" t="e">
        <f t="shared" ca="1" si="52"/>
        <v>#NAME?</v>
      </c>
      <c r="F59" s="150" t="e">
        <f t="shared" ca="1" si="52"/>
        <v>#NAME?</v>
      </c>
      <c r="G59" s="150" t="e">
        <f t="shared" ca="1" si="52"/>
        <v>#NAME?</v>
      </c>
      <c r="H59" s="150" t="e">
        <f t="shared" ca="1" si="52"/>
        <v>#NAME?</v>
      </c>
      <c r="I59" s="150" t="e">
        <f t="shared" ca="1" si="52"/>
        <v>#NAME?</v>
      </c>
      <c r="J59" s="150" t="e">
        <f t="shared" ca="1" si="52"/>
        <v>#NAME?</v>
      </c>
      <c r="K59" s="150" t="e">
        <f t="shared" ca="1" si="52"/>
        <v>#NAME?</v>
      </c>
      <c r="L59" s="150" t="e">
        <f t="shared" ca="1" si="52"/>
        <v>#NAME?</v>
      </c>
      <c r="M59" s="150" t="e">
        <f t="shared" ca="1" si="52"/>
        <v>#NAME?</v>
      </c>
      <c r="N59" s="150"/>
      <c r="O59" s="150" t="e">
        <f t="shared" ca="1" si="52"/>
        <v>#NAME?</v>
      </c>
      <c r="P59" s="150" t="e">
        <f t="shared" ref="P59:V59" ca="1" si="53">IF($O57="Non",IF(P57="Non","MW",IF(P57="Oui","MW","")),IF($O57="Oui",IF(P57="Oui","T-Test Welch",IF(P57="Non","MW",""))))</f>
        <v>#NAME?</v>
      </c>
      <c r="Q59" s="150" t="e">
        <f t="shared" ca="1" si="53"/>
        <v>#NAME?</v>
      </c>
      <c r="R59" s="150" t="e">
        <f t="shared" ca="1" si="53"/>
        <v>#NAME?</v>
      </c>
      <c r="S59" s="150" t="e">
        <f t="shared" ca="1" si="53"/>
        <v>#NAME?</v>
      </c>
      <c r="T59" s="150" t="e">
        <f t="shared" ca="1" si="53"/>
        <v>#NAME?</v>
      </c>
      <c r="U59" s="150" t="e">
        <f t="shared" ca="1" si="53"/>
        <v>#NAME?</v>
      </c>
      <c r="V59" s="150" t="e">
        <f t="shared" ca="1" si="53"/>
        <v>#NAME?</v>
      </c>
    </row>
    <row r="60" spans="1:22" s="3" customFormat="1" x14ac:dyDescent="0.3">
      <c r="A60" s="61"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t="e">
        <f ca="1">IF(I59="MW",[1]!MTEST($B28:$B43,I28:I43,2), IF(I59="T-Test Welch",_xlfn.T.TEST($B28:$B43,I28:I43,2,3),""))</f>
        <v>#NAME?</v>
      </c>
      <c r="J60" s="151" t="e">
        <f ca="1">IF(J59="MW",[1]!MTEST($B28:$B43,J28:J43,2), IF(J59="T-Test Welch",_xlfn.T.TEST($B28:$B43,J28:J43,2,3),""))</f>
        <v>#NAME?</v>
      </c>
      <c r="K60" s="151" t="e">
        <f ca="1">IF(K59="MW",[1]!MTEST($B28:$B43,K28:K43,2), IF(K59="T-Test Welch",_xlfn.T.TEST($B28:$B43,K28:K43,2,3),""))</f>
        <v>#NAME?</v>
      </c>
      <c r="L60" s="151" t="e">
        <f ca="1">IF(L59="MW",[1]!MTEST($B28:$B43,L28:L43,2), IF(L59="T-Test Welch",_xlfn.T.TEST($B28:$B43,L28:L43,2,3),""))</f>
        <v>#NAME?</v>
      </c>
      <c r="M60" s="151" t="e">
        <f ca="1">IF(M59="MW",[1]!MTEST($B28:$B43,M28:M43,2), IF(M59="T-Test Welch",_xlfn.T.TEST($B28:$B43,M28:M43,2,3),""))</f>
        <v>#NAME?</v>
      </c>
      <c r="N60" s="151"/>
      <c r="O60" s="151" t="e">
        <f ca="1">IF(O59="MW",[1]!MTEST($B28:$B43,O28:O43,2), IF(O59="T-Test Welch",_xlfn.T.TEST($B28:$B43,O28:O43,2,3),""))</f>
        <v>#NAME?</v>
      </c>
      <c r="P60" s="151" t="e">
        <f ca="1">IF(P59="MW",[1]!MTEST($O28:$O43,P28:P43,2), IF(P59="T-Test Welch",_xlfn.T.TEST($O28:$O43,P28:P43,2,3),""))</f>
        <v>#NAME?</v>
      </c>
      <c r="Q60" s="151" t="e">
        <f ca="1">IF(Q59="MW",[1]!MTEST($O28:$O43,Q28:Q43,2), IF(Q59="T-Test Welch",_xlfn.T.TEST($O28:$O43,Q28:Q43,2,3),""))</f>
        <v>#NAME?</v>
      </c>
      <c r="R60" s="151" t="e">
        <f ca="1">IF(R59="MW",[1]!MTEST($O28:$O43,R28:R43,2), IF(R59="T-Test Welch",_xlfn.T.TEST($O28:$O43,R28:R43,2,3),""))</f>
        <v>#NAME?</v>
      </c>
      <c r="S60" s="151" t="e">
        <f ca="1">IF(S59="MW",[1]!MTEST($O28:$O43,S28:S43,2), IF(S59="T-Test Welch",_xlfn.T.TEST($O28:$O43,S28:S43,2,3),""))</f>
        <v>#NAME?</v>
      </c>
      <c r="T60" s="151" t="e">
        <f ca="1">IF(T59="MW",[1]!MTEST($O28:$O43,T28:T43,2), IF(T59="T-Test Welch",_xlfn.T.TEST($O28:$O43,T28:T43,2,3),""))</f>
        <v>#NAME?</v>
      </c>
      <c r="U60" s="151" t="e">
        <f ca="1">IF(U59="MW",[1]!MTEST($O28:$O43,U28:U43,2), IF(U59="T-Test Welch",_xlfn.T.TEST($O28:$O43,U28:U43,2,3),""))</f>
        <v>#NAME?</v>
      </c>
      <c r="V60" s="151" t="e">
        <f ca="1">IF(V59="MW",[1]!MTEST($O28:$O43,V28:V43,2), IF(V59="T-Test Welch",_xlfn.T.TEST($O28:$O43,V28:V43,2,3),""))</f>
        <v>#NAME?</v>
      </c>
    </row>
    <row r="61" spans="1:22" s="3" customFormat="1" ht="15" thickBot="1" x14ac:dyDescent="0.35">
      <c r="A61" s="62" t="s">
        <v>84</v>
      </c>
      <c r="B61" s="142"/>
      <c r="C61" s="142" t="e">
        <f t="shared" ref="C61:O61" ca="1" si="54">IF(C60&gt;0.05,"NS",IF(C60&gt;0.01,"*",IF(C60&gt;0.001,"**","***")))</f>
        <v>#NAME?</v>
      </c>
      <c r="D61" s="142" t="e">
        <f t="shared" ca="1" si="54"/>
        <v>#NAME?</v>
      </c>
      <c r="E61" s="142" t="e">
        <f t="shared" ca="1" si="54"/>
        <v>#NAME?</v>
      </c>
      <c r="F61" s="142" t="e">
        <f t="shared" ca="1" si="54"/>
        <v>#NAME?</v>
      </c>
      <c r="G61" s="142" t="e">
        <f t="shared" ca="1" si="54"/>
        <v>#NAME?</v>
      </c>
      <c r="H61" s="142" t="e">
        <f t="shared" ca="1" si="54"/>
        <v>#NAME?</v>
      </c>
      <c r="I61" s="142" t="e">
        <f t="shared" ca="1" si="54"/>
        <v>#NAME?</v>
      </c>
      <c r="J61" s="142" t="e">
        <f t="shared" ca="1" si="54"/>
        <v>#NAME?</v>
      </c>
      <c r="K61" s="142" t="e">
        <f t="shared" ca="1" si="54"/>
        <v>#NAME?</v>
      </c>
      <c r="L61" s="142" t="e">
        <f t="shared" ca="1" si="54"/>
        <v>#NAME?</v>
      </c>
      <c r="M61" s="142" t="e">
        <f t="shared" ca="1" si="54"/>
        <v>#NAME?</v>
      </c>
      <c r="N61" s="142"/>
      <c r="O61" s="142" t="e">
        <f t="shared" ca="1" si="54"/>
        <v>#NAME?</v>
      </c>
      <c r="P61" s="142" t="e">
        <f ca="1">IF(P60&gt;0.05,"NS",IF(P60&gt;0.01,"*",IF(P60&gt;0.001,"**","***")))</f>
        <v>#NAME?</v>
      </c>
      <c r="Q61" s="142" t="e">
        <f t="shared" ref="Q61:V61" ca="1" si="55">IF(Q60&gt;0.05,"NS",IF(Q60&gt;0.01,"*",IF(Q60&gt;0.001,"**","***")))</f>
        <v>#NAME?</v>
      </c>
      <c r="R61" s="142" t="e">
        <f t="shared" ca="1" si="55"/>
        <v>#NAME?</v>
      </c>
      <c r="S61" s="142" t="e">
        <f t="shared" ca="1" si="55"/>
        <v>#NAME?</v>
      </c>
      <c r="T61" s="142" t="e">
        <f t="shared" ca="1" si="55"/>
        <v>#NAME?</v>
      </c>
      <c r="U61" s="142" t="e">
        <f t="shared" ca="1" si="55"/>
        <v>#NAME?</v>
      </c>
      <c r="V61" s="142" t="e">
        <f t="shared" ca="1" si="55"/>
        <v>#NAME?</v>
      </c>
    </row>
    <row r="63" spans="1:22" x14ac:dyDescent="0.3">
      <c r="A63" s="2" t="s">
        <v>39</v>
      </c>
    </row>
    <row r="64" spans="1:22" x14ac:dyDescent="0.3">
      <c r="A64" s="1" t="s">
        <v>23</v>
      </c>
      <c r="B64" s="1">
        <f>B46+(3*B47)</f>
        <v>5.8093769405967569E-2</v>
      </c>
    </row>
    <row r="65" spans="1:22" x14ac:dyDescent="0.3">
      <c r="A65" s="1" t="s">
        <v>24</v>
      </c>
      <c r="B65" s="1">
        <f>B46+(10*B47)</f>
        <v>0.15593407215221683</v>
      </c>
    </row>
    <row r="66" spans="1:22" ht="15" thickBot="1" x14ac:dyDescent="0.35"/>
    <row r="67" spans="1:22" ht="26.4" thickBot="1" x14ac:dyDescent="0.55000000000000004">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A1686" zoomScale="80" zoomScaleNormal="80" workbookViewId="0">
      <selection activeCell="A1010" sqref="A1010:I171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topLeftCell="I1" zoomScale="70" zoomScaleNormal="70" zoomScaleSheetLayoutView="40" zoomScalePageLayoutView="30" workbookViewId="0">
      <selection activeCell="B3" sqref="B3:M3"/>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3" t="s">
        <v>43</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35"/>
    <row r="3" spans="1:22" ht="15" thickBot="1" x14ac:dyDescent="0.35">
      <c r="A3" s="153" t="s">
        <v>22</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estradiol-34ng/L</v>
      </c>
      <c r="J4" s="35" t="str">
        <f>'Page de garde'!A16</f>
        <v>estradiol-68ng/L</v>
      </c>
      <c r="K4" s="35" t="str">
        <f>'Page de garde'!A17</f>
        <v>estradiol-135ng/L</v>
      </c>
      <c r="L4" s="35" t="str">
        <f>'Page de garde'!A18</f>
        <v>estradiol-270ng/L</v>
      </c>
      <c r="M4" s="35" t="str">
        <f>'Page de garde'!A19</f>
        <v>estradiol-540ng/L</v>
      </c>
      <c r="N4" s="3"/>
      <c r="O4" s="36" t="str">
        <f>'Page de garde'!A36</f>
        <v>Testo -30µg/L</v>
      </c>
      <c r="P4" s="36" t="str">
        <f>'Page de garde'!A37</f>
        <v>Testo 30µg/L + EE2 -64ng/L</v>
      </c>
      <c r="Q4" s="36" t="str">
        <f>'Page de garde'!A38</f>
        <v>Testo 30µg/L + FAD-10µg/L</v>
      </c>
      <c r="R4" s="36" t="str">
        <f>'Page de garde'!A39</f>
        <v>estradiol-34ng/L + Testostérone</v>
      </c>
      <c r="S4" s="36" t="str">
        <f>'Page de garde'!A40</f>
        <v>estradiol-68ng/L + Testostérone</v>
      </c>
      <c r="T4" s="36" t="str">
        <f>'Page de garde'!A41</f>
        <v>estradiol-135ng/L + Testostérone</v>
      </c>
      <c r="U4" s="36" t="str">
        <f>'Page de garde'!A42</f>
        <v>estradiol-270ng/L + Testostérone</v>
      </c>
      <c r="V4" s="36" t="str">
        <f>'Page de garde'!A43</f>
        <v>estradiol-540ng/L + Testostérone</v>
      </c>
    </row>
    <row r="5" spans="1:22" x14ac:dyDescent="0.3">
      <c r="A5" s="223" t="s">
        <v>33</v>
      </c>
      <c r="B5" s="32">
        <v>19520</v>
      </c>
      <c r="C5" s="32">
        <v>58932</v>
      </c>
      <c r="D5" s="32">
        <v>1165763</v>
      </c>
      <c r="E5" s="32">
        <v>302044</v>
      </c>
      <c r="F5" s="32">
        <v>1103892</v>
      </c>
      <c r="G5" s="32">
        <v>5085818</v>
      </c>
      <c r="H5" s="32">
        <v>9297927</v>
      </c>
      <c r="I5" s="32">
        <v>5848</v>
      </c>
      <c r="J5" s="32">
        <v>32522</v>
      </c>
      <c r="K5" s="13">
        <v>303054</v>
      </c>
      <c r="L5" s="13">
        <v>2279852</v>
      </c>
      <c r="M5" s="13">
        <v>9122843</v>
      </c>
      <c r="N5" s="3"/>
      <c r="O5" s="32">
        <v>1906082</v>
      </c>
      <c r="P5" s="13">
        <v>9496801</v>
      </c>
      <c r="Q5" s="13">
        <v>22173</v>
      </c>
      <c r="R5" s="32">
        <v>224043</v>
      </c>
      <c r="S5" s="32">
        <v>1769707</v>
      </c>
      <c r="T5" s="32">
        <v>40605</v>
      </c>
      <c r="U5" s="32">
        <v>1965842</v>
      </c>
      <c r="V5" s="32">
        <v>8635970</v>
      </c>
    </row>
    <row r="6" spans="1:22" ht="16.8" x14ac:dyDescent="0.3">
      <c r="A6" s="223"/>
      <c r="B6" s="14">
        <v>8058</v>
      </c>
      <c r="C6" s="13">
        <v>938</v>
      </c>
      <c r="D6" s="32">
        <v>989820</v>
      </c>
      <c r="E6" s="32">
        <v>5303</v>
      </c>
      <c r="F6" s="32">
        <v>2056621</v>
      </c>
      <c r="G6" s="32">
        <v>5151288</v>
      </c>
      <c r="H6" s="32">
        <v>6009191</v>
      </c>
      <c r="I6" s="32">
        <v>41809</v>
      </c>
      <c r="J6" s="32">
        <v>16011</v>
      </c>
      <c r="K6" s="13">
        <v>3522879</v>
      </c>
      <c r="L6" s="13">
        <v>2544370</v>
      </c>
      <c r="M6" s="13">
        <v>8164575</v>
      </c>
      <c r="N6" s="3"/>
      <c r="O6" s="32">
        <v>870561</v>
      </c>
      <c r="P6" s="13">
        <v>9613649</v>
      </c>
      <c r="Q6" s="13">
        <v>3141</v>
      </c>
      <c r="R6" s="32">
        <v>3499268</v>
      </c>
      <c r="S6" s="32">
        <v>4776456</v>
      </c>
      <c r="T6" s="32">
        <v>3157251</v>
      </c>
      <c r="U6" s="32">
        <v>5297960</v>
      </c>
      <c r="V6" s="32">
        <v>2491965</v>
      </c>
    </row>
    <row r="7" spans="1:22" ht="16.8" x14ac:dyDescent="0.3">
      <c r="A7" s="223"/>
      <c r="B7" s="14">
        <v>7740</v>
      </c>
      <c r="C7" s="13">
        <v>15994</v>
      </c>
      <c r="D7" s="32">
        <v>551065</v>
      </c>
      <c r="E7" s="32">
        <v>66899</v>
      </c>
      <c r="F7" s="32">
        <v>2417760</v>
      </c>
      <c r="G7" s="32">
        <v>4803570</v>
      </c>
      <c r="H7" s="32">
        <v>11051742</v>
      </c>
      <c r="I7" s="32">
        <v>69479</v>
      </c>
      <c r="J7" s="32">
        <v>7089</v>
      </c>
      <c r="K7" s="13">
        <v>190213</v>
      </c>
      <c r="L7" s="13">
        <v>6817207</v>
      </c>
      <c r="M7" s="13">
        <v>7017099</v>
      </c>
      <c r="N7" s="3"/>
      <c r="O7" s="32">
        <v>1173720</v>
      </c>
      <c r="P7" s="13">
        <v>13334759</v>
      </c>
      <c r="Q7" s="13">
        <v>3784</v>
      </c>
      <c r="R7" s="32">
        <v>1183214</v>
      </c>
      <c r="S7" s="32">
        <v>3868721</v>
      </c>
      <c r="T7" s="32">
        <v>4124805</v>
      </c>
      <c r="U7" s="32">
        <v>6530098</v>
      </c>
      <c r="V7" s="32">
        <v>9036259</v>
      </c>
    </row>
    <row r="8" spans="1:22" ht="16.8" x14ac:dyDescent="0.3">
      <c r="A8" s="223"/>
      <c r="B8" s="14">
        <v>24979</v>
      </c>
      <c r="C8" s="13">
        <v>573</v>
      </c>
      <c r="D8" s="32">
        <v>60990</v>
      </c>
      <c r="E8" s="32">
        <v>32585</v>
      </c>
      <c r="F8" s="32">
        <v>2223508</v>
      </c>
      <c r="G8" s="32">
        <v>2326923</v>
      </c>
      <c r="H8" s="32">
        <v>11506005</v>
      </c>
      <c r="I8" s="32">
        <v>32274</v>
      </c>
      <c r="J8" s="32">
        <v>3106</v>
      </c>
      <c r="K8" s="13">
        <v>3438905</v>
      </c>
      <c r="L8" s="13">
        <v>4693944</v>
      </c>
      <c r="M8" s="13">
        <v>6956129</v>
      </c>
      <c r="N8" s="3"/>
      <c r="O8" s="32">
        <v>3158648</v>
      </c>
      <c r="P8" s="13">
        <v>7677225</v>
      </c>
      <c r="Q8" s="13">
        <v>85685</v>
      </c>
      <c r="R8" s="32">
        <v>279808</v>
      </c>
      <c r="S8" s="32">
        <v>1115985</v>
      </c>
      <c r="T8" s="32">
        <v>194</v>
      </c>
      <c r="U8" s="32">
        <v>6838527</v>
      </c>
      <c r="V8" s="32">
        <v>11306945</v>
      </c>
    </row>
    <row r="9" spans="1:22" ht="16.8" x14ac:dyDescent="0.3">
      <c r="A9" s="223"/>
      <c r="B9" s="14">
        <v>22159</v>
      </c>
      <c r="C9" s="13">
        <v>2819</v>
      </c>
      <c r="D9" s="32">
        <v>79308</v>
      </c>
      <c r="E9" s="32">
        <v>24709</v>
      </c>
      <c r="F9" s="32">
        <v>2654743</v>
      </c>
      <c r="G9" s="32">
        <v>5627700</v>
      </c>
      <c r="H9" s="32">
        <v>8664142</v>
      </c>
      <c r="I9" s="32">
        <v>10093</v>
      </c>
      <c r="J9" s="32">
        <v>25668</v>
      </c>
      <c r="K9" s="13">
        <v>158681</v>
      </c>
      <c r="L9" s="13">
        <v>65098</v>
      </c>
      <c r="M9" s="13">
        <v>6578689</v>
      </c>
      <c r="N9" s="3"/>
      <c r="O9" s="32">
        <v>2347516</v>
      </c>
      <c r="P9" s="13">
        <v>12435794</v>
      </c>
      <c r="Q9" s="13">
        <v>39960</v>
      </c>
      <c r="R9" s="32">
        <v>457421</v>
      </c>
      <c r="S9" s="32">
        <v>1649</v>
      </c>
      <c r="T9" s="32">
        <v>3253193</v>
      </c>
      <c r="U9" s="32">
        <v>5656355</v>
      </c>
      <c r="V9" s="32">
        <v>5423968</v>
      </c>
    </row>
    <row r="10" spans="1:22" ht="16.8" x14ac:dyDescent="0.3">
      <c r="A10" s="223"/>
      <c r="B10" s="14">
        <v>48770</v>
      </c>
      <c r="C10" s="13">
        <v>74151</v>
      </c>
      <c r="D10" s="32">
        <v>436501</v>
      </c>
      <c r="E10" s="32">
        <v>74505</v>
      </c>
      <c r="F10" s="32">
        <v>1813827</v>
      </c>
      <c r="G10" s="32">
        <v>958145</v>
      </c>
      <c r="H10" s="32">
        <v>9069405</v>
      </c>
      <c r="I10" s="32">
        <v>45175</v>
      </c>
      <c r="J10" s="32">
        <v>45851</v>
      </c>
      <c r="K10" s="13">
        <v>81250</v>
      </c>
      <c r="L10" s="13">
        <v>5464738</v>
      </c>
      <c r="M10" s="13">
        <v>6858109</v>
      </c>
      <c r="N10" s="3"/>
      <c r="O10" s="32">
        <v>159327</v>
      </c>
      <c r="P10" s="13">
        <v>5610489</v>
      </c>
      <c r="Q10" s="13">
        <v>5330</v>
      </c>
      <c r="R10" s="32">
        <v>996458</v>
      </c>
      <c r="S10" s="32">
        <v>5252424</v>
      </c>
      <c r="T10" s="32">
        <v>4975636</v>
      </c>
      <c r="U10" s="32">
        <v>7828613</v>
      </c>
      <c r="V10" s="32">
        <v>10362565</v>
      </c>
    </row>
    <row r="11" spans="1:22" ht="16.8" x14ac:dyDescent="0.3">
      <c r="A11" s="223"/>
      <c r="B11" s="14">
        <v>67248</v>
      </c>
      <c r="C11" s="13">
        <v>6011</v>
      </c>
      <c r="D11" s="32">
        <v>1651499</v>
      </c>
      <c r="E11" s="32">
        <v>1535</v>
      </c>
      <c r="F11" s="32">
        <v>834473</v>
      </c>
      <c r="G11" s="32">
        <v>3617220</v>
      </c>
      <c r="H11" s="32">
        <v>7207448</v>
      </c>
      <c r="I11" s="32">
        <v>6388</v>
      </c>
      <c r="J11" s="32">
        <v>90267</v>
      </c>
      <c r="K11" s="13">
        <v>624470</v>
      </c>
      <c r="L11" s="13">
        <v>3525202</v>
      </c>
      <c r="M11" s="13">
        <v>4761349</v>
      </c>
      <c r="N11" s="3"/>
      <c r="O11" s="32">
        <v>16367</v>
      </c>
      <c r="P11" s="13">
        <v>8345508</v>
      </c>
      <c r="Q11" s="13">
        <v>3590</v>
      </c>
      <c r="R11" s="32">
        <v>2173073</v>
      </c>
      <c r="S11" s="32">
        <v>1156706</v>
      </c>
      <c r="T11" s="32">
        <v>4165198</v>
      </c>
      <c r="U11" s="32">
        <v>7114452</v>
      </c>
      <c r="V11" s="32">
        <v>9249740</v>
      </c>
    </row>
    <row r="12" spans="1:22" ht="16.8" x14ac:dyDescent="0.3">
      <c r="A12" s="223"/>
      <c r="B12" s="14">
        <v>4017</v>
      </c>
      <c r="C12" s="13">
        <v>21062</v>
      </c>
      <c r="D12" s="32">
        <v>1092218</v>
      </c>
      <c r="E12" s="32">
        <v>17578</v>
      </c>
      <c r="F12" s="32">
        <v>1649486</v>
      </c>
      <c r="G12" s="32">
        <v>2680119</v>
      </c>
      <c r="H12" s="32">
        <v>10243914</v>
      </c>
      <c r="I12" s="32">
        <v>43555</v>
      </c>
      <c r="J12" s="32">
        <v>17594</v>
      </c>
      <c r="K12" s="13">
        <v>1077559</v>
      </c>
      <c r="L12" s="13">
        <v>3267831</v>
      </c>
      <c r="M12" s="13">
        <v>9795350</v>
      </c>
      <c r="N12" s="3"/>
      <c r="O12" s="32">
        <v>40591</v>
      </c>
      <c r="P12" s="13">
        <v>7257940</v>
      </c>
      <c r="Q12" s="13"/>
      <c r="R12" s="32">
        <v>77514</v>
      </c>
      <c r="S12" s="32">
        <v>2708521</v>
      </c>
      <c r="T12" s="32">
        <v>1596458</v>
      </c>
      <c r="U12" s="32">
        <v>3832469</v>
      </c>
      <c r="V12" s="32">
        <v>8637220</v>
      </c>
    </row>
    <row r="13" spans="1:22" ht="16.8" x14ac:dyDescent="0.3">
      <c r="A13" s="223"/>
      <c r="B13" s="14"/>
      <c r="C13" s="13"/>
      <c r="D13" s="32"/>
      <c r="E13" s="32"/>
      <c r="F13" s="32"/>
      <c r="G13" s="32"/>
      <c r="H13" s="32"/>
      <c r="I13" s="32"/>
      <c r="J13" s="32"/>
      <c r="K13" s="13"/>
      <c r="L13" s="13"/>
      <c r="M13" s="13"/>
      <c r="N13" s="3"/>
      <c r="O13" s="32">
        <v>2205713</v>
      </c>
      <c r="P13" s="13"/>
      <c r="Q13" s="13"/>
      <c r="R13" s="32"/>
      <c r="S13" s="32"/>
      <c r="T13" s="32"/>
      <c r="U13" s="32"/>
      <c r="V13" s="32"/>
    </row>
    <row r="14" spans="1:22" ht="16.8" x14ac:dyDescent="0.3">
      <c r="A14" s="223"/>
      <c r="B14" s="14"/>
      <c r="C14" s="32"/>
      <c r="D14" s="32"/>
      <c r="E14" s="32"/>
      <c r="F14" s="32"/>
      <c r="G14" s="32"/>
      <c r="H14" s="32"/>
      <c r="I14" s="32"/>
      <c r="J14" s="32"/>
      <c r="K14" s="13"/>
      <c r="L14" s="13"/>
      <c r="M14" s="13"/>
      <c r="N14" s="3"/>
      <c r="O14" s="32">
        <v>3705502</v>
      </c>
      <c r="P14" s="13"/>
      <c r="Q14" s="13"/>
      <c r="R14" s="32"/>
      <c r="S14" s="32"/>
      <c r="T14" s="32"/>
      <c r="U14" s="32"/>
      <c r="V14" s="32"/>
    </row>
    <row r="15" spans="1:22" ht="16.8" x14ac:dyDescent="0.3">
      <c r="A15" s="223"/>
      <c r="B15" s="14"/>
      <c r="C15" s="32"/>
      <c r="D15" s="32"/>
      <c r="E15" s="32"/>
      <c r="F15" s="32"/>
      <c r="G15" s="32"/>
      <c r="H15" s="32"/>
      <c r="I15" s="32"/>
      <c r="J15" s="32"/>
      <c r="K15" s="13"/>
      <c r="L15" s="13"/>
      <c r="M15" s="13"/>
      <c r="N15" s="3"/>
      <c r="O15" s="32">
        <v>179771</v>
      </c>
      <c r="P15" s="13"/>
      <c r="Q15" s="13"/>
      <c r="R15" s="32"/>
      <c r="S15" s="32"/>
      <c r="T15" s="32"/>
      <c r="U15" s="32"/>
      <c r="V15" s="32"/>
    </row>
    <row r="16" spans="1:22" ht="16.8" x14ac:dyDescent="0.3">
      <c r="A16" s="223"/>
      <c r="B16" s="14"/>
      <c r="C16" s="32"/>
      <c r="D16" s="32"/>
      <c r="E16" s="32"/>
      <c r="F16" s="32"/>
      <c r="G16" s="32"/>
      <c r="H16" s="32"/>
      <c r="I16" s="32"/>
      <c r="J16" s="32"/>
      <c r="K16" s="13"/>
      <c r="L16" s="13"/>
      <c r="M16" s="13"/>
      <c r="N16" s="3"/>
      <c r="O16" s="32">
        <v>1360616</v>
      </c>
      <c r="P16" s="13"/>
      <c r="Q16" s="13"/>
      <c r="R16" s="32"/>
      <c r="S16" s="32"/>
      <c r="T16" s="32"/>
      <c r="U16" s="32"/>
      <c r="V16" s="32"/>
    </row>
    <row r="17" spans="1:22" ht="16.8" x14ac:dyDescent="0.3">
      <c r="A17" s="223"/>
      <c r="B17" s="14"/>
      <c r="C17" s="32"/>
      <c r="D17" s="32"/>
      <c r="E17" s="32"/>
      <c r="F17" s="32"/>
      <c r="G17" s="32"/>
      <c r="H17" s="32"/>
      <c r="I17" s="32"/>
      <c r="J17" s="32"/>
      <c r="K17" s="13"/>
      <c r="L17" s="13"/>
      <c r="M17" s="13"/>
      <c r="N17" s="3"/>
      <c r="O17" s="32">
        <v>65269</v>
      </c>
      <c r="P17" s="13"/>
      <c r="Q17" s="13"/>
      <c r="R17" s="32"/>
      <c r="S17" s="32"/>
      <c r="T17" s="32"/>
      <c r="U17" s="32"/>
      <c r="V17" s="32"/>
    </row>
    <row r="18" spans="1:22" ht="16.8" x14ac:dyDescent="0.3">
      <c r="A18" s="223"/>
      <c r="B18" s="14"/>
      <c r="C18" s="32"/>
      <c r="D18" s="32"/>
      <c r="E18" s="32"/>
      <c r="F18" s="32"/>
      <c r="G18" s="32"/>
      <c r="H18" s="32"/>
      <c r="I18" s="32"/>
      <c r="J18" s="32"/>
      <c r="K18" s="13"/>
      <c r="L18" s="13"/>
      <c r="M18" s="13"/>
      <c r="N18" s="3"/>
      <c r="O18" s="32">
        <v>21258</v>
      </c>
      <c r="P18" s="13"/>
      <c r="Q18" s="13"/>
      <c r="R18" s="32"/>
      <c r="S18" s="32"/>
      <c r="T18" s="32"/>
      <c r="U18" s="32"/>
      <c r="V18" s="32"/>
    </row>
    <row r="19" spans="1:22" ht="16.8" x14ac:dyDescent="0.3">
      <c r="A19" s="223"/>
      <c r="B19" s="14"/>
      <c r="C19" s="32"/>
      <c r="D19" s="32"/>
      <c r="E19" s="32"/>
      <c r="F19" s="32"/>
      <c r="G19" s="32"/>
      <c r="H19" s="32"/>
      <c r="I19" s="32"/>
      <c r="J19" s="32"/>
      <c r="K19" s="13"/>
      <c r="L19" s="13"/>
      <c r="M19" s="13"/>
      <c r="N19" s="3"/>
      <c r="O19" s="32">
        <v>46799</v>
      </c>
      <c r="P19" s="13"/>
      <c r="Q19" s="13"/>
      <c r="R19" s="32"/>
      <c r="S19" s="32"/>
      <c r="T19" s="32"/>
      <c r="U19" s="32"/>
      <c r="V19" s="32"/>
    </row>
    <row r="20" spans="1:22" ht="16.8" x14ac:dyDescent="0.3">
      <c r="A20" s="223"/>
      <c r="B20" s="14"/>
      <c r="C20" s="32"/>
      <c r="D20" s="32"/>
      <c r="E20" s="32"/>
      <c r="F20" s="32"/>
      <c r="G20" s="32"/>
      <c r="H20" s="32"/>
      <c r="I20" s="32"/>
      <c r="J20" s="32"/>
      <c r="K20" s="13"/>
      <c r="L20" s="13"/>
      <c r="M20" s="13"/>
      <c r="N20" s="3"/>
      <c r="O20" s="32"/>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estradiol-34ng/L</v>
      </c>
      <c r="J22" s="3" t="str">
        <f t="shared" si="0"/>
        <v>estradiol-68ng/L</v>
      </c>
      <c r="K22" s="3" t="str">
        <f t="shared" si="0"/>
        <v>estradiol-135ng/L</v>
      </c>
      <c r="L22" s="3" t="str">
        <f t="shared" si="0"/>
        <v>estradiol-270ng/L</v>
      </c>
      <c r="M22" s="3" t="str">
        <f t="shared" si="0"/>
        <v>estradiol-540ng/L</v>
      </c>
      <c r="N22" s="3" t="s">
        <v>41</v>
      </c>
      <c r="O22" s="3" t="str">
        <f t="shared" si="0"/>
        <v>Testo -30µg/L</v>
      </c>
      <c r="P22" s="3" t="str">
        <f t="shared" si="0"/>
        <v>Testo 30µg/L + EE2 -64ng/L</v>
      </c>
      <c r="Q22" s="3" t="str">
        <f t="shared" si="0"/>
        <v>Testo 30µg/L + FAD-10µg/L</v>
      </c>
      <c r="R22" s="3" t="str">
        <f t="shared" si="0"/>
        <v>estradiol-34ng/L + Testostérone</v>
      </c>
      <c r="S22" s="3" t="str">
        <f t="shared" si="0"/>
        <v>estradiol-68ng/L + Testostérone</v>
      </c>
      <c r="T22" s="3" t="str">
        <f t="shared" si="0"/>
        <v>estradiol-135ng/L + Testostérone</v>
      </c>
      <c r="U22" s="3" t="str">
        <f t="shared" si="0"/>
        <v>estradiol-270ng/L + Testostérone</v>
      </c>
      <c r="V22" s="3" t="str">
        <f t="shared" si="0"/>
        <v>estradiol-540ng/L + Testostérone</v>
      </c>
    </row>
    <row r="23" spans="1:22" x14ac:dyDescent="0.3">
      <c r="A23" s="5" t="s">
        <v>0</v>
      </c>
      <c r="B23" s="5">
        <f t="shared" ref="B23:J23" si="1">AVERAGE(B5:B20)</f>
        <v>25311.375</v>
      </c>
      <c r="C23" s="5">
        <f t="shared" si="1"/>
        <v>22560</v>
      </c>
      <c r="D23" s="5">
        <f t="shared" si="1"/>
        <v>753395.5</v>
      </c>
      <c r="E23" s="5">
        <f t="shared" si="1"/>
        <v>65644.75</v>
      </c>
      <c r="F23" s="5">
        <f t="shared" si="1"/>
        <v>1844288.75</v>
      </c>
      <c r="G23" s="5">
        <f t="shared" si="1"/>
        <v>3781347.875</v>
      </c>
      <c r="H23" s="5">
        <f t="shared" si="1"/>
        <v>9131221.75</v>
      </c>
      <c r="I23" s="5">
        <f t="shared" si="1"/>
        <v>31827.625</v>
      </c>
      <c r="J23" s="5">
        <f t="shared" si="1"/>
        <v>29763.5</v>
      </c>
      <c r="K23" s="5"/>
      <c r="L23" s="5">
        <f>AVERAGE(L5:L20)</f>
        <v>3582280.25</v>
      </c>
      <c r="M23" s="5"/>
      <c r="N23" s="5" t="s">
        <v>0</v>
      </c>
      <c r="O23" s="5">
        <f>AVERAGE(O5:O20)</f>
        <v>1150516</v>
      </c>
      <c r="P23" s="5">
        <f>AVERAGE(P5:P20)</f>
        <v>9221520.625</v>
      </c>
      <c r="Q23" s="5">
        <f>AVERAGE(Q5:Q20)</f>
        <v>23380.428571428572</v>
      </c>
      <c r="R23" s="5">
        <f>AVERAGE(R5:R20)</f>
        <v>1111349.875</v>
      </c>
      <c r="S23" s="5">
        <f>AVERAGE(S5:S20)</f>
        <v>2581271.125</v>
      </c>
      <c r="T23" s="5">
        <f t="shared" ref="T23:V23" si="2">AVERAGE(T5:T20)</f>
        <v>2664167.5</v>
      </c>
      <c r="U23" s="5">
        <f t="shared" si="2"/>
        <v>5633039.5</v>
      </c>
      <c r="V23" s="5">
        <f t="shared" si="2"/>
        <v>8143079</v>
      </c>
    </row>
    <row r="24" spans="1:22" x14ac:dyDescent="0.3">
      <c r="A24" s="3" t="s">
        <v>1</v>
      </c>
      <c r="B24" s="3">
        <f t="shared" ref="B24:J24" si="3">STDEV(B5:B20)</f>
        <v>22079.266757607042</v>
      </c>
      <c r="C24" s="3">
        <f t="shared" si="3"/>
        <v>28396.241099332645</v>
      </c>
      <c r="D24" s="3">
        <f t="shared" si="3"/>
        <v>563473.05321829091</v>
      </c>
      <c r="E24" s="3">
        <f t="shared" si="3"/>
        <v>99135.52380850022</v>
      </c>
      <c r="F24" s="3">
        <f t="shared" si="3"/>
        <v>630350.1085971985</v>
      </c>
      <c r="G24" s="3">
        <f t="shared" si="3"/>
        <v>1662949.2596136401</v>
      </c>
      <c r="H24" s="3">
        <f t="shared" si="3"/>
        <v>1861790.0160599477</v>
      </c>
      <c r="I24" s="3">
        <f t="shared" si="3"/>
        <v>22764.779312020575</v>
      </c>
      <c r="J24" s="3">
        <f t="shared" si="3"/>
        <v>28045.490735079471</v>
      </c>
      <c r="K24" s="3"/>
      <c r="L24" s="3">
        <f>STDEV(L5:L20)</f>
        <v>2087051.1945970049</v>
      </c>
      <c r="M24" s="3"/>
      <c r="N24" s="3" t="s">
        <v>1</v>
      </c>
      <c r="O24" s="3">
        <f>STDEV(O5:O20)</f>
        <v>1251140.5471654367</v>
      </c>
      <c r="P24" s="3">
        <f>STDEV(P5:P20)</f>
        <v>2605688.0794119257</v>
      </c>
      <c r="Q24" s="3">
        <f>STDEV(Q5:Q20)</f>
        <v>30739.044687265647</v>
      </c>
      <c r="R24" s="3">
        <f>STDEV(R5:R20)</f>
        <v>1184602.9190988655</v>
      </c>
      <c r="S24" s="3">
        <f>STDEV(S5:S20)</f>
        <v>1894245.0395355353</v>
      </c>
      <c r="T24" s="3">
        <f t="shared" ref="T24:V24" si="4">STDEV(T5:T20)</f>
        <v>1906356.3618645463</v>
      </c>
      <c r="U24" s="3">
        <f t="shared" si="4"/>
        <v>1930072.2994405455</v>
      </c>
      <c r="V24" s="3">
        <f t="shared" si="4"/>
        <v>2847916.6868971833</v>
      </c>
    </row>
    <row r="25" spans="1:22" ht="15" thickBot="1" x14ac:dyDescent="0.35"/>
    <row r="26" spans="1:22" ht="15" thickBot="1" x14ac:dyDescent="0.35">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estradiol-34ng/L</v>
      </c>
      <c r="J27" s="35" t="str">
        <f t="shared" si="5"/>
        <v>estradiol-68ng/L</v>
      </c>
      <c r="K27" s="35" t="str">
        <f t="shared" si="5"/>
        <v>estradiol-135ng/L</v>
      </c>
      <c r="L27" s="35" t="str">
        <f t="shared" si="5"/>
        <v>estradiol-270ng/L</v>
      </c>
      <c r="M27" s="35" t="str">
        <f t="shared" si="5"/>
        <v>estradiol-540ng/L</v>
      </c>
      <c r="N27" s="3"/>
      <c r="O27" s="36" t="str">
        <f>O4</f>
        <v>Testo -30µg/L</v>
      </c>
      <c r="P27" s="36" t="str">
        <f t="shared" ref="P27:V27" si="6">P4</f>
        <v>Testo 30µg/L + EE2 -64ng/L</v>
      </c>
      <c r="Q27" s="36" t="str">
        <f t="shared" si="6"/>
        <v>Testo 30µg/L + FAD-10µg/L</v>
      </c>
      <c r="R27" s="36" t="str">
        <f t="shared" si="6"/>
        <v>estradiol-34ng/L + Testostérone</v>
      </c>
      <c r="S27" s="36" t="str">
        <f t="shared" si="6"/>
        <v>estradiol-68ng/L + Testostérone</v>
      </c>
      <c r="T27" s="36" t="str">
        <f t="shared" si="6"/>
        <v>estradiol-135ng/L + Testostérone</v>
      </c>
      <c r="U27" s="36" t="str">
        <f t="shared" si="6"/>
        <v>estradiol-270ng/L + Testostérone</v>
      </c>
      <c r="V27" s="36" t="str">
        <f t="shared" si="6"/>
        <v>estradiol-540ng/L + Testostérone</v>
      </c>
    </row>
    <row r="28" spans="1:22" x14ac:dyDescent="0.3">
      <c r="A28" s="224" t="s">
        <v>34</v>
      </c>
      <c r="B28" s="11">
        <f t="shared" ref="B28:M28" si="7">IF(B5="","",(B5/$O$23))</f>
        <v>1.6966300338282995E-2</v>
      </c>
      <c r="C28" s="11">
        <f t="shared" si="7"/>
        <v>5.1222234197525286E-2</v>
      </c>
      <c r="D28" s="11">
        <f t="shared" si="7"/>
        <v>1.0132523146136168</v>
      </c>
      <c r="E28" s="11">
        <f t="shared" si="7"/>
        <v>0.26252916082870642</v>
      </c>
      <c r="F28" s="11">
        <f t="shared" si="7"/>
        <v>0.95947557443790443</v>
      </c>
      <c r="G28" s="11">
        <f t="shared" si="7"/>
        <v>4.4204669904634093</v>
      </c>
      <c r="H28" s="11">
        <f t="shared" si="7"/>
        <v>8.0815277666716501</v>
      </c>
      <c r="I28" s="11">
        <f t="shared" si="7"/>
        <v>5.0829366997069145E-3</v>
      </c>
      <c r="J28" s="11">
        <f t="shared" si="7"/>
        <v>2.8267316577952849E-2</v>
      </c>
      <c r="K28" s="11">
        <f t="shared" si="7"/>
        <v>0.26340702780317699</v>
      </c>
      <c r="L28" s="11">
        <f t="shared" si="7"/>
        <v>1.9815908687927852</v>
      </c>
      <c r="M28" s="11">
        <f t="shared" si="7"/>
        <v>7.9293490920595628</v>
      </c>
      <c r="N28" s="6"/>
      <c r="O28" s="11">
        <f t="shared" ref="O28:V39" si="8">IF(O5="","",(O5/$O$23))</f>
        <v>1.6567192459731113</v>
      </c>
      <c r="P28" s="11">
        <f t="shared" si="8"/>
        <v>8.2543841198210188</v>
      </c>
      <c r="Q28" s="11">
        <f t="shared" si="8"/>
        <v>1.9272222202907217E-2</v>
      </c>
      <c r="R28" s="11">
        <f t="shared" si="8"/>
        <v>0.19473262431813204</v>
      </c>
      <c r="S28" s="11">
        <f t="shared" si="8"/>
        <v>1.538185475039026</v>
      </c>
      <c r="T28" s="11">
        <f t="shared" si="8"/>
        <v>3.5292859899384278E-2</v>
      </c>
      <c r="U28" s="11">
        <f t="shared" si="8"/>
        <v>1.7086611572546579</v>
      </c>
      <c r="V28" s="11">
        <f t="shared" si="8"/>
        <v>7.5061711440779613</v>
      </c>
    </row>
    <row r="29" spans="1:22" x14ac:dyDescent="0.3">
      <c r="A29" s="224"/>
      <c r="B29" s="11">
        <f t="shared" ref="B29:M29" si="9">IF(B6="","",(B6/$O$23))</f>
        <v>7.0038139408752243E-3</v>
      </c>
      <c r="C29" s="11">
        <f t="shared" si="9"/>
        <v>8.1528635846872186E-4</v>
      </c>
      <c r="D29" s="11">
        <f t="shared" si="9"/>
        <v>0.86032701848561866</v>
      </c>
      <c r="E29" s="11">
        <f t="shared" si="9"/>
        <v>4.6092362035816976E-3</v>
      </c>
      <c r="F29" s="11">
        <f t="shared" si="9"/>
        <v>1.7875640147551186</v>
      </c>
      <c r="G29" s="11">
        <f t="shared" si="9"/>
        <v>4.4773718922639931</v>
      </c>
      <c r="H29" s="11">
        <f t="shared" si="9"/>
        <v>5.2230399229563087</v>
      </c>
      <c r="I29" s="11">
        <f t="shared" si="9"/>
        <v>3.6339346866970997E-2</v>
      </c>
      <c r="J29" s="11">
        <f t="shared" si="9"/>
        <v>1.3916364483414398E-2</v>
      </c>
      <c r="K29" s="11">
        <f t="shared" si="9"/>
        <v>3.0619991377781797</v>
      </c>
      <c r="L29" s="11">
        <f t="shared" si="9"/>
        <v>2.2115033602314091</v>
      </c>
      <c r="M29" s="11">
        <f t="shared" si="9"/>
        <v>7.0964462901863161</v>
      </c>
      <c r="N29" s="6"/>
      <c r="O29" s="11">
        <f t="shared" si="8"/>
        <v>0.75667005065553194</v>
      </c>
      <c r="P29" s="11">
        <f t="shared" si="8"/>
        <v>8.3559455061902668</v>
      </c>
      <c r="Q29" s="11">
        <f t="shared" si="8"/>
        <v>2.7300793730812957E-3</v>
      </c>
      <c r="R29" s="11">
        <f t="shared" si="8"/>
        <v>3.0414770416056793</v>
      </c>
      <c r="S29" s="11">
        <f t="shared" si="8"/>
        <v>4.1515772053582918</v>
      </c>
      <c r="T29" s="11">
        <f t="shared" si="8"/>
        <v>2.7442043396180495</v>
      </c>
      <c r="U29" s="11">
        <f t="shared" si="8"/>
        <v>4.6048555604615666</v>
      </c>
      <c r="V29" s="11">
        <f t="shared" si="8"/>
        <v>2.1659542327094972</v>
      </c>
    </row>
    <row r="30" spans="1:22" x14ac:dyDescent="0.3">
      <c r="A30" s="224"/>
      <c r="B30" s="11">
        <f t="shared" ref="B30:M30" si="10">IF(B7="","",(B7/$O$23))</f>
        <v>6.7274162202003275E-3</v>
      </c>
      <c r="C30" s="11">
        <f t="shared" si="10"/>
        <v>1.3901588504636181E-2</v>
      </c>
      <c r="D30" s="11">
        <f t="shared" si="10"/>
        <v>0.47897204384815162</v>
      </c>
      <c r="E30" s="11">
        <f t="shared" si="10"/>
        <v>5.8146953193175935E-2</v>
      </c>
      <c r="F30" s="11">
        <f t="shared" si="10"/>
        <v>2.1014570853425769</v>
      </c>
      <c r="G30" s="11">
        <f t="shared" si="10"/>
        <v>4.1751440223343268</v>
      </c>
      <c r="H30" s="11">
        <f t="shared" si="10"/>
        <v>9.6059003090787094</v>
      </c>
      <c r="I30" s="11">
        <f t="shared" si="10"/>
        <v>6.0389425266576043E-2</v>
      </c>
      <c r="J30" s="11">
        <f t="shared" si="10"/>
        <v>6.1615831505168117E-3</v>
      </c>
      <c r="K30" s="11">
        <f t="shared" si="10"/>
        <v>0.16532842654947866</v>
      </c>
      <c r="L30" s="11">
        <f t="shared" si="10"/>
        <v>5.9253474093363323</v>
      </c>
      <c r="M30" s="11">
        <f t="shared" si="10"/>
        <v>6.0990885828619508</v>
      </c>
      <c r="N30" s="6"/>
      <c r="O30" s="11">
        <f t="shared" si="8"/>
        <v>1.0201683418570451</v>
      </c>
      <c r="P30" s="11">
        <f t="shared" si="8"/>
        <v>11.590242117449909</v>
      </c>
      <c r="Q30" s="11">
        <f t="shared" si="8"/>
        <v>3.2889590409868269E-3</v>
      </c>
      <c r="R30" s="11">
        <f t="shared" si="8"/>
        <v>1.0284202914170686</v>
      </c>
      <c r="S30" s="11">
        <f t="shared" si="8"/>
        <v>3.3625964349909085</v>
      </c>
      <c r="T30" s="11">
        <f t="shared" si="8"/>
        <v>3.5851783026050921</v>
      </c>
      <c r="U30" s="11">
        <f t="shared" si="8"/>
        <v>5.6757993804519016</v>
      </c>
      <c r="V30" s="11">
        <f t="shared" si="8"/>
        <v>7.8540924246164332</v>
      </c>
    </row>
    <row r="31" spans="1:22" x14ac:dyDescent="0.3">
      <c r="A31" s="224"/>
      <c r="B31" s="11">
        <f t="shared" ref="B31:M31" si="11">IF(B8="","",(B8/$O$23))</f>
        <v>2.1711127876535397E-2</v>
      </c>
      <c r="C31" s="11">
        <f t="shared" si="11"/>
        <v>4.9803740234816379E-4</v>
      </c>
      <c r="D31" s="11">
        <f t="shared" si="11"/>
        <v>5.3010996804911885E-2</v>
      </c>
      <c r="E31" s="11">
        <f t="shared" si="11"/>
        <v>2.832207461695448E-2</v>
      </c>
      <c r="F31" s="11">
        <f t="shared" si="11"/>
        <v>1.9326180600704379</v>
      </c>
      <c r="G31" s="11">
        <f t="shared" si="11"/>
        <v>2.0225038156792259</v>
      </c>
      <c r="H31" s="11">
        <f t="shared" si="11"/>
        <v>10.000734453062799</v>
      </c>
      <c r="I31" s="11">
        <f t="shared" si="11"/>
        <v>2.805176112283532E-2</v>
      </c>
      <c r="J31" s="11">
        <f t="shared" si="11"/>
        <v>2.6996582403026122E-3</v>
      </c>
      <c r="K31" s="11">
        <f t="shared" si="11"/>
        <v>2.989011017665117</v>
      </c>
      <c r="L31" s="11">
        <f t="shared" si="11"/>
        <v>4.0798598194201556</v>
      </c>
      <c r="M31" s="11">
        <f t="shared" si="11"/>
        <v>6.0460949695614836</v>
      </c>
      <c r="N31" s="6"/>
      <c r="O31" s="11">
        <f t="shared" si="8"/>
        <v>2.7454185774035302</v>
      </c>
      <c r="P31" s="11">
        <f t="shared" si="8"/>
        <v>6.6728537456237031</v>
      </c>
      <c r="Q31" s="11">
        <f t="shared" si="8"/>
        <v>7.4475278918328822E-2</v>
      </c>
      <c r="R31" s="11">
        <f t="shared" si="8"/>
        <v>0.24320218058679757</v>
      </c>
      <c r="S31" s="11">
        <f t="shared" si="8"/>
        <v>0.96998651040055073</v>
      </c>
      <c r="T31" s="11">
        <f t="shared" si="8"/>
        <v>1.6861999311613225E-4</v>
      </c>
      <c r="U31" s="11">
        <f t="shared" si="8"/>
        <v>5.9438782250746618</v>
      </c>
      <c r="V31" s="11">
        <f t="shared" si="8"/>
        <v>9.8277164333220917</v>
      </c>
    </row>
    <row r="32" spans="1:22" x14ac:dyDescent="0.3">
      <c r="A32" s="224"/>
      <c r="B32" s="11">
        <f t="shared" ref="B32:M32" si="12">IF(B9="","",(B9/$O$23))</f>
        <v>1.9260053749795746E-2</v>
      </c>
      <c r="C32" s="11">
        <f t="shared" si="12"/>
        <v>2.4502049515174062E-3</v>
      </c>
      <c r="D32" s="11">
        <f t="shared" si="12"/>
        <v>6.8932548526052656E-2</v>
      </c>
      <c r="E32" s="11">
        <f t="shared" si="12"/>
        <v>2.1476450566528409E-2</v>
      </c>
      <c r="F32" s="11">
        <f t="shared" si="12"/>
        <v>2.3074368370365992</v>
      </c>
      <c r="G32" s="11">
        <f t="shared" si="12"/>
        <v>4.8914573982456568</v>
      </c>
      <c r="H32" s="11">
        <f t="shared" si="12"/>
        <v>7.5306575484391347</v>
      </c>
      <c r="I32" s="11">
        <f t="shared" si="12"/>
        <v>8.7725855181501177E-3</v>
      </c>
      <c r="J32" s="11">
        <f t="shared" si="12"/>
        <v>2.2309989604664342E-2</v>
      </c>
      <c r="K32" s="11">
        <f t="shared" si="12"/>
        <v>0.13792159344155144</v>
      </c>
      <c r="L32" s="11">
        <f t="shared" si="12"/>
        <v>5.6581568617907092E-2</v>
      </c>
      <c r="M32" s="11">
        <f t="shared" si="12"/>
        <v>5.7180334736761589</v>
      </c>
      <c r="N32" s="6"/>
      <c r="O32" s="11">
        <f t="shared" si="8"/>
        <v>2.0404027410309808</v>
      </c>
      <c r="P32" s="11">
        <f t="shared" si="8"/>
        <v>10.808884013781642</v>
      </c>
      <c r="Q32" s="11">
        <f t="shared" si="8"/>
        <v>3.473224188103425E-2</v>
      </c>
      <c r="R32" s="11">
        <f t="shared" si="8"/>
        <v>0.39757899933595015</v>
      </c>
      <c r="S32" s="11">
        <f t="shared" si="8"/>
        <v>1.433269941487124E-3</v>
      </c>
      <c r="T32" s="11">
        <f t="shared" si="8"/>
        <v>2.8275947487909772</v>
      </c>
      <c r="U32" s="11">
        <f t="shared" si="8"/>
        <v>4.9163636142391764</v>
      </c>
      <c r="V32" s="11">
        <f t="shared" si="8"/>
        <v>4.7143785918666063</v>
      </c>
    </row>
    <row r="33" spans="1:22" x14ac:dyDescent="0.3">
      <c r="A33" s="224"/>
      <c r="B33" s="11">
        <f t="shared" ref="B33:M33" si="13">IF(B10="","",(B10/$O$23))</f>
        <v>4.2389675589040048E-2</v>
      </c>
      <c r="C33" s="11">
        <f t="shared" si="13"/>
        <v>6.4450211904919188E-2</v>
      </c>
      <c r="D33" s="11">
        <f t="shared" si="13"/>
        <v>0.37939585368651979</v>
      </c>
      <c r="E33" s="11">
        <f t="shared" si="13"/>
        <v>6.4757899933595015E-2</v>
      </c>
      <c r="F33" s="11">
        <f t="shared" si="13"/>
        <v>1.5765334858446123</v>
      </c>
      <c r="G33" s="11">
        <f t="shared" si="13"/>
        <v>0.83279589332090997</v>
      </c>
      <c r="H33" s="11">
        <f t="shared" si="13"/>
        <v>7.8829021065330682</v>
      </c>
      <c r="I33" s="11">
        <f t="shared" si="13"/>
        <v>3.9264990665058112E-2</v>
      </c>
      <c r="J33" s="11">
        <f t="shared" si="13"/>
        <v>3.9852553115297833E-2</v>
      </c>
      <c r="K33" s="11">
        <f t="shared" si="13"/>
        <v>7.0620486807658478E-2</v>
      </c>
      <c r="L33" s="11">
        <f t="shared" si="13"/>
        <v>4.7498148656776609</v>
      </c>
      <c r="M33" s="11">
        <f t="shared" si="13"/>
        <v>5.9608984142767243</v>
      </c>
      <c r="N33" s="6"/>
      <c r="O33" s="11">
        <f t="shared" si="8"/>
        <v>0.13848308063512371</v>
      </c>
      <c r="P33" s="11">
        <f t="shared" si="8"/>
        <v>4.8764980234955448</v>
      </c>
      <c r="Q33" s="11">
        <f t="shared" si="8"/>
        <v>4.632703934582396E-3</v>
      </c>
      <c r="R33" s="11">
        <f t="shared" si="8"/>
        <v>0.86609660361090157</v>
      </c>
      <c r="S33" s="11">
        <f t="shared" si="8"/>
        <v>4.5652767975412774</v>
      </c>
      <c r="T33" s="11">
        <f t="shared" si="8"/>
        <v>4.3246995261256691</v>
      </c>
      <c r="U33" s="11">
        <f t="shared" si="8"/>
        <v>6.804436444169399</v>
      </c>
      <c r="V33" s="11">
        <f t="shared" si="8"/>
        <v>9.0068847369354277</v>
      </c>
    </row>
    <row r="34" spans="1:22" x14ac:dyDescent="0.3">
      <c r="A34" s="224"/>
      <c r="B34" s="11">
        <f t="shared" ref="B34:M34" si="14">IF(B11="","",(B11/$O$23))</f>
        <v>5.8450295345740519E-2</v>
      </c>
      <c r="C34" s="11">
        <f t="shared" si="14"/>
        <v>5.2246122609333548E-3</v>
      </c>
      <c r="D34" s="11">
        <f t="shared" si="14"/>
        <v>1.4354420103675221</v>
      </c>
      <c r="E34" s="11">
        <f t="shared" si="14"/>
        <v>1.3341839661508402E-3</v>
      </c>
      <c r="F34" s="11">
        <f t="shared" si="14"/>
        <v>0.72530325523504235</v>
      </c>
      <c r="G34" s="11">
        <f t="shared" si="14"/>
        <v>3.1439979974202878</v>
      </c>
      <c r="H34" s="11">
        <f t="shared" si="14"/>
        <v>6.2645352172416553</v>
      </c>
      <c r="I34" s="11">
        <f t="shared" si="14"/>
        <v>5.5522913197208904E-3</v>
      </c>
      <c r="J34" s="11">
        <f t="shared" si="14"/>
        <v>7.8457839786669634E-2</v>
      </c>
      <c r="K34" s="11">
        <f t="shared" si="14"/>
        <v>0.54277385103727371</v>
      </c>
      <c r="L34" s="11">
        <f t="shared" si="14"/>
        <v>3.0640182318194618</v>
      </c>
      <c r="M34" s="11">
        <f t="shared" si="14"/>
        <v>4.1384465752757897</v>
      </c>
      <c r="N34" s="6"/>
      <c r="O34" s="11">
        <f t="shared" si="8"/>
        <v>1.4225790862534723E-2</v>
      </c>
      <c r="P34" s="11">
        <f t="shared" si="8"/>
        <v>7.2537087706733328</v>
      </c>
      <c r="Q34" s="11">
        <f t="shared" si="8"/>
        <v>3.1203390478706946E-3</v>
      </c>
      <c r="R34" s="11">
        <f t="shared" si="8"/>
        <v>1.8887812077363548</v>
      </c>
      <c r="S34" s="11">
        <f t="shared" si="8"/>
        <v>1.0053801946257157</v>
      </c>
      <c r="T34" s="11">
        <f t="shared" si="8"/>
        <v>3.6202868973573596</v>
      </c>
      <c r="U34" s="11">
        <f t="shared" si="8"/>
        <v>6.18370539827347</v>
      </c>
      <c r="V34" s="11">
        <f t="shared" si="8"/>
        <v>8.0396448202371804</v>
      </c>
    </row>
    <row r="35" spans="1:22" x14ac:dyDescent="0.3">
      <c r="A35" s="224"/>
      <c r="B35" s="11">
        <f t="shared" ref="B35:M35" si="15">IF(B12="","",(B12/$O$23))</f>
        <v>3.4914768677706352E-3</v>
      </c>
      <c r="C35" s="11">
        <f t="shared" si="15"/>
        <v>1.8306568530989574E-2</v>
      </c>
      <c r="D35" s="11">
        <f t="shared" si="15"/>
        <v>0.94932882289338005</v>
      </c>
      <c r="E35" s="11">
        <f t="shared" si="15"/>
        <v>1.5278362056677177E-2</v>
      </c>
      <c r="F35" s="11">
        <f t="shared" si="15"/>
        <v>1.4336923606451366</v>
      </c>
      <c r="G35" s="11">
        <f t="shared" si="15"/>
        <v>2.3294930274763672</v>
      </c>
      <c r="H35" s="11">
        <f t="shared" si="15"/>
        <v>8.9037562276404678</v>
      </c>
      <c r="I35" s="11">
        <f t="shared" si="15"/>
        <v>3.7856926805016185E-2</v>
      </c>
      <c r="J35" s="11">
        <f t="shared" si="15"/>
        <v>1.5292268860233148E-2</v>
      </c>
      <c r="K35" s="11">
        <f t="shared" si="15"/>
        <v>0.936587583310445</v>
      </c>
      <c r="L35" s="11">
        <f t="shared" si="15"/>
        <v>2.8403177356942448</v>
      </c>
      <c r="M35" s="11">
        <f t="shared" si="15"/>
        <v>8.5138755132479691</v>
      </c>
      <c r="N35" s="6"/>
      <c r="O35" s="11">
        <f t="shared" si="8"/>
        <v>3.5280691446272799E-2</v>
      </c>
      <c r="P35" s="11">
        <f t="shared" si="8"/>
        <v>6.3084216125634063</v>
      </c>
      <c r="Q35" s="11" t="str">
        <f t="shared" si="8"/>
        <v/>
      </c>
      <c r="R35" s="11">
        <f t="shared" si="8"/>
        <v>6.7373248177339556E-2</v>
      </c>
      <c r="S35" s="11">
        <f t="shared" si="8"/>
        <v>2.3541793421386576</v>
      </c>
      <c r="T35" s="11">
        <f t="shared" si="8"/>
        <v>1.3876017369597642</v>
      </c>
      <c r="U35" s="11">
        <f t="shared" si="8"/>
        <v>3.3310870948339701</v>
      </c>
      <c r="V35" s="11">
        <f t="shared" si="8"/>
        <v>7.5072576131057716</v>
      </c>
    </row>
    <row r="36" spans="1:22" x14ac:dyDescent="0.3">
      <c r="A36" s="224"/>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1.917151086990533</v>
      </c>
      <c r="P36" s="11" t="str">
        <f t="shared" si="8"/>
        <v/>
      </c>
      <c r="Q36" s="11" t="str">
        <f t="shared" si="8"/>
        <v/>
      </c>
      <c r="R36" s="11" t="str">
        <f t="shared" si="8"/>
        <v/>
      </c>
      <c r="S36" s="11" t="str">
        <f t="shared" si="8"/>
        <v/>
      </c>
      <c r="T36" s="11" t="str">
        <f t="shared" si="8"/>
        <v/>
      </c>
      <c r="U36" s="11" t="str">
        <f t="shared" si="8"/>
        <v/>
      </c>
      <c r="V36" s="11" t="str">
        <f t="shared" si="8"/>
        <v/>
      </c>
    </row>
    <row r="37" spans="1:22" x14ac:dyDescent="0.3">
      <c r="A37" s="224"/>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3.2207305243907949</v>
      </c>
      <c r="P37" s="11" t="str">
        <f t="shared" si="8"/>
        <v/>
      </c>
      <c r="Q37" s="11" t="str">
        <f t="shared" si="8"/>
        <v/>
      </c>
      <c r="R37" s="11" t="str">
        <f t="shared" si="8"/>
        <v/>
      </c>
      <c r="S37" s="11" t="str">
        <f t="shared" si="8"/>
        <v/>
      </c>
      <c r="T37" s="11" t="str">
        <f t="shared" si="8"/>
        <v/>
      </c>
      <c r="U37" s="11" t="str">
        <f t="shared" si="8"/>
        <v/>
      </c>
      <c r="V37" s="11" t="str">
        <f t="shared" si="8"/>
        <v/>
      </c>
    </row>
    <row r="38" spans="1:22" x14ac:dyDescent="0.3">
      <c r="A38" s="224"/>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0.15625249887876397</v>
      </c>
      <c r="P38" s="11" t="str">
        <f t="shared" si="8"/>
        <v/>
      </c>
      <c r="Q38" s="11" t="str">
        <f t="shared" si="8"/>
        <v/>
      </c>
      <c r="R38" s="11" t="str">
        <f t="shared" si="8"/>
        <v/>
      </c>
      <c r="S38" s="11" t="str">
        <f t="shared" si="8"/>
        <v/>
      </c>
      <c r="T38" s="11" t="str">
        <f t="shared" si="8"/>
        <v/>
      </c>
      <c r="U38" s="11" t="str">
        <f t="shared" si="8"/>
        <v/>
      </c>
      <c r="V38" s="11" t="str">
        <f t="shared" si="8"/>
        <v/>
      </c>
    </row>
    <row r="39" spans="1:22" x14ac:dyDescent="0.3">
      <c r="A39" s="224"/>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1.1826137141943267</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
      <c r="A40" s="224"/>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5.6730197580911523E-2</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
      <c r="A41" s="224"/>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1.8476926874550201E-2</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
      <c r="A42" s="224"/>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4.0676531225989035E-2</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
      <c r="A43" s="224"/>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t="str">
        <f t="shared" si="22"/>
        <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estradiol-34ng/L</v>
      </c>
      <c r="J45" s="7" t="str">
        <f t="shared" si="26"/>
        <v>estradiol-68ng/L</v>
      </c>
      <c r="K45" s="7" t="str">
        <f t="shared" si="26"/>
        <v>estradiol-135ng/L</v>
      </c>
      <c r="L45" s="7" t="str">
        <f t="shared" si="26"/>
        <v>estradiol-270ng/L</v>
      </c>
      <c r="M45" s="7" t="str">
        <f t="shared" si="26"/>
        <v>estradiol-540ng/L</v>
      </c>
      <c r="N45" s="7"/>
      <c r="O45" s="7" t="str">
        <f t="shared" si="26"/>
        <v>Testo -30µg/L</v>
      </c>
      <c r="P45" s="7" t="str">
        <f t="shared" si="26"/>
        <v>Testo 30µg/L + EE2 -64ng/L</v>
      </c>
      <c r="Q45" s="7" t="str">
        <f t="shared" si="26"/>
        <v>Testo 30µg/L + FAD-10µg/L</v>
      </c>
      <c r="R45" s="7" t="str">
        <f t="shared" si="26"/>
        <v>estradiol-34ng/L + Testostérone</v>
      </c>
      <c r="S45" s="7" t="str">
        <f t="shared" si="26"/>
        <v>estradiol-68ng/L + Testostérone</v>
      </c>
      <c r="T45" s="7" t="str">
        <f t="shared" si="26"/>
        <v>estradiol-135ng/L + Testostérone</v>
      </c>
      <c r="U45" s="7" t="str">
        <f t="shared" si="26"/>
        <v>estradiol-270ng/L + Testostérone</v>
      </c>
      <c r="V45" s="7" t="str">
        <f t="shared" si="26"/>
        <v>estradiol-540ng/L + Testostérone</v>
      </c>
    </row>
    <row r="46" spans="1:22" x14ac:dyDescent="0.3">
      <c r="A46" s="8" t="s">
        <v>0</v>
      </c>
      <c r="B46" s="10">
        <f t="shared" ref="B46:H46" si="27">AVERAGE(B28:B43)</f>
        <v>2.2000019991030108E-2</v>
      </c>
      <c r="C46" s="10">
        <f t="shared" si="27"/>
        <v>1.9608593013917233E-2</v>
      </c>
      <c r="D46" s="10">
        <f t="shared" si="27"/>
        <v>0.65483270115322179</v>
      </c>
      <c r="E46" s="10">
        <f t="shared" si="27"/>
        <v>5.7056790170671244E-2</v>
      </c>
      <c r="F46" s="10">
        <f t="shared" si="27"/>
        <v>1.6030100841709283</v>
      </c>
      <c r="G46" s="10">
        <f t="shared" si="27"/>
        <v>3.286653879650522</v>
      </c>
      <c r="H46" s="10">
        <f t="shared" si="27"/>
        <v>7.9366316939529753</v>
      </c>
      <c r="I46" s="10">
        <f>AVERAGE(I28:I43)</f>
        <v>2.7663783033004322E-2</v>
      </c>
      <c r="J46" s="9">
        <f>AVERAGE(J28:J43)</f>
        <v>2.5869696727381458E-2</v>
      </c>
      <c r="K46" s="9">
        <f t="shared" ref="K46:M46" si="28">AVERAGE(K28:K43)</f>
        <v>1.0209561405491101</v>
      </c>
      <c r="L46" s="9">
        <f t="shared" si="28"/>
        <v>3.1136292324487447</v>
      </c>
      <c r="M46" s="9">
        <f t="shared" si="28"/>
        <v>6.4377791138932441</v>
      </c>
      <c r="N46" s="8" t="s">
        <v>0</v>
      </c>
      <c r="O46" s="10">
        <f t="shared" ref="O46:V46" si="29">AVERAGE(O28:O43)</f>
        <v>1</v>
      </c>
      <c r="P46" s="10">
        <f t="shared" si="29"/>
        <v>8.0151172386998528</v>
      </c>
      <c r="Q46" s="10">
        <f t="shared" si="29"/>
        <v>2.032168919982736E-2</v>
      </c>
      <c r="R46" s="10">
        <f t="shared" si="29"/>
        <v>0.96595777459852794</v>
      </c>
      <c r="S46" s="10">
        <f t="shared" si="29"/>
        <v>2.243576903754489</v>
      </c>
      <c r="T46" s="10">
        <f t="shared" si="29"/>
        <v>2.3156283789186762</v>
      </c>
      <c r="U46" s="10">
        <f t="shared" si="29"/>
        <v>4.8960983593448502</v>
      </c>
      <c r="V46" s="10">
        <f t="shared" si="29"/>
        <v>7.0777624996088706</v>
      </c>
    </row>
    <row r="47" spans="1:22" x14ac:dyDescent="0.3">
      <c r="A47" s="8" t="s">
        <v>1</v>
      </c>
      <c r="B47" s="8">
        <f t="shared" ref="B47:M47" si="30">STDEV(B28:B43)</f>
        <v>1.9190751591118289E-2</v>
      </c>
      <c r="C47" s="8">
        <f t="shared" si="30"/>
        <v>2.4681309168523211E-2</v>
      </c>
      <c r="D47" s="8">
        <f t="shared" si="30"/>
        <v>0.4897568162618256</v>
      </c>
      <c r="E47" s="8">
        <f t="shared" si="30"/>
        <v>8.6166140938935432E-2</v>
      </c>
      <c r="F47" s="8">
        <f t="shared" si="30"/>
        <v>0.54788469573408816</v>
      </c>
      <c r="G47" s="8">
        <f t="shared" si="30"/>
        <v>1.4453942923120071</v>
      </c>
      <c r="H47" s="8">
        <f t="shared" si="30"/>
        <v>1.6182217509881982</v>
      </c>
      <c r="I47" s="8">
        <f t="shared" si="30"/>
        <v>1.9786582117954536E-2</v>
      </c>
      <c r="J47" s="8">
        <f t="shared" si="30"/>
        <v>2.4376445642719846E-2</v>
      </c>
      <c r="K47" s="8">
        <f t="shared" si="30"/>
        <v>1.2685053173307816</v>
      </c>
      <c r="L47" s="8">
        <f t="shared" si="30"/>
        <v>1.814013185907023</v>
      </c>
      <c r="M47" s="8">
        <f t="shared" si="30"/>
        <v>1.3768134308955711</v>
      </c>
      <c r="N47" s="8" t="s">
        <v>1</v>
      </c>
      <c r="O47" s="8">
        <f t="shared" ref="O47:V47" si="31">STDEV(O28:O43)</f>
        <v>1.0874603631461333</v>
      </c>
      <c r="P47" s="8">
        <f t="shared" si="31"/>
        <v>2.2647995155320957</v>
      </c>
      <c r="Q47" s="8">
        <f t="shared" si="31"/>
        <v>2.6717615997748526E-2</v>
      </c>
      <c r="R47" s="8">
        <f t="shared" si="31"/>
        <v>1.0296275054835096</v>
      </c>
      <c r="S47" s="8">
        <f t="shared" si="31"/>
        <v>1.6464308532306688</v>
      </c>
      <c r="T47" s="8">
        <f t="shared" si="31"/>
        <v>1.6569577145077048</v>
      </c>
      <c r="U47" s="8">
        <f t="shared" si="31"/>
        <v>1.6775710198211466</v>
      </c>
      <c r="V47" s="8">
        <f t="shared" si="31"/>
        <v>2.4753386192779439</v>
      </c>
    </row>
    <row r="48" spans="1:22" x14ac:dyDescent="0.3">
      <c r="A48" s="8" t="s">
        <v>2</v>
      </c>
      <c r="B48" s="8">
        <f t="shared" ref="B48:M48" si="32" xml:space="preserve"> B47/SQRT(COUNT(B28:B43))</f>
        <v>6.784955293073134E-3</v>
      </c>
      <c r="C48" s="8">
        <f t="shared" si="32"/>
        <v>8.7261605408122354E-3</v>
      </c>
      <c r="D48" s="8">
        <f t="shared" si="32"/>
        <v>0.17315518295553542</v>
      </c>
      <c r="E48" s="8">
        <f t="shared" si="32"/>
        <v>3.0464331283298514E-2</v>
      </c>
      <c r="F48" s="8">
        <f t="shared" si="32"/>
        <v>0.19370649183095101</v>
      </c>
      <c r="G48" s="8">
        <f t="shared" si="32"/>
        <v>0.51102405279107554</v>
      </c>
      <c r="H48" s="8">
        <f t="shared" si="32"/>
        <v>0.57212778679366183</v>
      </c>
      <c r="I48" s="8">
        <f t="shared" si="32"/>
        <v>6.9956131960550658E-3</v>
      </c>
      <c r="J48" s="8">
        <f t="shared" si="32"/>
        <v>8.6183750075962354E-3</v>
      </c>
      <c r="K48" s="8">
        <f t="shared" si="32"/>
        <v>0.44848435592789448</v>
      </c>
      <c r="L48" s="8">
        <f t="shared" si="32"/>
        <v>0.64135051245833463</v>
      </c>
      <c r="M48" s="8">
        <f t="shared" si="32"/>
        <v>0.48677705670748711</v>
      </c>
      <c r="N48" s="8" t="s">
        <v>2</v>
      </c>
      <c r="O48" s="8">
        <f t="shared" ref="O48:V48" si="33" xml:space="preserve"> O47/SQRT(COUNT(O28:O43))</f>
        <v>0.28078105840837625</v>
      </c>
      <c r="P48" s="8">
        <f t="shared" si="33"/>
        <v>0.80072754773037613</v>
      </c>
      <c r="Q48" s="8">
        <f t="shared" si="33"/>
        <v>1.0098309650651919E-2</v>
      </c>
      <c r="R48" s="8">
        <f t="shared" si="33"/>
        <v>0.36402829561178934</v>
      </c>
      <c r="S48" s="8">
        <f t="shared" si="33"/>
        <v>0.58210121053707964</v>
      </c>
      <c r="T48" s="8">
        <f t="shared" si="33"/>
        <v>0.5858230180338807</v>
      </c>
      <c r="U48" s="8">
        <f t="shared" si="33"/>
        <v>0.59311092201878246</v>
      </c>
      <c r="V48" s="8">
        <f t="shared" si="33"/>
        <v>0.87516436171218981</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35"/>
    <row r="52" spans="1:22" x14ac:dyDescent="0.3">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estradiol-34ng/L</v>
      </c>
      <c r="J52" s="46" t="str">
        <f>J4</f>
        <v>estradiol-68ng/L</v>
      </c>
      <c r="K52" s="46" t="str">
        <f t="shared" ref="K52:M52" si="35">K4</f>
        <v>estradiol-135ng/L</v>
      </c>
      <c r="L52" s="46" t="str">
        <f t="shared" si="35"/>
        <v>estradiol-270ng/L</v>
      </c>
      <c r="M52" s="46" t="str">
        <f t="shared" si="35"/>
        <v>estradiol-540ng/L</v>
      </c>
      <c r="N52" s="47"/>
      <c r="O52" s="46" t="str">
        <f>O27</f>
        <v>Testo -30µg/L</v>
      </c>
      <c r="P52" s="46" t="str">
        <f>P27</f>
        <v>Testo 30µg/L + EE2 -64ng/L</v>
      </c>
      <c r="Q52" s="46" t="str">
        <f>Q27</f>
        <v>Testo 30µg/L + FAD-10µg/L</v>
      </c>
      <c r="R52" s="46" t="str">
        <f>R27</f>
        <v>estradiol-34ng/L + Testostérone</v>
      </c>
      <c r="S52" s="46" t="str">
        <f t="shared" ref="S52:V52" si="36">S27</f>
        <v>estradiol-68ng/L + Testostérone</v>
      </c>
      <c r="T52" s="46" t="str">
        <f t="shared" si="36"/>
        <v>estradiol-135ng/L + Testostérone</v>
      </c>
      <c r="U52" s="46" t="str">
        <f t="shared" si="36"/>
        <v>estradiol-270ng/L + Testostérone</v>
      </c>
      <c r="V52" s="46" t="str">
        <f t="shared" si="36"/>
        <v>estradiol-540ng/L + Testostérone</v>
      </c>
    </row>
    <row r="53" spans="1:22" s="3" customFormat="1" x14ac:dyDescent="0.3">
      <c r="A53" s="61" t="s">
        <v>32</v>
      </c>
      <c r="B53" s="141">
        <f t="shared" ref="B53:V53" si="37">B46</f>
        <v>2.2000019991030108E-2</v>
      </c>
      <c r="C53" s="141">
        <f t="shared" si="37"/>
        <v>1.9608593013917233E-2</v>
      </c>
      <c r="D53" s="141">
        <f t="shared" si="37"/>
        <v>0.65483270115322179</v>
      </c>
      <c r="E53" s="141">
        <f t="shared" si="37"/>
        <v>5.7056790170671244E-2</v>
      </c>
      <c r="F53" s="141">
        <f t="shared" si="37"/>
        <v>1.6030100841709283</v>
      </c>
      <c r="G53" s="141">
        <f t="shared" si="37"/>
        <v>3.286653879650522</v>
      </c>
      <c r="H53" s="141">
        <f t="shared" si="37"/>
        <v>7.9366316939529753</v>
      </c>
      <c r="I53" s="141">
        <f t="shared" si="37"/>
        <v>2.7663783033004322E-2</v>
      </c>
      <c r="J53" s="141">
        <f t="shared" si="37"/>
        <v>2.5869696727381458E-2</v>
      </c>
      <c r="K53" s="141">
        <f t="shared" si="37"/>
        <v>1.0209561405491101</v>
      </c>
      <c r="L53" s="141">
        <f t="shared" si="37"/>
        <v>3.1136292324487447</v>
      </c>
      <c r="M53" s="141">
        <f t="shared" si="37"/>
        <v>6.4377791138932441</v>
      </c>
      <c r="N53" s="141"/>
      <c r="O53" s="141">
        <f t="shared" si="37"/>
        <v>1</v>
      </c>
      <c r="P53" s="141">
        <f t="shared" si="37"/>
        <v>8.0151172386998528</v>
      </c>
      <c r="Q53" s="141">
        <f t="shared" si="37"/>
        <v>2.032168919982736E-2</v>
      </c>
      <c r="R53" s="141">
        <f t="shared" si="37"/>
        <v>0.96595777459852794</v>
      </c>
      <c r="S53" s="141">
        <f t="shared" si="37"/>
        <v>2.243576903754489</v>
      </c>
      <c r="T53" s="141">
        <f t="shared" si="37"/>
        <v>2.3156283789186762</v>
      </c>
      <c r="U53" s="141">
        <f t="shared" si="37"/>
        <v>4.8960983593448502</v>
      </c>
      <c r="V53" s="141">
        <f t="shared" si="37"/>
        <v>7.0777624996088706</v>
      </c>
    </row>
    <row r="54" spans="1:22" s="3" customFormat="1" x14ac:dyDescent="0.3">
      <c r="A54" s="61" t="s">
        <v>2</v>
      </c>
      <c r="B54" s="141">
        <f t="shared" ref="B54:V54" si="38">B48</f>
        <v>6.784955293073134E-3</v>
      </c>
      <c r="C54" s="141">
        <f t="shared" si="38"/>
        <v>8.7261605408122354E-3</v>
      </c>
      <c r="D54" s="141">
        <f t="shared" si="38"/>
        <v>0.17315518295553542</v>
      </c>
      <c r="E54" s="141">
        <f t="shared" si="38"/>
        <v>3.0464331283298514E-2</v>
      </c>
      <c r="F54" s="141">
        <f t="shared" si="38"/>
        <v>0.19370649183095101</v>
      </c>
      <c r="G54" s="141">
        <f t="shared" si="38"/>
        <v>0.51102405279107554</v>
      </c>
      <c r="H54" s="141">
        <f t="shared" si="38"/>
        <v>0.57212778679366183</v>
      </c>
      <c r="I54" s="141">
        <f t="shared" si="38"/>
        <v>6.9956131960550658E-3</v>
      </c>
      <c r="J54" s="141">
        <f t="shared" si="38"/>
        <v>8.6183750075962354E-3</v>
      </c>
      <c r="K54" s="141">
        <f t="shared" si="38"/>
        <v>0.44848435592789448</v>
      </c>
      <c r="L54" s="141">
        <f t="shared" si="38"/>
        <v>0.64135051245833463</v>
      </c>
      <c r="M54" s="141">
        <f t="shared" si="38"/>
        <v>0.48677705670748711</v>
      </c>
      <c r="N54" s="141"/>
      <c r="O54" s="141">
        <f t="shared" si="38"/>
        <v>0.28078105840837625</v>
      </c>
      <c r="P54" s="141">
        <f t="shared" si="38"/>
        <v>0.80072754773037613</v>
      </c>
      <c r="Q54" s="141">
        <f t="shared" si="38"/>
        <v>1.0098309650651919E-2</v>
      </c>
      <c r="R54" s="141">
        <f t="shared" si="38"/>
        <v>0.36402829561178934</v>
      </c>
      <c r="S54" s="141">
        <f t="shared" si="38"/>
        <v>0.58210121053707964</v>
      </c>
      <c r="T54" s="141">
        <f t="shared" si="38"/>
        <v>0.5858230180338807</v>
      </c>
      <c r="U54" s="141">
        <f t="shared" si="38"/>
        <v>0.59311092201878246</v>
      </c>
      <c r="V54" s="141">
        <f t="shared" si="38"/>
        <v>0.87516436171218981</v>
      </c>
    </row>
    <row r="55" spans="1:22" s="3" customFormat="1" x14ac:dyDescent="0.3">
      <c r="A55" s="61" t="s">
        <v>79</v>
      </c>
      <c r="B55" s="141">
        <f>(B53*100/$B53)-100</f>
        <v>0</v>
      </c>
      <c r="C55" s="141">
        <f t="shared" ref="C55:M55" si="39">(C53*100/$B53)-100</f>
        <v>-10.870112745751655</v>
      </c>
      <c r="D55" s="141">
        <f t="shared" si="39"/>
        <v>2876.5095732649861</v>
      </c>
      <c r="E55" s="141">
        <f t="shared" si="39"/>
        <v>159.34881056442021</v>
      </c>
      <c r="F55" s="141">
        <f t="shared" si="39"/>
        <v>7186.4028524724554</v>
      </c>
      <c r="G55" s="141">
        <f t="shared" si="39"/>
        <v>14839.322241482341</v>
      </c>
      <c r="H55" s="141">
        <f t="shared" si="39"/>
        <v>35975.565827617036</v>
      </c>
      <c r="I55" s="141">
        <f t="shared" si="39"/>
        <v>25.744354070057469</v>
      </c>
      <c r="J55" s="141">
        <f t="shared" si="39"/>
        <v>17.589423727474355</v>
      </c>
      <c r="K55" s="141">
        <f t="shared" si="39"/>
        <v>4540.7055128376087</v>
      </c>
      <c r="L55" s="141">
        <f t="shared" si="39"/>
        <v>14052.84728703992</v>
      </c>
      <c r="M55" s="141">
        <f t="shared" si="39"/>
        <v>29162.605745440545</v>
      </c>
      <c r="N55" s="141"/>
      <c r="O55" s="141">
        <f>(O53*100/$O53)-100</f>
        <v>0</v>
      </c>
      <c r="P55" s="141">
        <f t="shared" ref="P55:V55" si="40">(P53*100/$O53)-100</f>
        <v>701.5117238699853</v>
      </c>
      <c r="Q55" s="141">
        <f t="shared" si="40"/>
        <v>-97.967831080017262</v>
      </c>
      <c r="R55" s="141">
        <f t="shared" si="40"/>
        <v>-3.4042225401472024</v>
      </c>
      <c r="S55" s="141">
        <f t="shared" si="40"/>
        <v>124.3576903754489</v>
      </c>
      <c r="T55" s="141">
        <f t="shared" si="40"/>
        <v>131.56283789186762</v>
      </c>
      <c r="U55" s="141">
        <f t="shared" si="40"/>
        <v>389.60983593448503</v>
      </c>
      <c r="V55" s="141">
        <f t="shared" si="40"/>
        <v>607.77624996088707</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41">IF(C56&gt;0.05,"Oui","Non")</f>
        <v>#NAME?</v>
      </c>
      <c r="D57" s="141" t="e">
        <f t="shared" ca="1" si="41"/>
        <v>#NAME?</v>
      </c>
      <c r="E57" s="141" t="e">
        <f t="shared" ca="1" si="41"/>
        <v>#NAME?</v>
      </c>
      <c r="F57" s="141" t="e">
        <f t="shared" ca="1" si="41"/>
        <v>#NAME?</v>
      </c>
      <c r="G57" s="141" t="e">
        <f t="shared" ca="1" si="41"/>
        <v>#NAME?</v>
      </c>
      <c r="H57" s="141" t="e">
        <f t="shared" ca="1" si="41"/>
        <v>#NAME?</v>
      </c>
      <c r="I57" s="141" t="e">
        <f t="shared" ca="1" si="41"/>
        <v>#NAME?</v>
      </c>
      <c r="J57" s="141" t="e">
        <f t="shared" ca="1" si="41"/>
        <v>#NAME?</v>
      </c>
      <c r="K57" s="141" t="e">
        <f t="shared" ca="1" si="41"/>
        <v>#NAME?</v>
      </c>
      <c r="L57" s="141" t="e">
        <f t="shared" ca="1" si="41"/>
        <v>#NAME?</v>
      </c>
      <c r="M57" s="141" t="e">
        <f t="shared" ca="1" si="41"/>
        <v>#NAME?</v>
      </c>
      <c r="N57" s="141"/>
      <c r="O57" s="141" t="e">
        <f t="shared" ca="1" si="41"/>
        <v>#NAME?</v>
      </c>
      <c r="P57" s="141" t="e">
        <f t="shared" ca="1" si="41"/>
        <v>#NAME?</v>
      </c>
      <c r="Q57" s="141" t="e">
        <f t="shared" ca="1" si="41"/>
        <v>#NAME?</v>
      </c>
      <c r="R57" s="141" t="e">
        <f t="shared" ca="1" si="41"/>
        <v>#NAME?</v>
      </c>
      <c r="S57" s="141" t="e">
        <f t="shared" ca="1" si="41"/>
        <v>#NAME?</v>
      </c>
      <c r="T57" s="141" t="e">
        <f t="shared" ca="1" si="41"/>
        <v>#NAME?</v>
      </c>
      <c r="U57" s="141" t="e">
        <f t="shared" ca="1" si="41"/>
        <v>#NAME?</v>
      </c>
      <c r="V57" s="141" t="e">
        <f t="shared" ca="1" si="4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O59" ca="1" si="42">IF($B57="Non",IF(C57="Non","MW",IF(C57="Oui","MW","")),IF($B57="Oui",IF(C57="Oui","T-Test Welch",IF(C57="Non","MW",""))))</f>
        <v>#NAME?</v>
      </c>
      <c r="D59" s="150" t="e">
        <f t="shared" ca="1" si="42"/>
        <v>#NAME?</v>
      </c>
      <c r="E59" s="150" t="e">
        <f t="shared" ca="1" si="42"/>
        <v>#NAME?</v>
      </c>
      <c r="F59" s="150" t="e">
        <f t="shared" ca="1" si="42"/>
        <v>#NAME?</v>
      </c>
      <c r="G59" s="150" t="e">
        <f t="shared" ca="1" si="42"/>
        <v>#NAME?</v>
      </c>
      <c r="H59" s="150" t="e">
        <f t="shared" ca="1" si="42"/>
        <v>#NAME?</v>
      </c>
      <c r="I59" s="150" t="e">
        <f t="shared" ca="1" si="42"/>
        <v>#NAME?</v>
      </c>
      <c r="J59" s="150" t="e">
        <f t="shared" ca="1" si="42"/>
        <v>#NAME?</v>
      </c>
      <c r="K59" s="150" t="e">
        <f t="shared" ca="1" si="42"/>
        <v>#NAME?</v>
      </c>
      <c r="L59" s="150" t="e">
        <f t="shared" ca="1" si="42"/>
        <v>#NAME?</v>
      </c>
      <c r="M59" s="150" t="e">
        <f t="shared" ca="1" si="42"/>
        <v>#NAME?</v>
      </c>
      <c r="N59" s="150"/>
      <c r="O59" s="150" t="e">
        <f t="shared" ca="1" si="42"/>
        <v>#NAME?</v>
      </c>
      <c r="P59" s="150" t="e">
        <f ca="1">IF($O57="Non",IF(P57="Non","MW",IF(P57="Oui","MW","")),IF($O57="Oui",IF(P57="Oui","T-Test Welch",IF(P57="Non","MW",""))))</f>
        <v>#NAME?</v>
      </c>
      <c r="Q59" s="150" t="e">
        <f t="shared" ref="Q59:V59" ca="1" si="43">IF($O57="Non",IF(Q57="Non","MW",IF(Q57="Oui","MW","")),IF($O57="Oui",IF(Q57="Oui","T-Test Welch",IF(Q57="Non","MW",""))))</f>
        <v>#NAME?</v>
      </c>
      <c r="R59" s="150" t="e">
        <f t="shared" ca="1" si="43"/>
        <v>#NAME?</v>
      </c>
      <c r="S59" s="150" t="e">
        <f t="shared" ca="1" si="43"/>
        <v>#NAME?</v>
      </c>
      <c r="T59" s="150" t="e">
        <f t="shared" ca="1" si="43"/>
        <v>#NAME?</v>
      </c>
      <c r="U59" s="150" t="e">
        <f t="shared" ca="1" si="43"/>
        <v>#NAME?</v>
      </c>
      <c r="V59" s="150" t="e">
        <f t="shared" ca="1" si="43"/>
        <v>#NAME?</v>
      </c>
    </row>
    <row r="60" spans="1:22" s="3" customFormat="1" x14ac:dyDescent="0.3">
      <c r="A60" s="61"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t="e">
        <f ca="1">IF(I59="MW",[1]!MTEST($B28:$B43,I28:I43,2), IF(I59="T-Test Welch",_xlfn.T.TEST($B28:$B43,I28:I43,2,3),""))</f>
        <v>#NAME?</v>
      </c>
      <c r="J60" s="151" t="e">
        <f ca="1">IF(J59="MW",[1]!MTEST($B28:$B43,J28:J43,2), IF(J59="T-Test Welch",_xlfn.T.TEST($B28:$B43,J28:J43,2,3),""))</f>
        <v>#NAME?</v>
      </c>
      <c r="K60" s="151" t="e">
        <f ca="1">IF(K59="MW",[1]!MTEST($B28:$B43,K28:K43,2), IF(K59="T-Test Welch",_xlfn.T.TEST($B28:$B43,K28:K43,2,3),""))</f>
        <v>#NAME?</v>
      </c>
      <c r="L60" s="151" t="e">
        <f ca="1">IF(L59="MW",[1]!MTEST($B28:$B43,L28:L43,2), IF(L59="T-Test Welch",_xlfn.T.TEST($B28:$B43,L28:L43,2,3),""))</f>
        <v>#NAME?</v>
      </c>
      <c r="M60" s="151" t="e">
        <f ca="1">IF(M59="MW",[1]!MTEST($B28:$B43,M28:M43,2), IF(M59="T-Test Welch",_xlfn.T.TEST($B28:$B43,M28:M43,2,3),""))</f>
        <v>#NAME?</v>
      </c>
      <c r="N60" s="151"/>
      <c r="O60" s="151" t="e">
        <f ca="1">IF(O59="MW",[1]!MTEST($B28:$B43,O28:O43,2), IF(O59="T-Test Welch",_xlfn.T.TEST($B28:$B43,O28:O43,2,3),""))</f>
        <v>#NAME?</v>
      </c>
      <c r="P60" s="151" t="e">
        <f ca="1">IF(P59="MW",[1]!MTEST($O28:$O43,P28:P43,2), IF(P59="T-Test Welch",_xlfn.T.TEST($O28:$O43,P28:P43,2,3),""))</f>
        <v>#NAME?</v>
      </c>
      <c r="Q60" s="151" t="e">
        <f ca="1">IF(Q59="MW",[1]!MTEST($O28:$O43,Q28:Q43,2), IF(Q59="T-Test Welch",_xlfn.T.TEST($O28:$O43,Q28:Q43,2,3),""))</f>
        <v>#NAME?</v>
      </c>
      <c r="R60" s="151" t="e">
        <f ca="1">IF(R59="MW",[1]!MTEST($O28:$O43,R28:R43,2), IF(R59="T-Test Welch",_xlfn.T.TEST($O28:$O43,R28:R43,2,3),""))</f>
        <v>#NAME?</v>
      </c>
      <c r="S60" s="151" t="e">
        <f ca="1">IF(S59="MW",[1]!MTEST($O28:$O43,S28:S43,2), IF(S59="T-Test Welch",_xlfn.T.TEST($O28:$O43,S28:S43,2,3),""))</f>
        <v>#NAME?</v>
      </c>
      <c r="T60" s="151" t="e">
        <f ca="1">IF(T59="MW",[1]!MTEST($O28:$O43,T28:T43,2), IF(T59="T-Test Welch",_xlfn.T.TEST($O28:$O43,T28:T43,2,3),""))</f>
        <v>#NAME?</v>
      </c>
      <c r="U60" s="151" t="e">
        <f ca="1">IF(U59="MW",[1]!MTEST($O28:$O43,U28:U43,2), IF(U59="T-Test Welch",_xlfn.T.TEST($O28:$O43,U28:U43,2,3),""))</f>
        <v>#NAME?</v>
      </c>
      <c r="V60" s="151" t="e">
        <f ca="1">IF(V59="MW",[1]!MTEST($O28:$O43,V28:V43,2), IF(V59="T-Test Welch",_xlfn.T.TEST($O28:$O43,V28:V43,2,3),""))</f>
        <v>#NAME?</v>
      </c>
    </row>
    <row r="61" spans="1:22" s="3" customFormat="1" ht="15" thickBot="1" x14ac:dyDescent="0.35">
      <c r="A61" s="62" t="s">
        <v>84</v>
      </c>
      <c r="B61" s="142"/>
      <c r="C61" s="142" t="e">
        <f t="shared" ref="C61:O61" ca="1" si="44">IF(C60&gt;0.05,"NS",IF(C60&gt;0.01,"*",IF(C60&gt;0.001,"**","***")))</f>
        <v>#NAME?</v>
      </c>
      <c r="D61" s="142" t="e">
        <f t="shared" ca="1" si="44"/>
        <v>#NAME?</v>
      </c>
      <c r="E61" s="142" t="e">
        <f t="shared" ca="1" si="44"/>
        <v>#NAME?</v>
      </c>
      <c r="F61" s="142" t="e">
        <f t="shared" ca="1" si="44"/>
        <v>#NAME?</v>
      </c>
      <c r="G61" s="142" t="e">
        <f t="shared" ca="1" si="44"/>
        <v>#NAME?</v>
      </c>
      <c r="H61" s="142" t="e">
        <f t="shared" ca="1" si="44"/>
        <v>#NAME?</v>
      </c>
      <c r="I61" s="142" t="e">
        <f t="shared" ca="1" si="44"/>
        <v>#NAME?</v>
      </c>
      <c r="J61" s="142" t="e">
        <f t="shared" ca="1" si="44"/>
        <v>#NAME?</v>
      </c>
      <c r="K61" s="142" t="e">
        <f t="shared" ca="1" si="44"/>
        <v>#NAME?</v>
      </c>
      <c r="L61" s="142" t="e">
        <f t="shared" ca="1" si="44"/>
        <v>#NAME?</v>
      </c>
      <c r="M61" s="142" t="e">
        <f t="shared" ca="1" si="44"/>
        <v>#NAME?</v>
      </c>
      <c r="N61" s="142"/>
      <c r="O61" s="142" t="e">
        <f t="shared" ca="1" si="44"/>
        <v>#NAME?</v>
      </c>
      <c r="P61" s="142" t="e">
        <f ca="1">IF(P60&gt;0.05,"NS",IF(P60&gt;0.01,"*",IF(P60&gt;0.001,"**","***")))</f>
        <v>#NAME?</v>
      </c>
      <c r="Q61" s="142" t="e">
        <f t="shared" ref="Q61:V61" ca="1" si="45">IF(Q60&gt;0.05,"NS",IF(Q60&gt;0.01,"*",IF(Q60&gt;0.001,"**","***")))</f>
        <v>#NAME?</v>
      </c>
      <c r="R61" s="142" t="e">
        <f t="shared" ca="1" si="45"/>
        <v>#NAME?</v>
      </c>
      <c r="S61" s="142" t="e">
        <f t="shared" ca="1" si="45"/>
        <v>#NAME?</v>
      </c>
      <c r="T61" s="142" t="e">
        <f t="shared" ca="1" si="45"/>
        <v>#NAME?</v>
      </c>
      <c r="U61" s="142" t="e">
        <f t="shared" ca="1" si="45"/>
        <v>#NAME?</v>
      </c>
      <c r="V61" s="142" t="e">
        <f t="shared" ca="1" si="45"/>
        <v>#NAME?</v>
      </c>
    </row>
    <row r="63" spans="1:22" x14ac:dyDescent="0.3">
      <c r="A63" s="2" t="s">
        <v>39</v>
      </c>
    </row>
    <row r="64" spans="1:22" x14ac:dyDescent="0.3">
      <c r="A64" s="1" t="s">
        <v>23</v>
      </c>
      <c r="B64" s="1">
        <f>B46+(3*B47)</f>
        <v>7.957227476438497E-2</v>
      </c>
    </row>
    <row r="65" spans="1:22" x14ac:dyDescent="0.3">
      <c r="A65" s="1" t="s">
        <v>24</v>
      </c>
      <c r="B65" s="1">
        <f>B46+(10*B47)</f>
        <v>0.21390753590221298</v>
      </c>
    </row>
    <row r="66" spans="1:22" ht="15" thickBot="1" x14ac:dyDescent="0.35"/>
    <row r="67" spans="1:22" ht="26.4" thickBot="1" x14ac:dyDescent="0.55000000000000004">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28"/>
  <sheetViews>
    <sheetView showGridLines="0" topLeftCell="A43" zoomScale="70" zoomScaleNormal="70" workbookViewId="0">
      <selection activeCell="C99" sqref="C99"/>
    </sheetView>
  </sheetViews>
  <sheetFormatPr defaultColWidth="11.5546875" defaultRowHeight="14.4" x14ac:dyDescent="0.3"/>
  <cols>
    <col min="1" max="1" width="42.77734375" customWidth="1"/>
    <col min="2" max="2" width="14" bestFit="1" customWidth="1"/>
    <col min="3" max="13" width="22.77734375" bestFit="1" customWidth="1"/>
    <col min="14" max="14" width="8.44140625" customWidth="1"/>
    <col min="15" max="15" width="22.77734375" customWidth="1"/>
    <col min="18" max="22" width="29.21875" customWidth="1"/>
  </cols>
  <sheetData>
    <row r="1" spans="1:22" s="1" customFormat="1" ht="21.6" thickBot="1" x14ac:dyDescent="0.35">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35">
      <c r="A2" s="1"/>
      <c r="B2" s="1"/>
      <c r="C2" s="1"/>
      <c r="D2" s="1"/>
      <c r="E2" s="1"/>
      <c r="F2" s="1"/>
      <c r="G2" s="1"/>
      <c r="H2" s="1"/>
      <c r="I2" s="1"/>
      <c r="J2" s="1"/>
      <c r="K2" s="1"/>
      <c r="L2" s="1"/>
      <c r="M2" s="1"/>
    </row>
    <row r="3" spans="1:22" s="33" customFormat="1" ht="15" thickBot="1" x14ac:dyDescent="0.35">
      <c r="B3" s="221" t="s">
        <v>6</v>
      </c>
      <c r="C3" s="222"/>
      <c r="D3" s="222"/>
      <c r="E3" s="222"/>
      <c r="F3" s="222"/>
      <c r="G3" s="222"/>
      <c r="H3" s="222"/>
      <c r="I3" s="222"/>
      <c r="J3" s="222"/>
      <c r="K3" s="222"/>
      <c r="L3" s="222"/>
      <c r="M3" s="222"/>
      <c r="N3" s="72"/>
      <c r="O3" s="221" t="s">
        <v>3</v>
      </c>
      <c r="P3" s="222"/>
      <c r="Q3" s="222"/>
      <c r="R3" s="222"/>
      <c r="S3" s="222"/>
      <c r="T3" s="222"/>
      <c r="U3" s="222"/>
      <c r="V3" s="222"/>
    </row>
    <row r="4" spans="1:22" x14ac:dyDescent="0.3">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estradiol-34ng/L</v>
      </c>
      <c r="J4" s="35" t="str">
        <f>'R1'!J4</f>
        <v>estradiol-68ng/L</v>
      </c>
      <c r="K4" s="35" t="str">
        <f>'R1'!K4</f>
        <v>estradiol-135ng/L</v>
      </c>
      <c r="L4" s="35" t="str">
        <f>'R1'!L4</f>
        <v>estradiol-270ng/L</v>
      </c>
      <c r="M4" s="35" t="str">
        <f>'R1'!M4</f>
        <v>estradiol-540ng/L</v>
      </c>
      <c r="O4" s="35" t="str">
        <f>'R1'!O4</f>
        <v>Testo -30µg/L</v>
      </c>
      <c r="P4" s="35" t="str">
        <f>'R1'!P4</f>
        <v>Testo 30µg/L + EE2 -64ng/L</v>
      </c>
      <c r="Q4" s="35" t="str">
        <f>'R1'!Q4</f>
        <v>Testo 30µg/L + FAD-10µg/L</v>
      </c>
      <c r="R4" s="35" t="str">
        <f>'R1'!R4</f>
        <v>estradiol-34ng/L + Testostérone</v>
      </c>
      <c r="S4" s="35" t="str">
        <f>'R1'!S4</f>
        <v>estradiol-68ng/L + Testostérone</v>
      </c>
      <c r="T4" s="35" t="str">
        <f>'R1'!T4</f>
        <v>estradiol-135ng/L + Testostérone</v>
      </c>
      <c r="U4" s="35" t="str">
        <f>'R1'!U4</f>
        <v>estradiol-270ng/L + Testostérone</v>
      </c>
      <c r="V4" s="35" t="str">
        <f>'R1'!V4</f>
        <v>estradiol-540ng/L + Testostérone</v>
      </c>
    </row>
    <row r="5" spans="1:22" s="1" customFormat="1" x14ac:dyDescent="0.3">
      <c r="A5" s="34"/>
      <c r="B5" s="35"/>
      <c r="C5" s="194" t="s">
        <v>165</v>
      </c>
      <c r="D5" s="35"/>
      <c r="E5" s="35"/>
      <c r="F5" s="35"/>
      <c r="G5" s="35"/>
      <c r="H5" s="35"/>
      <c r="I5" s="35"/>
      <c r="J5" s="35"/>
      <c r="K5" s="35"/>
      <c r="L5" s="35"/>
      <c r="M5" s="35"/>
      <c r="O5" s="35"/>
      <c r="P5" s="35"/>
      <c r="Q5" s="35"/>
      <c r="R5" s="35"/>
      <c r="S5" s="35"/>
      <c r="T5" s="35"/>
      <c r="U5" s="35"/>
      <c r="V5" s="35"/>
    </row>
    <row r="6" spans="1:22" s="1" customFormat="1" x14ac:dyDescent="0.3">
      <c r="A6" s="71" t="s">
        <v>4</v>
      </c>
      <c r="B6" s="53">
        <f>'R1'!B28</f>
        <v>0.12547223310114913</v>
      </c>
      <c r="C6" s="53">
        <f>'R1'!C28</f>
        <v>4.5154387655211167E-2</v>
      </c>
      <c r="D6" s="53">
        <f>'R1'!D28</f>
        <v>0.14771908294177841</v>
      </c>
      <c r="E6" s="53">
        <f>'R1'!E28</f>
        <v>0.96708518305961655</v>
      </c>
      <c r="F6" s="53">
        <f>'R1'!F28</f>
        <v>1.7987166867130344</v>
      </c>
      <c r="G6" s="53">
        <f>'R1'!G28</f>
        <v>4.2881731666340919</v>
      </c>
      <c r="H6" s="53">
        <f>'R1'!H28</f>
        <v>11.28227216995645</v>
      </c>
      <c r="I6" s="53">
        <f>'R1'!I28</f>
        <v>1.7041956304203545E-2</v>
      </c>
      <c r="J6" s="53">
        <f>'R1'!J28</f>
        <v>0.74341701438483088</v>
      </c>
      <c r="K6" s="53">
        <f>'R1'!K28</f>
        <v>2.0971579797509214</v>
      </c>
      <c r="L6" s="53">
        <f>'R1'!L28</f>
        <v>7.2284519822936018</v>
      </c>
      <c r="M6" s="53">
        <f>'R1'!M28</f>
        <v>13.774008655624939</v>
      </c>
      <c r="N6"/>
      <c r="O6" s="53">
        <f>'R1'!O28</f>
        <v>0.64782115468954848</v>
      </c>
      <c r="P6" s="53">
        <f>'R1'!P28</f>
        <v>2.3835851835782487</v>
      </c>
      <c r="Q6" s="53">
        <f>'R1'!Q28</f>
        <v>0.13330091141451586</v>
      </c>
      <c r="R6" s="53">
        <f>'R1'!R28</f>
        <v>2.4451777409203192E-3</v>
      </c>
      <c r="S6" s="53">
        <f>'R1'!S28</f>
        <v>0.36184046845227275</v>
      </c>
      <c r="T6" s="53">
        <f>'R1'!T28</f>
        <v>3.3014688699938848</v>
      </c>
      <c r="U6" s="53">
        <f>'R1'!U28</f>
        <v>7.6217249181956559</v>
      </c>
      <c r="V6" s="53">
        <f>'R1'!V28</f>
        <v>15.865040255981027</v>
      </c>
    </row>
    <row r="7" spans="1:22" s="1" customFormat="1" x14ac:dyDescent="0.3">
      <c r="A7" s="225" t="s">
        <v>34</v>
      </c>
      <c r="B7" s="53">
        <f>'R1'!B29</f>
        <v>0.20682852830518964</v>
      </c>
      <c r="C7" s="53">
        <f>'R1'!C29</f>
        <v>0.34493207227677491</v>
      </c>
      <c r="D7" s="53">
        <f>'R1'!D29</f>
        <v>3.2424898235727007</v>
      </c>
      <c r="E7" s="53">
        <f>'R1'!E29</f>
        <v>0.50344028466879387</v>
      </c>
      <c r="F7" s="53">
        <f>'R1'!F29</f>
        <v>5.0006808899312905</v>
      </c>
      <c r="G7" s="53">
        <f>'R1'!G29</f>
        <v>9.8623549268548381</v>
      </c>
      <c r="H7" s="53">
        <f>'R1'!H29</f>
        <v>4.0831504661045974</v>
      </c>
      <c r="I7" s="53">
        <f>'R1'!I29</f>
        <v>6.3791162537687893E-2</v>
      </c>
      <c r="J7" s="53">
        <f>'R1'!J29</f>
        <v>0.13534936025241678</v>
      </c>
      <c r="K7" s="53">
        <f>'R1'!K29</f>
        <v>0.11661537888573412</v>
      </c>
      <c r="L7" s="53">
        <f>'R1'!L29</f>
        <v>9.6779012764426451</v>
      </c>
      <c r="M7" s="53">
        <f>'R1'!M29</f>
        <v>0.55992752584850325</v>
      </c>
      <c r="N7"/>
      <c r="O7" s="53">
        <f>'R1'!O29</f>
        <v>0.30104453010271931</v>
      </c>
      <c r="P7" s="53">
        <f>'R1'!P29</f>
        <v>5.0297906756161828</v>
      </c>
      <c r="Q7" s="53">
        <f>'R1'!Q29</f>
        <v>0.11071107284099731</v>
      </c>
      <c r="R7" s="53">
        <f>'R1'!R29</f>
        <v>2.4824805316601966</v>
      </c>
      <c r="S7" s="53">
        <f>'R1'!S29</f>
        <v>7.0205209902041252E-2</v>
      </c>
      <c r="T7" s="53">
        <f>'R1'!T29</f>
        <v>9.9059753487714808</v>
      </c>
      <c r="U7" s="53">
        <f>'R1'!U29</f>
        <v>9.2775646693549589</v>
      </c>
      <c r="V7" s="53">
        <f>'R1'!V29</f>
        <v>14.270955863267423</v>
      </c>
    </row>
    <row r="8" spans="1:22" s="1" customFormat="1" x14ac:dyDescent="0.3">
      <c r="A8" s="226"/>
      <c r="B8" s="53">
        <f>'R1'!B30</f>
        <v>8.0071272900635065E-2</v>
      </c>
      <c r="C8" s="53">
        <f>'R1'!C30</f>
        <v>0.24470428409424821</v>
      </c>
      <c r="D8" s="53">
        <f>'R1'!D30</f>
        <v>0.12935654098628918</v>
      </c>
      <c r="E8" s="53">
        <f>'R1'!E30</f>
        <v>1.2993495908214556</v>
      </c>
      <c r="F8" s="53">
        <f>'R1'!F30</f>
        <v>4.5882503736744686</v>
      </c>
      <c r="G8" s="53">
        <f>'R1'!G30</f>
        <v>5.3993167786936818</v>
      </c>
      <c r="H8" s="53">
        <f>'R1'!H30</f>
        <v>10.842940747066407</v>
      </c>
      <c r="I8" s="53">
        <f>'R1'!I30</f>
        <v>0.48072399863614562</v>
      </c>
      <c r="J8" s="53">
        <f>'R1'!J30</f>
        <v>2.4740235675342791E-2</v>
      </c>
      <c r="K8" s="53">
        <f>'R1'!K30</f>
        <v>2.6936786099749361</v>
      </c>
      <c r="L8" s="53">
        <f>'R1'!L30</f>
        <v>7.1772194233373501</v>
      </c>
      <c r="M8" s="53">
        <f>'R1'!M30</f>
        <v>11.473224429471287</v>
      </c>
      <c r="N8"/>
      <c r="O8" s="53">
        <f>'R1'!O30</f>
        <v>3.706254056753077E-2</v>
      </c>
      <c r="P8" s="53">
        <f>'R1'!P30</f>
        <v>4.1839464775565887</v>
      </c>
      <c r="Q8" s="53">
        <f>'R1'!Q30</f>
        <v>0.14981099809375517</v>
      </c>
      <c r="R8" s="53">
        <f>'R1'!R30</f>
        <v>3.1894198249759711</v>
      </c>
      <c r="S8" s="53">
        <f>'R1'!S30</f>
        <v>0.12346250879760666</v>
      </c>
      <c r="T8" s="53">
        <f>'R1'!T30</f>
        <v>5.3804784781732176</v>
      </c>
      <c r="U8" s="53">
        <f>'R1'!U30</f>
        <v>8.1016135733049257</v>
      </c>
      <c r="V8" s="53">
        <f>'R1'!V30</f>
        <v>11.101028704412913</v>
      </c>
    </row>
    <row r="9" spans="1:22" s="1" customFormat="1" x14ac:dyDescent="0.3">
      <c r="A9" s="226"/>
      <c r="B9" s="53">
        <f>'R1'!B31</f>
        <v>6.842072013507354E-2</v>
      </c>
      <c r="C9" s="53">
        <f>'R1'!C31</f>
        <v>0.26918609277499472</v>
      </c>
      <c r="D9" s="53">
        <f>'R1'!D31</f>
        <v>3.3055736706358821E-2</v>
      </c>
      <c r="E9" s="53">
        <f>'R1'!E31</f>
        <v>0.18098108706584254</v>
      </c>
      <c r="F9" s="53">
        <f>'R1'!F31</f>
        <v>4.8780450313977441</v>
      </c>
      <c r="G9" s="53">
        <f>'R1'!G31</f>
        <v>8.1860828468934148</v>
      </c>
      <c r="H9" s="53">
        <f>'R1'!H31</f>
        <v>7.7374638581302975</v>
      </c>
      <c r="I9" s="53">
        <f>'R1'!I31</f>
        <v>5.196990570230129E-3</v>
      </c>
      <c r="J9" s="53">
        <f>'R1'!J31</f>
        <v>0.12111927932060966</v>
      </c>
      <c r="K9" s="53">
        <f>'R1'!K31</f>
        <v>4.1981085929791133</v>
      </c>
      <c r="L9" s="53">
        <f>'R1'!L31</f>
        <v>4.8865320267952042</v>
      </c>
      <c r="M9" s="53">
        <f>'R1'!M31</f>
        <v>7.1533018864429705</v>
      </c>
      <c r="N9"/>
      <c r="O9" s="53">
        <f>'R1'!O31</f>
        <v>5.3234783344874135</v>
      </c>
      <c r="P9" s="53">
        <f>'R1'!P31</f>
        <v>3.4233752847475767</v>
      </c>
      <c r="Q9" s="53">
        <f>'R1'!Q31</f>
        <v>2.8058691180877508E-2</v>
      </c>
      <c r="R9" s="53">
        <f>'R1'!R31</f>
        <v>1.6141863775287455</v>
      </c>
      <c r="S9" s="53">
        <f>'R1'!S31</f>
        <v>2.5813766700387637</v>
      </c>
      <c r="T9" s="53">
        <f>'R1'!T31</f>
        <v>6.8738885651142425</v>
      </c>
      <c r="U9" s="53">
        <f>'R1'!U31</f>
        <v>7.0160842649819122</v>
      </c>
      <c r="V9" s="53">
        <f>'R1'!V31</f>
        <v>6.4526754825242447</v>
      </c>
    </row>
    <row r="10" spans="1:22" s="1" customFormat="1" x14ac:dyDescent="0.3">
      <c r="A10" s="226"/>
      <c r="B10" s="53">
        <f>'R1'!B32</f>
        <v>8.895420690449557E-2</v>
      </c>
      <c r="C10" s="53">
        <f>'R1'!C32</f>
        <v>8.1216412702378296E-2</v>
      </c>
      <c r="D10" s="53">
        <f>'R1'!D32</f>
        <v>0.14595197970044102</v>
      </c>
      <c r="E10" s="53">
        <f>'R1'!E32</f>
        <v>4.501529545016851E-2</v>
      </c>
      <c r="F10" s="53">
        <f>'R1'!F32</f>
        <v>2.5460093157201902</v>
      </c>
      <c r="G10" s="53">
        <f>'R1'!G32</f>
        <v>0.98408209245650513</v>
      </c>
      <c r="H10" s="53">
        <f>'R1'!H32</f>
        <v>11.644928224520108</v>
      </c>
      <c r="I10" s="53">
        <f>'R1'!I32</f>
        <v>1.4482975850066505E-2</v>
      </c>
      <c r="J10" s="53">
        <f>'R1'!J32</f>
        <v>0.10407574242316699</v>
      </c>
      <c r="K10" s="53">
        <f>'R1'!K32</f>
        <v>0.2144122146664926</v>
      </c>
      <c r="L10" s="53">
        <f>'R1'!L32</f>
        <v>6.7101391055412982</v>
      </c>
      <c r="M10" s="53">
        <f>'R1'!M32</f>
        <v>13.894809445407866</v>
      </c>
      <c r="N10"/>
      <c r="O10" s="53">
        <f>'R1'!O32</f>
        <v>2.2706802473213515E-2</v>
      </c>
      <c r="P10" s="53">
        <f>'R1'!P32</f>
        <v>3.3792964907915874</v>
      </c>
      <c r="Q10" s="53">
        <f>'R1'!Q32</f>
        <v>3.6077040682938773E-2</v>
      </c>
      <c r="R10" s="53">
        <f>'R1'!R32</f>
        <v>7.2311200236812381</v>
      </c>
      <c r="S10" s="53">
        <f>'R1'!S32</f>
        <v>0.7225832148999759</v>
      </c>
      <c r="T10" s="53">
        <f>'R1'!T32</f>
        <v>6.3073612721957897</v>
      </c>
      <c r="U10" s="53">
        <f>'R1'!U32</f>
        <v>4.9194549936694774</v>
      </c>
      <c r="V10" s="53">
        <f>'R1'!V32</f>
        <v>4.546388361736347</v>
      </c>
    </row>
    <row r="11" spans="1:22" s="1" customFormat="1" x14ac:dyDescent="0.3">
      <c r="A11" s="226"/>
      <c r="B11" s="53">
        <f>'R1'!B33</f>
        <v>5.9975610458449591E-3</v>
      </c>
      <c r="C11" s="53">
        <f>'R1'!C33</f>
        <v>0.67533138001645099</v>
      </c>
      <c r="D11" s="53">
        <f>'R1'!D33</f>
        <v>0.13317130276890793</v>
      </c>
      <c r="E11" s="53">
        <f>'R1'!E33</f>
        <v>0.14534424159999898</v>
      </c>
      <c r="F11" s="53">
        <f>'R1'!F33</f>
        <v>2.708510106634229</v>
      </c>
      <c r="G11" s="53">
        <f>'R1'!G33</f>
        <v>6.6629109795563597</v>
      </c>
      <c r="H11" s="53">
        <f>'R1'!H33</f>
        <v>9.3662462239257067</v>
      </c>
      <c r="I11" s="53">
        <f>'R1'!I33</f>
        <v>0.12136269067943431</v>
      </c>
      <c r="J11" s="53">
        <f>'R1'!J33</f>
        <v>0.22078437631000927</v>
      </c>
      <c r="K11" s="53">
        <f>'R1'!K33</f>
        <v>0.5189372110817565</v>
      </c>
      <c r="L11" s="53">
        <f>'R1'!L33</f>
        <v>1.8793664567391877</v>
      </c>
      <c r="M11" s="53">
        <f>'R1'!M33</f>
        <v>11.392972178644772</v>
      </c>
      <c r="N11"/>
      <c r="O11" s="53">
        <f>'R1'!O33</f>
        <v>1.0428659356126575</v>
      </c>
      <c r="P11" s="53">
        <f>'R1'!P33</f>
        <v>4.8050295267165453</v>
      </c>
      <c r="Q11" s="53">
        <f>'R1'!Q33</f>
        <v>4.6203901565987568E-2</v>
      </c>
      <c r="R11" s="53">
        <f>'R1'!R33</f>
        <v>0.15321559593082199</v>
      </c>
      <c r="S11" s="53">
        <f>'R1'!S33</f>
        <v>2.5076728170019278</v>
      </c>
      <c r="T11" s="53">
        <f>'R1'!T33</f>
        <v>1.7295017184753025</v>
      </c>
      <c r="U11" s="53">
        <f>'R1'!U33</f>
        <v>12.202980376490395</v>
      </c>
      <c r="V11" s="53">
        <f>'R1'!V33</f>
        <v>11.485681875085421</v>
      </c>
    </row>
    <row r="12" spans="1:22" s="1" customFormat="1" x14ac:dyDescent="0.3">
      <c r="A12" s="226"/>
      <c r="B12" s="53">
        <f>'R1'!B34</f>
        <v>3.774772773668976E-2</v>
      </c>
      <c r="C12" s="53">
        <f>'R1'!C34</f>
        <v>2.1270043218852445E-2</v>
      </c>
      <c r="D12" s="53">
        <f>'R1'!D34</f>
        <v>5.3904551826985496E-2</v>
      </c>
      <c r="E12" s="53">
        <f>'R1'!E34</f>
        <v>0.71873447036271598</v>
      </c>
      <c r="F12" s="53">
        <f>'R1'!F34</f>
        <v>3.7173940779024024</v>
      </c>
      <c r="G12" s="53">
        <f>'R1'!G34</f>
        <v>7.0906930076481451</v>
      </c>
      <c r="H12" s="53">
        <f>'R1'!H34</f>
        <v>11.318419547038529</v>
      </c>
      <c r="I12" s="53">
        <f>'R1'!I34</f>
        <v>0.3368410154857141</v>
      </c>
      <c r="J12" s="53">
        <f>'R1'!J34</f>
        <v>0.19486580837490169</v>
      </c>
      <c r="K12" s="53">
        <f>'R1'!K34</f>
        <v>2.5249645070379123</v>
      </c>
      <c r="L12" s="53">
        <f>'R1'!L34</f>
        <v>5.3614275878620914</v>
      </c>
      <c r="M12" s="53">
        <f>'R1'!M34</f>
        <v>7.6454622674607764</v>
      </c>
      <c r="N12"/>
      <c r="O12" s="53">
        <f>'R1'!O34</f>
        <v>1.6852261406610427</v>
      </c>
      <c r="P12" s="53">
        <f>'R1'!P34</f>
        <v>6.1334422757223397</v>
      </c>
      <c r="Q12" s="53">
        <f>'R1'!Q34</f>
        <v>0.22747107600811101</v>
      </c>
      <c r="R12" s="53">
        <f>'R1'!R34</f>
        <v>6.5567314675319226</v>
      </c>
      <c r="S12" s="53">
        <f>'R1'!S34</f>
        <v>2.144785995825357E-2</v>
      </c>
      <c r="T12" s="53">
        <f>'R1'!T34</f>
        <v>5.8125312691971072</v>
      </c>
      <c r="U12" s="53">
        <f>'R1'!U34</f>
        <v>4.8544270169221768</v>
      </c>
      <c r="V12" s="53">
        <f>'R1'!V34</f>
        <v>13.514273720123269</v>
      </c>
    </row>
    <row r="13" spans="1:22" s="1" customFormat="1" x14ac:dyDescent="0.3">
      <c r="A13" s="226"/>
      <c r="B13" s="53">
        <f>'R1'!B35</f>
        <v>9.7576343023901085E-2</v>
      </c>
      <c r="C13" s="53">
        <f>'R1'!C35</f>
        <v>3.5120781773270521E-2</v>
      </c>
      <c r="D13" s="53" t="str">
        <f>'R1'!D35</f>
        <v/>
      </c>
      <c r="E13" s="53">
        <f>'R1'!E35</f>
        <v>5.6582076774056619E-2</v>
      </c>
      <c r="F13" s="53">
        <f>'R1'!F35</f>
        <v>4.5542494422111153</v>
      </c>
      <c r="G13" s="53">
        <f>'R1'!G35</f>
        <v>5.700509884560879</v>
      </c>
      <c r="H13" s="53">
        <f>'R1'!H35</f>
        <v>14.238480204279822</v>
      </c>
      <c r="I13" s="53">
        <f>'R1'!I35</f>
        <v>0.14133585714558791</v>
      </c>
      <c r="J13" s="53">
        <f>'R1'!J35</f>
        <v>5.730993996067188E-2</v>
      </c>
      <c r="K13" s="53">
        <f>'R1'!K35</f>
        <v>2.2632514590974824E-2</v>
      </c>
      <c r="L13" s="53">
        <f>'R1'!L35</f>
        <v>8.7143463483826054</v>
      </c>
      <c r="M13" s="53">
        <f>'R1'!M35</f>
        <v>16.59902982199112</v>
      </c>
      <c r="N13"/>
      <c r="O13" s="53">
        <f>'R1'!O35</f>
        <v>3.8850981817596282E-3</v>
      </c>
      <c r="P13" s="53" t="str">
        <f>'R1'!P35</f>
        <v/>
      </c>
      <c r="Q13" s="53">
        <f>'R1'!Q35</f>
        <v>6.7017943635353586E-2</v>
      </c>
      <c r="R13" s="53">
        <f>'R1'!R35</f>
        <v>7.4416858647003297</v>
      </c>
      <c r="S13" s="53">
        <f>'R1'!S35</f>
        <v>3.2272418405948997</v>
      </c>
      <c r="T13" s="53">
        <f>'R1'!T35</f>
        <v>4.4616472261107285</v>
      </c>
      <c r="U13" s="53">
        <f>'R1'!U35</f>
        <v>9.0539668370793152</v>
      </c>
      <c r="V13" s="53">
        <f>'R1'!V35</f>
        <v>14.891665102126328</v>
      </c>
    </row>
    <row r="14" spans="1:22" s="1" customFormat="1" x14ac:dyDescent="0.3">
      <c r="A14" s="226"/>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1.0143891775200324</v>
      </c>
      <c r="P14" s="53" t="str">
        <f>'R1'!P36</f>
        <v/>
      </c>
      <c r="Q14" s="53" t="str">
        <f>'R1'!Q36</f>
        <v/>
      </c>
      <c r="R14" s="53" t="str">
        <f>'R1'!R36</f>
        <v/>
      </c>
      <c r="S14" s="53" t="str">
        <f>'R1'!S36</f>
        <v/>
      </c>
      <c r="T14" s="53" t="str">
        <f>'R1'!T36</f>
        <v/>
      </c>
      <c r="U14" s="53" t="str">
        <f>'R1'!U36</f>
        <v/>
      </c>
      <c r="V14" s="53" t="str">
        <f>'R1'!V36</f>
        <v/>
      </c>
    </row>
    <row r="15" spans="1:22" s="1" customFormat="1" x14ac:dyDescent="0.3">
      <c r="A15" s="226"/>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0.830570135293348</v>
      </c>
      <c r="P15" s="53" t="str">
        <f>'R1'!P37</f>
        <v/>
      </c>
      <c r="Q15" s="53" t="str">
        <f>'R1'!Q37</f>
        <v/>
      </c>
      <c r="R15" s="53" t="str">
        <f>'R1'!R37</f>
        <v/>
      </c>
      <c r="S15" s="53" t="str">
        <f>'R1'!S37</f>
        <v/>
      </c>
      <c r="T15" s="53" t="str">
        <f>'R1'!T37</f>
        <v/>
      </c>
      <c r="U15" s="53" t="str">
        <f>'R1'!U37</f>
        <v/>
      </c>
      <c r="V15" s="53" t="str">
        <f>'R1'!V37</f>
        <v/>
      </c>
    </row>
    <row r="16" spans="1:22" s="1" customFormat="1" x14ac:dyDescent="0.3">
      <c r="A16" s="226"/>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0.12361029426546449</v>
      </c>
      <c r="P16" s="53" t="str">
        <f>'R1'!P38</f>
        <v/>
      </c>
      <c r="Q16" s="53" t="str">
        <f>'R1'!Q38</f>
        <v/>
      </c>
      <c r="R16" s="53" t="str">
        <f>'R1'!R38</f>
        <v/>
      </c>
      <c r="S16" s="53" t="str">
        <f>'R1'!S38</f>
        <v/>
      </c>
      <c r="T16" s="53" t="str">
        <f>'R1'!T38</f>
        <v/>
      </c>
      <c r="U16" s="53" t="str">
        <f>'R1'!U38</f>
        <v/>
      </c>
      <c r="V16" s="53" t="str">
        <f>'R1'!V38</f>
        <v/>
      </c>
    </row>
    <row r="17" spans="1:22" s="1" customFormat="1" x14ac:dyDescent="0.3">
      <c r="A17" s="226"/>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3.7026866578123809</v>
      </c>
      <c r="P17" s="53" t="str">
        <f>'R1'!P39</f>
        <v/>
      </c>
      <c r="Q17" s="53" t="str">
        <f>'R1'!Q39</f>
        <v/>
      </c>
      <c r="R17" s="53" t="str">
        <f>'R1'!R39</f>
        <v/>
      </c>
      <c r="S17" s="53" t="str">
        <f>'R1'!S39</f>
        <v/>
      </c>
      <c r="T17" s="53" t="str">
        <f>'R1'!T39</f>
        <v/>
      </c>
      <c r="U17" s="53" t="str">
        <f>'R1'!U39</f>
        <v/>
      </c>
      <c r="V17" s="53" t="str">
        <f>'R1'!V39</f>
        <v/>
      </c>
    </row>
    <row r="18" spans="1:22" s="1" customFormat="1" x14ac:dyDescent="0.3">
      <c r="A18" s="226"/>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0.42213219755854653</v>
      </c>
      <c r="P18" s="53" t="str">
        <f>'R1'!P40</f>
        <v/>
      </c>
      <c r="Q18" s="53" t="str">
        <f>'R1'!Q40</f>
        <v/>
      </c>
      <c r="R18" s="53" t="str">
        <f>'R1'!R40</f>
        <v/>
      </c>
      <c r="S18" s="53" t="str">
        <f>'R1'!S40</f>
        <v/>
      </c>
      <c r="T18" s="53" t="str">
        <f>'R1'!T40</f>
        <v/>
      </c>
      <c r="U18" s="53" t="str">
        <f>'R1'!U40</f>
        <v/>
      </c>
      <c r="V18" s="53" t="str">
        <f>'R1'!V40</f>
        <v/>
      </c>
    </row>
    <row r="19" spans="1:22" s="1" customFormat="1" x14ac:dyDescent="0.3">
      <c r="A19" s="226"/>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0.38632622861611704</v>
      </c>
      <c r="P19" s="53" t="str">
        <f>'R1'!P41</f>
        <v/>
      </c>
      <c r="Q19" s="53" t="str">
        <f>'R1'!Q41</f>
        <v/>
      </c>
      <c r="R19" s="53" t="str">
        <f>'R1'!R41</f>
        <v/>
      </c>
      <c r="S19" s="53" t="str">
        <f>'R1'!S41</f>
        <v/>
      </c>
      <c r="T19" s="53" t="str">
        <f>'R1'!T41</f>
        <v/>
      </c>
      <c r="U19" s="53" t="str">
        <f>'R1'!U41</f>
        <v/>
      </c>
      <c r="V19" s="53" t="str">
        <f>'R1'!V41</f>
        <v/>
      </c>
    </row>
    <row r="20" spans="1:22" s="1" customFormat="1" x14ac:dyDescent="0.3">
      <c r="A20" s="226"/>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6.2417627012891663E-2</v>
      </c>
      <c r="P20" s="53" t="str">
        <f>'R1'!P42</f>
        <v/>
      </c>
      <c r="Q20" s="53" t="str">
        <f>'R1'!Q42</f>
        <v/>
      </c>
      <c r="R20" s="53" t="str">
        <f>'R1'!R42</f>
        <v/>
      </c>
      <c r="S20" s="53" t="str">
        <f>'R1'!S42</f>
        <v/>
      </c>
      <c r="T20" s="53" t="str">
        <f>'R1'!T42</f>
        <v/>
      </c>
      <c r="U20" s="53" t="str">
        <f>'R1'!U42</f>
        <v/>
      </c>
      <c r="V20" s="53" t="str">
        <f>'R1'!V42</f>
        <v/>
      </c>
    </row>
    <row r="21" spans="1:22" s="1" customFormat="1" x14ac:dyDescent="0.3">
      <c r="A21" s="227"/>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0.3937771451453338</v>
      </c>
      <c r="P21" s="53" t="str">
        <f>'R1'!P43</f>
        <v/>
      </c>
      <c r="Q21" s="53" t="str">
        <f>'R1'!Q43</f>
        <v/>
      </c>
      <c r="R21" s="53" t="str">
        <f>'R1'!R43</f>
        <v/>
      </c>
      <c r="S21" s="53" t="str">
        <f>'R1'!S43</f>
        <v/>
      </c>
      <c r="T21" s="53" t="str">
        <f>'R1'!T43</f>
        <v/>
      </c>
      <c r="U21" s="53" t="str">
        <f>'R1'!U43</f>
        <v/>
      </c>
      <c r="V21" s="53" t="str">
        <f>'R1'!V43</f>
        <v/>
      </c>
    </row>
    <row r="22" spans="1:22" x14ac:dyDescent="0.3">
      <c r="A22" s="39" t="s">
        <v>5</v>
      </c>
      <c r="B22" s="54">
        <f>'R2'!B28</f>
        <v>1.2574282421992449E-2</v>
      </c>
      <c r="C22" s="54">
        <f>'R2'!C28</f>
        <v>1.9405901309867436E-4</v>
      </c>
      <c r="D22" s="54">
        <f>'R2'!D28</f>
        <v>1.1073724193318622E-2</v>
      </c>
      <c r="E22" s="54">
        <f>'R2'!E28</f>
        <v>1.7203269708964013E-2</v>
      </c>
      <c r="F22" s="54">
        <f>'R2'!F28</f>
        <v>0.18558098271113418</v>
      </c>
      <c r="G22" s="54">
        <f>'R2'!G28</f>
        <v>3.5209387512055299</v>
      </c>
      <c r="H22" s="54">
        <f>'R2'!H28</f>
        <v>9.8386757759038659</v>
      </c>
      <c r="I22" s="54">
        <f>'R2'!I28</f>
        <v>0.20168293661964651</v>
      </c>
      <c r="J22" s="54">
        <f>'R2'!J28</f>
        <v>1.3905502530955967E-2</v>
      </c>
      <c r="K22" s="54">
        <f>'R2'!K28</f>
        <v>3.2970255512063951E-2</v>
      </c>
      <c r="L22" s="54">
        <f>'R2'!L28</f>
        <v>3.9782616823989403</v>
      </c>
      <c r="M22" s="54">
        <f>'R2'!M28</f>
        <v>11.08919823653507</v>
      </c>
      <c r="O22" s="54">
        <f>'R2'!O28</f>
        <v>3.2849271459821288</v>
      </c>
      <c r="P22" s="54">
        <f>'R2'!P28</f>
        <v>7.9083225668692441</v>
      </c>
      <c r="Q22" s="54">
        <f>'R2'!Q28</f>
        <v>6.2943102700788497E-2</v>
      </c>
      <c r="R22" s="54">
        <f>'R2'!R28</f>
        <v>0.40219039475867618</v>
      </c>
      <c r="S22" s="54">
        <f>'R2'!S28</f>
        <v>5.3547383308885399</v>
      </c>
      <c r="T22" s="54">
        <f>'R2'!T28</f>
        <v>4.8478772014341827</v>
      </c>
      <c r="U22" s="54">
        <f>'R2'!U28</f>
        <v>6.8763389840145432</v>
      </c>
      <c r="V22" s="54">
        <f>'R2'!V28</f>
        <v>12.693673212656233</v>
      </c>
    </row>
    <row r="23" spans="1:22" x14ac:dyDescent="0.3">
      <c r="A23" s="225" t="s">
        <v>34</v>
      </c>
      <c r="B23" s="54">
        <f>'R2'!B29</f>
        <v>7.7512361219222101E-3</v>
      </c>
      <c r="C23" s="54">
        <f>'R2'!C29</f>
        <v>8.6733254453082685E-3</v>
      </c>
      <c r="D23" s="54">
        <f>'R2'!D29</f>
        <v>8.0627193786156237E-2</v>
      </c>
      <c r="E23" s="54">
        <f>'R2'!E29</f>
        <v>3.4149442126689016E-2</v>
      </c>
      <c r="F23" s="54">
        <f>'R2'!F29</f>
        <v>3.6764393508416999</v>
      </c>
      <c r="G23" s="54">
        <f>'R2'!G29</f>
        <v>5.3823095432845847</v>
      </c>
      <c r="H23" s="54">
        <f>'R2'!H29</f>
        <v>17.650748780410176</v>
      </c>
      <c r="I23" s="54">
        <f>'R2'!I29</f>
        <v>4.2035407117577819E-2</v>
      </c>
      <c r="J23" s="54">
        <f>'R2'!J29</f>
        <v>4.4097129626167561E-2</v>
      </c>
      <c r="K23" s="54">
        <f>'R2'!K29</f>
        <v>8.7783892422088235E-3</v>
      </c>
      <c r="L23" s="54">
        <f>'R2'!L29</f>
        <v>3.5053893092642476</v>
      </c>
      <c r="M23" s="54">
        <f>'R2'!M29</f>
        <v>5.7995364214467351</v>
      </c>
      <c r="O23" s="54">
        <f>'R2'!O29</f>
        <v>2.1351213131491358</v>
      </c>
      <c r="P23" s="54">
        <f>'R2'!P29</f>
        <v>12.103873485883906</v>
      </c>
      <c r="Q23" s="54">
        <f>'R2'!Q29</f>
        <v>1.4367783237318413E-2</v>
      </c>
      <c r="R23" s="54">
        <f>'R2'!R29</f>
        <v>3.2758854792253338</v>
      </c>
      <c r="S23" s="54">
        <f>'R2'!S29</f>
        <v>4.8688911968589634</v>
      </c>
      <c r="T23" s="54">
        <f>'R2'!T29</f>
        <v>2.7933064473016991</v>
      </c>
      <c r="U23" s="54">
        <f>'R2'!U29</f>
        <v>4.2801544685023369</v>
      </c>
      <c r="V23" s="54">
        <f>'R2'!V29</f>
        <v>8.9835578247962307</v>
      </c>
    </row>
    <row r="24" spans="1:22" x14ac:dyDescent="0.3">
      <c r="A24" s="226"/>
      <c r="B24" s="54">
        <f>'R2'!B30</f>
        <v>1.5781818339132957E-2</v>
      </c>
      <c r="C24" s="54">
        <f>'R2'!C30</f>
        <v>7.0056539773290863E-2</v>
      </c>
      <c r="D24" s="54">
        <f>'R2'!D30</f>
        <v>2.6583612705179553E-2</v>
      </c>
      <c r="E24" s="54">
        <f>'R2'!E30</f>
        <v>2.1037480273499603E-3</v>
      </c>
      <c r="F24" s="54">
        <f>'R2'!F30</f>
        <v>0.50892532405228597</v>
      </c>
      <c r="G24" s="54">
        <f>'R2'!G30</f>
        <v>4.3669643577249238</v>
      </c>
      <c r="H24" s="54">
        <f>'R2'!H30</f>
        <v>6.0406368225741307</v>
      </c>
      <c r="I24" s="54">
        <f>'R2'!I30</f>
        <v>5.7748006955223351E-3</v>
      </c>
      <c r="J24" s="54">
        <f>'R2'!J30</f>
        <v>2.1523245828580999E-2</v>
      </c>
      <c r="K24" s="54">
        <f>'R2'!K30</f>
        <v>0.25949274580834075</v>
      </c>
      <c r="L24" s="54">
        <f>'R2'!L30</f>
        <v>6.4626509017409379</v>
      </c>
      <c r="M24" s="54">
        <f>'R2'!M30</f>
        <v>7.8433560590446181</v>
      </c>
      <c r="O24" s="54">
        <f>'R2'!O30</f>
        <v>1.6318261725660504E-2</v>
      </c>
      <c r="P24" s="54">
        <f>'R2'!P30</f>
        <v>15.652037356978044</v>
      </c>
      <c r="Q24" s="54">
        <f>'R2'!Q30</f>
        <v>3.130035916367982E-2</v>
      </c>
      <c r="R24" s="54">
        <f>'R2'!R30</f>
        <v>0.14309318324454928</v>
      </c>
      <c r="S24" s="54">
        <f>'R2'!S30</f>
        <v>6.3294052863776447</v>
      </c>
      <c r="T24" s="54">
        <f>'R2'!T30</f>
        <v>6.3653062038008992</v>
      </c>
      <c r="U24" s="54">
        <f>'R2'!U30</f>
        <v>8.9739216205534458</v>
      </c>
      <c r="V24" s="54">
        <f>'R2'!V30</f>
        <v>8.7353823039810834</v>
      </c>
    </row>
    <row r="25" spans="1:22" x14ac:dyDescent="0.3">
      <c r="A25" s="226"/>
      <c r="B25" s="54">
        <f>'R2'!B31</f>
        <v>8.626355747870372E-3</v>
      </c>
      <c r="C25" s="54">
        <f>'R2'!C31</f>
        <v>6.2304067606699237E-2</v>
      </c>
      <c r="D25" s="54">
        <f>'R2'!D31</f>
        <v>1.5177392495787406E-2</v>
      </c>
      <c r="E25" s="54">
        <f>'R2'!E31</f>
        <v>1.2443261687034107E-2</v>
      </c>
      <c r="F25" s="54">
        <f>'R2'!F31</f>
        <v>3.3101832467123531</v>
      </c>
      <c r="G25" s="54">
        <f>'R2'!G31</f>
        <v>5.4184094638996161</v>
      </c>
      <c r="H25" s="54">
        <f>'R2'!H31</f>
        <v>5.3859212658086246</v>
      </c>
      <c r="I25" s="54">
        <f>'R2'!I31</f>
        <v>9.7425040843551053E-3</v>
      </c>
      <c r="J25" s="54">
        <f>'R2'!J31</f>
        <v>9.7165471462973205E-3</v>
      </c>
      <c r="K25" s="54">
        <f>'R2'!K31</f>
        <v>0.62587369044929919</v>
      </c>
      <c r="L25" s="54">
        <f>'R2'!L31</f>
        <v>4.986083064055852</v>
      </c>
      <c r="M25" s="54">
        <f>'R2'!M31</f>
        <v>9.8732578336648515</v>
      </c>
      <c r="O25" s="54">
        <f>'R2'!O31</f>
        <v>0.40038206140731719</v>
      </c>
      <c r="P25" s="54">
        <f>'R2'!P31</f>
        <v>13.626030359111148</v>
      </c>
      <c r="Q25" s="54">
        <f>'R2'!Q31</f>
        <v>2.226116449622373E-3</v>
      </c>
      <c r="R25" s="54">
        <f>'R2'!R31</f>
        <v>1.8055695554781654</v>
      </c>
      <c r="S25" s="54">
        <f>'R2'!S31</f>
        <v>4.3390927864742102</v>
      </c>
      <c r="T25" s="54">
        <f>'R2'!T31</f>
        <v>7.6289715274020287</v>
      </c>
      <c r="U25" s="54">
        <f>'R2'!U31</f>
        <v>8.8476967389124468</v>
      </c>
      <c r="V25" s="54">
        <f>'R2'!V31</f>
        <v>11.355764865986492</v>
      </c>
    </row>
    <row r="26" spans="1:22" x14ac:dyDescent="0.3">
      <c r="A26" s="226"/>
      <c r="B26" s="54">
        <f>'R2'!B32</f>
        <v>3.4905901464373022E-2</v>
      </c>
      <c r="C26" s="54">
        <f>'R2'!C32</f>
        <v>3.1595773839670792E-2</v>
      </c>
      <c r="D26" s="54">
        <f>'R2'!D32</f>
        <v>3.4971411831852192E-2</v>
      </c>
      <c r="E26" s="54">
        <f>'R2'!E32</f>
        <v>1.2978469028892235E-3</v>
      </c>
      <c r="F26" s="54">
        <f>'R2'!F32</f>
        <v>0.26410319242527108</v>
      </c>
      <c r="G26" s="54">
        <f>'R2'!G32</f>
        <v>6.0304209133813886</v>
      </c>
      <c r="H26" s="54">
        <f>'R2'!H32</f>
        <v>12.498861448353882</v>
      </c>
      <c r="I26" s="54">
        <f>'R2'!I32</f>
        <v>1.1322169171871703E-3</v>
      </c>
      <c r="J26" s="54">
        <f>'R2'!J32</f>
        <v>2.8332615912406458E-2</v>
      </c>
      <c r="K26" s="54">
        <f>'R2'!K32</f>
        <v>3.9887161482128801E-3</v>
      </c>
      <c r="L26" s="54">
        <f>'R2'!L32</f>
        <v>4.6903309478701249</v>
      </c>
      <c r="M26" s="54">
        <f>'R2'!M32</f>
        <v>7.3151781032214727</v>
      </c>
      <c r="O26" s="54">
        <f>'R2'!O32</f>
        <v>0.56759294824155648</v>
      </c>
      <c r="P26" s="54">
        <f>'R2'!P32</f>
        <v>15.428288550919941</v>
      </c>
      <c r="Q26" s="54">
        <f>'R2'!Q32</f>
        <v>6.8170335607758523E-2</v>
      </c>
      <c r="R26" s="54">
        <f>'R2'!R32</f>
        <v>2.740789381387454</v>
      </c>
      <c r="S26" s="54">
        <f>'R2'!S32</f>
        <v>2.4698001841088537</v>
      </c>
      <c r="T26" s="54">
        <f>'R2'!T32</f>
        <v>3.5311398278622392</v>
      </c>
      <c r="U26" s="54">
        <f>'R2'!U32</f>
        <v>5.730808629693068</v>
      </c>
      <c r="V26" s="54">
        <f>'R2'!V32</f>
        <v>15.04410979908403</v>
      </c>
    </row>
    <row r="27" spans="1:22" x14ac:dyDescent="0.3">
      <c r="A27" s="226"/>
      <c r="B27" s="54">
        <f>'R2'!B33</f>
        <v>9.4693382124136586E-3</v>
      </c>
      <c r="C27" s="54">
        <f>'R2'!C33</f>
        <v>8.1583892360286014E-2</v>
      </c>
      <c r="D27" s="54">
        <f>'R2'!D33</f>
        <v>6.6375598747763149E-4</v>
      </c>
      <c r="E27" s="54">
        <f>'R2'!E33</f>
        <v>3.9763421050273338</v>
      </c>
      <c r="F27" s="54">
        <f>'R2'!F33</f>
        <v>1.9584250195217805</v>
      </c>
      <c r="G27" s="54">
        <f>'R2'!G33</f>
        <v>6.0671586330458398</v>
      </c>
      <c r="H27" s="54">
        <f>'R2'!H33</f>
        <v>10.250910269646235</v>
      </c>
      <c r="I27" s="54">
        <f>'R2'!I33</f>
        <v>2.4872926882704614E-2</v>
      </c>
      <c r="J27" s="54">
        <f>'R2'!J33</f>
        <v>2.8223843981497649E-2</v>
      </c>
      <c r="K27" s="54">
        <f>'R2'!K33</f>
        <v>0.66468425702436462</v>
      </c>
      <c r="L27" s="54">
        <f>'R2'!L33</f>
        <v>4.8242823447396561E-3</v>
      </c>
      <c r="M27" s="54">
        <f>'R2'!M33</f>
        <v>8.8531056703858226</v>
      </c>
      <c r="O27" s="54">
        <f>'R2'!O33</f>
        <v>2.2524602696616851</v>
      </c>
      <c r="P27" s="54">
        <f>'R2'!P33</f>
        <v>7.5693088872538761</v>
      </c>
      <c r="Q27" s="54">
        <f>'R2'!Q33</f>
        <v>3.6512759534616823E-3</v>
      </c>
      <c r="R27" s="54">
        <f>'R2'!R33</f>
        <v>4.1191522340425859</v>
      </c>
      <c r="S27" s="54">
        <f>'R2'!S33</f>
        <v>1.0766740139221891</v>
      </c>
      <c r="T27" s="54">
        <f>'R2'!T33</f>
        <v>5.2803148452981938</v>
      </c>
      <c r="U27" s="54">
        <f>'R2'!U33</f>
        <v>7.2359043783483292</v>
      </c>
      <c r="V27" s="54">
        <f>'R2'!V33</f>
        <v>5.6706243786944217</v>
      </c>
    </row>
    <row r="28" spans="1:22" x14ac:dyDescent="0.3">
      <c r="A28" s="226"/>
      <c r="B28" s="54">
        <f>'R2'!B34</f>
        <v>9.5175439545209728E-5</v>
      </c>
      <c r="C28" s="54">
        <f>'R2'!C34</f>
        <v>2.8023604745051882E-2</v>
      </c>
      <c r="D28" s="54">
        <f>'R2'!D34</f>
        <v>3.9436005177791118E-2</v>
      </c>
      <c r="E28" s="54">
        <f>'R2'!E34</f>
        <v>0.15958325517925892</v>
      </c>
      <c r="F28" s="54">
        <f>'R2'!F34</f>
        <v>1.5563026072199224</v>
      </c>
      <c r="G28" s="54">
        <f>'R2'!G34</f>
        <v>4.2107270754657806</v>
      </c>
      <c r="H28" s="54">
        <f>'R2'!H34</f>
        <v>11.783050675668369</v>
      </c>
      <c r="I28" s="54">
        <f>'R2'!I34</f>
        <v>5.0527033996481598E-2</v>
      </c>
      <c r="J28" s="54">
        <f>'R2'!J34</f>
        <v>6.6873724749538718E-2</v>
      </c>
      <c r="K28" s="54">
        <f>'R2'!K34</f>
        <v>1.5704775674888114</v>
      </c>
      <c r="L28" s="54">
        <f>'R2'!L34</f>
        <v>8.6527242888030731</v>
      </c>
      <c r="M28" s="54">
        <f>'R2'!M34</f>
        <v>4.2813138784022513</v>
      </c>
      <c r="O28" s="54">
        <f>'R2'!O34</f>
        <v>0.15080115780304185</v>
      </c>
      <c r="P28" s="54">
        <f>'R2'!P34</f>
        <v>12.964334858097438</v>
      </c>
      <c r="Q28" s="54">
        <f>'R2'!Q34</f>
        <v>7.3013158622539463E-3</v>
      </c>
      <c r="R28" s="54">
        <f>'R2'!R34</f>
        <v>2.0298597491014729</v>
      </c>
      <c r="S28" s="54">
        <f>'R2'!S34</f>
        <v>3.1079292574554351</v>
      </c>
      <c r="T28" s="54">
        <f>'R2'!T34</f>
        <v>4.9634189489973979</v>
      </c>
      <c r="U28" s="54">
        <f>'R2'!U34</f>
        <v>8.0938293869002127</v>
      </c>
      <c r="V28" s="54">
        <f>'R2'!V34</f>
        <v>7.3753611181754497</v>
      </c>
    </row>
    <row r="29" spans="1:22" x14ac:dyDescent="0.3">
      <c r="A29" s="226"/>
      <c r="B29" s="54">
        <f>'R2'!B35</f>
        <v>4.0093580941921662E-2</v>
      </c>
      <c r="C29" s="54">
        <f>'R2'!C35</f>
        <v>3.5093780254124601E-2</v>
      </c>
      <c r="D29" s="54">
        <f>'R2'!D35</f>
        <v>3.8365590494074862E-2</v>
      </c>
      <c r="E29" s="54">
        <f>'R2'!E35</f>
        <v>3.3532655836649279E-2</v>
      </c>
      <c r="F29" s="54">
        <f>'R2'!F35</f>
        <v>1.5228663628674877</v>
      </c>
      <c r="G29" s="54">
        <f>'R2'!G35</f>
        <v>4.6040130044259673</v>
      </c>
      <c r="H29" s="54">
        <f>'R2'!H35</f>
        <v>8.7625715785742777</v>
      </c>
      <c r="I29" s="54">
        <f>'R2'!I35</f>
        <v>0.12532133298765283</v>
      </c>
      <c r="J29" s="54">
        <f>'R2'!J35</f>
        <v>8.1874362857599317E-2</v>
      </c>
      <c r="K29" s="54">
        <f>'R2'!K35</f>
        <v>6.068979326843893E-2</v>
      </c>
      <c r="L29" s="54">
        <f>'R2'!L35</f>
        <v>3.5772245173168313</v>
      </c>
      <c r="M29" s="54">
        <f>'R2'!M35</f>
        <v>10.334207319918335</v>
      </c>
      <c r="O29" s="54">
        <f>'R2'!O35</f>
        <v>9.7852712299169781E-2</v>
      </c>
      <c r="P29" s="54">
        <f>'R2'!P35</f>
        <v>8.62617034116996</v>
      </c>
      <c r="Q29" s="54">
        <f>'R2'!Q35</f>
        <v>2.2266108674901402E-2</v>
      </c>
      <c r="R29" s="54">
        <f>'R2'!R35</f>
        <v>3.8537647912057893</v>
      </c>
      <c r="S29" s="54">
        <f>'R2'!S35</f>
        <v>5.7343387732689273</v>
      </c>
      <c r="T29" s="54">
        <f>'R2'!T35</f>
        <v>5.0594274826497951</v>
      </c>
      <c r="U29" s="54">
        <f>'R2'!U35</f>
        <v>11.788410165354966</v>
      </c>
      <c r="V29" s="54">
        <f>'R2'!V35</f>
        <v>9.1075269249155397</v>
      </c>
    </row>
    <row r="30" spans="1:22" x14ac:dyDescent="0.3">
      <c r="A30" s="226"/>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0.29663588812436092</v>
      </c>
      <c r="P30" s="54" t="str">
        <f>'R2'!P36</f>
        <v/>
      </c>
      <c r="Q30" s="54" t="str">
        <f>'R2'!Q36</f>
        <v/>
      </c>
      <c r="R30" s="54" t="str">
        <f>'R2'!R36</f>
        <v/>
      </c>
      <c r="S30" s="54" t="str">
        <f>'R2'!S36</f>
        <v/>
      </c>
      <c r="T30" s="54" t="str">
        <f>'R2'!T36</f>
        <v/>
      </c>
      <c r="U30" s="54" t="str">
        <f>'R2'!U36</f>
        <v/>
      </c>
      <c r="V30" s="54" t="str">
        <f>'R2'!V36</f>
        <v/>
      </c>
    </row>
    <row r="31" spans="1:22" s="1" customFormat="1" x14ac:dyDescent="0.3">
      <c r="A31" s="226"/>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5.4361244561017194E-3</v>
      </c>
      <c r="P31" s="54" t="str">
        <f>'R2'!P37</f>
        <v/>
      </c>
      <c r="Q31" s="54" t="str">
        <f>'R2'!Q37</f>
        <v/>
      </c>
      <c r="R31" s="54" t="str">
        <f>'R2'!R37</f>
        <v/>
      </c>
      <c r="S31" s="54" t="str">
        <f>'R2'!S37</f>
        <v/>
      </c>
      <c r="T31" s="54" t="str">
        <f>'R2'!T37</f>
        <v/>
      </c>
      <c r="U31" s="54" t="str">
        <f>'R2'!U37</f>
        <v/>
      </c>
      <c r="V31" s="54" t="str">
        <f>'R2'!V37</f>
        <v/>
      </c>
    </row>
    <row r="32" spans="1:22" s="1" customFormat="1" x14ac:dyDescent="0.3">
      <c r="A32" s="226"/>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2.8252050520853773</v>
      </c>
      <c r="P32" s="54" t="str">
        <f>'R2'!P38</f>
        <v/>
      </c>
      <c r="Q32" s="54" t="str">
        <f>'R2'!Q38</f>
        <v/>
      </c>
      <c r="R32" s="54" t="str">
        <f>'R2'!R38</f>
        <v/>
      </c>
      <c r="S32" s="54" t="str">
        <f>'R2'!S38</f>
        <v/>
      </c>
      <c r="T32" s="54" t="str">
        <f>'R2'!T38</f>
        <v/>
      </c>
      <c r="U32" s="54" t="str">
        <f>'R2'!U38</f>
        <v/>
      </c>
      <c r="V32" s="54" t="str">
        <f>'R2'!V38</f>
        <v/>
      </c>
    </row>
    <row r="33" spans="1:22" s="1" customFormat="1" x14ac:dyDescent="0.3">
      <c r="A33" s="226"/>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7.4954984798195623E-2</v>
      </c>
      <c r="P33" s="54" t="str">
        <f>'R2'!P39</f>
        <v/>
      </c>
      <c r="Q33" s="54" t="str">
        <f>'R2'!Q39</f>
        <v/>
      </c>
      <c r="R33" s="54" t="str">
        <f>'R2'!R39</f>
        <v/>
      </c>
      <c r="S33" s="54" t="str">
        <f>'R2'!S39</f>
        <v/>
      </c>
      <c r="T33" s="54" t="str">
        <f>'R2'!T39</f>
        <v/>
      </c>
      <c r="U33" s="54" t="str">
        <f>'R2'!U39</f>
        <v/>
      </c>
      <c r="V33" s="54" t="str">
        <f>'R2'!V39</f>
        <v/>
      </c>
    </row>
    <row r="34" spans="1:22" s="1" customFormat="1" x14ac:dyDescent="0.3">
      <c r="A34" s="226"/>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1.0042430323389457</v>
      </c>
      <c r="P34" s="54" t="str">
        <f>'R2'!P40</f>
        <v/>
      </c>
      <c r="Q34" s="54" t="str">
        <f>'R2'!Q40</f>
        <v/>
      </c>
      <c r="R34" s="54" t="str">
        <f>'R2'!R40</f>
        <v/>
      </c>
      <c r="S34" s="54" t="str">
        <f>'R2'!S40</f>
        <v/>
      </c>
      <c r="T34" s="54" t="str">
        <f>'R2'!T40</f>
        <v/>
      </c>
      <c r="U34" s="54" t="str">
        <f>'R2'!U40</f>
        <v/>
      </c>
      <c r="V34" s="54" t="str">
        <f>'R2'!V40</f>
        <v/>
      </c>
    </row>
    <row r="35" spans="1:22" s="1" customFormat="1" x14ac:dyDescent="0.3">
      <c r="A35" s="226"/>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0.70604231166310116</v>
      </c>
      <c r="P35" s="54" t="str">
        <f>'R2'!P41</f>
        <v/>
      </c>
      <c r="Q35" s="54" t="str">
        <f>'R2'!Q41</f>
        <v/>
      </c>
      <c r="R35" s="54" t="str">
        <f>'R2'!R41</f>
        <v/>
      </c>
      <c r="S35" s="54" t="str">
        <f>'R2'!S41</f>
        <v/>
      </c>
      <c r="T35" s="54" t="str">
        <f>'R2'!T41</f>
        <v/>
      </c>
      <c r="U35" s="54" t="str">
        <f>'R2'!U41</f>
        <v/>
      </c>
      <c r="V35" s="54" t="str">
        <f>'R2'!V41</f>
        <v/>
      </c>
    </row>
    <row r="36" spans="1:22" x14ac:dyDescent="0.3">
      <c r="A36" s="226"/>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0.90047337420727047</v>
      </c>
      <c r="P36" s="54" t="str">
        <f>'R2'!P42</f>
        <v/>
      </c>
      <c r="Q36" s="54" t="str">
        <f>'R2'!Q42</f>
        <v/>
      </c>
      <c r="R36" s="54" t="str">
        <f>'R2'!R42</f>
        <v/>
      </c>
      <c r="S36" s="54" t="str">
        <f>'R2'!S42</f>
        <v/>
      </c>
      <c r="T36" s="54" t="str">
        <f>'R2'!T42</f>
        <v/>
      </c>
      <c r="U36" s="54" t="str">
        <f>'R2'!U42</f>
        <v/>
      </c>
      <c r="V36" s="54" t="str">
        <f>'R2'!V42</f>
        <v/>
      </c>
    </row>
    <row r="37" spans="1:22" x14ac:dyDescent="0.3">
      <c r="A37" s="227"/>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1.2815533620569515</v>
      </c>
      <c r="P37" s="54" t="str">
        <f>'R2'!P43</f>
        <v/>
      </c>
      <c r="Q37" s="54" t="str">
        <f>'R2'!Q43</f>
        <v/>
      </c>
      <c r="R37" s="54" t="str">
        <f>'R2'!R43</f>
        <v/>
      </c>
      <c r="S37" s="54" t="str">
        <f>'R2'!S43</f>
        <v/>
      </c>
      <c r="T37" s="54" t="str">
        <f>'R2'!T43</f>
        <v/>
      </c>
      <c r="U37" s="54" t="str">
        <f>'R2'!U43</f>
        <v/>
      </c>
      <c r="V37" s="54" t="str">
        <f>'R2'!V43</f>
        <v/>
      </c>
    </row>
    <row r="38" spans="1:22" s="1" customFormat="1" x14ac:dyDescent="0.3">
      <c r="A38" s="154" t="s">
        <v>116</v>
      </c>
      <c r="B38" s="155">
        <f>'R3'!B28</f>
        <v>1.6966300338282995E-2</v>
      </c>
      <c r="C38" s="155">
        <f>'R3'!C28</f>
        <v>5.1222234197525286E-2</v>
      </c>
      <c r="D38" s="155">
        <f>'R3'!D28</f>
        <v>1.0132523146136168</v>
      </c>
      <c r="E38" s="155">
        <f>'R3'!E28</f>
        <v>0.26252916082870642</v>
      </c>
      <c r="F38" s="155">
        <f>'R3'!F28</f>
        <v>0.95947557443790443</v>
      </c>
      <c r="G38" s="155">
        <f>'R3'!G28</f>
        <v>4.4204669904634093</v>
      </c>
      <c r="H38" s="155">
        <f>'R3'!H28</f>
        <v>8.0815277666716501</v>
      </c>
      <c r="I38" s="155">
        <f>'R3'!I28</f>
        <v>5.0829366997069145E-3</v>
      </c>
      <c r="J38" s="155">
        <f>'R3'!J28</f>
        <v>2.8267316577952849E-2</v>
      </c>
      <c r="K38" s="155">
        <f>'R3'!K28</f>
        <v>0.26340702780317699</v>
      </c>
      <c r="L38" s="155">
        <f>'R3'!L28</f>
        <v>1.9815908687927852</v>
      </c>
      <c r="M38" s="155">
        <f>'R3'!M28</f>
        <v>7.9293490920595628</v>
      </c>
      <c r="N38"/>
      <c r="O38" s="155">
        <f>'R3'!O28</f>
        <v>1.6567192459731113</v>
      </c>
      <c r="P38" s="155">
        <f>'R3'!P28</f>
        <v>8.2543841198210188</v>
      </c>
      <c r="Q38" s="155">
        <f>'R3'!Q28</f>
        <v>1.9272222202907217E-2</v>
      </c>
      <c r="R38" s="155">
        <f>'R3'!R28</f>
        <v>0.19473262431813204</v>
      </c>
      <c r="S38" s="155">
        <f>'R3'!S28</f>
        <v>1.538185475039026</v>
      </c>
      <c r="T38" s="155">
        <f>'R3'!T28</f>
        <v>3.5292859899384278E-2</v>
      </c>
      <c r="U38" s="155">
        <f>'R3'!U28</f>
        <v>1.7086611572546579</v>
      </c>
      <c r="V38" s="155">
        <f>'R3'!V28</f>
        <v>7.5061711440779613</v>
      </c>
    </row>
    <row r="39" spans="1:22" s="1" customFormat="1" x14ac:dyDescent="0.3">
      <c r="A39" s="225" t="s">
        <v>34</v>
      </c>
      <c r="B39" s="155">
        <f>'R3'!B29</f>
        <v>7.0038139408752243E-3</v>
      </c>
      <c r="C39" s="155">
        <f>'R3'!C29</f>
        <v>8.1528635846872186E-4</v>
      </c>
      <c r="D39" s="155">
        <f>'R3'!D29</f>
        <v>0.86032701848561866</v>
      </c>
      <c r="E39" s="155">
        <f>'R3'!E29</f>
        <v>4.6092362035816976E-3</v>
      </c>
      <c r="F39" s="155">
        <f>'R3'!F29</f>
        <v>1.7875640147551186</v>
      </c>
      <c r="G39" s="155">
        <f>'R3'!G29</f>
        <v>4.4773718922639931</v>
      </c>
      <c r="H39" s="155">
        <f>'R3'!H29</f>
        <v>5.2230399229563087</v>
      </c>
      <c r="I39" s="155">
        <f>'R3'!I29</f>
        <v>3.6339346866970997E-2</v>
      </c>
      <c r="J39" s="155">
        <f>'R3'!J29</f>
        <v>1.3916364483414398E-2</v>
      </c>
      <c r="K39" s="155">
        <f>'R3'!K29</f>
        <v>3.0619991377781797</v>
      </c>
      <c r="L39" s="155">
        <f>'R3'!L29</f>
        <v>2.2115033602314091</v>
      </c>
      <c r="M39" s="155">
        <f>'R3'!M29</f>
        <v>7.0964462901863161</v>
      </c>
      <c r="N39"/>
      <c r="O39" s="155">
        <f>'R3'!O29</f>
        <v>0.75667005065553194</v>
      </c>
      <c r="P39" s="155">
        <f>'R3'!P29</f>
        <v>8.3559455061902668</v>
      </c>
      <c r="Q39" s="155">
        <f>'R3'!Q29</f>
        <v>2.7300793730812957E-3</v>
      </c>
      <c r="R39" s="155">
        <f>'R3'!R29</f>
        <v>3.0414770416056793</v>
      </c>
      <c r="S39" s="155">
        <f>'R3'!S29</f>
        <v>4.1515772053582918</v>
      </c>
      <c r="T39" s="155">
        <f>'R3'!T29</f>
        <v>2.7442043396180495</v>
      </c>
      <c r="U39" s="155">
        <f>'R3'!U29</f>
        <v>4.6048555604615666</v>
      </c>
      <c r="V39" s="155">
        <f>'R3'!V29</f>
        <v>2.1659542327094972</v>
      </c>
    </row>
    <row r="40" spans="1:22" s="1" customFormat="1" x14ac:dyDescent="0.3">
      <c r="A40" s="226"/>
      <c r="B40" s="155">
        <f>'R3'!B30</f>
        <v>6.7274162202003275E-3</v>
      </c>
      <c r="C40" s="155">
        <f>'R3'!C30</f>
        <v>1.3901588504636181E-2</v>
      </c>
      <c r="D40" s="155">
        <f>'R3'!D30</f>
        <v>0.47897204384815162</v>
      </c>
      <c r="E40" s="155">
        <f>'R3'!E30</f>
        <v>5.8146953193175935E-2</v>
      </c>
      <c r="F40" s="155">
        <f>'R3'!F30</f>
        <v>2.1014570853425769</v>
      </c>
      <c r="G40" s="155">
        <f>'R3'!G30</f>
        <v>4.1751440223343268</v>
      </c>
      <c r="H40" s="155">
        <f>'R3'!H30</f>
        <v>9.6059003090787094</v>
      </c>
      <c r="I40" s="155">
        <f>'R3'!I30</f>
        <v>6.0389425266576043E-2</v>
      </c>
      <c r="J40" s="155">
        <f>'R3'!J30</f>
        <v>6.1615831505168117E-3</v>
      </c>
      <c r="K40" s="155">
        <f>'R3'!K30</f>
        <v>0.16532842654947866</v>
      </c>
      <c r="L40" s="155">
        <f>'R3'!L30</f>
        <v>5.9253474093363323</v>
      </c>
      <c r="M40" s="155">
        <f>'R3'!M30</f>
        <v>6.0990885828619508</v>
      </c>
      <c r="N40"/>
      <c r="O40" s="155">
        <f>'R3'!O30</f>
        <v>1.0201683418570451</v>
      </c>
      <c r="P40" s="155">
        <f>'R3'!P30</f>
        <v>11.590242117449909</v>
      </c>
      <c r="Q40" s="155">
        <f>'R3'!Q30</f>
        <v>3.2889590409868269E-3</v>
      </c>
      <c r="R40" s="155">
        <f>'R3'!R30</f>
        <v>1.0284202914170686</v>
      </c>
      <c r="S40" s="155">
        <f>'R3'!S30</f>
        <v>3.3625964349909085</v>
      </c>
      <c r="T40" s="155">
        <f>'R3'!T30</f>
        <v>3.5851783026050921</v>
      </c>
      <c r="U40" s="155">
        <f>'R3'!U30</f>
        <v>5.6757993804519016</v>
      </c>
      <c r="V40" s="155">
        <f>'R3'!V30</f>
        <v>7.8540924246164332</v>
      </c>
    </row>
    <row r="41" spans="1:22" s="1" customFormat="1" x14ac:dyDescent="0.3">
      <c r="A41" s="226"/>
      <c r="B41" s="155">
        <f>'R3'!B31</f>
        <v>2.1711127876535397E-2</v>
      </c>
      <c r="C41" s="155">
        <f>'R3'!C31</f>
        <v>4.9803740234816379E-4</v>
      </c>
      <c r="D41" s="155">
        <f>'R3'!D31</f>
        <v>5.3010996804911885E-2</v>
      </c>
      <c r="E41" s="155">
        <f>'R3'!E31</f>
        <v>2.832207461695448E-2</v>
      </c>
      <c r="F41" s="155">
        <f>'R3'!F31</f>
        <v>1.9326180600704379</v>
      </c>
      <c r="G41" s="155">
        <f>'R3'!G31</f>
        <v>2.0225038156792259</v>
      </c>
      <c r="H41" s="155">
        <f>'R3'!H31</f>
        <v>10.000734453062799</v>
      </c>
      <c r="I41" s="155">
        <f>'R3'!I31</f>
        <v>2.805176112283532E-2</v>
      </c>
      <c r="J41" s="155">
        <f>'R3'!J31</f>
        <v>2.6996582403026122E-3</v>
      </c>
      <c r="K41" s="155">
        <f>'R3'!K31</f>
        <v>2.989011017665117</v>
      </c>
      <c r="L41" s="155">
        <f>'R3'!L31</f>
        <v>4.0798598194201556</v>
      </c>
      <c r="M41" s="155">
        <f>'R3'!M31</f>
        <v>6.0460949695614836</v>
      </c>
      <c r="N41"/>
      <c r="O41" s="155">
        <f>'R3'!O31</f>
        <v>2.7454185774035302</v>
      </c>
      <c r="P41" s="155">
        <f>'R3'!P31</f>
        <v>6.6728537456237031</v>
      </c>
      <c r="Q41" s="155">
        <f>'R3'!Q31</f>
        <v>7.4475278918328822E-2</v>
      </c>
      <c r="R41" s="155">
        <f>'R3'!R31</f>
        <v>0.24320218058679757</v>
      </c>
      <c r="S41" s="155">
        <f>'R3'!S31</f>
        <v>0.96998651040055073</v>
      </c>
      <c r="T41" s="155">
        <f>'R3'!T31</f>
        <v>1.6861999311613225E-4</v>
      </c>
      <c r="U41" s="155">
        <f>'R3'!U31</f>
        <v>5.9438782250746618</v>
      </c>
      <c r="V41" s="155">
        <f>'R3'!V31</f>
        <v>9.8277164333220917</v>
      </c>
    </row>
    <row r="42" spans="1:22" s="1" customFormat="1" x14ac:dyDescent="0.3">
      <c r="A42" s="226"/>
      <c r="B42" s="155">
        <f>'R3'!B32</f>
        <v>1.9260053749795746E-2</v>
      </c>
      <c r="C42" s="155">
        <f>'R3'!C32</f>
        <v>2.4502049515174062E-3</v>
      </c>
      <c r="D42" s="155">
        <f>'R3'!D32</f>
        <v>6.8932548526052656E-2</v>
      </c>
      <c r="E42" s="155">
        <f>'R3'!E32</f>
        <v>2.1476450566528409E-2</v>
      </c>
      <c r="F42" s="155">
        <f>'R3'!F32</f>
        <v>2.3074368370365992</v>
      </c>
      <c r="G42" s="155">
        <f>'R3'!G32</f>
        <v>4.8914573982456568</v>
      </c>
      <c r="H42" s="155">
        <f>'R3'!H32</f>
        <v>7.5306575484391347</v>
      </c>
      <c r="I42" s="155">
        <f>'R3'!I32</f>
        <v>8.7725855181501177E-3</v>
      </c>
      <c r="J42" s="155">
        <f>'R3'!J32</f>
        <v>2.2309989604664342E-2</v>
      </c>
      <c r="K42" s="155">
        <f>'R3'!K32</f>
        <v>0.13792159344155144</v>
      </c>
      <c r="L42" s="155">
        <f>'R3'!L32</f>
        <v>5.6581568617907092E-2</v>
      </c>
      <c r="M42" s="155">
        <f>'R3'!M32</f>
        <v>5.7180334736761589</v>
      </c>
      <c r="N42"/>
      <c r="O42" s="155">
        <f>'R3'!O32</f>
        <v>2.0404027410309808</v>
      </c>
      <c r="P42" s="155">
        <f>'R3'!P32</f>
        <v>10.808884013781642</v>
      </c>
      <c r="Q42" s="155">
        <f>'R3'!Q32</f>
        <v>3.473224188103425E-2</v>
      </c>
      <c r="R42" s="155">
        <f>'R3'!R32</f>
        <v>0.39757899933595015</v>
      </c>
      <c r="S42" s="155">
        <f>'R3'!S32</f>
        <v>1.433269941487124E-3</v>
      </c>
      <c r="T42" s="155">
        <f>'R3'!T32</f>
        <v>2.8275947487909772</v>
      </c>
      <c r="U42" s="155">
        <f>'R3'!U32</f>
        <v>4.9163636142391764</v>
      </c>
      <c r="V42" s="155">
        <f>'R3'!V32</f>
        <v>4.7143785918666063</v>
      </c>
    </row>
    <row r="43" spans="1:22" s="1" customFormat="1" x14ac:dyDescent="0.3">
      <c r="A43" s="226"/>
      <c r="B43" s="155">
        <f>'R3'!B33</f>
        <v>4.2389675589040048E-2</v>
      </c>
      <c r="C43" s="155">
        <f>'R3'!C33</f>
        <v>6.4450211904919188E-2</v>
      </c>
      <c r="D43" s="155">
        <f>'R3'!D33</f>
        <v>0.37939585368651979</v>
      </c>
      <c r="E43" s="155">
        <f>'R3'!E33</f>
        <v>6.4757899933595015E-2</v>
      </c>
      <c r="F43" s="155">
        <f>'R3'!F33</f>
        <v>1.5765334858446123</v>
      </c>
      <c r="G43" s="155">
        <f>'R3'!G33</f>
        <v>0.83279589332090997</v>
      </c>
      <c r="H43" s="155">
        <f>'R3'!H33</f>
        <v>7.8829021065330682</v>
      </c>
      <c r="I43" s="155">
        <f>'R3'!I33</f>
        <v>3.9264990665058112E-2</v>
      </c>
      <c r="J43" s="155">
        <f>'R3'!J33</f>
        <v>3.9852553115297833E-2</v>
      </c>
      <c r="K43" s="155">
        <f>'R3'!K33</f>
        <v>7.0620486807658478E-2</v>
      </c>
      <c r="L43" s="155">
        <f>'R3'!L33</f>
        <v>4.7498148656776609</v>
      </c>
      <c r="M43" s="155">
        <f>'R3'!M33</f>
        <v>5.9608984142767243</v>
      </c>
      <c r="N43"/>
      <c r="O43" s="155">
        <f>'R3'!O33</f>
        <v>0.13848308063512371</v>
      </c>
      <c r="P43" s="155">
        <f>'R3'!P33</f>
        <v>4.8764980234955448</v>
      </c>
      <c r="Q43" s="155">
        <f>'R3'!Q33</f>
        <v>4.632703934582396E-3</v>
      </c>
      <c r="R43" s="155">
        <f>'R3'!R33</f>
        <v>0.86609660361090157</v>
      </c>
      <c r="S43" s="155">
        <f>'R3'!S33</f>
        <v>4.5652767975412774</v>
      </c>
      <c r="T43" s="155">
        <f>'R3'!T33</f>
        <v>4.3246995261256691</v>
      </c>
      <c r="U43" s="155">
        <f>'R3'!U33</f>
        <v>6.804436444169399</v>
      </c>
      <c r="V43" s="155">
        <f>'R3'!V33</f>
        <v>9.0068847369354277</v>
      </c>
    </row>
    <row r="44" spans="1:22" s="1" customFormat="1" x14ac:dyDescent="0.3">
      <c r="A44" s="226"/>
      <c r="B44" s="155">
        <f>'R3'!B34</f>
        <v>5.8450295345740519E-2</v>
      </c>
      <c r="C44" s="155">
        <f>'R3'!C34</f>
        <v>5.2246122609333548E-3</v>
      </c>
      <c r="D44" s="155">
        <f>'R3'!D34</f>
        <v>1.4354420103675221</v>
      </c>
      <c r="E44" s="155">
        <f>'R3'!E34</f>
        <v>1.3341839661508402E-3</v>
      </c>
      <c r="F44" s="155">
        <f>'R3'!F34</f>
        <v>0.72530325523504235</v>
      </c>
      <c r="G44" s="155">
        <f>'R3'!G34</f>
        <v>3.1439979974202878</v>
      </c>
      <c r="H44" s="155">
        <f>'R3'!H34</f>
        <v>6.2645352172416553</v>
      </c>
      <c r="I44" s="155">
        <f>'R3'!I34</f>
        <v>5.5522913197208904E-3</v>
      </c>
      <c r="J44" s="155">
        <f>'R3'!J34</f>
        <v>7.8457839786669634E-2</v>
      </c>
      <c r="K44" s="155">
        <f>'R3'!K34</f>
        <v>0.54277385103727371</v>
      </c>
      <c r="L44" s="155">
        <f>'R3'!L34</f>
        <v>3.0640182318194618</v>
      </c>
      <c r="M44" s="155">
        <f>'R3'!M34</f>
        <v>4.1384465752757897</v>
      </c>
      <c r="N44"/>
      <c r="O44" s="155">
        <f>'R3'!O34</f>
        <v>1.4225790862534723E-2</v>
      </c>
      <c r="P44" s="155">
        <f>'R3'!P34</f>
        <v>7.2537087706733328</v>
      </c>
      <c r="Q44" s="155">
        <f>'R3'!Q34</f>
        <v>3.1203390478706946E-3</v>
      </c>
      <c r="R44" s="155">
        <f>'R3'!R34</f>
        <v>1.8887812077363548</v>
      </c>
      <c r="S44" s="155">
        <f>'R3'!S34</f>
        <v>1.0053801946257157</v>
      </c>
      <c r="T44" s="155">
        <f>'R3'!T34</f>
        <v>3.6202868973573596</v>
      </c>
      <c r="U44" s="155">
        <f>'R3'!U34</f>
        <v>6.18370539827347</v>
      </c>
      <c r="V44" s="155">
        <f>'R3'!V34</f>
        <v>8.0396448202371804</v>
      </c>
    </row>
    <row r="45" spans="1:22" s="1" customFormat="1" x14ac:dyDescent="0.3">
      <c r="A45" s="226"/>
      <c r="B45" s="155">
        <f>'R3'!B35</f>
        <v>3.4914768677706352E-3</v>
      </c>
      <c r="C45" s="155">
        <f>'R3'!C35</f>
        <v>1.8306568530989574E-2</v>
      </c>
      <c r="D45" s="155">
        <f>'R3'!D35</f>
        <v>0.94932882289338005</v>
      </c>
      <c r="E45" s="155">
        <f>'R3'!E35</f>
        <v>1.5278362056677177E-2</v>
      </c>
      <c r="F45" s="155">
        <f>'R3'!F35</f>
        <v>1.4336923606451366</v>
      </c>
      <c r="G45" s="155">
        <f>'R3'!G35</f>
        <v>2.3294930274763672</v>
      </c>
      <c r="H45" s="155">
        <f>'R3'!H35</f>
        <v>8.9037562276404678</v>
      </c>
      <c r="I45" s="155">
        <f>'R3'!I35</f>
        <v>3.7856926805016185E-2</v>
      </c>
      <c r="J45" s="155">
        <f>'R3'!J35</f>
        <v>1.5292268860233148E-2</v>
      </c>
      <c r="K45" s="155">
        <f>'R3'!K35</f>
        <v>0.936587583310445</v>
      </c>
      <c r="L45" s="155">
        <f>'R3'!L35</f>
        <v>2.8403177356942448</v>
      </c>
      <c r="M45" s="155">
        <f>'R3'!M35</f>
        <v>8.5138755132479691</v>
      </c>
      <c r="N45"/>
      <c r="O45" s="155">
        <f>'R3'!O35</f>
        <v>3.5280691446272799E-2</v>
      </c>
      <c r="P45" s="155">
        <f>'R3'!P35</f>
        <v>6.3084216125634063</v>
      </c>
      <c r="Q45" s="155" t="str">
        <f>'R3'!Q35</f>
        <v/>
      </c>
      <c r="R45" s="155">
        <f>'R3'!R35</f>
        <v>6.7373248177339556E-2</v>
      </c>
      <c r="S45" s="155">
        <f>'R3'!S35</f>
        <v>2.3541793421386576</v>
      </c>
      <c r="T45" s="155">
        <f>'R3'!T35</f>
        <v>1.3876017369597642</v>
      </c>
      <c r="U45" s="155">
        <f>'R3'!U35</f>
        <v>3.3310870948339701</v>
      </c>
      <c r="V45" s="155">
        <f>'R3'!V35</f>
        <v>7.5072576131057716</v>
      </c>
    </row>
    <row r="46" spans="1:22" s="1" customFormat="1" x14ac:dyDescent="0.3">
      <c r="A46" s="226"/>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1.917151086990533</v>
      </c>
      <c r="P46" s="155" t="str">
        <f>'R3'!P36</f>
        <v/>
      </c>
      <c r="Q46" s="155" t="str">
        <f>'R3'!Q36</f>
        <v/>
      </c>
      <c r="R46" s="155" t="str">
        <f>'R3'!R36</f>
        <v/>
      </c>
      <c r="S46" s="155" t="str">
        <f>'R3'!S36</f>
        <v/>
      </c>
      <c r="T46" s="155" t="str">
        <f>'R3'!T36</f>
        <v/>
      </c>
      <c r="U46" s="155" t="str">
        <f>'R3'!U36</f>
        <v/>
      </c>
      <c r="V46" s="155" t="str">
        <f>'R3'!V36</f>
        <v/>
      </c>
    </row>
    <row r="47" spans="1:22" s="1" customFormat="1" x14ac:dyDescent="0.3">
      <c r="A47" s="226"/>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3.2207305243907949</v>
      </c>
      <c r="P47" s="155" t="str">
        <f>'R3'!P37</f>
        <v/>
      </c>
      <c r="Q47" s="155" t="str">
        <f>'R3'!Q37</f>
        <v/>
      </c>
      <c r="R47" s="155" t="str">
        <f>'R3'!R37</f>
        <v/>
      </c>
      <c r="S47" s="155" t="str">
        <f>'R3'!S37</f>
        <v/>
      </c>
      <c r="T47" s="155" t="str">
        <f>'R3'!T37</f>
        <v/>
      </c>
      <c r="U47" s="155" t="str">
        <f>'R3'!U37</f>
        <v/>
      </c>
      <c r="V47" s="155" t="str">
        <f>'R3'!V37</f>
        <v/>
      </c>
    </row>
    <row r="48" spans="1:22" s="1" customFormat="1" x14ac:dyDescent="0.3">
      <c r="A48" s="226"/>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0.15625249887876397</v>
      </c>
      <c r="P48" s="155" t="str">
        <f>'R3'!P38</f>
        <v/>
      </c>
      <c r="Q48" s="155" t="str">
        <f>'R3'!Q38</f>
        <v/>
      </c>
      <c r="R48" s="155" t="str">
        <f>'R3'!R38</f>
        <v/>
      </c>
      <c r="S48" s="155" t="str">
        <f>'R3'!S38</f>
        <v/>
      </c>
      <c r="T48" s="155" t="str">
        <f>'R3'!T38</f>
        <v/>
      </c>
      <c r="U48" s="155" t="str">
        <f>'R3'!U38</f>
        <v/>
      </c>
      <c r="V48" s="155" t="str">
        <f>'R3'!V38</f>
        <v/>
      </c>
    </row>
    <row r="49" spans="1:24" s="1" customFormat="1" x14ac:dyDescent="0.3">
      <c r="A49" s="226"/>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1.1826137141943267</v>
      </c>
      <c r="P49" s="155" t="str">
        <f>'R3'!P39</f>
        <v/>
      </c>
      <c r="Q49" s="155" t="str">
        <f>'R3'!Q39</f>
        <v/>
      </c>
      <c r="R49" s="155" t="str">
        <f>'R3'!R39</f>
        <v/>
      </c>
      <c r="S49" s="155" t="str">
        <f>'R3'!S39</f>
        <v/>
      </c>
      <c r="T49" s="155" t="str">
        <f>'R3'!T39</f>
        <v/>
      </c>
      <c r="U49" s="155" t="str">
        <f>'R3'!U39</f>
        <v/>
      </c>
      <c r="V49" s="155" t="str">
        <f>'R3'!V39</f>
        <v/>
      </c>
    </row>
    <row r="50" spans="1:24" s="1" customFormat="1" x14ac:dyDescent="0.3">
      <c r="A50" s="226"/>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5.6730197580911523E-2</v>
      </c>
      <c r="P50" s="155" t="str">
        <f>'R3'!P40</f>
        <v/>
      </c>
      <c r="Q50" s="155" t="str">
        <f>'R3'!Q40</f>
        <v/>
      </c>
      <c r="R50" s="155" t="str">
        <f>'R3'!R40</f>
        <v/>
      </c>
      <c r="S50" s="155" t="str">
        <f>'R3'!S40</f>
        <v/>
      </c>
      <c r="T50" s="155" t="str">
        <f>'R3'!T40</f>
        <v/>
      </c>
      <c r="U50" s="155" t="str">
        <f>'R3'!U40</f>
        <v/>
      </c>
      <c r="V50" s="155" t="str">
        <f>'R3'!V40</f>
        <v/>
      </c>
    </row>
    <row r="51" spans="1:24" s="1" customFormat="1" x14ac:dyDescent="0.3">
      <c r="A51" s="226"/>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1.8476926874550201E-2</v>
      </c>
      <c r="P51" s="155" t="str">
        <f>'R3'!P41</f>
        <v/>
      </c>
      <c r="Q51" s="155" t="str">
        <f>'R3'!Q41</f>
        <v/>
      </c>
      <c r="R51" s="155" t="str">
        <f>'R3'!R41</f>
        <v/>
      </c>
      <c r="S51" s="155" t="str">
        <f>'R3'!S41</f>
        <v/>
      </c>
      <c r="T51" s="155" t="str">
        <f>'R3'!T41</f>
        <v/>
      </c>
      <c r="U51" s="155" t="str">
        <f>'R3'!U41</f>
        <v/>
      </c>
      <c r="V51" s="155" t="str">
        <f>'R3'!V41</f>
        <v/>
      </c>
    </row>
    <row r="52" spans="1:24" s="1" customFormat="1" x14ac:dyDescent="0.3">
      <c r="A52" s="226"/>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4.0676531225989035E-2</v>
      </c>
      <c r="P52" s="155" t="str">
        <f>'R3'!P42</f>
        <v/>
      </c>
      <c r="Q52" s="155" t="str">
        <f>'R3'!Q42</f>
        <v/>
      </c>
      <c r="R52" s="155" t="str">
        <f>'R3'!R42</f>
        <v/>
      </c>
      <c r="S52" s="155" t="str">
        <f>'R3'!S42</f>
        <v/>
      </c>
      <c r="T52" s="155" t="str">
        <f>'R3'!T42</f>
        <v/>
      </c>
      <c r="U52" s="155" t="str">
        <f>'R3'!U42</f>
        <v/>
      </c>
      <c r="V52" s="155" t="str">
        <f>'R3'!V42</f>
        <v/>
      </c>
    </row>
    <row r="53" spans="1:24" s="1" customFormat="1" x14ac:dyDescent="0.3">
      <c r="A53" s="227"/>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t="str">
        <f>'R3'!O43</f>
        <v/>
      </c>
      <c r="P53" s="155" t="str">
        <f>'R3'!P43</f>
        <v/>
      </c>
      <c r="Q53" s="155" t="str">
        <f>'R3'!Q43</f>
        <v/>
      </c>
      <c r="R53" s="155" t="str">
        <f>'R3'!R43</f>
        <v/>
      </c>
      <c r="S53" s="155" t="str">
        <f>'R3'!S43</f>
        <v/>
      </c>
      <c r="T53" s="155" t="str">
        <f>'R3'!T43</f>
        <v/>
      </c>
      <c r="U53" s="155" t="str">
        <f>'R3'!U43</f>
        <v/>
      </c>
      <c r="V53" s="155" t="str">
        <f>'R3'!V43</f>
        <v/>
      </c>
    </row>
    <row r="54" spans="1:24" s="60" customFormat="1" x14ac:dyDescent="0.3">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estradiol-34ng/L</v>
      </c>
      <c r="J55" s="15" t="str">
        <f t="shared" si="0"/>
        <v>estradiol-68ng/L</v>
      </c>
      <c r="K55" s="15" t="str">
        <f t="shared" si="0"/>
        <v>estradiol-135ng/L</v>
      </c>
      <c r="L55" s="15" t="str">
        <f t="shared" si="0"/>
        <v>estradiol-270ng/L</v>
      </c>
      <c r="M55" s="15" t="str">
        <f t="shared" si="0"/>
        <v>estradiol-540ng/L</v>
      </c>
      <c r="O55" s="15" t="str">
        <f t="shared" ref="O55:V55" si="1">O4</f>
        <v>Testo -30µg/L</v>
      </c>
      <c r="P55" s="15" t="str">
        <f t="shared" si="1"/>
        <v>Testo 30µg/L + EE2 -64ng/L</v>
      </c>
      <c r="Q55" s="15" t="str">
        <f t="shared" si="1"/>
        <v>Testo 30µg/L + FAD-10µg/L</v>
      </c>
      <c r="R55" s="15" t="str">
        <f t="shared" si="1"/>
        <v>estradiol-34ng/L + Testostérone</v>
      </c>
      <c r="S55" s="15" t="str">
        <f t="shared" si="1"/>
        <v>estradiol-68ng/L + Testostérone</v>
      </c>
      <c r="T55" s="15" t="str">
        <f t="shared" si="1"/>
        <v>estradiol-135ng/L + Testostérone</v>
      </c>
      <c r="U55" s="15" t="str">
        <f t="shared" si="1"/>
        <v>estradiol-270ng/L + Testostérone</v>
      </c>
      <c r="V55" s="15" t="str">
        <f t="shared" si="1"/>
        <v>estradiol-540ng/L + Testostérone</v>
      </c>
    </row>
    <row r="56" spans="1:24" x14ac:dyDescent="0.3">
      <c r="A56" t="s">
        <v>48</v>
      </c>
      <c r="B56" s="9">
        <f t="shared" ref="B56:V56" si="2">AVERAGE(B6:B53)</f>
        <v>4.2348601740432971E-2</v>
      </c>
      <c r="C56" s="9">
        <f t="shared" si="2"/>
        <v>9.1304551735877093E-2</v>
      </c>
      <c r="D56" s="9">
        <f t="shared" si="2"/>
        <v>0.40744388323482045</v>
      </c>
      <c r="E56" s="9">
        <f t="shared" si="2"/>
        <v>0.3587350889860077</v>
      </c>
      <c r="F56" s="9">
        <f t="shared" si="2"/>
        <v>2.3166151118293268</v>
      </c>
      <c r="G56" s="9">
        <f t="shared" si="2"/>
        <v>4.7528456859556547</v>
      </c>
      <c r="H56" s="9">
        <f t="shared" si="2"/>
        <v>9.4257638170660503</v>
      </c>
      <c r="I56" s="9">
        <f t="shared" si="2"/>
        <v>7.7632336282259684E-2</v>
      </c>
      <c r="J56" s="9">
        <f t="shared" si="2"/>
        <v>8.7631929298085262E-2</v>
      </c>
      <c r="K56" s="9">
        <f t="shared" si="2"/>
        <v>0.99087964784593596</v>
      </c>
      <c r="L56" s="9">
        <f t="shared" si="2"/>
        <v>4.6834127941991106</v>
      </c>
      <c r="M56" s="9">
        <f t="shared" si="2"/>
        <v>8.3076717768607242</v>
      </c>
      <c r="N56" s="9"/>
      <c r="O56" s="9">
        <f t="shared" si="2"/>
        <v>0.99999999999999989</v>
      </c>
      <c r="P56" s="9">
        <f t="shared" si="2"/>
        <v>8.1451204448091943</v>
      </c>
      <c r="Q56" s="9">
        <f t="shared" si="2"/>
        <v>5.0136080759613601E-2</v>
      </c>
      <c r="R56" s="9">
        <f t="shared" si="2"/>
        <v>2.282052159540934</v>
      </c>
      <c r="S56" s="9">
        <f t="shared" si="2"/>
        <v>2.535221485376518</v>
      </c>
      <c r="T56" s="9">
        <f t="shared" si="2"/>
        <v>4.2819850943386504</v>
      </c>
      <c r="U56" s="9">
        <f t="shared" si="2"/>
        <v>6.8351528290432064</v>
      </c>
      <c r="V56" s="9">
        <f t="shared" si="2"/>
        <v>9.4881587412673927</v>
      </c>
    </row>
    <row r="57" spans="1:24" x14ac:dyDescent="0.3">
      <c r="A57" t="s">
        <v>1</v>
      </c>
      <c r="B57" s="3">
        <f>STDEV(B6:B53)</f>
        <v>4.9067191321372682E-2</v>
      </c>
      <c r="C57" s="3">
        <f t="shared" ref="C57:V57" si="3">STDEV(C6:C53)</f>
        <v>0.15372372049255212</v>
      </c>
      <c r="D57" s="3">
        <f t="shared" si="3"/>
        <v>0.73541507820087559</v>
      </c>
      <c r="E57" s="3">
        <f t="shared" si="3"/>
        <v>0.84136658143787635</v>
      </c>
      <c r="F57" s="3">
        <f t="shared" si="3"/>
        <v>1.4557044740848033</v>
      </c>
      <c r="G57" s="3">
        <f t="shared" si="3"/>
        <v>2.0929159307391343</v>
      </c>
      <c r="H57" s="3">
        <f t="shared" si="3"/>
        <v>3.0667488836912211</v>
      </c>
      <c r="I57" s="3">
        <f t="shared" si="3"/>
        <v>0.11600757183119534</v>
      </c>
      <c r="J57" s="3">
        <f t="shared" si="3"/>
        <v>0.15148312803924788</v>
      </c>
      <c r="K57" s="3">
        <f t="shared" si="3"/>
        <v>1.2405008142533049</v>
      </c>
      <c r="L57" s="3">
        <f t="shared" si="3"/>
        <v>2.5801901111245678</v>
      </c>
      <c r="M57" s="3">
        <f t="shared" si="3"/>
        <v>3.5552687248757291</v>
      </c>
      <c r="N57" s="3"/>
      <c r="O57" s="3">
        <f t="shared" si="3"/>
        <v>1.1999939775732829</v>
      </c>
      <c r="P57" s="3">
        <f t="shared" si="3"/>
        <v>3.8952022394918355</v>
      </c>
      <c r="Q57" s="3">
        <f t="shared" si="3"/>
        <v>5.7465590878915729E-2</v>
      </c>
      <c r="R57" s="3">
        <f t="shared" si="3"/>
        <v>2.256843222107463</v>
      </c>
      <c r="S57" s="3">
        <f t="shared" si="3"/>
        <v>1.9792183459444748</v>
      </c>
      <c r="T57" s="3">
        <f t="shared" si="3"/>
        <v>2.325348730345655</v>
      </c>
      <c r="U57" s="3">
        <f t="shared" si="3"/>
        <v>2.4845904363291398</v>
      </c>
      <c r="V57" s="3">
        <f t="shared" si="3"/>
        <v>3.6306704663720208</v>
      </c>
      <c r="W57" s="3"/>
      <c r="X57" s="3"/>
    </row>
    <row r="58" spans="1:24" x14ac:dyDescent="0.3">
      <c r="A58" t="s">
        <v>2</v>
      </c>
      <c r="B58" s="3">
        <f xml:space="preserve"> B57/SQRT(COUNT(B6:B53))</f>
        <v>1.0015798487406847E-2</v>
      </c>
      <c r="C58" s="3">
        <f t="shared" ref="C58:V58" si="4" xml:space="preserve"> C57/SQRT(COUNT(C6:C53))</f>
        <v>3.1378723047414556E-2</v>
      </c>
      <c r="D58" s="3">
        <f t="shared" si="4"/>
        <v>0.1533446441197934</v>
      </c>
      <c r="E58" s="3">
        <f t="shared" si="4"/>
        <v>0.17174323426271881</v>
      </c>
      <c r="F58" s="3">
        <f t="shared" si="4"/>
        <v>0.29714443148285891</v>
      </c>
      <c r="G58" s="3">
        <f t="shared" si="4"/>
        <v>0.42721467540441821</v>
      </c>
      <c r="H58" s="3">
        <f t="shared" si="4"/>
        <v>0.62599749452445075</v>
      </c>
      <c r="I58" s="3">
        <f t="shared" si="4"/>
        <v>2.3679946440474647E-2</v>
      </c>
      <c r="J58" s="3">
        <f t="shared" si="4"/>
        <v>3.0921364028070712E-2</v>
      </c>
      <c r="K58" s="3">
        <f t="shared" si="4"/>
        <v>0.25321616836897093</v>
      </c>
      <c r="L58" s="3">
        <f t="shared" si="4"/>
        <v>0.5266791009691848</v>
      </c>
      <c r="M58" s="3">
        <f t="shared" si="4"/>
        <v>0.72571618953507733</v>
      </c>
      <c r="N58" s="3"/>
      <c r="O58" s="3">
        <f t="shared" si="4"/>
        <v>0.17503711133625158</v>
      </c>
      <c r="P58" s="3">
        <f t="shared" si="4"/>
        <v>0.81220581260144553</v>
      </c>
      <c r="Q58" s="3">
        <f t="shared" si="4"/>
        <v>1.1982404010560695E-2</v>
      </c>
      <c r="R58" s="3">
        <f t="shared" si="4"/>
        <v>0.4606761936351641</v>
      </c>
      <c r="S58" s="3">
        <f t="shared" si="4"/>
        <v>0.40400625309327326</v>
      </c>
      <c r="T58" s="3">
        <f t="shared" si="4"/>
        <v>0.47465982194796408</v>
      </c>
      <c r="U58" s="3">
        <f t="shared" si="4"/>
        <v>0.50716489906711748</v>
      </c>
      <c r="V58" s="3">
        <f t="shared" si="4"/>
        <v>0.741107505567007</v>
      </c>
      <c r="W58" s="3"/>
      <c r="X58" s="3"/>
    </row>
    <row r="59" spans="1:24" s="1" customFormat="1" ht="15" thickBot="1" x14ac:dyDescent="0.35">
      <c r="B59" s="3"/>
      <c r="C59" s="3"/>
      <c r="D59" s="3"/>
      <c r="E59" s="3"/>
      <c r="F59" s="3"/>
      <c r="G59" s="3"/>
      <c r="H59" s="3"/>
      <c r="I59" s="3"/>
      <c r="J59" s="3"/>
      <c r="K59" s="3"/>
      <c r="L59" s="3"/>
      <c r="M59" s="3"/>
      <c r="N59" s="3"/>
      <c r="O59" s="3"/>
      <c r="P59" s="3"/>
      <c r="Q59" s="3"/>
      <c r="R59" s="3"/>
      <c r="S59" s="3"/>
      <c r="T59" s="3"/>
      <c r="U59" s="3"/>
      <c r="V59" s="3"/>
    </row>
    <row r="60" spans="1:24" s="48" customFormat="1" ht="26.4" thickBot="1" x14ac:dyDescent="0.35">
      <c r="A60" s="228" t="s">
        <v>46</v>
      </c>
      <c r="B60" s="229"/>
      <c r="C60" s="229"/>
      <c r="D60" s="229"/>
      <c r="E60" s="229"/>
      <c r="F60" s="229"/>
      <c r="G60" s="229"/>
      <c r="H60" s="229"/>
      <c r="I60" s="229"/>
      <c r="J60" s="229"/>
      <c r="K60" s="229"/>
      <c r="L60" s="229"/>
      <c r="M60" s="229"/>
      <c r="N60" s="229"/>
      <c r="O60" s="229"/>
      <c r="P60" s="229"/>
      <c r="Q60" s="229"/>
      <c r="R60" s="229"/>
      <c r="S60" s="229"/>
      <c r="T60" s="229"/>
      <c r="U60" s="229"/>
      <c r="V60" s="229"/>
    </row>
    <row r="61" spans="1:24" s="1" customFormat="1" x14ac:dyDescent="0.3">
      <c r="B61" s="3"/>
      <c r="C61" s="3"/>
      <c r="D61" s="3"/>
      <c r="E61" s="3"/>
      <c r="F61" s="3"/>
      <c r="G61" s="3"/>
      <c r="H61" s="3"/>
      <c r="I61" s="3"/>
      <c r="J61" s="3"/>
      <c r="K61" s="3"/>
      <c r="L61" s="3"/>
      <c r="M61" s="3"/>
      <c r="N61" s="3"/>
      <c r="O61" s="3"/>
      <c r="P61" s="3"/>
      <c r="Q61" s="3"/>
      <c r="R61" s="3"/>
      <c r="S61" s="3"/>
      <c r="T61" s="3"/>
      <c r="U61" s="3"/>
      <c r="V61" s="3"/>
    </row>
    <row r="62" spans="1:24" s="1" customFormat="1" x14ac:dyDescent="0.3">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estradiol-34ng/L</v>
      </c>
      <c r="J62" s="3" t="str">
        <f t="shared" si="6"/>
        <v>estradiol-68ng/L</v>
      </c>
      <c r="K62" s="3" t="str">
        <f t="shared" si="6"/>
        <v>estradiol-135ng/L</v>
      </c>
      <c r="L62" s="3" t="str">
        <f t="shared" si="6"/>
        <v>estradiol-270ng/L</v>
      </c>
      <c r="M62" s="3" t="str">
        <f t="shared" si="6"/>
        <v>estradiol-540ng/L</v>
      </c>
      <c r="N62" s="3"/>
      <c r="O62" s="3" t="str">
        <f t="shared" si="6"/>
        <v>Testo -30µg/L</v>
      </c>
      <c r="P62" s="3" t="str">
        <f t="shared" si="6"/>
        <v>Testo 30µg/L + EE2 -64ng/L</v>
      </c>
      <c r="Q62" s="3" t="str">
        <f t="shared" si="6"/>
        <v>Testo 30µg/L + FAD-10µg/L</v>
      </c>
      <c r="R62" s="3" t="str">
        <f t="shared" si="6"/>
        <v>estradiol-34ng/L + Testostérone</v>
      </c>
      <c r="S62" s="3" t="str">
        <f t="shared" si="6"/>
        <v>estradiol-68ng/L + Testostérone</v>
      </c>
      <c r="T62" s="3" t="str">
        <f t="shared" si="6"/>
        <v>estradiol-135ng/L + Testostérone</v>
      </c>
      <c r="U62" s="3" t="str">
        <f t="shared" si="6"/>
        <v>estradiol-270ng/L + Testostérone</v>
      </c>
      <c r="V62" s="3" t="str">
        <f t="shared" si="6"/>
        <v>estradiol-540ng/L + Testostérone</v>
      </c>
    </row>
    <row r="63" spans="1:24" s="1" customFormat="1" x14ac:dyDescent="0.3">
      <c r="A63" s="1" t="s">
        <v>49</v>
      </c>
      <c r="B63" s="3">
        <f>COUNT(B6:B53)</f>
        <v>24</v>
      </c>
      <c r="C63" s="3">
        <f t="shared" ref="C63:V63" si="7">COUNT(C6:C53)</f>
        <v>24</v>
      </c>
      <c r="D63" s="3">
        <f t="shared" si="7"/>
        <v>23</v>
      </c>
      <c r="E63" s="3">
        <f t="shared" si="7"/>
        <v>24</v>
      </c>
      <c r="F63" s="3">
        <f t="shared" si="7"/>
        <v>24</v>
      </c>
      <c r="G63" s="3">
        <f t="shared" si="7"/>
        <v>24</v>
      </c>
      <c r="H63" s="3">
        <f t="shared" si="7"/>
        <v>24</v>
      </c>
      <c r="I63" s="3">
        <f t="shared" si="7"/>
        <v>24</v>
      </c>
      <c r="J63" s="3">
        <f t="shared" si="7"/>
        <v>24</v>
      </c>
      <c r="K63" s="3">
        <f t="shared" si="7"/>
        <v>24</v>
      </c>
      <c r="L63" s="3">
        <f t="shared" si="7"/>
        <v>24</v>
      </c>
      <c r="M63" s="3">
        <f t="shared" si="7"/>
        <v>24</v>
      </c>
      <c r="N63" s="3"/>
      <c r="O63" s="3">
        <f t="shared" si="7"/>
        <v>47</v>
      </c>
      <c r="P63" s="3">
        <f t="shared" si="7"/>
        <v>23</v>
      </c>
      <c r="Q63" s="3">
        <f t="shared" si="7"/>
        <v>23</v>
      </c>
      <c r="R63" s="3">
        <f t="shared" si="7"/>
        <v>24</v>
      </c>
      <c r="S63" s="3">
        <f t="shared" si="7"/>
        <v>24</v>
      </c>
      <c r="T63" s="3">
        <f t="shared" si="7"/>
        <v>24</v>
      </c>
      <c r="U63" s="3">
        <f t="shared" si="7"/>
        <v>24</v>
      </c>
      <c r="V63" s="3">
        <f t="shared" si="7"/>
        <v>24</v>
      </c>
    </row>
    <row r="64" spans="1:24" s="1" customFormat="1" ht="15" thickBot="1" x14ac:dyDescent="0.35">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4" thickBot="1" x14ac:dyDescent="0.35">
      <c r="A65" s="228" t="s">
        <v>58</v>
      </c>
      <c r="B65" s="229"/>
      <c r="C65" s="229"/>
      <c r="D65" s="229"/>
      <c r="E65" s="229"/>
      <c r="F65" s="229"/>
      <c r="G65" s="229"/>
      <c r="H65" s="229"/>
      <c r="I65" s="229"/>
      <c r="J65" s="229"/>
      <c r="K65" s="229"/>
      <c r="L65" s="229"/>
      <c r="M65" s="229"/>
      <c r="N65" s="229"/>
      <c r="O65" s="229"/>
      <c r="P65" s="229"/>
      <c r="Q65" s="229"/>
      <c r="R65" s="229"/>
      <c r="S65" s="229"/>
      <c r="T65" s="229"/>
      <c r="U65" s="229"/>
      <c r="V65" s="229"/>
    </row>
    <row r="66" spans="1:22" s="1" customFormat="1" x14ac:dyDescent="0.3">
      <c r="B66" s="1" t="s">
        <v>61</v>
      </c>
      <c r="C66" s="3"/>
      <c r="D66" s="3"/>
      <c r="E66" s="3"/>
      <c r="F66" s="3"/>
      <c r="G66" s="3"/>
      <c r="H66" s="3"/>
      <c r="I66" s="3"/>
      <c r="J66" s="3"/>
      <c r="K66" s="3"/>
      <c r="L66" s="3"/>
      <c r="M66" s="3"/>
      <c r="N66" s="3"/>
      <c r="O66" s="3"/>
      <c r="P66" s="3"/>
      <c r="Q66" s="3"/>
      <c r="R66" s="3"/>
      <c r="S66" s="3"/>
      <c r="T66" s="3"/>
      <c r="U66" s="3"/>
      <c r="V66" s="3"/>
    </row>
    <row r="67" spans="1:22" s="1" customFormat="1" x14ac:dyDescent="0.3">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35">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4" thickBot="1" x14ac:dyDescent="0.35">
      <c r="A70" s="228" t="s">
        <v>53</v>
      </c>
      <c r="B70" s="229"/>
      <c r="C70" s="229"/>
      <c r="D70" s="229"/>
      <c r="E70" s="229"/>
      <c r="F70" s="229"/>
      <c r="G70" s="229"/>
      <c r="H70" s="229"/>
      <c r="I70" s="229"/>
      <c r="J70" s="229"/>
      <c r="K70" s="229"/>
      <c r="L70" s="229"/>
      <c r="M70" s="229"/>
      <c r="N70" s="229"/>
      <c r="O70" s="229"/>
      <c r="P70" s="229"/>
      <c r="Q70" s="229"/>
      <c r="R70" s="229"/>
      <c r="S70" s="229"/>
      <c r="T70" s="229"/>
      <c r="U70" s="229"/>
      <c r="V70" s="229"/>
    </row>
    <row r="71" spans="1:22" ht="15" thickBot="1" x14ac:dyDescent="0.35"/>
    <row r="72" spans="1:22" s="48" customFormat="1" ht="26.4" thickBot="1" x14ac:dyDescent="0.35">
      <c r="A72" s="228" t="s">
        <v>54</v>
      </c>
      <c r="B72" s="229"/>
      <c r="C72" s="229"/>
      <c r="D72" s="229"/>
      <c r="E72" s="229"/>
      <c r="F72" s="229"/>
      <c r="G72" s="229"/>
      <c r="H72" s="229"/>
      <c r="I72" s="229"/>
      <c r="J72" s="229"/>
      <c r="K72" s="229"/>
      <c r="L72" s="229"/>
      <c r="M72" s="229"/>
      <c r="N72" s="229"/>
      <c r="O72" s="229"/>
      <c r="P72" s="229"/>
      <c r="Q72" s="229"/>
      <c r="R72" s="229"/>
      <c r="S72" s="229"/>
      <c r="T72" s="229"/>
      <c r="U72" s="229"/>
      <c r="V72" s="229"/>
    </row>
    <row r="73" spans="1:22" ht="15" thickBot="1" x14ac:dyDescent="0.35">
      <c r="J73" s="3">
        <v>1</v>
      </c>
      <c r="K73" s="3">
        <v>2</v>
      </c>
      <c r="L73" s="3">
        <v>3</v>
      </c>
      <c r="M73" s="3">
        <v>4</v>
      </c>
      <c r="R73" s="3">
        <v>1</v>
      </c>
      <c r="S73" s="3">
        <v>2</v>
      </c>
      <c r="T73" s="3">
        <v>3</v>
      </c>
      <c r="U73" s="3">
        <v>4</v>
      </c>
      <c r="V73" s="3">
        <v>5</v>
      </c>
    </row>
    <row r="74" spans="1:22" s="1" customFormat="1" x14ac:dyDescent="0.3">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estradiol-34ng/L</v>
      </c>
      <c r="J74" s="46" t="str">
        <f t="shared" si="9"/>
        <v>estradiol-68ng/L</v>
      </c>
      <c r="K74" s="46" t="str">
        <f t="shared" si="9"/>
        <v>estradiol-135ng/L</v>
      </c>
      <c r="L74" s="46" t="str">
        <f t="shared" si="9"/>
        <v>estradiol-270ng/L</v>
      </c>
      <c r="M74" s="46" t="str">
        <f t="shared" si="9"/>
        <v>estradiol-540ng/L</v>
      </c>
      <c r="N74" s="46"/>
      <c r="O74" s="46" t="str">
        <f t="shared" ref="O74:V74" si="10">O4</f>
        <v>Testo -30µg/L</v>
      </c>
      <c r="P74" s="46" t="str">
        <f t="shared" si="10"/>
        <v>Testo 30µg/L + EE2 -64ng/L</v>
      </c>
      <c r="Q74" s="46" t="str">
        <f t="shared" si="10"/>
        <v>Testo 30µg/L + FAD-10µg/L</v>
      </c>
      <c r="R74" s="46" t="str">
        <f t="shared" si="10"/>
        <v>estradiol-34ng/L + Testostérone</v>
      </c>
      <c r="S74" s="46" t="str">
        <f t="shared" si="10"/>
        <v>estradiol-68ng/L + Testostérone</v>
      </c>
      <c r="T74" s="46" t="str">
        <f t="shared" si="10"/>
        <v>estradiol-135ng/L + Testostérone</v>
      </c>
      <c r="U74" s="46" t="str">
        <f t="shared" si="10"/>
        <v>estradiol-270ng/L + Testostérone</v>
      </c>
      <c r="V74" s="46" t="str">
        <f t="shared" si="10"/>
        <v>estradiol-540ng/L + Testostérone</v>
      </c>
    </row>
    <row r="75" spans="1:22" s="3" customFormat="1" x14ac:dyDescent="0.3">
      <c r="A75" s="61" t="s">
        <v>32</v>
      </c>
      <c r="B75" s="141">
        <f>B56</f>
        <v>4.2348601740432971E-2</v>
      </c>
      <c r="C75" s="141">
        <f t="shared" ref="C75:V75" si="11">C56</f>
        <v>9.1304551735877093E-2</v>
      </c>
      <c r="D75" s="141">
        <f t="shared" si="11"/>
        <v>0.40744388323482045</v>
      </c>
      <c r="E75" s="141">
        <f t="shared" si="11"/>
        <v>0.3587350889860077</v>
      </c>
      <c r="F75" s="141">
        <f t="shared" si="11"/>
        <v>2.3166151118293268</v>
      </c>
      <c r="G75" s="141">
        <f t="shared" si="11"/>
        <v>4.7528456859556547</v>
      </c>
      <c r="H75" s="141">
        <f t="shared" si="11"/>
        <v>9.4257638170660503</v>
      </c>
      <c r="I75" s="141">
        <f t="shared" si="11"/>
        <v>7.7632336282259684E-2</v>
      </c>
      <c r="J75" s="141">
        <f t="shared" si="11"/>
        <v>8.7631929298085262E-2</v>
      </c>
      <c r="K75" s="141">
        <f t="shared" si="11"/>
        <v>0.99087964784593596</v>
      </c>
      <c r="L75" s="141">
        <f t="shared" si="11"/>
        <v>4.6834127941991106</v>
      </c>
      <c r="M75" s="141">
        <f t="shared" si="11"/>
        <v>8.3076717768607242</v>
      </c>
      <c r="N75" s="141"/>
      <c r="O75" s="141">
        <f t="shared" si="11"/>
        <v>0.99999999999999989</v>
      </c>
      <c r="P75" s="141">
        <f t="shared" si="11"/>
        <v>8.1451204448091943</v>
      </c>
      <c r="Q75" s="141">
        <f t="shared" si="11"/>
        <v>5.0136080759613601E-2</v>
      </c>
      <c r="R75" s="141">
        <f t="shared" si="11"/>
        <v>2.282052159540934</v>
      </c>
      <c r="S75" s="141">
        <f t="shared" si="11"/>
        <v>2.535221485376518</v>
      </c>
      <c r="T75" s="141">
        <f t="shared" si="11"/>
        <v>4.2819850943386504</v>
      </c>
      <c r="U75" s="141">
        <f t="shared" si="11"/>
        <v>6.8351528290432064</v>
      </c>
      <c r="V75" s="141">
        <f t="shared" si="11"/>
        <v>9.4881587412673927</v>
      </c>
    </row>
    <row r="76" spans="1:22" s="3" customFormat="1" x14ac:dyDescent="0.3">
      <c r="A76" s="61" t="s">
        <v>2</v>
      </c>
      <c r="B76" s="141">
        <f>B58</f>
        <v>1.0015798487406847E-2</v>
      </c>
      <c r="C76" s="141">
        <f t="shared" ref="C76:V76" si="12">C58</f>
        <v>3.1378723047414556E-2</v>
      </c>
      <c r="D76" s="141">
        <f t="shared" si="12"/>
        <v>0.1533446441197934</v>
      </c>
      <c r="E76" s="141">
        <f t="shared" si="12"/>
        <v>0.17174323426271881</v>
      </c>
      <c r="F76" s="141">
        <f t="shared" si="12"/>
        <v>0.29714443148285891</v>
      </c>
      <c r="G76" s="141">
        <f t="shared" si="12"/>
        <v>0.42721467540441821</v>
      </c>
      <c r="H76" s="141">
        <f t="shared" si="12"/>
        <v>0.62599749452445075</v>
      </c>
      <c r="I76" s="141">
        <f t="shared" si="12"/>
        <v>2.3679946440474647E-2</v>
      </c>
      <c r="J76" s="141">
        <f t="shared" si="12"/>
        <v>3.0921364028070712E-2</v>
      </c>
      <c r="K76" s="141">
        <f t="shared" si="12"/>
        <v>0.25321616836897093</v>
      </c>
      <c r="L76" s="141">
        <f t="shared" si="12"/>
        <v>0.5266791009691848</v>
      </c>
      <c r="M76" s="141">
        <f t="shared" si="12"/>
        <v>0.72571618953507733</v>
      </c>
      <c r="N76" s="141"/>
      <c r="O76" s="141">
        <f t="shared" si="12"/>
        <v>0.17503711133625158</v>
      </c>
      <c r="P76" s="141">
        <f t="shared" si="12"/>
        <v>0.81220581260144553</v>
      </c>
      <c r="Q76" s="141">
        <f t="shared" si="12"/>
        <v>1.1982404010560695E-2</v>
      </c>
      <c r="R76" s="141">
        <f t="shared" si="12"/>
        <v>0.4606761936351641</v>
      </c>
      <c r="S76" s="141">
        <f t="shared" si="12"/>
        <v>0.40400625309327326</v>
      </c>
      <c r="T76" s="141">
        <f t="shared" si="12"/>
        <v>0.47465982194796408</v>
      </c>
      <c r="U76" s="141">
        <f t="shared" si="12"/>
        <v>0.50716489906711748</v>
      </c>
      <c r="V76" s="141">
        <f t="shared" si="12"/>
        <v>0.741107505567007</v>
      </c>
    </row>
    <row r="77" spans="1:22" s="3" customFormat="1" x14ac:dyDescent="0.3">
      <c r="A77" s="61" t="s">
        <v>79</v>
      </c>
      <c r="B77" s="141">
        <f>(B75*100/$B$75)-100</f>
        <v>0</v>
      </c>
      <c r="C77" s="141">
        <f t="shared" ref="C77:M77" si="13">(C75*100/$B$75)-100</f>
        <v>115.60228197263638</v>
      </c>
      <c r="D77" s="141">
        <f t="shared" si="13"/>
        <v>862.11885750600163</v>
      </c>
      <c r="E77" s="141">
        <f t="shared" si="13"/>
        <v>747.10019751018103</v>
      </c>
      <c r="F77" s="141">
        <f t="shared" si="13"/>
        <v>5370.3461663942098</v>
      </c>
      <c r="G77" s="141">
        <f t="shared" si="13"/>
        <v>11123.146669841057</v>
      </c>
      <c r="H77" s="141">
        <f t="shared" si="13"/>
        <v>22157.556164048408</v>
      </c>
      <c r="I77" s="141">
        <f t="shared" si="13"/>
        <v>83.317354273208593</v>
      </c>
      <c r="J77" s="141">
        <f t="shared" si="13"/>
        <v>106.92992376751212</v>
      </c>
      <c r="K77" s="141">
        <f t="shared" si="13"/>
        <v>2239.8166813613552</v>
      </c>
      <c r="L77" s="141">
        <f t="shared" si="13"/>
        <v>10959.191098929605</v>
      </c>
      <c r="M77" s="141">
        <f t="shared" si="13"/>
        <v>19517.34611163997</v>
      </c>
      <c r="N77" s="141"/>
      <c r="O77" s="141">
        <f>(O75*100/$O$75)-100</f>
        <v>0</v>
      </c>
      <c r="P77" s="141">
        <f t="shared" ref="P77:V77" si="14">(P75*100/$O$75)-100</f>
        <v>714.5120444809196</v>
      </c>
      <c r="Q77" s="141">
        <f t="shared" si="14"/>
        <v>-94.986391924038642</v>
      </c>
      <c r="R77" s="141">
        <f t="shared" si="14"/>
        <v>128.20521595409343</v>
      </c>
      <c r="S77" s="141">
        <f t="shared" si="14"/>
        <v>153.52214853765184</v>
      </c>
      <c r="T77" s="141">
        <f t="shared" si="14"/>
        <v>328.19850943386507</v>
      </c>
      <c r="U77" s="141">
        <f t="shared" si="14"/>
        <v>583.51528290432077</v>
      </c>
      <c r="V77" s="141">
        <f t="shared" si="14"/>
        <v>848.81587412673935</v>
      </c>
    </row>
    <row r="78" spans="1:22" s="3" customFormat="1" x14ac:dyDescent="0.3">
      <c r="A78" s="61" t="s">
        <v>81</v>
      </c>
      <c r="B78" s="141" t="e">
        <f ca="1">[1]!DPTEST(B6:B53)</f>
        <v>#NAME?</v>
      </c>
      <c r="C78" s="141" t="e">
        <f ca="1">[1]!DPTEST(C6:C53)</f>
        <v>#NAME?</v>
      </c>
      <c r="D78" s="141" t="e">
        <f ca="1">[1]!DPTEST(D6:D53)</f>
        <v>#NAME?</v>
      </c>
      <c r="E78" s="141" t="e">
        <f ca="1">[1]!DPTEST(E6:E53)</f>
        <v>#NAME?</v>
      </c>
      <c r="F78" s="141" t="e">
        <f ca="1">[1]!DPTEST(F6:F53)</f>
        <v>#NAME?</v>
      </c>
      <c r="G78" s="141" t="e">
        <f ca="1">[1]!DPTEST(G6:G53)</f>
        <v>#NAME?</v>
      </c>
      <c r="H78" s="141" t="e">
        <f ca="1">[1]!DPTEST(H6:H53)</f>
        <v>#NAME?</v>
      </c>
      <c r="I78" s="141" t="e">
        <f ca="1">[1]!DPTEST(I6:I53)</f>
        <v>#NAME?</v>
      </c>
      <c r="J78" s="141" t="e">
        <f ca="1">[1]!DPTEST(J6:J53)</f>
        <v>#NAME?</v>
      </c>
      <c r="K78" s="141" t="e">
        <f ca="1">[1]!DPTEST(K6:K53)</f>
        <v>#NAME?</v>
      </c>
      <c r="L78" s="141" t="e">
        <f ca="1">[1]!DPTEST(L6:L53)</f>
        <v>#NAME?</v>
      </c>
      <c r="M78" s="141" t="e">
        <f ca="1">[1]!DPTEST(M6:M53)</f>
        <v>#NAME?</v>
      </c>
      <c r="N78" s="141"/>
      <c r="O78" s="141" t="e">
        <f ca="1">[1]!DPTEST(O6:O53)</f>
        <v>#NAME?</v>
      </c>
      <c r="P78" s="141" t="e">
        <f ca="1">[1]!DPTEST(P6:P53)</f>
        <v>#NAME?</v>
      </c>
      <c r="Q78" s="141" t="e">
        <f ca="1">[1]!DPTEST(Q6:Q53)</f>
        <v>#NAME?</v>
      </c>
      <c r="R78" s="141" t="e">
        <f ca="1">[1]!DPTEST(R6:R53)</f>
        <v>#NAME?</v>
      </c>
      <c r="S78" s="141" t="e">
        <f ca="1">[1]!DPTEST(S6:S53)</f>
        <v>#NAME?</v>
      </c>
      <c r="T78" s="141" t="e">
        <f ca="1">[1]!DPTEST(T6:T53)</f>
        <v>#NAME?</v>
      </c>
      <c r="U78" s="141" t="e">
        <f ca="1">[1]!DPTEST(U6:U53)</f>
        <v>#NAME?</v>
      </c>
      <c r="V78" s="141" t="e">
        <f ca="1">[1]!DPTEST(V6:V53)</f>
        <v>#NAME?</v>
      </c>
    </row>
    <row r="79" spans="1:22" s="3" customFormat="1" x14ac:dyDescent="0.3">
      <c r="A79" s="61" t="s">
        <v>85</v>
      </c>
      <c r="B79" s="141" t="e">
        <f ca="1">IF(B78&gt;0.05,"Oui","Non")</f>
        <v>#NAME?</v>
      </c>
      <c r="C79" s="141" t="e">
        <f t="shared" ref="C79:V79" ca="1" si="15">IF(C78&gt;0.05,"Oui","Non")</f>
        <v>#NAME?</v>
      </c>
      <c r="D79" s="141" t="e">
        <f t="shared" ca="1" si="15"/>
        <v>#NAME?</v>
      </c>
      <c r="E79" s="141" t="e">
        <f t="shared" ca="1" si="15"/>
        <v>#NAME?</v>
      </c>
      <c r="F79" s="141" t="e">
        <f t="shared" ca="1" si="15"/>
        <v>#NAME?</v>
      </c>
      <c r="G79" s="141" t="e">
        <f t="shared" ca="1" si="15"/>
        <v>#NAME?</v>
      </c>
      <c r="H79" s="141" t="e">
        <f t="shared" ca="1" si="15"/>
        <v>#NAME?</v>
      </c>
      <c r="I79" s="141" t="e">
        <f t="shared" ca="1" si="15"/>
        <v>#NAME?</v>
      </c>
      <c r="J79" s="141" t="e">
        <f t="shared" ca="1" si="15"/>
        <v>#NAME?</v>
      </c>
      <c r="K79" s="141" t="e">
        <f t="shared" ca="1" si="15"/>
        <v>#NAME?</v>
      </c>
      <c r="L79" s="141" t="e">
        <f t="shared" ca="1" si="15"/>
        <v>#NAME?</v>
      </c>
      <c r="M79" s="141" t="e">
        <f t="shared" ca="1" si="15"/>
        <v>#NAME?</v>
      </c>
      <c r="N79" s="141"/>
      <c r="O79" s="141" t="e">
        <f t="shared" ca="1" si="15"/>
        <v>#NAME?</v>
      </c>
      <c r="P79" s="141" t="e">
        <f t="shared" ca="1" si="15"/>
        <v>#NAME?</v>
      </c>
      <c r="Q79" s="141" t="e">
        <f t="shared" ca="1" si="15"/>
        <v>#NAME?</v>
      </c>
      <c r="R79" s="141" t="e">
        <f t="shared" ca="1" si="15"/>
        <v>#NAME?</v>
      </c>
      <c r="S79" s="141" t="e">
        <f t="shared" ca="1" si="15"/>
        <v>#NAME?</v>
      </c>
      <c r="T79" s="141" t="e">
        <f t="shared" ca="1" si="15"/>
        <v>#NAME?</v>
      </c>
      <c r="U79" s="141" t="e">
        <f t="shared" ca="1" si="15"/>
        <v>#NAME?</v>
      </c>
      <c r="V79" s="141" t="e">
        <f t="shared" ca="1" si="15"/>
        <v>#NAME?</v>
      </c>
    </row>
    <row r="80" spans="1:22" s="3" customFormat="1" x14ac:dyDescent="0.3">
      <c r="A80" s="61" t="s">
        <v>122</v>
      </c>
      <c r="B80" s="141"/>
      <c r="C80" s="141"/>
      <c r="D80" s="141"/>
      <c r="E80" s="141"/>
      <c r="F80" s="141"/>
      <c r="G80" s="141"/>
      <c r="H80" s="141"/>
      <c r="I80" s="141"/>
      <c r="J80" s="141"/>
      <c r="K80" s="141"/>
      <c r="L80" s="141"/>
      <c r="M80" s="141"/>
      <c r="N80" s="141"/>
      <c r="O80" s="141"/>
      <c r="P80" s="141"/>
      <c r="Q80" s="141"/>
      <c r="R80" s="141"/>
      <c r="S80" s="141"/>
      <c r="T80" s="141"/>
      <c r="U80" s="141"/>
      <c r="V80" s="141"/>
    </row>
    <row r="81" spans="1:22" s="3" customFormat="1" x14ac:dyDescent="0.3">
      <c r="A81" s="61" t="s">
        <v>82</v>
      </c>
      <c r="B81" s="141"/>
      <c r="C81" s="141" t="s">
        <v>173</v>
      </c>
      <c r="D81" s="141" t="s">
        <v>173</v>
      </c>
      <c r="E81" s="141" t="s">
        <v>173</v>
      </c>
      <c r="F81" s="141" t="s">
        <v>173</v>
      </c>
      <c r="G81" s="141" t="s">
        <v>173</v>
      </c>
      <c r="H81" s="141" t="s">
        <v>173</v>
      </c>
      <c r="I81" s="141" t="s">
        <v>173</v>
      </c>
      <c r="J81" s="141" t="s">
        <v>173</v>
      </c>
      <c r="K81" s="141" t="s">
        <v>173</v>
      </c>
      <c r="L81" s="141" t="s">
        <v>173</v>
      </c>
      <c r="M81" s="141" t="s">
        <v>173</v>
      </c>
      <c r="N81" s="141"/>
      <c r="O81" s="141" t="e">
        <f ca="1">IF($B79="Non",IF(O79="Non","Mann Withney",IF(O79="Oui","Mann Withney","")),IF($B79="Oui",IF(O79="Oui","T-Test Welch",IF(O79="Non","Mann Withney",""))))</f>
        <v>#NAME?</v>
      </c>
      <c r="P81" s="141" t="e">
        <f t="shared" ref="P81:Q81" ca="1" si="16">IF($O79="Non",IF(P79="Non","Mann Withney",IF(P$79="Oui","Mann Withney","")),IF($O79="Oui",IF(P79="Oui","T-Test Welch",IF(P79="Non","Mann Withney",""))))</f>
        <v>#NAME?</v>
      </c>
      <c r="Q81" s="141" t="e">
        <f t="shared" ca="1" si="16"/>
        <v>#NAME?</v>
      </c>
      <c r="R81" s="141" t="s">
        <v>173</v>
      </c>
      <c r="S81" s="141" t="s">
        <v>173</v>
      </c>
      <c r="T81" s="141" t="s">
        <v>173</v>
      </c>
      <c r="U81" s="141" t="s">
        <v>173</v>
      </c>
      <c r="V81" s="141" t="s">
        <v>173</v>
      </c>
    </row>
    <row r="82" spans="1:22" s="3" customFormat="1" x14ac:dyDescent="0.3">
      <c r="A82" s="61" t="s">
        <v>83</v>
      </c>
      <c r="B82" s="141"/>
      <c r="C82" s="141" t="s">
        <v>169</v>
      </c>
      <c r="D82" s="141">
        <v>0.39</v>
      </c>
      <c r="E82" s="141" t="s">
        <v>169</v>
      </c>
      <c r="F82" s="141" t="s">
        <v>171</v>
      </c>
      <c r="G82" s="141" t="s">
        <v>171</v>
      </c>
      <c r="H82" s="141" t="s">
        <v>171</v>
      </c>
      <c r="I82" s="141" t="s">
        <v>169</v>
      </c>
      <c r="J82" s="141" t="s">
        <v>169</v>
      </c>
      <c r="K82" s="141">
        <v>5.0000000000000001E-3</v>
      </c>
      <c r="L82" s="141" t="s">
        <v>171</v>
      </c>
      <c r="M82" s="141" t="s">
        <v>171</v>
      </c>
      <c r="N82" s="141"/>
      <c r="O82" s="141" t="e">
        <f ca="1">IF(O81="Mann Withney",[1]!MTEST($B6:$B53,O6:O53,2), IF(O81="T-Test Welch",_xlfn.T.TEST($B6:$B53,O6:O53,2,3),""))</f>
        <v>#NAME?</v>
      </c>
      <c r="P82" s="141" t="e">
        <f ca="1">IF(P81="Mann Withney",[1]!MTEST($O6:$O53,P6:P53,2), IF(P81="T-Test Welch",_xlfn.T.TEST($O6:$O53,P6:P53,2,3),""))</f>
        <v>#NAME?</v>
      </c>
      <c r="Q82" s="141" t="e">
        <f ca="1">IF(Q81="Mann Withney",[1]!MTEST($O6:$O53,Q6:Q53,2), IF(Q81="T-Test Welch",_xlfn.T.TEST($O6:$O53,Q6:Q53,2,3),""))</f>
        <v>#NAME?</v>
      </c>
      <c r="R82" s="141">
        <v>0.28000000000000003</v>
      </c>
      <c r="S82" s="141">
        <v>0.1</v>
      </c>
      <c r="T82" s="141" t="s">
        <v>171</v>
      </c>
      <c r="U82" s="141" t="s">
        <v>171</v>
      </c>
      <c r="V82" s="141" t="s">
        <v>171</v>
      </c>
    </row>
    <row r="83" spans="1:22" s="3" customFormat="1" ht="15" thickBot="1" x14ac:dyDescent="0.35">
      <c r="A83" s="62" t="s">
        <v>84</v>
      </c>
      <c r="B83" s="142"/>
      <c r="C83" s="142" t="s">
        <v>168</v>
      </c>
      <c r="D83" s="142" t="s">
        <v>168</v>
      </c>
      <c r="E83" s="142" t="s">
        <v>168</v>
      </c>
      <c r="F83" s="142" t="s">
        <v>170</v>
      </c>
      <c r="G83" s="142" t="s">
        <v>170</v>
      </c>
      <c r="H83" s="142" t="s">
        <v>170</v>
      </c>
      <c r="I83" s="142" t="s">
        <v>168</v>
      </c>
      <c r="J83" s="142" t="s">
        <v>168</v>
      </c>
      <c r="K83" s="142" t="s">
        <v>172</v>
      </c>
      <c r="L83" s="142" t="s">
        <v>170</v>
      </c>
      <c r="M83" s="142" t="s">
        <v>170</v>
      </c>
      <c r="N83" s="142"/>
      <c r="O83" s="142" t="e">
        <f t="shared" ref="O83" ca="1" si="17">IF(O82&gt;0.05,"NS",IF(O82&gt;0.01,"*",IF(O82&gt;0.001,"**","***")))</f>
        <v>#NAME?</v>
      </c>
      <c r="P83" s="142" t="e">
        <f t="shared" ref="P83" ca="1" si="18">IF(P82&gt;0.05,"NS",IF(P82&gt;0.01,"*",IF(P82&gt;0.001,"**","***")))</f>
        <v>#NAME?</v>
      </c>
      <c r="Q83" s="142" t="e">
        <f t="shared" ref="Q83" ca="1" si="19">IF(Q82&gt;0.05,"NS",IF(Q82&gt;0.01,"*",IF(Q82&gt;0.001,"**","***")))</f>
        <v>#NAME?</v>
      </c>
      <c r="R83" s="142" t="s">
        <v>168</v>
      </c>
      <c r="S83" s="142" t="s">
        <v>168</v>
      </c>
      <c r="T83" s="142" t="s">
        <v>170</v>
      </c>
      <c r="U83" s="142" t="s">
        <v>170</v>
      </c>
      <c r="V83" s="142" t="s">
        <v>170</v>
      </c>
    </row>
    <row r="84" spans="1:22" s="1" customFormat="1" x14ac:dyDescent="0.3"/>
    <row r="85" spans="1:22" s="1" customFormat="1" x14ac:dyDescent="0.3">
      <c r="A85" s="2" t="s">
        <v>39</v>
      </c>
    </row>
    <row r="86" spans="1:22" x14ac:dyDescent="0.3">
      <c r="A86" s="1" t="s">
        <v>23</v>
      </c>
      <c r="B86" s="1">
        <f>B56+(3*B57)</f>
        <v>0.18955017570455102</v>
      </c>
    </row>
    <row r="87" spans="1:22" x14ac:dyDescent="0.3">
      <c r="A87" s="1" t="s">
        <v>24</v>
      </c>
      <c r="B87" s="1">
        <f>B56+(10*B57)</f>
        <v>0.53302051495415981</v>
      </c>
    </row>
    <row r="88" spans="1:22" ht="15" thickBot="1" x14ac:dyDescent="0.35"/>
    <row r="89" spans="1:22" s="48" customFormat="1" ht="26.4" thickBot="1" x14ac:dyDescent="0.35">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35"/>
    <row r="91" spans="1:22" s="48" customFormat="1" ht="26.4" thickBot="1" x14ac:dyDescent="0.35">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35"/>
    <row r="93" spans="1:22" s="48" customFormat="1" ht="26.4" thickBot="1" x14ac:dyDescent="0.35">
      <c r="A93" s="228" t="s">
        <v>57</v>
      </c>
      <c r="B93" s="229"/>
      <c r="C93" s="229"/>
      <c r="D93" s="229"/>
      <c r="E93" s="229"/>
      <c r="F93" s="229"/>
      <c r="G93" s="229"/>
      <c r="H93" s="229"/>
      <c r="I93" s="229"/>
      <c r="J93" s="229"/>
      <c r="K93" s="229"/>
      <c r="L93" s="229"/>
      <c r="M93" s="229"/>
      <c r="N93" s="229"/>
      <c r="O93" s="229"/>
      <c r="P93" s="229"/>
      <c r="Q93" s="229"/>
      <c r="R93" s="229"/>
      <c r="S93" s="229"/>
      <c r="T93" s="229"/>
      <c r="U93" s="229"/>
      <c r="V93" s="229"/>
    </row>
    <row r="94" spans="1:22" x14ac:dyDescent="0.3">
      <c r="B94" s="1">
        <f t="shared" ref="B94:V94" si="20">B75/$B$75</f>
        <v>1</v>
      </c>
      <c r="C94" s="1">
        <f t="shared" si="20"/>
        <v>2.1560228197263638</v>
      </c>
      <c r="D94" s="1">
        <f t="shared" si="20"/>
        <v>9.6211885750600175</v>
      </c>
      <c r="E94" s="1">
        <f t="shared" si="20"/>
        <v>8.471001975101812</v>
      </c>
      <c r="F94" s="1">
        <f t="shared" si="20"/>
        <v>54.7034616639421</v>
      </c>
      <c r="G94" s="1">
        <f t="shared" si="20"/>
        <v>112.23146669841057</v>
      </c>
      <c r="H94" s="1">
        <f>H75/$B$75</f>
        <v>222.57556164048407</v>
      </c>
      <c r="I94" s="1">
        <f t="shared" si="20"/>
        <v>1.8331735427320859</v>
      </c>
      <c r="J94" s="1">
        <f t="shared" si="20"/>
        <v>2.0692992376751214</v>
      </c>
      <c r="K94" s="1">
        <f t="shared" si="20"/>
        <v>23.398166813613553</v>
      </c>
      <c r="L94" s="1">
        <f t="shared" si="20"/>
        <v>110.59191098929604</v>
      </c>
      <c r="M94" s="1">
        <f t="shared" si="20"/>
        <v>196.17346111639969</v>
      </c>
      <c r="N94" s="1">
        <f t="shared" si="20"/>
        <v>0</v>
      </c>
      <c r="O94" s="1">
        <f t="shared" si="20"/>
        <v>23.613530527626246</v>
      </c>
      <c r="P94" s="1">
        <f t="shared" si="20"/>
        <v>192.33505027469459</v>
      </c>
      <c r="Q94" s="1">
        <f t="shared" si="20"/>
        <v>1.1838898735526706</v>
      </c>
      <c r="R94" s="1">
        <f t="shared" si="20"/>
        <v>53.88730833495525</v>
      </c>
      <c r="S94" s="1">
        <f t="shared" si="20"/>
        <v>59.865529939232367</v>
      </c>
      <c r="T94" s="1">
        <f t="shared" si="20"/>
        <v>101.11278574400627</v>
      </c>
      <c r="U94" s="1">
        <f t="shared" si="20"/>
        <v>161.40208998960267</v>
      </c>
      <c r="V94" s="1">
        <f t="shared" si="20"/>
        <v>224.0489260878814</v>
      </c>
    </row>
    <row r="107" spans="5:29" x14ac:dyDescent="0.3">
      <c r="E107" s="1"/>
      <c r="F107" s="1"/>
      <c r="H107" s="1"/>
      <c r="I107" s="1"/>
      <c r="J107" s="1"/>
      <c r="K107" s="1"/>
      <c r="L107" s="1"/>
      <c r="M107" s="1"/>
      <c r="N107" s="1"/>
      <c r="O107" s="1"/>
      <c r="P107" s="1"/>
      <c r="Q107" s="1"/>
      <c r="R107" s="1"/>
      <c r="S107" s="1"/>
      <c r="T107" s="1"/>
      <c r="U107" s="1"/>
      <c r="V107" s="1"/>
      <c r="W107" s="1"/>
      <c r="X107" s="1"/>
      <c r="Y107" s="1"/>
      <c r="Z107" s="1"/>
      <c r="AA107" s="1"/>
      <c r="AB107" s="1"/>
      <c r="AC107" s="1"/>
    </row>
    <row r="108" spans="5:29" x14ac:dyDescent="0.3">
      <c r="E108" s="1"/>
      <c r="F108" s="1"/>
      <c r="H108" s="1"/>
      <c r="I108" s="1"/>
      <c r="J108" s="1"/>
      <c r="K108" s="1"/>
      <c r="L108" s="1"/>
      <c r="M108" s="1"/>
      <c r="N108" s="1"/>
      <c r="O108" s="1"/>
      <c r="P108" s="1"/>
      <c r="Q108" s="1"/>
      <c r="R108" s="1"/>
      <c r="S108" s="1"/>
      <c r="T108" s="1"/>
      <c r="U108" s="1"/>
      <c r="V108" s="1"/>
      <c r="W108" s="1"/>
      <c r="X108" s="1"/>
      <c r="Y108" s="1"/>
      <c r="Z108" s="1"/>
      <c r="AA108" s="1"/>
      <c r="AB108" s="1"/>
      <c r="AC108" s="1"/>
    </row>
    <row r="109" spans="5:29" x14ac:dyDescent="0.3">
      <c r="E109" s="1"/>
      <c r="F109" s="1"/>
    </row>
    <row r="110" spans="5:29" x14ac:dyDescent="0.3">
      <c r="E110" s="1"/>
      <c r="F110" s="1"/>
    </row>
    <row r="111" spans="5:29" x14ac:dyDescent="0.3">
      <c r="E111" s="1"/>
      <c r="F111" s="1"/>
    </row>
    <row r="112" spans="5:29" x14ac:dyDescent="0.3">
      <c r="E112" s="1"/>
      <c r="F112" s="1"/>
    </row>
    <row r="113" spans="5:6" x14ac:dyDescent="0.3">
      <c r="E113" s="1"/>
      <c r="F113" s="1"/>
    </row>
    <row r="114" spans="5:6" x14ac:dyDescent="0.3">
      <c r="E114" s="1"/>
      <c r="F114" s="1"/>
    </row>
    <row r="115" spans="5:6" x14ac:dyDescent="0.3">
      <c r="E115" s="1"/>
      <c r="F115" s="1"/>
    </row>
    <row r="116" spans="5:6" x14ac:dyDescent="0.3">
      <c r="E116" s="1"/>
      <c r="F116" s="1"/>
    </row>
    <row r="117" spans="5:6" x14ac:dyDescent="0.3">
      <c r="E117" s="1"/>
      <c r="F117" s="1"/>
    </row>
    <row r="124" spans="5:6" x14ac:dyDescent="0.3">
      <c r="E124" s="1"/>
      <c r="F124" s="1"/>
    </row>
    <row r="125" spans="5:6" x14ac:dyDescent="0.3">
      <c r="E125" s="1"/>
      <c r="F125" s="1"/>
    </row>
    <row r="126" spans="5:6" x14ac:dyDescent="0.3">
      <c r="E126" s="1"/>
      <c r="F126" s="1"/>
    </row>
    <row r="127" spans="5:6" x14ac:dyDescent="0.3">
      <c r="E127" s="1"/>
      <c r="F127" s="1"/>
    </row>
    <row r="128" spans="5:6" x14ac:dyDescent="0.3">
      <c r="E128" s="1"/>
      <c r="F128"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21875" defaultRowHeight="14.4" x14ac:dyDescent="0.3"/>
  <cols>
    <col min="1" max="1" width="33.77734375" style="41" bestFit="1" customWidth="1"/>
    <col min="2" max="3" width="14" style="41" bestFit="1" customWidth="1"/>
    <col min="4" max="4" width="14" style="41" customWidth="1"/>
    <col min="5" max="5" width="16" style="15" bestFit="1" customWidth="1"/>
    <col min="6" max="8" width="16" style="15" customWidth="1"/>
    <col min="9" max="13" width="19.21875" style="15" customWidth="1"/>
    <col min="14" max="14" width="32.21875" style="15" bestFit="1" customWidth="1"/>
    <col min="15" max="15" width="19.5546875" style="41" customWidth="1"/>
    <col min="16" max="16384" width="9.21875" style="41"/>
  </cols>
  <sheetData>
    <row r="1" spans="1:15" s="48" customFormat="1" ht="26.4" thickBot="1" x14ac:dyDescent="0.35">
      <c r="A1" s="228" t="s">
        <v>104</v>
      </c>
      <c r="B1" s="229"/>
      <c r="C1" s="229"/>
      <c r="D1" s="229"/>
      <c r="E1" s="229"/>
      <c r="F1" s="229"/>
      <c r="G1" s="229"/>
      <c r="H1" s="229"/>
      <c r="I1" s="229"/>
      <c r="J1" s="229"/>
      <c r="K1" s="229"/>
      <c r="L1" s="229"/>
      <c r="M1" s="229"/>
      <c r="N1" s="229"/>
      <c r="O1" s="230"/>
    </row>
    <row r="2" spans="1:15" s="48" customFormat="1" ht="26.4" thickBot="1" x14ac:dyDescent="0.35">
      <c r="A2" s="228" t="s">
        <v>105</v>
      </c>
      <c r="B2" s="229"/>
      <c r="C2" s="229"/>
      <c r="D2" s="229"/>
      <c r="E2" s="229"/>
      <c r="F2" s="229"/>
      <c r="G2" s="229"/>
      <c r="H2" s="229"/>
      <c r="I2" s="229"/>
      <c r="J2" s="229"/>
      <c r="K2" s="229"/>
      <c r="L2" s="229"/>
      <c r="M2" s="229"/>
      <c r="N2" s="229"/>
      <c r="O2" s="230"/>
    </row>
    <row r="3" spans="1:15" s="76" customFormat="1" ht="15.6" x14ac:dyDescent="0.3">
      <c r="H3" s="77"/>
      <c r="I3" s="77"/>
      <c r="J3" s="77"/>
      <c r="K3" s="77"/>
      <c r="L3" s="77"/>
      <c r="M3" s="77"/>
      <c r="N3" s="77"/>
    </row>
    <row r="4" spans="1:15" s="76" customFormat="1" ht="15.6" x14ac:dyDescent="0.3">
      <c r="O4"/>
    </row>
    <row r="5" spans="1:15" s="76" customFormat="1" ht="45.75" customHeight="1" thickBot="1" x14ac:dyDescent="0.35">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6" x14ac:dyDescent="0.3">
      <c r="A6" s="79" t="s">
        <v>28</v>
      </c>
      <c r="B6" s="99">
        <v>64</v>
      </c>
      <c r="C6" s="79"/>
      <c r="D6" s="79"/>
      <c r="E6" s="89"/>
      <c r="F6" s="90"/>
      <c r="G6" s="128">
        <f>IF(F6="NS","NC",ROUND(B6,2-(1+INT(LOG10(ABS(B6))))))</f>
        <v>64</v>
      </c>
      <c r="H6" s="120"/>
      <c r="I6" s="120"/>
      <c r="J6" s="121"/>
      <c r="K6" s="122"/>
      <c r="L6" s="124"/>
      <c r="M6" s="121"/>
      <c r="N6" s="91"/>
      <c r="O6"/>
    </row>
    <row r="7" spans="1:15" s="76" customFormat="1" ht="15.6" x14ac:dyDescent="0.3">
      <c r="A7" s="79" t="str">
        <f>'Page de garde'!A15</f>
        <v>estradiol-34ng/L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estradiol-34ng/L : 0%</v>
      </c>
      <c r="O7"/>
    </row>
    <row r="8" spans="1:15" s="76" customFormat="1" ht="15.6" x14ac:dyDescent="0.3">
      <c r="A8" s="79" t="str">
        <f>'Page de garde'!A16</f>
        <v>estradiol-68ng/L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estradiol-68ng/L : 0%</v>
      </c>
      <c r="O8"/>
    </row>
    <row r="9" spans="1:15" s="76" customFormat="1" ht="15.6" x14ac:dyDescent="0.3">
      <c r="A9" s="79" t="str">
        <f>'Page de garde'!A17</f>
        <v>estradiol-135ng/L</v>
      </c>
      <c r="B9" s="98"/>
      <c r="C9" s="82"/>
      <c r="D9" s="80"/>
      <c r="E9" s="81"/>
      <c r="F9" s="97" t="str">
        <f>HLOOKUP(A9,'pooled normalised values'!$B$74:$V$83,10,FALSE)</f>
        <v>**</v>
      </c>
      <c r="G9" s="128" t="e">
        <f t="shared" si="0"/>
        <v>#NUM!</v>
      </c>
      <c r="H9" s="119" t="str">
        <f>IF(VLOOKUP(A9,liste_groupe[],4,FALSE)="%",VLOOKUP(A9,liste_groupe[],3,FALSE)/100,IF(ISBLANK(VLOOKUP(A9,liste_groupe[],4,FALSE)),"Non","Non"))</f>
        <v>Non</v>
      </c>
      <c r="I9" s="128" t="e">
        <f t="shared" si="1"/>
        <v>#NUM!</v>
      </c>
      <c r="J9" s="129">
        <v>64</v>
      </c>
      <c r="K9" s="130" t="e">
        <f t="shared" si="2"/>
        <v>#NUM!</v>
      </c>
      <c r="L9" s="125"/>
      <c r="M9" s="131" t="e">
        <f t="shared" si="3"/>
        <v>#NUM!</v>
      </c>
      <c r="N9" s="92" t="e">
        <f>IF(H9="Non",CONCATENATE(VLOOKUP(A9,liste_groupe[],5,FALSE),"-",VLOOKUP(A9,liste_groupe[],3,FALSE),VLOOKUP(A9,liste_groupe[],4,FALSE)," : ",ROUND(K9,0),"%"),CONCATENATE(VLOOKUP(A9,liste_groupe[],5,FALSE)," : ",ROUND(K9,0),"%"))</f>
        <v>#NUM!</v>
      </c>
      <c r="O9"/>
    </row>
    <row r="10" spans="1:15" s="76" customFormat="1" ht="15.6" x14ac:dyDescent="0.3">
      <c r="A10" s="79" t="str">
        <f>'Page de garde'!A18</f>
        <v>estradiol-270ng/L</v>
      </c>
      <c r="B10" s="99"/>
      <c r="C10" s="79"/>
      <c r="D10" s="84"/>
      <c r="E10" s="81"/>
      <c r="F10" s="97" t="str">
        <f>HLOOKUP(A10,'pooled normalised values'!$B$74:$V$83,10,FALSE)</f>
        <v>***</v>
      </c>
      <c r="G10" s="128" t="e">
        <f t="shared" si="0"/>
        <v>#NUM!</v>
      </c>
      <c r="H10" s="119" t="str">
        <f>IF(VLOOKUP(A10,liste_groupe[],4,FALSE)="%",VLOOKUP(A10,liste_groupe[],3,FALSE)/100,IF(ISBLANK(VLOOKUP(A10,liste_groupe[],4,FALSE)),"Non","Non"))</f>
        <v>Non</v>
      </c>
      <c r="I10" s="128" t="e">
        <f t="shared" si="1"/>
        <v>#NUM!</v>
      </c>
      <c r="J10" s="129">
        <v>64</v>
      </c>
      <c r="K10" s="130" t="e">
        <f t="shared" si="2"/>
        <v>#NUM!</v>
      </c>
      <c r="L10" s="125"/>
      <c r="M10" s="131" t="e">
        <f t="shared" si="3"/>
        <v>#NUM!</v>
      </c>
      <c r="N10" s="92" t="e">
        <f>IF(H10="Non",CONCATENATE(VLOOKUP(A10,liste_groupe[],5,FALSE),"-",VLOOKUP(A10,liste_groupe[],3,FALSE),VLOOKUP(A10,liste_groupe[],4,FALSE)," : ",ROUND(K10,0),"%"),CONCATENATE(VLOOKUP(A10,liste_groupe[],5,FALSE)," : ",ROUND(K10,0),"%"))</f>
        <v>#NUM!</v>
      </c>
      <c r="O10"/>
    </row>
    <row r="11" spans="1:15" s="76" customFormat="1" ht="15.6" x14ac:dyDescent="0.3">
      <c r="A11" s="79" t="str">
        <f>'Page de garde'!A19</f>
        <v>estradiol-540ng/L</v>
      </c>
      <c r="B11" s="99"/>
      <c r="C11" s="79"/>
      <c r="D11" s="84"/>
      <c r="E11" s="81"/>
      <c r="F11" s="97" t="str">
        <f>HLOOKUP(A11,'pooled normalised values'!$B$74:$V$83,10,FALSE)</f>
        <v>***</v>
      </c>
      <c r="G11" s="128" t="e">
        <f t="shared" si="0"/>
        <v>#NUM!</v>
      </c>
      <c r="H11" s="119" t="str">
        <f>IF(VLOOKUP(A11,liste_groupe[],4,FALSE)="%",VLOOKUP(A11,liste_groupe[],3,FALSE)/100,IF(ISBLANK(VLOOKUP(A11,liste_groupe[],4,FALSE)),"Non","Non"))</f>
        <v>Non</v>
      </c>
      <c r="I11" s="128" t="e">
        <f t="shared" si="1"/>
        <v>#NUM!</v>
      </c>
      <c r="J11" s="129">
        <v>64</v>
      </c>
      <c r="K11" s="130" t="e">
        <f t="shared" si="2"/>
        <v>#NUM!</v>
      </c>
      <c r="L11" s="125"/>
      <c r="M11" s="131" t="e">
        <f t="shared" si="3"/>
        <v>#NUM!</v>
      </c>
      <c r="N11" s="92" t="e">
        <f>IF(H11="Non",CONCATENATE(VLOOKUP(A11,liste_groupe[],5,FALSE),"-",VLOOKUP(A11,liste_groupe[],3,FALSE),VLOOKUP(A11,liste_groupe[],4,FALSE)," : ",ROUND(K11,0),"%"),CONCATENATE(VLOOKUP(A11,liste_groupe[],5,FALSE)," : ",ROUND(K11,0),"%"))</f>
        <v>#NUM!</v>
      </c>
      <c r="O11"/>
    </row>
    <row r="12" spans="1:15" s="76" customFormat="1" ht="15.6" x14ac:dyDescent="0.3">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6" x14ac:dyDescent="0.3">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6" x14ac:dyDescent="0.3">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6" x14ac:dyDescent="0.3">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6" x14ac:dyDescent="0.3">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6" x14ac:dyDescent="0.3">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6" x14ac:dyDescent="0.3">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6" x14ac:dyDescent="0.3">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6" x14ac:dyDescent="0.3">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6" x14ac:dyDescent="0.3">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6" x14ac:dyDescent="0.3">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6" x14ac:dyDescent="0.3">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6" x14ac:dyDescent="0.3">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6" x14ac:dyDescent="0.3">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6" x14ac:dyDescent="0.3">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6" x14ac:dyDescent="0.3">
      <c r="A27"/>
      <c r="B27"/>
      <c r="C27"/>
      <c r="D27"/>
      <c r="E27"/>
      <c r="F27"/>
      <c r="G27"/>
      <c r="H27"/>
      <c r="I27"/>
      <c r="J27"/>
      <c r="K27"/>
      <c r="L27"/>
      <c r="M27"/>
      <c r="N27"/>
      <c r="O27" s="1"/>
    </row>
    <row r="28" spans="1:15" s="76" customFormat="1" ht="31.8" thickBot="1" x14ac:dyDescent="0.35">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6" x14ac:dyDescent="0.3">
      <c r="A29" s="83" t="s">
        <v>29</v>
      </c>
      <c r="B29" s="99"/>
      <c r="C29" s="79"/>
      <c r="D29" s="79"/>
      <c r="E29" s="81"/>
      <c r="F29" s="90"/>
      <c r="G29" s="133"/>
      <c r="H29" s="120"/>
      <c r="I29" s="120"/>
      <c r="J29" s="121"/>
      <c r="K29" s="122"/>
      <c r="L29" s="124"/>
      <c r="M29" s="121"/>
      <c r="N29" s="91"/>
      <c r="O29"/>
    </row>
    <row r="30" spans="1:15" s="76" customFormat="1" ht="15.6" x14ac:dyDescent="0.3">
      <c r="A30" s="83" t="s">
        <v>31</v>
      </c>
      <c r="B30" s="99"/>
      <c r="C30" s="79"/>
      <c r="D30" s="79"/>
      <c r="E30" s="81"/>
      <c r="F30" s="90"/>
      <c r="G30" s="132" t="e">
        <f>IF(F30="NS","NC",ROUND(B30-$B$29,2-(1+INT(LOG10(ABS(B30-$B$29))))))</f>
        <v>#NUM!</v>
      </c>
      <c r="H30" s="120"/>
      <c r="I30" s="133"/>
      <c r="J30" s="134"/>
      <c r="K30" s="135"/>
      <c r="L30" s="134"/>
      <c r="M30" s="134"/>
      <c r="N30" s="136"/>
      <c r="O30"/>
    </row>
    <row r="31" spans="1:15" s="76" customFormat="1" ht="15.6" x14ac:dyDescent="0.3">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6" x14ac:dyDescent="0.3">
      <c r="A32" s="127" t="str">
        <f>'Page de garde'!A39</f>
        <v>estradiol-34ng/L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estradiol-34ng/L : 0%</v>
      </c>
    </row>
    <row r="33" spans="1:14" s="76" customFormat="1" ht="15.6" x14ac:dyDescent="0.3">
      <c r="A33" s="127" t="str">
        <f>'Page de garde'!A40</f>
        <v>estradiol-68ng/L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estradiol-68ng/L : 0%</v>
      </c>
    </row>
    <row r="34" spans="1:14" s="76" customFormat="1" ht="15.6" x14ac:dyDescent="0.3">
      <c r="A34" s="127" t="str">
        <f>'Page de garde'!A41</f>
        <v>estradiol-135ng/L + Testostérone</v>
      </c>
      <c r="B34" s="99"/>
      <c r="C34" s="79"/>
      <c r="D34" s="79"/>
      <c r="E34" s="81"/>
      <c r="F34" s="93" t="str">
        <f>HLOOKUP(A34,'pooled normalised values'!$B$74:$V$83,10,FALSE)</f>
        <v>***</v>
      </c>
      <c r="G34" s="132" t="e">
        <f t="shared" si="6"/>
        <v>#NUM!</v>
      </c>
      <c r="H34" s="123" t="str">
        <f>IF(VLOOKUP(A34,liste_groupe[],4,FALSE)="%",VLOOKUP(A34,liste_groupe[],3,FALSE)/100,IF(ISBLANK(VLOOKUP(A34,liste_groupe[],4,FALSE)),"Non","Non"))</f>
        <v>Non</v>
      </c>
      <c r="I34" s="132" t="e">
        <f t="shared" si="7"/>
        <v>#NUM!</v>
      </c>
      <c r="J34" s="137" t="e">
        <f t="shared" si="8"/>
        <v>#NUM!</v>
      </c>
      <c r="K34" s="138" t="e">
        <f t="shared" si="9"/>
        <v>#NUM!</v>
      </c>
      <c r="L34" s="139"/>
      <c r="M34" s="131" t="e">
        <f t="shared" si="10"/>
        <v>#NUM!</v>
      </c>
      <c r="N34" s="140" t="e">
        <f>IF(H34="Non",CONCATENATE(VLOOKUP(A34,liste_groupe[],5,FALSE),"-",VLOOKUP(A34,liste_groupe[],3,FALSE),VLOOKUP(A34,liste_groupe[],4,FALSE)," : ",ROUND(K34,0),"%"),CONCATENATE(VLOOKUP(A34,liste_groupe[],5,FALSE)," : ",ROUND(K34,0),"%"))</f>
        <v>#NUM!</v>
      </c>
    </row>
    <row r="35" spans="1:14" s="76" customFormat="1" ht="15.6" x14ac:dyDescent="0.3">
      <c r="A35" s="127" t="str">
        <f>'Page de garde'!A42</f>
        <v>estradiol-270ng/L + Testostérone</v>
      </c>
      <c r="B35" s="98"/>
      <c r="C35" s="86"/>
      <c r="D35" s="86"/>
      <c r="E35" s="81"/>
      <c r="F35" s="93"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6" customFormat="1" ht="15.6" x14ac:dyDescent="0.3">
      <c r="A36" s="127" t="str">
        <f>'Page de garde'!A43</f>
        <v>estradiol-540ng/L + Testostérone</v>
      </c>
      <c r="B36" s="98"/>
      <c r="C36" s="86"/>
      <c r="D36" s="86"/>
      <c r="E36" s="81"/>
      <c r="F36" s="93"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6" customFormat="1" ht="15.6" x14ac:dyDescent="0.3">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6" x14ac:dyDescent="0.3">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6" x14ac:dyDescent="0.3">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6" x14ac:dyDescent="0.3">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6" x14ac:dyDescent="0.3">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6" x14ac:dyDescent="0.3">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6" x14ac:dyDescent="0.3">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6" x14ac:dyDescent="0.3">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6" x14ac:dyDescent="0.3">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6" x14ac:dyDescent="0.3">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6" x14ac:dyDescent="0.3">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6" x14ac:dyDescent="0.3">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6" x14ac:dyDescent="0.3">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6" x14ac:dyDescent="0.3">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6" x14ac:dyDescent="0.3">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2" thickBot="1" x14ac:dyDescent="0.35">
      <c r="E52" s="77"/>
      <c r="F52" s="77"/>
      <c r="G52" s="77"/>
      <c r="H52" s="77"/>
      <c r="I52" s="77"/>
      <c r="J52" s="77"/>
      <c r="K52" s="77"/>
      <c r="L52" s="77"/>
      <c r="M52" s="77"/>
      <c r="N52" s="77"/>
    </row>
    <row r="53" spans="1:15" s="48" customFormat="1" ht="26.4" thickBot="1" x14ac:dyDescent="0.35">
      <c r="A53" s="228" t="s">
        <v>60</v>
      </c>
      <c r="B53" s="229"/>
      <c r="C53" s="229"/>
      <c r="D53" s="229"/>
      <c r="E53" s="229"/>
      <c r="F53" s="229"/>
      <c r="G53" s="229"/>
      <c r="H53" s="229"/>
      <c r="I53" s="229"/>
      <c r="J53" s="229"/>
      <c r="K53" s="229"/>
      <c r="L53" s="229"/>
      <c r="M53" s="229"/>
      <c r="N53" s="229"/>
      <c r="O53" s="230"/>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4140625" defaultRowHeight="14.4" x14ac:dyDescent="0.3"/>
  <cols>
    <col min="1" max="1" width="22.77734375" style="179" customWidth="1"/>
    <col min="2" max="2" width="46.21875" style="179" customWidth="1"/>
    <col min="3" max="3" width="15.21875" style="179" customWidth="1"/>
    <col min="4" max="4" width="24.77734375" style="179" customWidth="1"/>
    <col min="5" max="5" width="24.44140625" style="179" customWidth="1"/>
    <col min="6" max="6" width="23.21875" style="179" customWidth="1"/>
    <col min="7" max="7" width="21.21875" style="179" customWidth="1"/>
    <col min="8" max="16384" width="11.44140625" style="179"/>
  </cols>
  <sheetData>
    <row r="1" spans="1:7" ht="29.4" thickBot="1" x14ac:dyDescent="0.35">
      <c r="A1" s="184" t="s">
        <v>131</v>
      </c>
      <c r="B1" s="185" t="s">
        <v>132</v>
      </c>
      <c r="C1" s="185" t="s">
        <v>138</v>
      </c>
      <c r="D1" s="185" t="s">
        <v>137</v>
      </c>
      <c r="E1" s="185" t="s">
        <v>139</v>
      </c>
      <c r="F1" s="186" t="s">
        <v>140</v>
      </c>
      <c r="G1" s="187" t="s">
        <v>141</v>
      </c>
    </row>
    <row r="2" spans="1:7" ht="57.6" x14ac:dyDescent="0.3">
      <c r="A2" s="180" t="s">
        <v>133</v>
      </c>
      <c r="B2" s="181" t="s">
        <v>134</v>
      </c>
      <c r="C2" s="181" t="s">
        <v>135</v>
      </c>
      <c r="D2" s="181" t="s">
        <v>142</v>
      </c>
      <c r="E2" s="181" t="s">
        <v>136</v>
      </c>
      <c r="F2" s="182" t="s">
        <v>135</v>
      </c>
      <c r="G2" s="183" t="s">
        <v>135</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19" width="14.77734375" style="17" customWidth="1"/>
    <col min="20" max="21" width="11.44140625" style="17"/>
    <col min="22" max="22" width="13.5546875" style="17" bestFit="1" customWidth="1"/>
    <col min="23" max="34" width="13.5546875" style="17" customWidth="1"/>
    <col min="35" max="35" width="13.5546875" style="17" bestFit="1" customWidth="1"/>
    <col min="36" max="282" width="11.44140625" style="17"/>
    <col min="283" max="283" width="18.77734375" style="17" customWidth="1"/>
    <col min="284" max="284" width="13.77734375" style="17" bestFit="1" customWidth="1"/>
    <col min="285" max="285" width="17.21875" style="17" customWidth="1"/>
    <col min="286" max="286" width="11" style="17" customWidth="1"/>
    <col min="287" max="287" width="12" style="17" bestFit="1" customWidth="1"/>
    <col min="288" max="288" width="14.77734375" style="17" customWidth="1"/>
    <col min="289" max="538" width="11.44140625" style="17"/>
    <col min="539" max="539" width="18.77734375" style="17" customWidth="1"/>
    <col min="540" max="540" width="13.77734375" style="17" bestFit="1" customWidth="1"/>
    <col min="541" max="541" width="17.21875" style="17" customWidth="1"/>
    <col min="542" max="542" width="11" style="17" customWidth="1"/>
    <col min="543" max="543" width="12" style="17" bestFit="1" customWidth="1"/>
    <col min="544" max="544" width="14.77734375" style="17" customWidth="1"/>
    <col min="545" max="794" width="11.44140625" style="17"/>
    <col min="795" max="795" width="18.77734375" style="17" customWidth="1"/>
    <col min="796" max="796" width="13.77734375" style="17" bestFit="1" customWidth="1"/>
    <col min="797" max="797" width="17.21875" style="17" customWidth="1"/>
    <col min="798" max="798" width="11" style="17" customWidth="1"/>
    <col min="799" max="799" width="12" style="17" bestFit="1" customWidth="1"/>
    <col min="800" max="800" width="14.77734375" style="17" customWidth="1"/>
    <col min="801" max="1050" width="11.44140625" style="17"/>
    <col min="1051" max="1051" width="18.77734375" style="17" customWidth="1"/>
    <col min="1052" max="1052" width="13.77734375" style="17" bestFit="1" customWidth="1"/>
    <col min="1053" max="1053" width="17.21875" style="17" customWidth="1"/>
    <col min="1054" max="1054" width="11" style="17" customWidth="1"/>
    <col min="1055" max="1055" width="12" style="17" bestFit="1" customWidth="1"/>
    <col min="1056" max="1056" width="14.77734375" style="17" customWidth="1"/>
    <col min="1057" max="1306" width="11.44140625" style="17"/>
    <col min="1307" max="1307" width="18.77734375" style="17" customWidth="1"/>
    <col min="1308" max="1308" width="13.77734375" style="17" bestFit="1" customWidth="1"/>
    <col min="1309" max="1309" width="17.21875" style="17" customWidth="1"/>
    <col min="1310" max="1310" width="11" style="17" customWidth="1"/>
    <col min="1311" max="1311" width="12" style="17" bestFit="1" customWidth="1"/>
    <col min="1312" max="1312" width="14.77734375" style="17" customWidth="1"/>
    <col min="1313" max="1562" width="11.44140625" style="17"/>
    <col min="1563" max="1563" width="18.77734375" style="17" customWidth="1"/>
    <col min="1564" max="1564" width="13.77734375" style="17" bestFit="1" customWidth="1"/>
    <col min="1565" max="1565" width="17.21875" style="17" customWidth="1"/>
    <col min="1566" max="1566" width="11" style="17" customWidth="1"/>
    <col min="1567" max="1567" width="12" style="17" bestFit="1" customWidth="1"/>
    <col min="1568" max="1568" width="14.77734375" style="17" customWidth="1"/>
    <col min="1569" max="1818" width="11.44140625" style="17"/>
    <col min="1819" max="1819" width="18.77734375" style="17" customWidth="1"/>
    <col min="1820" max="1820" width="13.77734375" style="17" bestFit="1" customWidth="1"/>
    <col min="1821" max="1821" width="17.21875" style="17" customWidth="1"/>
    <col min="1822" max="1822" width="11" style="17" customWidth="1"/>
    <col min="1823" max="1823" width="12" style="17" bestFit="1" customWidth="1"/>
    <col min="1824" max="1824" width="14.77734375" style="17" customWidth="1"/>
    <col min="1825" max="2074" width="11.44140625" style="17"/>
    <col min="2075" max="2075" width="18.77734375" style="17" customWidth="1"/>
    <col min="2076" max="2076" width="13.77734375" style="17" bestFit="1" customWidth="1"/>
    <col min="2077" max="2077" width="17.21875" style="17" customWidth="1"/>
    <col min="2078" max="2078" width="11" style="17" customWidth="1"/>
    <col min="2079" max="2079" width="12" style="17" bestFit="1" customWidth="1"/>
    <col min="2080" max="2080" width="14.77734375" style="17" customWidth="1"/>
    <col min="2081" max="2330" width="11.44140625" style="17"/>
    <col min="2331" max="2331" width="18.77734375" style="17" customWidth="1"/>
    <col min="2332" max="2332" width="13.77734375" style="17" bestFit="1" customWidth="1"/>
    <col min="2333" max="2333" width="17.21875" style="17" customWidth="1"/>
    <col min="2334" max="2334" width="11" style="17" customWidth="1"/>
    <col min="2335" max="2335" width="12" style="17" bestFit="1" customWidth="1"/>
    <col min="2336" max="2336" width="14.77734375" style="17" customWidth="1"/>
    <col min="2337" max="2586" width="11.44140625" style="17"/>
    <col min="2587" max="2587" width="18.77734375" style="17" customWidth="1"/>
    <col min="2588" max="2588" width="13.77734375" style="17" bestFit="1" customWidth="1"/>
    <col min="2589" max="2589" width="17.21875" style="17" customWidth="1"/>
    <col min="2590" max="2590" width="11" style="17" customWidth="1"/>
    <col min="2591" max="2591" width="12" style="17" bestFit="1" customWidth="1"/>
    <col min="2592" max="2592" width="14.77734375" style="17" customWidth="1"/>
    <col min="2593" max="2842" width="11.44140625" style="17"/>
    <col min="2843" max="2843" width="18.77734375" style="17" customWidth="1"/>
    <col min="2844" max="2844" width="13.77734375" style="17" bestFit="1" customWidth="1"/>
    <col min="2845" max="2845" width="17.21875" style="17" customWidth="1"/>
    <col min="2846" max="2846" width="11" style="17" customWidth="1"/>
    <col min="2847" max="2847" width="12" style="17" bestFit="1" customWidth="1"/>
    <col min="2848" max="2848" width="14.77734375" style="17" customWidth="1"/>
    <col min="2849" max="3098" width="11.44140625" style="17"/>
    <col min="3099" max="3099" width="18.77734375" style="17" customWidth="1"/>
    <col min="3100" max="3100" width="13.77734375" style="17" bestFit="1" customWidth="1"/>
    <col min="3101" max="3101" width="17.21875" style="17" customWidth="1"/>
    <col min="3102" max="3102" width="11" style="17" customWidth="1"/>
    <col min="3103" max="3103" width="12" style="17" bestFit="1" customWidth="1"/>
    <col min="3104" max="3104" width="14.77734375" style="17" customWidth="1"/>
    <col min="3105" max="3354" width="11.44140625" style="17"/>
    <col min="3355" max="3355" width="18.77734375" style="17" customWidth="1"/>
    <col min="3356" max="3356" width="13.77734375" style="17" bestFit="1" customWidth="1"/>
    <col min="3357" max="3357" width="17.21875" style="17" customWidth="1"/>
    <col min="3358" max="3358" width="11" style="17" customWidth="1"/>
    <col min="3359" max="3359" width="12" style="17" bestFit="1" customWidth="1"/>
    <col min="3360" max="3360" width="14.77734375" style="17" customWidth="1"/>
    <col min="3361" max="3610" width="11.44140625" style="17"/>
    <col min="3611" max="3611" width="18.77734375" style="17" customWidth="1"/>
    <col min="3612" max="3612" width="13.77734375" style="17" bestFit="1" customWidth="1"/>
    <col min="3613" max="3613" width="17.21875" style="17" customWidth="1"/>
    <col min="3614" max="3614" width="11" style="17" customWidth="1"/>
    <col min="3615" max="3615" width="12" style="17" bestFit="1" customWidth="1"/>
    <col min="3616" max="3616" width="14.77734375" style="17" customWidth="1"/>
    <col min="3617" max="3866" width="11.44140625" style="17"/>
    <col min="3867" max="3867" width="18.77734375" style="17" customWidth="1"/>
    <col min="3868" max="3868" width="13.77734375" style="17" bestFit="1" customWidth="1"/>
    <col min="3869" max="3869" width="17.21875" style="17" customWidth="1"/>
    <col min="3870" max="3870" width="11" style="17" customWidth="1"/>
    <col min="3871" max="3871" width="12" style="17" bestFit="1" customWidth="1"/>
    <col min="3872" max="3872" width="14.77734375" style="17" customWidth="1"/>
    <col min="3873" max="4122" width="11.44140625" style="17"/>
    <col min="4123" max="4123" width="18.77734375" style="17" customWidth="1"/>
    <col min="4124" max="4124" width="13.77734375" style="17" bestFit="1" customWidth="1"/>
    <col min="4125" max="4125" width="17.21875" style="17" customWidth="1"/>
    <col min="4126" max="4126" width="11" style="17" customWidth="1"/>
    <col min="4127" max="4127" width="12" style="17" bestFit="1" customWidth="1"/>
    <col min="4128" max="4128" width="14.77734375" style="17" customWidth="1"/>
    <col min="4129" max="4378" width="11.44140625" style="17"/>
    <col min="4379" max="4379" width="18.77734375" style="17" customWidth="1"/>
    <col min="4380" max="4380" width="13.77734375" style="17" bestFit="1" customWidth="1"/>
    <col min="4381" max="4381" width="17.21875" style="17" customWidth="1"/>
    <col min="4382" max="4382" width="11" style="17" customWidth="1"/>
    <col min="4383" max="4383" width="12" style="17" bestFit="1" customWidth="1"/>
    <col min="4384" max="4384" width="14.77734375" style="17" customWidth="1"/>
    <col min="4385" max="4634" width="11.44140625" style="17"/>
    <col min="4635" max="4635" width="18.77734375" style="17" customWidth="1"/>
    <col min="4636" max="4636" width="13.77734375" style="17" bestFit="1" customWidth="1"/>
    <col min="4637" max="4637" width="17.21875" style="17" customWidth="1"/>
    <col min="4638" max="4638" width="11" style="17" customWidth="1"/>
    <col min="4639" max="4639" width="12" style="17" bestFit="1" customWidth="1"/>
    <col min="4640" max="4640" width="14.77734375" style="17" customWidth="1"/>
    <col min="4641" max="4890" width="11.44140625" style="17"/>
    <col min="4891" max="4891" width="18.77734375" style="17" customWidth="1"/>
    <col min="4892" max="4892" width="13.77734375" style="17" bestFit="1" customWidth="1"/>
    <col min="4893" max="4893" width="17.21875" style="17" customWidth="1"/>
    <col min="4894" max="4894" width="11" style="17" customWidth="1"/>
    <col min="4895" max="4895" width="12" style="17" bestFit="1" customWidth="1"/>
    <col min="4896" max="4896" width="14.77734375" style="17" customWidth="1"/>
    <col min="4897" max="5146" width="11.44140625" style="17"/>
    <col min="5147" max="5147" width="18.77734375" style="17" customWidth="1"/>
    <col min="5148" max="5148" width="13.77734375" style="17" bestFit="1" customWidth="1"/>
    <col min="5149" max="5149" width="17.21875" style="17" customWidth="1"/>
    <col min="5150" max="5150" width="11" style="17" customWidth="1"/>
    <col min="5151" max="5151" width="12" style="17" bestFit="1" customWidth="1"/>
    <col min="5152" max="5152" width="14.77734375" style="17" customWidth="1"/>
    <col min="5153" max="5402" width="11.44140625" style="17"/>
    <col min="5403" max="5403" width="18.77734375" style="17" customWidth="1"/>
    <col min="5404" max="5404" width="13.77734375" style="17" bestFit="1" customWidth="1"/>
    <col min="5405" max="5405" width="17.21875" style="17" customWidth="1"/>
    <col min="5406" max="5406" width="11" style="17" customWidth="1"/>
    <col min="5407" max="5407" width="12" style="17" bestFit="1" customWidth="1"/>
    <col min="5408" max="5408" width="14.77734375" style="17" customWidth="1"/>
    <col min="5409" max="5658" width="11.44140625" style="17"/>
    <col min="5659" max="5659" width="18.77734375" style="17" customWidth="1"/>
    <col min="5660" max="5660" width="13.77734375" style="17" bestFit="1" customWidth="1"/>
    <col min="5661" max="5661" width="17.21875" style="17" customWidth="1"/>
    <col min="5662" max="5662" width="11" style="17" customWidth="1"/>
    <col min="5663" max="5663" width="12" style="17" bestFit="1" customWidth="1"/>
    <col min="5664" max="5664" width="14.77734375" style="17" customWidth="1"/>
    <col min="5665" max="5914" width="11.44140625" style="17"/>
    <col min="5915" max="5915" width="18.77734375" style="17" customWidth="1"/>
    <col min="5916" max="5916" width="13.77734375" style="17" bestFit="1" customWidth="1"/>
    <col min="5917" max="5917" width="17.21875" style="17" customWidth="1"/>
    <col min="5918" max="5918" width="11" style="17" customWidth="1"/>
    <col min="5919" max="5919" width="12" style="17" bestFit="1" customWidth="1"/>
    <col min="5920" max="5920" width="14.77734375" style="17" customWidth="1"/>
    <col min="5921" max="6170" width="11.44140625" style="17"/>
    <col min="6171" max="6171" width="18.77734375" style="17" customWidth="1"/>
    <col min="6172" max="6172" width="13.77734375" style="17" bestFit="1" customWidth="1"/>
    <col min="6173" max="6173" width="17.21875" style="17" customWidth="1"/>
    <col min="6174" max="6174" width="11" style="17" customWidth="1"/>
    <col min="6175" max="6175" width="12" style="17" bestFit="1" customWidth="1"/>
    <col min="6176" max="6176" width="14.77734375" style="17" customWidth="1"/>
    <col min="6177" max="6426" width="11.44140625" style="17"/>
    <col min="6427" max="6427" width="18.77734375" style="17" customWidth="1"/>
    <col min="6428" max="6428" width="13.77734375" style="17" bestFit="1" customWidth="1"/>
    <col min="6429" max="6429" width="17.21875" style="17" customWidth="1"/>
    <col min="6430" max="6430" width="11" style="17" customWidth="1"/>
    <col min="6431" max="6431" width="12" style="17" bestFit="1" customWidth="1"/>
    <col min="6432" max="6432" width="14.77734375" style="17" customWidth="1"/>
    <col min="6433" max="6682" width="11.44140625" style="17"/>
    <col min="6683" max="6683" width="18.77734375" style="17" customWidth="1"/>
    <col min="6684" max="6684" width="13.77734375" style="17" bestFit="1" customWidth="1"/>
    <col min="6685" max="6685" width="17.21875" style="17" customWidth="1"/>
    <col min="6686" max="6686" width="11" style="17" customWidth="1"/>
    <col min="6687" max="6687" width="12" style="17" bestFit="1" customWidth="1"/>
    <col min="6688" max="6688" width="14.77734375" style="17" customWidth="1"/>
    <col min="6689" max="6938" width="11.44140625" style="17"/>
    <col min="6939" max="6939" width="18.77734375" style="17" customWidth="1"/>
    <col min="6940" max="6940" width="13.77734375" style="17" bestFit="1" customWidth="1"/>
    <col min="6941" max="6941" width="17.21875" style="17" customWidth="1"/>
    <col min="6942" max="6942" width="11" style="17" customWidth="1"/>
    <col min="6943" max="6943" width="12" style="17" bestFit="1" customWidth="1"/>
    <col min="6944" max="6944" width="14.77734375" style="17" customWidth="1"/>
    <col min="6945" max="7194" width="11.44140625" style="17"/>
    <col min="7195" max="7195" width="18.77734375" style="17" customWidth="1"/>
    <col min="7196" max="7196" width="13.77734375" style="17" bestFit="1" customWidth="1"/>
    <col min="7197" max="7197" width="17.21875" style="17" customWidth="1"/>
    <col min="7198" max="7198" width="11" style="17" customWidth="1"/>
    <col min="7199" max="7199" width="12" style="17" bestFit="1" customWidth="1"/>
    <col min="7200" max="7200" width="14.77734375" style="17" customWidth="1"/>
    <col min="7201" max="7450" width="11.44140625" style="17"/>
    <col min="7451" max="7451" width="18.77734375" style="17" customWidth="1"/>
    <col min="7452" max="7452" width="13.77734375" style="17" bestFit="1" customWidth="1"/>
    <col min="7453" max="7453" width="17.21875" style="17" customWidth="1"/>
    <col min="7454" max="7454" width="11" style="17" customWidth="1"/>
    <col min="7455" max="7455" width="12" style="17" bestFit="1" customWidth="1"/>
    <col min="7456" max="7456" width="14.77734375" style="17" customWidth="1"/>
    <col min="7457" max="7706" width="11.44140625" style="17"/>
    <col min="7707" max="7707" width="18.77734375" style="17" customWidth="1"/>
    <col min="7708" max="7708" width="13.77734375" style="17" bestFit="1" customWidth="1"/>
    <col min="7709" max="7709" width="17.21875" style="17" customWidth="1"/>
    <col min="7710" max="7710" width="11" style="17" customWidth="1"/>
    <col min="7711" max="7711" width="12" style="17" bestFit="1" customWidth="1"/>
    <col min="7712" max="7712" width="14.77734375" style="17" customWidth="1"/>
    <col min="7713" max="7962" width="11.44140625" style="17"/>
    <col min="7963" max="7963" width="18.77734375" style="17" customWidth="1"/>
    <col min="7964" max="7964" width="13.77734375" style="17" bestFit="1" customWidth="1"/>
    <col min="7965" max="7965" width="17.21875" style="17" customWidth="1"/>
    <col min="7966" max="7966" width="11" style="17" customWidth="1"/>
    <col min="7967" max="7967" width="12" style="17" bestFit="1" customWidth="1"/>
    <col min="7968" max="7968" width="14.77734375" style="17" customWidth="1"/>
    <col min="7969" max="8218" width="11.44140625" style="17"/>
    <col min="8219" max="8219" width="18.77734375" style="17" customWidth="1"/>
    <col min="8220" max="8220" width="13.77734375" style="17" bestFit="1" customWidth="1"/>
    <col min="8221" max="8221" width="17.21875" style="17" customWidth="1"/>
    <col min="8222" max="8222" width="11" style="17" customWidth="1"/>
    <col min="8223" max="8223" width="12" style="17" bestFit="1" customWidth="1"/>
    <col min="8224" max="8224" width="14.77734375" style="17" customWidth="1"/>
    <col min="8225" max="8474" width="11.44140625" style="17"/>
    <col min="8475" max="8475" width="18.77734375" style="17" customWidth="1"/>
    <col min="8476" max="8476" width="13.77734375" style="17" bestFit="1" customWidth="1"/>
    <col min="8477" max="8477" width="17.21875" style="17" customWidth="1"/>
    <col min="8478" max="8478" width="11" style="17" customWidth="1"/>
    <col min="8479" max="8479" width="12" style="17" bestFit="1" customWidth="1"/>
    <col min="8480" max="8480" width="14.77734375" style="17" customWidth="1"/>
    <col min="8481" max="8730" width="11.44140625" style="17"/>
    <col min="8731" max="8731" width="18.77734375" style="17" customWidth="1"/>
    <col min="8732" max="8732" width="13.77734375" style="17" bestFit="1" customWidth="1"/>
    <col min="8733" max="8733" width="17.21875" style="17" customWidth="1"/>
    <col min="8734" max="8734" width="11" style="17" customWidth="1"/>
    <col min="8735" max="8735" width="12" style="17" bestFit="1" customWidth="1"/>
    <col min="8736" max="8736" width="14.77734375" style="17" customWidth="1"/>
    <col min="8737" max="8986" width="11.44140625" style="17"/>
    <col min="8987" max="8987" width="18.77734375" style="17" customWidth="1"/>
    <col min="8988" max="8988" width="13.77734375" style="17" bestFit="1" customWidth="1"/>
    <col min="8989" max="8989" width="17.21875" style="17" customWidth="1"/>
    <col min="8990" max="8990" width="11" style="17" customWidth="1"/>
    <col min="8991" max="8991" width="12" style="17" bestFit="1" customWidth="1"/>
    <col min="8992" max="8992" width="14.77734375" style="17" customWidth="1"/>
    <col min="8993" max="9242" width="11.44140625" style="17"/>
    <col min="9243" max="9243" width="18.77734375" style="17" customWidth="1"/>
    <col min="9244" max="9244" width="13.77734375" style="17" bestFit="1" customWidth="1"/>
    <col min="9245" max="9245" width="17.21875" style="17" customWidth="1"/>
    <col min="9246" max="9246" width="11" style="17" customWidth="1"/>
    <col min="9247" max="9247" width="12" style="17" bestFit="1" customWidth="1"/>
    <col min="9248" max="9248" width="14.77734375" style="17" customWidth="1"/>
    <col min="9249" max="9498" width="11.44140625" style="17"/>
    <col min="9499" max="9499" width="18.77734375" style="17" customWidth="1"/>
    <col min="9500" max="9500" width="13.77734375" style="17" bestFit="1" customWidth="1"/>
    <col min="9501" max="9501" width="17.21875" style="17" customWidth="1"/>
    <col min="9502" max="9502" width="11" style="17" customWidth="1"/>
    <col min="9503" max="9503" width="12" style="17" bestFit="1" customWidth="1"/>
    <col min="9504" max="9504" width="14.77734375" style="17" customWidth="1"/>
    <col min="9505" max="9754" width="11.44140625" style="17"/>
    <col min="9755" max="9755" width="18.77734375" style="17" customWidth="1"/>
    <col min="9756" max="9756" width="13.77734375" style="17" bestFit="1" customWidth="1"/>
    <col min="9757" max="9757" width="17.21875" style="17" customWidth="1"/>
    <col min="9758" max="9758" width="11" style="17" customWidth="1"/>
    <col min="9759" max="9759" width="12" style="17" bestFit="1" customWidth="1"/>
    <col min="9760" max="9760" width="14.77734375" style="17" customWidth="1"/>
    <col min="9761" max="10010" width="11.44140625" style="17"/>
    <col min="10011" max="10011" width="18.77734375" style="17" customWidth="1"/>
    <col min="10012" max="10012" width="13.77734375" style="17" bestFit="1" customWidth="1"/>
    <col min="10013" max="10013" width="17.21875" style="17" customWidth="1"/>
    <col min="10014" max="10014" width="11" style="17" customWidth="1"/>
    <col min="10015" max="10015" width="12" style="17" bestFit="1" customWidth="1"/>
    <col min="10016" max="10016" width="14.77734375" style="17" customWidth="1"/>
    <col min="10017" max="10266" width="11.44140625" style="17"/>
    <col min="10267" max="10267" width="18.77734375" style="17" customWidth="1"/>
    <col min="10268" max="10268" width="13.77734375" style="17" bestFit="1" customWidth="1"/>
    <col min="10269" max="10269" width="17.21875" style="17" customWidth="1"/>
    <col min="10270" max="10270" width="11" style="17" customWidth="1"/>
    <col min="10271" max="10271" width="12" style="17" bestFit="1" customWidth="1"/>
    <col min="10272" max="10272" width="14.77734375" style="17" customWidth="1"/>
    <col min="10273" max="10522" width="11.44140625" style="17"/>
    <col min="10523" max="10523" width="18.77734375" style="17" customWidth="1"/>
    <col min="10524" max="10524" width="13.77734375" style="17" bestFit="1" customWidth="1"/>
    <col min="10525" max="10525" width="17.21875" style="17" customWidth="1"/>
    <col min="10526" max="10526" width="11" style="17" customWidth="1"/>
    <col min="10527" max="10527" width="12" style="17" bestFit="1" customWidth="1"/>
    <col min="10528" max="10528" width="14.77734375" style="17" customWidth="1"/>
    <col min="10529" max="10778" width="11.44140625" style="17"/>
    <col min="10779" max="10779" width="18.77734375" style="17" customWidth="1"/>
    <col min="10780" max="10780" width="13.77734375" style="17" bestFit="1" customWidth="1"/>
    <col min="10781" max="10781" width="17.21875" style="17" customWidth="1"/>
    <col min="10782" max="10782" width="11" style="17" customWidth="1"/>
    <col min="10783" max="10783" width="12" style="17" bestFit="1" customWidth="1"/>
    <col min="10784" max="10784" width="14.77734375" style="17" customWidth="1"/>
    <col min="10785" max="11034" width="11.44140625" style="17"/>
    <col min="11035" max="11035" width="18.77734375" style="17" customWidth="1"/>
    <col min="11036" max="11036" width="13.77734375" style="17" bestFit="1" customWidth="1"/>
    <col min="11037" max="11037" width="17.21875" style="17" customWidth="1"/>
    <col min="11038" max="11038" width="11" style="17" customWidth="1"/>
    <col min="11039" max="11039" width="12" style="17" bestFit="1" customWidth="1"/>
    <col min="11040" max="11040" width="14.77734375" style="17" customWidth="1"/>
    <col min="11041" max="11290" width="11.44140625" style="17"/>
    <col min="11291" max="11291" width="18.77734375" style="17" customWidth="1"/>
    <col min="11292" max="11292" width="13.77734375" style="17" bestFit="1" customWidth="1"/>
    <col min="11293" max="11293" width="17.21875" style="17" customWidth="1"/>
    <col min="11294" max="11294" width="11" style="17" customWidth="1"/>
    <col min="11295" max="11295" width="12" style="17" bestFit="1" customWidth="1"/>
    <col min="11296" max="11296" width="14.77734375" style="17" customWidth="1"/>
    <col min="11297" max="11546" width="11.44140625" style="17"/>
    <col min="11547" max="11547" width="18.77734375" style="17" customWidth="1"/>
    <col min="11548" max="11548" width="13.77734375" style="17" bestFit="1" customWidth="1"/>
    <col min="11549" max="11549" width="17.21875" style="17" customWidth="1"/>
    <col min="11550" max="11550" width="11" style="17" customWidth="1"/>
    <col min="11551" max="11551" width="12" style="17" bestFit="1" customWidth="1"/>
    <col min="11552" max="11552" width="14.77734375" style="17" customWidth="1"/>
    <col min="11553" max="11802" width="11.44140625" style="17"/>
    <col min="11803" max="11803" width="18.77734375" style="17" customWidth="1"/>
    <col min="11804" max="11804" width="13.77734375" style="17" bestFit="1" customWidth="1"/>
    <col min="11805" max="11805" width="17.21875" style="17" customWidth="1"/>
    <col min="11806" max="11806" width="11" style="17" customWidth="1"/>
    <col min="11807" max="11807" width="12" style="17" bestFit="1" customWidth="1"/>
    <col min="11808" max="11808" width="14.77734375" style="17" customWidth="1"/>
    <col min="11809" max="12058" width="11.44140625" style="17"/>
    <col min="12059" max="12059" width="18.77734375" style="17" customWidth="1"/>
    <col min="12060" max="12060" width="13.77734375" style="17" bestFit="1" customWidth="1"/>
    <col min="12061" max="12061" width="17.21875" style="17" customWidth="1"/>
    <col min="12062" max="12062" width="11" style="17" customWidth="1"/>
    <col min="12063" max="12063" width="12" style="17" bestFit="1" customWidth="1"/>
    <col min="12064" max="12064" width="14.77734375" style="17" customWidth="1"/>
    <col min="12065" max="12314" width="11.44140625" style="17"/>
    <col min="12315" max="12315" width="18.77734375" style="17" customWidth="1"/>
    <col min="12316" max="12316" width="13.77734375" style="17" bestFit="1" customWidth="1"/>
    <col min="12317" max="12317" width="17.21875" style="17" customWidth="1"/>
    <col min="12318" max="12318" width="11" style="17" customWidth="1"/>
    <col min="12319" max="12319" width="12" style="17" bestFit="1" customWidth="1"/>
    <col min="12320" max="12320" width="14.77734375" style="17" customWidth="1"/>
    <col min="12321" max="12570" width="11.44140625" style="17"/>
    <col min="12571" max="12571" width="18.77734375" style="17" customWidth="1"/>
    <col min="12572" max="12572" width="13.77734375" style="17" bestFit="1" customWidth="1"/>
    <col min="12573" max="12573" width="17.21875" style="17" customWidth="1"/>
    <col min="12574" max="12574" width="11" style="17" customWidth="1"/>
    <col min="12575" max="12575" width="12" style="17" bestFit="1" customWidth="1"/>
    <col min="12576" max="12576" width="14.77734375" style="17" customWidth="1"/>
    <col min="12577" max="12826" width="11.44140625" style="17"/>
    <col min="12827" max="12827" width="18.77734375" style="17" customWidth="1"/>
    <col min="12828" max="12828" width="13.77734375" style="17" bestFit="1" customWidth="1"/>
    <col min="12829" max="12829" width="17.21875" style="17" customWidth="1"/>
    <col min="12830" max="12830" width="11" style="17" customWidth="1"/>
    <col min="12831" max="12831" width="12" style="17" bestFit="1" customWidth="1"/>
    <col min="12832" max="12832" width="14.77734375" style="17" customWidth="1"/>
    <col min="12833" max="13082" width="11.44140625" style="17"/>
    <col min="13083" max="13083" width="18.77734375" style="17" customWidth="1"/>
    <col min="13084" max="13084" width="13.77734375" style="17" bestFit="1" customWidth="1"/>
    <col min="13085" max="13085" width="17.21875" style="17" customWidth="1"/>
    <col min="13086" max="13086" width="11" style="17" customWidth="1"/>
    <col min="13087" max="13087" width="12" style="17" bestFit="1" customWidth="1"/>
    <col min="13088" max="13088" width="14.77734375" style="17" customWidth="1"/>
    <col min="13089" max="13338" width="11.44140625" style="17"/>
    <col min="13339" max="13339" width="18.77734375" style="17" customWidth="1"/>
    <col min="13340" max="13340" width="13.77734375" style="17" bestFit="1" customWidth="1"/>
    <col min="13341" max="13341" width="17.21875" style="17" customWidth="1"/>
    <col min="13342" max="13342" width="11" style="17" customWidth="1"/>
    <col min="13343" max="13343" width="12" style="17" bestFit="1" customWidth="1"/>
    <col min="13344" max="13344" width="14.77734375" style="17" customWidth="1"/>
    <col min="13345" max="13594" width="11.44140625" style="17"/>
    <col min="13595" max="13595" width="18.77734375" style="17" customWidth="1"/>
    <col min="13596" max="13596" width="13.77734375" style="17" bestFit="1" customWidth="1"/>
    <col min="13597" max="13597" width="17.21875" style="17" customWidth="1"/>
    <col min="13598" max="13598" width="11" style="17" customWidth="1"/>
    <col min="13599" max="13599" width="12" style="17" bestFit="1" customWidth="1"/>
    <col min="13600" max="13600" width="14.77734375" style="17" customWidth="1"/>
    <col min="13601" max="13850" width="11.44140625" style="17"/>
    <col min="13851" max="13851" width="18.77734375" style="17" customWidth="1"/>
    <col min="13852" max="13852" width="13.77734375" style="17" bestFit="1" customWidth="1"/>
    <col min="13853" max="13853" width="17.21875" style="17" customWidth="1"/>
    <col min="13854" max="13854" width="11" style="17" customWidth="1"/>
    <col min="13855" max="13855" width="12" style="17" bestFit="1" customWidth="1"/>
    <col min="13856" max="13856" width="14.77734375" style="17" customWidth="1"/>
    <col min="13857" max="14106" width="11.44140625" style="17"/>
    <col min="14107" max="14107" width="18.77734375" style="17" customWidth="1"/>
    <col min="14108" max="14108" width="13.77734375" style="17" bestFit="1" customWidth="1"/>
    <col min="14109" max="14109" width="17.21875" style="17" customWidth="1"/>
    <col min="14110" max="14110" width="11" style="17" customWidth="1"/>
    <col min="14111" max="14111" width="12" style="17" bestFit="1" customWidth="1"/>
    <col min="14112" max="14112" width="14.77734375" style="17" customWidth="1"/>
    <col min="14113" max="14362" width="11.44140625" style="17"/>
    <col min="14363" max="14363" width="18.77734375" style="17" customWidth="1"/>
    <col min="14364" max="14364" width="13.77734375" style="17" bestFit="1" customWidth="1"/>
    <col min="14365" max="14365" width="17.21875" style="17" customWidth="1"/>
    <col min="14366" max="14366" width="11" style="17" customWidth="1"/>
    <col min="14367" max="14367" width="12" style="17" bestFit="1" customWidth="1"/>
    <col min="14368" max="14368" width="14.77734375" style="17" customWidth="1"/>
    <col min="14369" max="14618" width="11.44140625" style="17"/>
    <col min="14619" max="14619" width="18.77734375" style="17" customWidth="1"/>
    <col min="14620" max="14620" width="13.77734375" style="17" bestFit="1" customWidth="1"/>
    <col min="14621" max="14621" width="17.21875" style="17" customWidth="1"/>
    <col min="14622" max="14622" width="11" style="17" customWidth="1"/>
    <col min="14623" max="14623" width="12" style="17" bestFit="1" customWidth="1"/>
    <col min="14624" max="14624" width="14.77734375" style="17" customWidth="1"/>
    <col min="14625" max="14874" width="11.44140625" style="17"/>
    <col min="14875" max="14875" width="18.77734375" style="17" customWidth="1"/>
    <col min="14876" max="14876" width="13.77734375" style="17" bestFit="1" customWidth="1"/>
    <col min="14877" max="14877" width="17.21875" style="17" customWidth="1"/>
    <col min="14878" max="14878" width="11" style="17" customWidth="1"/>
    <col min="14879" max="14879" width="12" style="17" bestFit="1" customWidth="1"/>
    <col min="14880" max="14880" width="14.77734375" style="17" customWidth="1"/>
    <col min="14881" max="15130" width="11.44140625" style="17"/>
    <col min="15131" max="15131" width="18.77734375" style="17" customWidth="1"/>
    <col min="15132" max="15132" width="13.77734375" style="17" bestFit="1" customWidth="1"/>
    <col min="15133" max="15133" width="17.21875" style="17" customWidth="1"/>
    <col min="15134" max="15134" width="11" style="17" customWidth="1"/>
    <col min="15135" max="15135" width="12" style="17" bestFit="1" customWidth="1"/>
    <col min="15136" max="15136" width="14.77734375" style="17" customWidth="1"/>
    <col min="15137" max="15386" width="11.44140625" style="17"/>
    <col min="15387" max="15387" width="18.77734375" style="17" customWidth="1"/>
    <col min="15388" max="15388" width="13.77734375" style="17" bestFit="1" customWidth="1"/>
    <col min="15389" max="15389" width="17.21875" style="17" customWidth="1"/>
    <col min="15390" max="15390" width="11" style="17" customWidth="1"/>
    <col min="15391" max="15391" width="12" style="17" bestFit="1" customWidth="1"/>
    <col min="15392" max="15392" width="14.77734375" style="17" customWidth="1"/>
    <col min="15393" max="15642" width="11.44140625" style="17"/>
    <col min="15643" max="15643" width="18.77734375" style="17" customWidth="1"/>
    <col min="15644" max="15644" width="13.77734375" style="17" bestFit="1" customWidth="1"/>
    <col min="15645" max="15645" width="17.21875" style="17" customWidth="1"/>
    <col min="15646" max="15646" width="11" style="17" customWidth="1"/>
    <col min="15647" max="15647" width="12" style="17" bestFit="1" customWidth="1"/>
    <col min="15648" max="15648" width="14.77734375" style="17" customWidth="1"/>
    <col min="15649" max="15898" width="11.44140625" style="17"/>
    <col min="15899" max="15899" width="18.77734375" style="17" customWidth="1"/>
    <col min="15900" max="15900" width="13.77734375" style="17" bestFit="1" customWidth="1"/>
    <col min="15901" max="15901" width="17.21875" style="17" customWidth="1"/>
    <col min="15902" max="15902" width="11" style="17" customWidth="1"/>
    <col min="15903" max="15903" width="12" style="17" bestFit="1" customWidth="1"/>
    <col min="15904" max="15904" width="14.77734375" style="17" customWidth="1"/>
    <col min="15905" max="16154" width="11.44140625" style="17"/>
    <col min="16155" max="16155" width="18.77734375" style="17" customWidth="1"/>
    <col min="16156" max="16156" width="13.77734375" style="17" bestFit="1" customWidth="1"/>
    <col min="16157" max="16157" width="17.21875" style="17" customWidth="1"/>
    <col min="16158" max="16158" width="11" style="17" customWidth="1"/>
    <col min="16159" max="16159" width="12" style="17" bestFit="1" customWidth="1"/>
    <col min="16160" max="16160" width="14.77734375" style="17" customWidth="1"/>
    <col min="16161" max="16384" width="11.44140625" style="17"/>
  </cols>
  <sheetData>
    <row r="2" spans="1:37" x14ac:dyDescent="0.25">
      <c r="A2" s="17" t="s">
        <v>70</v>
      </c>
      <c r="B2" s="63">
        <f>'pooled normalised values'!B75</f>
        <v>4.2348601740432971E-2</v>
      </c>
      <c r="D2" s="17" t="s">
        <v>9</v>
      </c>
      <c r="E2" s="18"/>
      <c r="F2" s="19" t="str">
        <f>'pooled normalised values'!J74</f>
        <v>estradiol-68ng/L</v>
      </c>
      <c r="G2" s="19" t="str">
        <f>'pooled normalised values'!K74</f>
        <v>estradiol-135ng/L</v>
      </c>
      <c r="H2" s="19" t="str">
        <f>'pooled normalised values'!L74</f>
        <v>estradiol-270ng/L</v>
      </c>
      <c r="I2" s="19" t="str">
        <f>'pooled normalised values'!M74</f>
        <v>estradiol-540ng/L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estradiol-34ng/L + Testostérone</v>
      </c>
      <c r="W2" s="19" t="str">
        <f>'pooled normalised values'!S74</f>
        <v>estradiol-68ng/L + Testostérone</v>
      </c>
      <c r="X2" s="19" t="str">
        <f>'pooled normalised values'!T74</f>
        <v>estradiol-135ng/L + Testostérone</v>
      </c>
      <c r="Y2" s="19" t="str">
        <f>'pooled normalised values'!U74</f>
        <v>estradiol-270ng/L + Testostérone</v>
      </c>
      <c r="Z2" s="19" t="str">
        <f>'pooled normalised values'!V74</f>
        <v>estradiol-540ng/L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8.7631929298085262E-2</v>
      </c>
      <c r="G3" s="19">
        <f>HLOOKUP(G2,'pooled normalised values'!C74:W83,2,FALSE)</f>
        <v>0.99087964784593596</v>
      </c>
      <c r="H3" s="19">
        <f>HLOOKUP(H2,'pooled normalised values'!C74:X83,2,FALSE)</f>
        <v>4.6834127941991106</v>
      </c>
      <c r="I3" s="19">
        <f>HLOOKUP(I2,'pooled normalised values'!D74:Y83,2,FALSE)</f>
        <v>8.3076717768607242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2.282052159540934</v>
      </c>
      <c r="W3" s="19">
        <f>HLOOKUP(W2,'pooled normalised values'!N74:AM83,2,FALSE)</f>
        <v>2.535221485376518</v>
      </c>
      <c r="X3" s="19">
        <f>HLOOKUP(X2,'pooled normalised values'!N74:AN83,2,FALSE)</f>
        <v>4.2819850943386504</v>
      </c>
      <c r="Y3" s="19">
        <f>HLOOKUP(Y2,'pooled normalised values'!N74:AO83,2,FALSE)</f>
        <v>6.8351528290432064</v>
      </c>
      <c r="Z3" s="19">
        <f>HLOOKUP(Z2,'pooled normalised values'!N74:AP83,2,FALSE)</f>
        <v>9.4881587412673927</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0.99999999999999989</v>
      </c>
      <c r="D4" s="21" t="s">
        <v>2</v>
      </c>
      <c r="E4" s="22"/>
      <c r="F4" s="19">
        <f>HLOOKUP(F2,'pooled normalised values'!B74:V83,3,FALSE)</f>
        <v>3.0921364028070712E-2</v>
      </c>
      <c r="G4" s="19">
        <f>HLOOKUP(G2,'pooled normalised values'!C74:W83,3,FALSE)</f>
        <v>0.25321616836897093</v>
      </c>
      <c r="H4" s="19">
        <f>HLOOKUP(H2,'pooled normalised values'!C74:X83,3,FALSE)</f>
        <v>0.5266791009691848</v>
      </c>
      <c r="I4" s="19">
        <f>HLOOKUP(I2,'pooled normalised values'!D74:Y83,3,FALSE)</f>
        <v>0.72571618953507733</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0.4606761936351641</v>
      </c>
      <c r="W4" s="19">
        <f>HLOOKUP(W2,'pooled normalised values'!N74:AM83,3,FALSE)</f>
        <v>0.40400625309327326</v>
      </c>
      <c r="X4" s="19">
        <f>HLOOKUP(X2,'pooled normalised values'!N74:AN83,3,FALSE)</f>
        <v>0.47465982194796408</v>
      </c>
      <c r="Y4" s="19">
        <f>HLOOKUP(Y2,'pooled normalised values'!N74:AO83,3,FALSE)</f>
        <v>0.50716489906711748</v>
      </c>
      <c r="Z4" s="19">
        <f>HLOOKUP(Z2,'pooled normalised values'!N74:AP83,3,FALSE)</f>
        <v>0.741107505567007</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8.1451204448091943</v>
      </c>
      <c r="D5" s="23" t="s">
        <v>11</v>
      </c>
      <c r="E5" s="22"/>
      <c r="F5" s="19" t="str">
        <f>HLOOKUP(F2,'pooled normalised values'!B74:V83,10,FALSE)</f>
        <v>ns</v>
      </c>
      <c r="G5" s="19" t="str">
        <f>HLOOKUP(G2,'pooled normalised values'!C74:W83,10,FALSE)</f>
        <v>**</v>
      </c>
      <c r="H5" s="19" t="str">
        <f>HLOOKUP(H2,'pooled normalised values'!C74:X83,10,FALSE)</f>
        <v>***</v>
      </c>
      <c r="I5" s="19" t="str">
        <f>HLOOKUP(I2,'pooled normalised values'!D74:Y83,10,FALSE)</f>
        <v>***</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5.0136080759613601E-2</v>
      </c>
      <c r="D6" s="21" t="s">
        <v>12</v>
      </c>
      <c r="E6" s="24">
        <f>$B$2</f>
        <v>4.2348601740432971E-2</v>
      </c>
      <c r="F6" s="24">
        <f>$B$2</f>
        <v>4.2348601740432971E-2</v>
      </c>
      <c r="G6" s="24">
        <f t="shared" ref="G6:R6" si="0">$B$2</f>
        <v>4.2348601740432971E-2</v>
      </c>
      <c r="H6" s="24">
        <f t="shared" si="0"/>
        <v>4.2348601740432971E-2</v>
      </c>
      <c r="I6" s="24">
        <f t="shared" si="0"/>
        <v>4.2348601740432971E-2</v>
      </c>
      <c r="J6" s="24">
        <f t="shared" si="0"/>
        <v>4.2348601740432971E-2</v>
      </c>
      <c r="K6" s="24">
        <f t="shared" si="0"/>
        <v>4.2348601740432971E-2</v>
      </c>
      <c r="L6" s="24">
        <f t="shared" si="0"/>
        <v>4.2348601740432971E-2</v>
      </c>
      <c r="M6" s="24">
        <f t="shared" si="0"/>
        <v>4.2348601740432971E-2</v>
      </c>
      <c r="N6" s="24">
        <f t="shared" si="0"/>
        <v>4.2348601740432971E-2</v>
      </c>
      <c r="O6" s="24">
        <f t="shared" si="0"/>
        <v>4.2348601740432971E-2</v>
      </c>
      <c r="P6" s="24">
        <f t="shared" si="0"/>
        <v>4.2348601740432971E-2</v>
      </c>
      <c r="Q6" s="24">
        <f t="shared" si="0"/>
        <v>4.2348601740432971E-2</v>
      </c>
      <c r="R6" s="24">
        <f t="shared" si="0"/>
        <v>4.2348601740432971E-2</v>
      </c>
      <c r="S6" s="24">
        <f>$B$2</f>
        <v>4.2348601740432971E-2</v>
      </c>
      <c r="T6" s="24">
        <f>$B$2</f>
        <v>4.2348601740432971E-2</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0.99999999999999989</v>
      </c>
      <c r="V7" s="25">
        <f t="shared" si="1"/>
        <v>0.99999999999999989</v>
      </c>
      <c r="W7" s="25">
        <f t="shared" si="1"/>
        <v>0.99999999999999989</v>
      </c>
      <c r="X7" s="25">
        <f t="shared" si="1"/>
        <v>0.99999999999999989</v>
      </c>
      <c r="Y7" s="25">
        <f t="shared" si="1"/>
        <v>0.99999999999999989</v>
      </c>
      <c r="Z7" s="25">
        <f t="shared" si="1"/>
        <v>0.99999999999999989</v>
      </c>
      <c r="AA7" s="25">
        <f t="shared" si="1"/>
        <v>0.99999999999999989</v>
      </c>
      <c r="AB7" s="25">
        <f t="shared" si="1"/>
        <v>0.99999999999999989</v>
      </c>
      <c r="AC7" s="25">
        <f t="shared" si="1"/>
        <v>0.99999999999999989</v>
      </c>
      <c r="AD7" s="25">
        <f t="shared" si="1"/>
        <v>0.99999999999999989</v>
      </c>
      <c r="AE7" s="25">
        <f t="shared" si="1"/>
        <v>0.99999999999999989</v>
      </c>
      <c r="AF7" s="25">
        <f t="shared" si="1"/>
        <v>0.99999999999999989</v>
      </c>
      <c r="AG7" s="25">
        <f t="shared" si="1"/>
        <v>0.99999999999999989</v>
      </c>
      <c r="AH7" s="25">
        <f t="shared" si="1"/>
        <v>0.99999999999999989</v>
      </c>
      <c r="AI7" s="25">
        <f t="shared" si="1"/>
        <v>0.99999999999999989</v>
      </c>
      <c r="AJ7" s="25">
        <f t="shared" si="1"/>
        <v>0.99999999999999989</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5.0136080759613601E-2</v>
      </c>
      <c r="V8" s="25">
        <f t="shared" ref="V8:AJ8" si="2">$B$6</f>
        <v>5.0136080759613601E-2</v>
      </c>
      <c r="W8" s="25">
        <f t="shared" si="2"/>
        <v>5.0136080759613601E-2</v>
      </c>
      <c r="X8" s="25">
        <f t="shared" si="2"/>
        <v>5.0136080759613601E-2</v>
      </c>
      <c r="Y8" s="25">
        <f t="shared" si="2"/>
        <v>5.0136080759613601E-2</v>
      </c>
      <c r="Z8" s="25">
        <f t="shared" si="2"/>
        <v>5.0136080759613601E-2</v>
      </c>
      <c r="AA8" s="25">
        <f t="shared" si="2"/>
        <v>5.0136080759613601E-2</v>
      </c>
      <c r="AB8" s="25">
        <f t="shared" si="2"/>
        <v>5.0136080759613601E-2</v>
      </c>
      <c r="AC8" s="25">
        <f t="shared" si="2"/>
        <v>5.0136080759613601E-2</v>
      </c>
      <c r="AD8" s="25">
        <f t="shared" si="2"/>
        <v>5.0136080759613601E-2</v>
      </c>
      <c r="AE8" s="25">
        <f t="shared" si="2"/>
        <v>5.0136080759613601E-2</v>
      </c>
      <c r="AF8" s="25">
        <f t="shared" si="2"/>
        <v>5.0136080759613601E-2</v>
      </c>
      <c r="AG8" s="25">
        <f t="shared" si="2"/>
        <v>5.0136080759613601E-2</v>
      </c>
      <c r="AH8" s="25">
        <f t="shared" si="2"/>
        <v>5.0136080759613601E-2</v>
      </c>
      <c r="AI8" s="25">
        <f t="shared" si="2"/>
        <v>5.0136080759613601E-2</v>
      </c>
      <c r="AJ8" s="25">
        <f t="shared" si="2"/>
        <v>5.0136080759613601E-2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8.09498436404958</v>
      </c>
      <c r="V9" s="25">
        <f>$B$5-V8</f>
        <v>8.09498436404958</v>
      </c>
      <c r="W9" s="25">
        <f t="shared" ref="W9:AH9" si="4">$B$5-W8</f>
        <v>8.09498436404958</v>
      </c>
      <c r="X9" s="25">
        <f t="shared" si="4"/>
        <v>8.09498436404958</v>
      </c>
      <c r="Y9" s="25">
        <f t="shared" si="4"/>
        <v>8.09498436404958</v>
      </c>
      <c r="Z9" s="25">
        <f t="shared" si="4"/>
        <v>8.09498436404958</v>
      </c>
      <c r="AA9" s="25">
        <f t="shared" si="4"/>
        <v>8.09498436404958</v>
      </c>
      <c r="AB9" s="25">
        <f t="shared" si="4"/>
        <v>8.09498436404958</v>
      </c>
      <c r="AC9" s="25">
        <f t="shared" si="4"/>
        <v>8.09498436404958</v>
      </c>
      <c r="AD9" s="25">
        <f t="shared" si="4"/>
        <v>8.09498436404958</v>
      </c>
      <c r="AE9" s="25">
        <f t="shared" si="4"/>
        <v>8.09498436404958</v>
      </c>
      <c r="AF9" s="25">
        <f t="shared" si="4"/>
        <v>8.09498436404958</v>
      </c>
      <c r="AG9" s="25">
        <f t="shared" si="4"/>
        <v>8.09498436404958</v>
      </c>
      <c r="AH9" s="25">
        <f t="shared" si="4"/>
        <v>8.09498436404958</v>
      </c>
      <c r="AI9" s="25">
        <f>$B$5-AI8</f>
        <v>8.09498436404958</v>
      </c>
      <c r="AJ9" s="25">
        <f>$B$5-AJ8</f>
        <v>8.09498436404958</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-5.59498436404958</v>
      </c>
      <c r="V10" s="25">
        <f>2.5-V9</f>
        <v>-5.59498436404958</v>
      </c>
      <c r="W10" s="25">
        <f t="shared" ref="W10:AH10" si="6">2.5-W9</f>
        <v>-5.59498436404958</v>
      </c>
      <c r="X10" s="25">
        <f t="shared" si="6"/>
        <v>-5.59498436404958</v>
      </c>
      <c r="Y10" s="25">
        <f t="shared" si="6"/>
        <v>-5.59498436404958</v>
      </c>
      <c r="Z10" s="25">
        <f t="shared" si="6"/>
        <v>-5.59498436404958</v>
      </c>
      <c r="AA10" s="25">
        <f t="shared" si="6"/>
        <v>-5.59498436404958</v>
      </c>
      <c r="AB10" s="25">
        <f t="shared" si="6"/>
        <v>-5.59498436404958</v>
      </c>
      <c r="AC10" s="25">
        <f t="shared" si="6"/>
        <v>-5.59498436404958</v>
      </c>
      <c r="AD10" s="25">
        <f t="shared" si="6"/>
        <v>-5.59498436404958</v>
      </c>
      <c r="AE10" s="25">
        <f t="shared" si="6"/>
        <v>-5.59498436404958</v>
      </c>
      <c r="AF10" s="25">
        <f t="shared" si="6"/>
        <v>-5.59498436404958</v>
      </c>
      <c r="AG10" s="25">
        <f t="shared" si="6"/>
        <v>-5.59498436404958</v>
      </c>
      <c r="AH10" s="25">
        <f t="shared" si="6"/>
        <v>-5.59498436404958</v>
      </c>
      <c r="AI10" s="25">
        <f>2.5-AI9</f>
        <v>-5.59498436404958</v>
      </c>
      <c r="AJ10" s="25">
        <f>2.5-AJ9</f>
        <v>-5.59498436404958</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6" width="14.77734375" style="17" customWidth="1"/>
    <col min="7" max="8" width="11.44140625" style="17"/>
    <col min="9" max="9" width="13.5546875" style="17" bestFit="1" customWidth="1"/>
    <col min="10" max="256" width="11.44140625" style="17"/>
    <col min="257" max="257" width="18.77734375" style="17" customWidth="1"/>
    <col min="258" max="258" width="13.77734375" style="17" bestFit="1" customWidth="1"/>
    <col min="259" max="259" width="17.21875" style="17" customWidth="1"/>
    <col min="260" max="260" width="11" style="17" customWidth="1"/>
    <col min="261" max="261" width="12" style="17" bestFit="1" customWidth="1"/>
    <col min="262" max="262" width="14.77734375" style="17" customWidth="1"/>
    <col min="263" max="512" width="11.44140625" style="17"/>
    <col min="513" max="513" width="18.77734375" style="17" customWidth="1"/>
    <col min="514" max="514" width="13.77734375" style="17" bestFit="1" customWidth="1"/>
    <col min="515" max="515" width="17.21875" style="17" customWidth="1"/>
    <col min="516" max="516" width="11" style="17" customWidth="1"/>
    <col min="517" max="517" width="12" style="17" bestFit="1" customWidth="1"/>
    <col min="518" max="518" width="14.77734375" style="17" customWidth="1"/>
    <col min="519" max="768" width="11.44140625" style="17"/>
    <col min="769" max="769" width="18.77734375" style="17" customWidth="1"/>
    <col min="770" max="770" width="13.77734375" style="17" bestFit="1" customWidth="1"/>
    <col min="771" max="771" width="17.21875" style="17" customWidth="1"/>
    <col min="772" max="772" width="11" style="17" customWidth="1"/>
    <col min="773" max="773" width="12" style="17" bestFit="1" customWidth="1"/>
    <col min="774" max="774" width="14.77734375" style="17" customWidth="1"/>
    <col min="775" max="1024" width="11.44140625" style="17"/>
    <col min="1025" max="1025" width="18.77734375" style="17" customWidth="1"/>
    <col min="1026" max="1026" width="13.77734375" style="17" bestFit="1" customWidth="1"/>
    <col min="1027" max="1027" width="17.21875" style="17" customWidth="1"/>
    <col min="1028" max="1028" width="11" style="17" customWidth="1"/>
    <col min="1029" max="1029" width="12" style="17" bestFit="1" customWidth="1"/>
    <col min="1030" max="1030" width="14.77734375" style="17" customWidth="1"/>
    <col min="1031" max="1280" width="11.44140625" style="17"/>
    <col min="1281" max="1281" width="18.77734375" style="17" customWidth="1"/>
    <col min="1282" max="1282" width="13.77734375" style="17" bestFit="1" customWidth="1"/>
    <col min="1283" max="1283" width="17.21875" style="17" customWidth="1"/>
    <col min="1284" max="1284" width="11" style="17" customWidth="1"/>
    <col min="1285" max="1285" width="12" style="17" bestFit="1" customWidth="1"/>
    <col min="1286" max="1286" width="14.77734375" style="17" customWidth="1"/>
    <col min="1287" max="1536" width="11.44140625" style="17"/>
    <col min="1537" max="1537" width="18.77734375" style="17" customWidth="1"/>
    <col min="1538" max="1538" width="13.77734375" style="17" bestFit="1" customWidth="1"/>
    <col min="1539" max="1539" width="17.21875" style="17" customWidth="1"/>
    <col min="1540" max="1540" width="11" style="17" customWidth="1"/>
    <col min="1541" max="1541" width="12" style="17" bestFit="1" customWidth="1"/>
    <col min="1542" max="1542" width="14.77734375" style="17" customWidth="1"/>
    <col min="1543" max="1792" width="11.44140625" style="17"/>
    <col min="1793" max="1793" width="18.77734375" style="17" customWidth="1"/>
    <col min="1794" max="1794" width="13.77734375" style="17" bestFit="1" customWidth="1"/>
    <col min="1795" max="1795" width="17.21875" style="17" customWidth="1"/>
    <col min="1796" max="1796" width="11" style="17" customWidth="1"/>
    <col min="1797" max="1797" width="12" style="17" bestFit="1" customWidth="1"/>
    <col min="1798" max="1798" width="14.77734375" style="17" customWidth="1"/>
    <col min="1799" max="2048" width="11.44140625" style="17"/>
    <col min="2049" max="2049" width="18.77734375" style="17" customWidth="1"/>
    <col min="2050" max="2050" width="13.77734375" style="17" bestFit="1" customWidth="1"/>
    <col min="2051" max="2051" width="17.21875" style="17" customWidth="1"/>
    <col min="2052" max="2052" width="11" style="17" customWidth="1"/>
    <col min="2053" max="2053" width="12" style="17" bestFit="1" customWidth="1"/>
    <col min="2054" max="2054" width="14.77734375" style="17" customWidth="1"/>
    <col min="2055" max="2304" width="11.44140625" style="17"/>
    <col min="2305" max="2305" width="18.77734375" style="17" customWidth="1"/>
    <col min="2306" max="2306" width="13.77734375" style="17" bestFit="1" customWidth="1"/>
    <col min="2307" max="2307" width="17.21875" style="17" customWidth="1"/>
    <col min="2308" max="2308" width="11" style="17" customWidth="1"/>
    <col min="2309" max="2309" width="12" style="17" bestFit="1" customWidth="1"/>
    <col min="2310" max="2310" width="14.77734375" style="17" customWidth="1"/>
    <col min="2311" max="2560" width="11.44140625" style="17"/>
    <col min="2561" max="2561" width="18.77734375" style="17" customWidth="1"/>
    <col min="2562" max="2562" width="13.77734375" style="17" bestFit="1" customWidth="1"/>
    <col min="2563" max="2563" width="17.21875" style="17" customWidth="1"/>
    <col min="2564" max="2564" width="11" style="17" customWidth="1"/>
    <col min="2565" max="2565" width="12" style="17" bestFit="1" customWidth="1"/>
    <col min="2566" max="2566" width="14.77734375" style="17" customWidth="1"/>
    <col min="2567" max="2816" width="11.44140625" style="17"/>
    <col min="2817" max="2817" width="18.77734375" style="17" customWidth="1"/>
    <col min="2818" max="2818" width="13.77734375" style="17" bestFit="1" customWidth="1"/>
    <col min="2819" max="2819" width="17.21875" style="17" customWidth="1"/>
    <col min="2820" max="2820" width="11" style="17" customWidth="1"/>
    <col min="2821" max="2821" width="12" style="17" bestFit="1" customWidth="1"/>
    <col min="2822" max="2822" width="14.77734375" style="17" customWidth="1"/>
    <col min="2823" max="3072" width="11.44140625" style="17"/>
    <col min="3073" max="3073" width="18.77734375" style="17" customWidth="1"/>
    <col min="3074" max="3074" width="13.77734375" style="17" bestFit="1" customWidth="1"/>
    <col min="3075" max="3075" width="17.21875" style="17" customWidth="1"/>
    <col min="3076" max="3076" width="11" style="17" customWidth="1"/>
    <col min="3077" max="3077" width="12" style="17" bestFit="1" customWidth="1"/>
    <col min="3078" max="3078" width="14.77734375" style="17" customWidth="1"/>
    <col min="3079" max="3328" width="11.44140625" style="17"/>
    <col min="3329" max="3329" width="18.77734375" style="17" customWidth="1"/>
    <col min="3330" max="3330" width="13.77734375" style="17" bestFit="1" customWidth="1"/>
    <col min="3331" max="3331" width="17.21875" style="17" customWidth="1"/>
    <col min="3332" max="3332" width="11" style="17" customWidth="1"/>
    <col min="3333" max="3333" width="12" style="17" bestFit="1" customWidth="1"/>
    <col min="3334" max="3334" width="14.77734375" style="17" customWidth="1"/>
    <col min="3335" max="3584" width="11.44140625" style="17"/>
    <col min="3585" max="3585" width="18.77734375" style="17" customWidth="1"/>
    <col min="3586" max="3586" width="13.77734375" style="17" bestFit="1" customWidth="1"/>
    <col min="3587" max="3587" width="17.21875" style="17" customWidth="1"/>
    <col min="3588" max="3588" width="11" style="17" customWidth="1"/>
    <col min="3589" max="3589" width="12" style="17" bestFit="1" customWidth="1"/>
    <col min="3590" max="3590" width="14.77734375" style="17" customWidth="1"/>
    <col min="3591" max="3840" width="11.44140625" style="17"/>
    <col min="3841" max="3841" width="18.77734375" style="17" customWidth="1"/>
    <col min="3842" max="3842" width="13.77734375" style="17" bestFit="1" customWidth="1"/>
    <col min="3843" max="3843" width="17.21875" style="17" customWidth="1"/>
    <col min="3844" max="3844" width="11" style="17" customWidth="1"/>
    <col min="3845" max="3845" width="12" style="17" bestFit="1" customWidth="1"/>
    <col min="3846" max="3846" width="14.77734375" style="17" customWidth="1"/>
    <col min="3847" max="4096" width="11.44140625" style="17"/>
    <col min="4097" max="4097" width="18.77734375" style="17" customWidth="1"/>
    <col min="4098" max="4098" width="13.77734375" style="17" bestFit="1" customWidth="1"/>
    <col min="4099" max="4099" width="17.21875" style="17" customWidth="1"/>
    <col min="4100" max="4100" width="11" style="17" customWidth="1"/>
    <col min="4101" max="4101" width="12" style="17" bestFit="1" customWidth="1"/>
    <col min="4102" max="4102" width="14.77734375" style="17" customWidth="1"/>
    <col min="4103" max="4352" width="11.44140625" style="17"/>
    <col min="4353" max="4353" width="18.77734375" style="17" customWidth="1"/>
    <col min="4354" max="4354" width="13.77734375" style="17" bestFit="1" customWidth="1"/>
    <col min="4355" max="4355" width="17.21875" style="17" customWidth="1"/>
    <col min="4356" max="4356" width="11" style="17" customWidth="1"/>
    <col min="4357" max="4357" width="12" style="17" bestFit="1" customWidth="1"/>
    <col min="4358" max="4358" width="14.77734375" style="17" customWidth="1"/>
    <col min="4359" max="4608" width="11.44140625" style="17"/>
    <col min="4609" max="4609" width="18.77734375" style="17" customWidth="1"/>
    <col min="4610" max="4610" width="13.77734375" style="17" bestFit="1" customWidth="1"/>
    <col min="4611" max="4611" width="17.21875" style="17" customWidth="1"/>
    <col min="4612" max="4612" width="11" style="17" customWidth="1"/>
    <col min="4613" max="4613" width="12" style="17" bestFit="1" customWidth="1"/>
    <col min="4614" max="4614" width="14.77734375" style="17" customWidth="1"/>
    <col min="4615" max="4864" width="11.44140625" style="17"/>
    <col min="4865" max="4865" width="18.77734375" style="17" customWidth="1"/>
    <col min="4866" max="4866" width="13.77734375" style="17" bestFit="1" customWidth="1"/>
    <col min="4867" max="4867" width="17.21875" style="17" customWidth="1"/>
    <col min="4868" max="4868" width="11" style="17" customWidth="1"/>
    <col min="4869" max="4869" width="12" style="17" bestFit="1" customWidth="1"/>
    <col min="4870" max="4870" width="14.77734375" style="17" customWidth="1"/>
    <col min="4871" max="5120" width="11.44140625" style="17"/>
    <col min="5121" max="5121" width="18.77734375" style="17" customWidth="1"/>
    <col min="5122" max="5122" width="13.77734375" style="17" bestFit="1" customWidth="1"/>
    <col min="5123" max="5123" width="17.21875" style="17" customWidth="1"/>
    <col min="5124" max="5124" width="11" style="17" customWidth="1"/>
    <col min="5125" max="5125" width="12" style="17" bestFit="1" customWidth="1"/>
    <col min="5126" max="5126" width="14.77734375" style="17" customWidth="1"/>
    <col min="5127" max="5376" width="11.44140625" style="17"/>
    <col min="5377" max="5377" width="18.77734375" style="17" customWidth="1"/>
    <col min="5378" max="5378" width="13.77734375" style="17" bestFit="1" customWidth="1"/>
    <col min="5379" max="5379" width="17.21875" style="17" customWidth="1"/>
    <col min="5380" max="5380" width="11" style="17" customWidth="1"/>
    <col min="5381" max="5381" width="12" style="17" bestFit="1" customWidth="1"/>
    <col min="5382" max="5382" width="14.77734375" style="17" customWidth="1"/>
    <col min="5383" max="5632" width="11.44140625" style="17"/>
    <col min="5633" max="5633" width="18.77734375" style="17" customWidth="1"/>
    <col min="5634" max="5634" width="13.77734375" style="17" bestFit="1" customWidth="1"/>
    <col min="5635" max="5635" width="17.21875" style="17" customWidth="1"/>
    <col min="5636" max="5636" width="11" style="17" customWidth="1"/>
    <col min="5637" max="5637" width="12" style="17" bestFit="1" customWidth="1"/>
    <col min="5638" max="5638" width="14.77734375" style="17" customWidth="1"/>
    <col min="5639" max="5888" width="11.44140625" style="17"/>
    <col min="5889" max="5889" width="18.77734375" style="17" customWidth="1"/>
    <col min="5890" max="5890" width="13.77734375" style="17" bestFit="1" customWidth="1"/>
    <col min="5891" max="5891" width="17.21875" style="17" customWidth="1"/>
    <col min="5892" max="5892" width="11" style="17" customWidth="1"/>
    <col min="5893" max="5893" width="12" style="17" bestFit="1" customWidth="1"/>
    <col min="5894" max="5894" width="14.77734375" style="17" customWidth="1"/>
    <col min="5895" max="6144" width="11.44140625" style="17"/>
    <col min="6145" max="6145" width="18.77734375" style="17" customWidth="1"/>
    <col min="6146" max="6146" width="13.77734375" style="17" bestFit="1" customWidth="1"/>
    <col min="6147" max="6147" width="17.21875" style="17" customWidth="1"/>
    <col min="6148" max="6148" width="11" style="17" customWidth="1"/>
    <col min="6149" max="6149" width="12" style="17" bestFit="1" customWidth="1"/>
    <col min="6150" max="6150" width="14.77734375" style="17" customWidth="1"/>
    <col min="6151" max="6400" width="11.44140625" style="17"/>
    <col min="6401" max="6401" width="18.77734375" style="17" customWidth="1"/>
    <col min="6402" max="6402" width="13.77734375" style="17" bestFit="1" customWidth="1"/>
    <col min="6403" max="6403" width="17.21875" style="17" customWidth="1"/>
    <col min="6404" max="6404" width="11" style="17" customWidth="1"/>
    <col min="6405" max="6405" width="12" style="17" bestFit="1" customWidth="1"/>
    <col min="6406" max="6406" width="14.77734375" style="17" customWidth="1"/>
    <col min="6407" max="6656" width="11.44140625" style="17"/>
    <col min="6657" max="6657" width="18.77734375" style="17" customWidth="1"/>
    <col min="6658" max="6658" width="13.77734375" style="17" bestFit="1" customWidth="1"/>
    <col min="6659" max="6659" width="17.21875" style="17" customWidth="1"/>
    <col min="6660" max="6660" width="11" style="17" customWidth="1"/>
    <col min="6661" max="6661" width="12" style="17" bestFit="1" customWidth="1"/>
    <col min="6662" max="6662" width="14.77734375" style="17" customWidth="1"/>
    <col min="6663" max="6912" width="11.44140625" style="17"/>
    <col min="6913" max="6913" width="18.77734375" style="17" customWidth="1"/>
    <col min="6914" max="6914" width="13.77734375" style="17" bestFit="1" customWidth="1"/>
    <col min="6915" max="6915" width="17.21875" style="17" customWidth="1"/>
    <col min="6916" max="6916" width="11" style="17" customWidth="1"/>
    <col min="6917" max="6917" width="12" style="17" bestFit="1" customWidth="1"/>
    <col min="6918" max="6918" width="14.77734375" style="17" customWidth="1"/>
    <col min="6919" max="7168" width="11.44140625" style="17"/>
    <col min="7169" max="7169" width="18.77734375" style="17" customWidth="1"/>
    <col min="7170" max="7170" width="13.77734375" style="17" bestFit="1" customWidth="1"/>
    <col min="7171" max="7171" width="17.21875" style="17" customWidth="1"/>
    <col min="7172" max="7172" width="11" style="17" customWidth="1"/>
    <col min="7173" max="7173" width="12" style="17" bestFit="1" customWidth="1"/>
    <col min="7174" max="7174" width="14.77734375" style="17" customWidth="1"/>
    <col min="7175" max="7424" width="11.44140625" style="17"/>
    <col min="7425" max="7425" width="18.77734375" style="17" customWidth="1"/>
    <col min="7426" max="7426" width="13.77734375" style="17" bestFit="1" customWidth="1"/>
    <col min="7427" max="7427" width="17.21875" style="17" customWidth="1"/>
    <col min="7428" max="7428" width="11" style="17" customWidth="1"/>
    <col min="7429" max="7429" width="12" style="17" bestFit="1" customWidth="1"/>
    <col min="7430" max="7430" width="14.77734375" style="17" customWidth="1"/>
    <col min="7431" max="7680" width="11.44140625" style="17"/>
    <col min="7681" max="7681" width="18.77734375" style="17" customWidth="1"/>
    <col min="7682" max="7682" width="13.77734375" style="17" bestFit="1" customWidth="1"/>
    <col min="7683" max="7683" width="17.21875" style="17" customWidth="1"/>
    <col min="7684" max="7684" width="11" style="17" customWidth="1"/>
    <col min="7685" max="7685" width="12" style="17" bestFit="1" customWidth="1"/>
    <col min="7686" max="7686" width="14.77734375" style="17" customWidth="1"/>
    <col min="7687" max="7936" width="11.44140625" style="17"/>
    <col min="7937" max="7937" width="18.77734375" style="17" customWidth="1"/>
    <col min="7938" max="7938" width="13.77734375" style="17" bestFit="1" customWidth="1"/>
    <col min="7939" max="7939" width="17.21875" style="17" customWidth="1"/>
    <col min="7940" max="7940" width="11" style="17" customWidth="1"/>
    <col min="7941" max="7941" width="12" style="17" bestFit="1" customWidth="1"/>
    <col min="7942" max="7942" width="14.77734375" style="17" customWidth="1"/>
    <col min="7943" max="8192" width="11.44140625" style="17"/>
    <col min="8193" max="8193" width="18.77734375" style="17" customWidth="1"/>
    <col min="8194" max="8194" width="13.77734375" style="17" bestFit="1" customWidth="1"/>
    <col min="8195" max="8195" width="17.21875" style="17" customWidth="1"/>
    <col min="8196" max="8196" width="11" style="17" customWidth="1"/>
    <col min="8197" max="8197" width="12" style="17" bestFit="1" customWidth="1"/>
    <col min="8198" max="8198" width="14.77734375" style="17" customWidth="1"/>
    <col min="8199" max="8448" width="11.44140625" style="17"/>
    <col min="8449" max="8449" width="18.77734375" style="17" customWidth="1"/>
    <col min="8450" max="8450" width="13.77734375" style="17" bestFit="1" customWidth="1"/>
    <col min="8451" max="8451" width="17.21875" style="17" customWidth="1"/>
    <col min="8452" max="8452" width="11" style="17" customWidth="1"/>
    <col min="8453" max="8453" width="12" style="17" bestFit="1" customWidth="1"/>
    <col min="8454" max="8454" width="14.77734375" style="17" customWidth="1"/>
    <col min="8455" max="8704" width="11.44140625" style="17"/>
    <col min="8705" max="8705" width="18.77734375" style="17" customWidth="1"/>
    <col min="8706" max="8706" width="13.77734375" style="17" bestFit="1" customWidth="1"/>
    <col min="8707" max="8707" width="17.21875" style="17" customWidth="1"/>
    <col min="8708" max="8708" width="11" style="17" customWidth="1"/>
    <col min="8709" max="8709" width="12" style="17" bestFit="1" customWidth="1"/>
    <col min="8710" max="8710" width="14.77734375" style="17" customWidth="1"/>
    <col min="8711" max="8960" width="11.44140625" style="17"/>
    <col min="8961" max="8961" width="18.77734375" style="17" customWidth="1"/>
    <col min="8962" max="8962" width="13.77734375" style="17" bestFit="1" customWidth="1"/>
    <col min="8963" max="8963" width="17.21875" style="17" customWidth="1"/>
    <col min="8964" max="8964" width="11" style="17" customWidth="1"/>
    <col min="8965" max="8965" width="12" style="17" bestFit="1" customWidth="1"/>
    <col min="8966" max="8966" width="14.77734375" style="17" customWidth="1"/>
    <col min="8967" max="9216" width="11.44140625" style="17"/>
    <col min="9217" max="9217" width="18.77734375" style="17" customWidth="1"/>
    <col min="9218" max="9218" width="13.77734375" style="17" bestFit="1" customWidth="1"/>
    <col min="9219" max="9219" width="17.21875" style="17" customWidth="1"/>
    <col min="9220" max="9220" width="11" style="17" customWidth="1"/>
    <col min="9221" max="9221" width="12" style="17" bestFit="1" customWidth="1"/>
    <col min="9222" max="9222" width="14.77734375" style="17" customWidth="1"/>
    <col min="9223" max="9472" width="11.44140625" style="17"/>
    <col min="9473" max="9473" width="18.77734375" style="17" customWidth="1"/>
    <col min="9474" max="9474" width="13.77734375" style="17" bestFit="1" customWidth="1"/>
    <col min="9475" max="9475" width="17.21875" style="17" customWidth="1"/>
    <col min="9476" max="9476" width="11" style="17" customWidth="1"/>
    <col min="9477" max="9477" width="12" style="17" bestFit="1" customWidth="1"/>
    <col min="9478" max="9478" width="14.77734375" style="17" customWidth="1"/>
    <col min="9479" max="9728" width="11.44140625" style="17"/>
    <col min="9729" max="9729" width="18.77734375" style="17" customWidth="1"/>
    <col min="9730" max="9730" width="13.77734375" style="17" bestFit="1" customWidth="1"/>
    <col min="9731" max="9731" width="17.21875" style="17" customWidth="1"/>
    <col min="9732" max="9732" width="11" style="17" customWidth="1"/>
    <col min="9733" max="9733" width="12" style="17" bestFit="1" customWidth="1"/>
    <col min="9734" max="9734" width="14.77734375" style="17" customWidth="1"/>
    <col min="9735" max="9984" width="11.44140625" style="17"/>
    <col min="9985" max="9985" width="18.77734375" style="17" customWidth="1"/>
    <col min="9986" max="9986" width="13.77734375" style="17" bestFit="1" customWidth="1"/>
    <col min="9987" max="9987" width="17.21875" style="17" customWidth="1"/>
    <col min="9988" max="9988" width="11" style="17" customWidth="1"/>
    <col min="9989" max="9989" width="12" style="17" bestFit="1" customWidth="1"/>
    <col min="9990" max="9990" width="14.77734375" style="17" customWidth="1"/>
    <col min="9991" max="10240" width="11.44140625" style="17"/>
    <col min="10241" max="10241" width="18.77734375" style="17" customWidth="1"/>
    <col min="10242" max="10242" width="13.77734375" style="17" bestFit="1" customWidth="1"/>
    <col min="10243" max="10243" width="17.21875" style="17" customWidth="1"/>
    <col min="10244" max="10244" width="11" style="17" customWidth="1"/>
    <col min="10245" max="10245" width="12" style="17" bestFit="1" customWidth="1"/>
    <col min="10246" max="10246" width="14.77734375" style="17" customWidth="1"/>
    <col min="10247" max="10496" width="11.44140625" style="17"/>
    <col min="10497" max="10497" width="18.77734375" style="17" customWidth="1"/>
    <col min="10498" max="10498" width="13.77734375" style="17" bestFit="1" customWidth="1"/>
    <col min="10499" max="10499" width="17.21875" style="17" customWidth="1"/>
    <col min="10500" max="10500" width="11" style="17" customWidth="1"/>
    <col min="10501" max="10501" width="12" style="17" bestFit="1" customWidth="1"/>
    <col min="10502" max="10502" width="14.77734375" style="17" customWidth="1"/>
    <col min="10503" max="10752" width="11.44140625" style="17"/>
    <col min="10753" max="10753" width="18.77734375" style="17" customWidth="1"/>
    <col min="10754" max="10754" width="13.77734375" style="17" bestFit="1" customWidth="1"/>
    <col min="10755" max="10755" width="17.21875" style="17" customWidth="1"/>
    <col min="10756" max="10756" width="11" style="17" customWidth="1"/>
    <col min="10757" max="10757" width="12" style="17" bestFit="1" customWidth="1"/>
    <col min="10758" max="10758" width="14.77734375" style="17" customWidth="1"/>
    <col min="10759" max="11008" width="11.44140625" style="17"/>
    <col min="11009" max="11009" width="18.77734375" style="17" customWidth="1"/>
    <col min="11010" max="11010" width="13.77734375" style="17" bestFit="1" customWidth="1"/>
    <col min="11011" max="11011" width="17.21875" style="17" customWidth="1"/>
    <col min="11012" max="11012" width="11" style="17" customWidth="1"/>
    <col min="11013" max="11013" width="12" style="17" bestFit="1" customWidth="1"/>
    <col min="11014" max="11014" width="14.77734375" style="17" customWidth="1"/>
    <col min="11015" max="11264" width="11.44140625" style="17"/>
    <col min="11265" max="11265" width="18.77734375" style="17" customWidth="1"/>
    <col min="11266" max="11266" width="13.77734375" style="17" bestFit="1" customWidth="1"/>
    <col min="11267" max="11267" width="17.21875" style="17" customWidth="1"/>
    <col min="11268" max="11268" width="11" style="17" customWidth="1"/>
    <col min="11269" max="11269" width="12" style="17" bestFit="1" customWidth="1"/>
    <col min="11270" max="11270" width="14.77734375" style="17" customWidth="1"/>
    <col min="11271" max="11520" width="11.44140625" style="17"/>
    <col min="11521" max="11521" width="18.77734375" style="17" customWidth="1"/>
    <col min="11522" max="11522" width="13.77734375" style="17" bestFit="1" customWidth="1"/>
    <col min="11523" max="11523" width="17.21875" style="17" customWidth="1"/>
    <col min="11524" max="11524" width="11" style="17" customWidth="1"/>
    <col min="11525" max="11525" width="12" style="17" bestFit="1" customWidth="1"/>
    <col min="11526" max="11526" width="14.77734375" style="17" customWidth="1"/>
    <col min="11527" max="11776" width="11.44140625" style="17"/>
    <col min="11777" max="11777" width="18.77734375" style="17" customWidth="1"/>
    <col min="11778" max="11778" width="13.77734375" style="17" bestFit="1" customWidth="1"/>
    <col min="11779" max="11779" width="17.21875" style="17" customWidth="1"/>
    <col min="11780" max="11780" width="11" style="17" customWidth="1"/>
    <col min="11781" max="11781" width="12" style="17" bestFit="1" customWidth="1"/>
    <col min="11782" max="11782" width="14.77734375" style="17" customWidth="1"/>
    <col min="11783" max="12032" width="11.44140625" style="17"/>
    <col min="12033" max="12033" width="18.77734375" style="17" customWidth="1"/>
    <col min="12034" max="12034" width="13.77734375" style="17" bestFit="1" customWidth="1"/>
    <col min="12035" max="12035" width="17.21875" style="17" customWidth="1"/>
    <col min="12036" max="12036" width="11" style="17" customWidth="1"/>
    <col min="12037" max="12037" width="12" style="17" bestFit="1" customWidth="1"/>
    <col min="12038" max="12038" width="14.77734375" style="17" customWidth="1"/>
    <col min="12039" max="12288" width="11.44140625" style="17"/>
    <col min="12289" max="12289" width="18.77734375" style="17" customWidth="1"/>
    <col min="12290" max="12290" width="13.77734375" style="17" bestFit="1" customWidth="1"/>
    <col min="12291" max="12291" width="17.21875" style="17" customWidth="1"/>
    <col min="12292" max="12292" width="11" style="17" customWidth="1"/>
    <col min="12293" max="12293" width="12" style="17" bestFit="1" customWidth="1"/>
    <col min="12294" max="12294" width="14.77734375" style="17" customWidth="1"/>
    <col min="12295" max="12544" width="11.44140625" style="17"/>
    <col min="12545" max="12545" width="18.77734375" style="17" customWidth="1"/>
    <col min="12546" max="12546" width="13.77734375" style="17" bestFit="1" customWidth="1"/>
    <col min="12547" max="12547" width="17.21875" style="17" customWidth="1"/>
    <col min="12548" max="12548" width="11" style="17" customWidth="1"/>
    <col min="12549" max="12549" width="12" style="17" bestFit="1" customWidth="1"/>
    <col min="12550" max="12550" width="14.77734375" style="17" customWidth="1"/>
    <col min="12551" max="12800" width="11.44140625" style="17"/>
    <col min="12801" max="12801" width="18.77734375" style="17" customWidth="1"/>
    <col min="12802" max="12802" width="13.77734375" style="17" bestFit="1" customWidth="1"/>
    <col min="12803" max="12803" width="17.21875" style="17" customWidth="1"/>
    <col min="12804" max="12804" width="11" style="17" customWidth="1"/>
    <col min="12805" max="12805" width="12" style="17" bestFit="1" customWidth="1"/>
    <col min="12806" max="12806" width="14.77734375" style="17" customWidth="1"/>
    <col min="12807" max="13056" width="11.44140625" style="17"/>
    <col min="13057" max="13057" width="18.77734375" style="17" customWidth="1"/>
    <col min="13058" max="13058" width="13.77734375" style="17" bestFit="1" customWidth="1"/>
    <col min="13059" max="13059" width="17.21875" style="17" customWidth="1"/>
    <col min="13060" max="13060" width="11" style="17" customWidth="1"/>
    <col min="13061" max="13061" width="12" style="17" bestFit="1" customWidth="1"/>
    <col min="13062" max="13062" width="14.77734375" style="17" customWidth="1"/>
    <col min="13063" max="13312" width="11.44140625" style="17"/>
    <col min="13313" max="13313" width="18.77734375" style="17" customWidth="1"/>
    <col min="13314" max="13314" width="13.77734375" style="17" bestFit="1" customWidth="1"/>
    <col min="13315" max="13315" width="17.21875" style="17" customWidth="1"/>
    <col min="13316" max="13316" width="11" style="17" customWidth="1"/>
    <col min="13317" max="13317" width="12" style="17" bestFit="1" customWidth="1"/>
    <col min="13318" max="13318" width="14.77734375" style="17" customWidth="1"/>
    <col min="13319" max="13568" width="11.44140625" style="17"/>
    <col min="13569" max="13569" width="18.77734375" style="17" customWidth="1"/>
    <col min="13570" max="13570" width="13.77734375" style="17" bestFit="1" customWidth="1"/>
    <col min="13571" max="13571" width="17.21875" style="17" customWidth="1"/>
    <col min="13572" max="13572" width="11" style="17" customWidth="1"/>
    <col min="13573" max="13573" width="12" style="17" bestFit="1" customWidth="1"/>
    <col min="13574" max="13574" width="14.77734375" style="17" customWidth="1"/>
    <col min="13575" max="13824" width="11.44140625" style="17"/>
    <col min="13825" max="13825" width="18.77734375" style="17" customWidth="1"/>
    <col min="13826" max="13826" width="13.77734375" style="17" bestFit="1" customWidth="1"/>
    <col min="13827" max="13827" width="17.21875" style="17" customWidth="1"/>
    <col min="13828" max="13828" width="11" style="17" customWidth="1"/>
    <col min="13829" max="13829" width="12" style="17" bestFit="1" customWidth="1"/>
    <col min="13830" max="13830" width="14.77734375" style="17" customWidth="1"/>
    <col min="13831" max="14080" width="11.44140625" style="17"/>
    <col min="14081" max="14081" width="18.77734375" style="17" customWidth="1"/>
    <col min="14082" max="14082" width="13.77734375" style="17" bestFit="1" customWidth="1"/>
    <col min="14083" max="14083" width="17.21875" style="17" customWidth="1"/>
    <col min="14084" max="14084" width="11" style="17" customWidth="1"/>
    <col min="14085" max="14085" width="12" style="17" bestFit="1" customWidth="1"/>
    <col min="14086" max="14086" width="14.77734375" style="17" customWidth="1"/>
    <col min="14087" max="14336" width="11.44140625" style="17"/>
    <col min="14337" max="14337" width="18.77734375" style="17" customWidth="1"/>
    <col min="14338" max="14338" width="13.77734375" style="17" bestFit="1" customWidth="1"/>
    <col min="14339" max="14339" width="17.21875" style="17" customWidth="1"/>
    <col min="14340" max="14340" width="11" style="17" customWidth="1"/>
    <col min="14341" max="14341" width="12" style="17" bestFit="1" customWidth="1"/>
    <col min="14342" max="14342" width="14.77734375" style="17" customWidth="1"/>
    <col min="14343" max="14592" width="11.44140625" style="17"/>
    <col min="14593" max="14593" width="18.77734375" style="17" customWidth="1"/>
    <col min="14594" max="14594" width="13.77734375" style="17" bestFit="1" customWidth="1"/>
    <col min="14595" max="14595" width="17.21875" style="17" customWidth="1"/>
    <col min="14596" max="14596" width="11" style="17" customWidth="1"/>
    <col min="14597" max="14597" width="12" style="17" bestFit="1" customWidth="1"/>
    <col min="14598" max="14598" width="14.77734375" style="17" customWidth="1"/>
    <col min="14599" max="14848" width="11.44140625" style="17"/>
    <col min="14849" max="14849" width="18.77734375" style="17" customWidth="1"/>
    <col min="14850" max="14850" width="13.77734375" style="17" bestFit="1" customWidth="1"/>
    <col min="14851" max="14851" width="17.21875" style="17" customWidth="1"/>
    <col min="14852" max="14852" width="11" style="17" customWidth="1"/>
    <col min="14853" max="14853" width="12" style="17" bestFit="1" customWidth="1"/>
    <col min="14854" max="14854" width="14.77734375" style="17" customWidth="1"/>
    <col min="14855" max="15104" width="11.44140625" style="17"/>
    <col min="15105" max="15105" width="18.77734375" style="17" customWidth="1"/>
    <col min="15106" max="15106" width="13.77734375" style="17" bestFit="1" customWidth="1"/>
    <col min="15107" max="15107" width="17.21875" style="17" customWidth="1"/>
    <col min="15108" max="15108" width="11" style="17" customWidth="1"/>
    <col min="15109" max="15109" width="12" style="17" bestFit="1" customWidth="1"/>
    <col min="15110" max="15110" width="14.77734375" style="17" customWidth="1"/>
    <col min="15111" max="15360" width="11.44140625" style="17"/>
    <col min="15361" max="15361" width="18.77734375" style="17" customWidth="1"/>
    <col min="15362" max="15362" width="13.77734375" style="17" bestFit="1" customWidth="1"/>
    <col min="15363" max="15363" width="17.21875" style="17" customWidth="1"/>
    <col min="15364" max="15364" width="11" style="17" customWidth="1"/>
    <col min="15365" max="15365" width="12" style="17" bestFit="1" customWidth="1"/>
    <col min="15366" max="15366" width="14.77734375" style="17" customWidth="1"/>
    <col min="15367" max="15616" width="11.44140625" style="17"/>
    <col min="15617" max="15617" width="18.77734375" style="17" customWidth="1"/>
    <col min="15618" max="15618" width="13.77734375" style="17" bestFit="1" customWidth="1"/>
    <col min="15619" max="15619" width="17.21875" style="17" customWidth="1"/>
    <col min="15620" max="15620" width="11" style="17" customWidth="1"/>
    <col min="15621" max="15621" width="12" style="17" bestFit="1" customWidth="1"/>
    <col min="15622" max="15622" width="14.77734375" style="17" customWidth="1"/>
    <col min="15623" max="15872" width="11.44140625" style="17"/>
    <col min="15873" max="15873" width="18.77734375" style="17" customWidth="1"/>
    <col min="15874" max="15874" width="13.77734375" style="17" bestFit="1" customWidth="1"/>
    <col min="15875" max="15875" width="17.21875" style="17" customWidth="1"/>
    <col min="15876" max="15876" width="11" style="17" customWidth="1"/>
    <col min="15877" max="15877" width="12" style="17" bestFit="1" customWidth="1"/>
    <col min="15878" max="15878" width="14.77734375" style="17" customWidth="1"/>
    <col min="15879" max="16128" width="11.44140625" style="17"/>
    <col min="16129" max="16129" width="18.77734375" style="17" customWidth="1"/>
    <col min="16130" max="16130" width="13.77734375" style="17" bestFit="1" customWidth="1"/>
    <col min="16131" max="16131" width="17.21875" style="17" customWidth="1"/>
    <col min="16132" max="16132" width="11" style="17" customWidth="1"/>
    <col min="16133" max="16133" width="12" style="17" bestFit="1" customWidth="1"/>
    <col min="16134" max="16134" width="14.77734375" style="17" customWidth="1"/>
    <col min="16135" max="16384" width="11.44140625" style="17"/>
  </cols>
  <sheetData>
    <row r="2" spans="1:11" x14ac:dyDescent="0.25">
      <c r="A2" s="17" t="s">
        <v>70</v>
      </c>
      <c r="B2" s="63">
        <f>'pooled normalised values'!B75</f>
        <v>4.2348601740432971E-2</v>
      </c>
      <c r="D2" s="17" t="s">
        <v>9</v>
      </c>
      <c r="E2" s="18"/>
      <c r="F2" s="19" t="str">
        <f>'pooled normalised values'!J74</f>
        <v>estradiol-68ng/L</v>
      </c>
      <c r="G2" s="18"/>
      <c r="H2" s="20"/>
      <c r="I2" s="19" t="str">
        <f>'pooled normalised values'!R74</f>
        <v>estradiol-34ng/L + Testostérone</v>
      </c>
      <c r="J2" s="20"/>
      <c r="K2" s="17" t="s">
        <v>9</v>
      </c>
    </row>
    <row r="3" spans="1:11" x14ac:dyDescent="0.25">
      <c r="A3" s="17" t="s">
        <v>71</v>
      </c>
      <c r="B3" s="63">
        <f>'summary results'!E6</f>
        <v>0</v>
      </c>
      <c r="D3" s="21" t="s">
        <v>10</v>
      </c>
      <c r="E3" s="22"/>
      <c r="F3" s="19">
        <f>HLOOKUP(F2,'pooled normalised values'!B74:V83,2,FALSE)</f>
        <v>8.7631929298085262E-2</v>
      </c>
      <c r="G3" s="22"/>
      <c r="H3" s="20"/>
      <c r="I3" s="19">
        <f>HLOOKUP(I2,'pooled normalised values'!N74:AL83,2,FALSE)</f>
        <v>2.282052159540934</v>
      </c>
      <c r="J3" s="20"/>
      <c r="K3" s="21" t="s">
        <v>10</v>
      </c>
    </row>
    <row r="4" spans="1:11" x14ac:dyDescent="0.25">
      <c r="A4" s="17" t="s">
        <v>72</v>
      </c>
      <c r="B4" s="63">
        <f>'pooled normalised values'!O75</f>
        <v>0.99999999999999989</v>
      </c>
      <c r="D4" s="21" t="s">
        <v>2</v>
      </c>
      <c r="E4" s="22"/>
      <c r="F4" s="19">
        <f>HLOOKUP(F2,'pooled normalised values'!B74:V83,3,FALSE)</f>
        <v>3.0921364028070712E-2</v>
      </c>
      <c r="G4" s="22"/>
      <c r="H4" s="20"/>
      <c r="I4" s="19">
        <f>HLOOKUP(I2,'pooled normalised values'!N74:AL83,3,FALSE)</f>
        <v>0.4606761936351641</v>
      </c>
      <c r="J4" s="20"/>
      <c r="K4" s="21" t="s">
        <v>2</v>
      </c>
    </row>
    <row r="5" spans="1:11" x14ac:dyDescent="0.25">
      <c r="A5" s="17" t="s">
        <v>73</v>
      </c>
      <c r="B5" s="63">
        <f>'pooled normalised values'!P75</f>
        <v>8.1451204448091943</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5.0136080759613601E-2</v>
      </c>
      <c r="D6" s="21" t="s">
        <v>12</v>
      </c>
      <c r="E6" s="24">
        <f>$B$2</f>
        <v>4.2348601740432971E-2</v>
      </c>
      <c r="F6" s="24">
        <f>$B$2</f>
        <v>4.2348601740432971E-2</v>
      </c>
      <c r="G6" s="24">
        <f>$B$2</f>
        <v>4.2348601740432971E-2</v>
      </c>
      <c r="H6" s="25"/>
      <c r="I6" s="25"/>
      <c r="J6" s="25"/>
      <c r="K6" s="21" t="s">
        <v>12</v>
      </c>
    </row>
    <row r="7" spans="1:11" x14ac:dyDescent="0.25">
      <c r="B7" s="26"/>
      <c r="D7" s="26" t="s">
        <v>13</v>
      </c>
      <c r="E7" s="24"/>
      <c r="F7" s="24"/>
      <c r="G7" s="27"/>
      <c r="H7" s="25">
        <f t="shared" ref="H7:J7" si="0">$B$4</f>
        <v>0.99999999999999989</v>
      </c>
      <c r="I7" s="25">
        <f t="shared" si="0"/>
        <v>0.99999999999999989</v>
      </c>
      <c r="J7" s="25">
        <f t="shared" si="0"/>
        <v>0.99999999999999989</v>
      </c>
      <c r="K7" s="26" t="s">
        <v>13</v>
      </c>
    </row>
    <row r="8" spans="1:11" x14ac:dyDescent="0.25">
      <c r="D8" s="28" t="s">
        <v>14</v>
      </c>
      <c r="E8" s="24">
        <v>0</v>
      </c>
      <c r="F8" s="24">
        <v>0</v>
      </c>
      <c r="G8" s="27">
        <v>0</v>
      </c>
      <c r="H8" s="25">
        <f>$B$6</f>
        <v>5.0136080759613601E-2</v>
      </c>
      <c r="I8" s="25">
        <f t="shared" ref="I8:J8" si="1">$B$6</f>
        <v>5.0136080759613601E-2</v>
      </c>
      <c r="J8" s="25">
        <f t="shared" si="1"/>
        <v>5.0136080759613601E-2</v>
      </c>
      <c r="K8" s="28" t="s">
        <v>14</v>
      </c>
    </row>
    <row r="9" spans="1:11" x14ac:dyDescent="0.25">
      <c r="D9" s="28" t="s">
        <v>15</v>
      </c>
      <c r="E9" s="29">
        <f>$B$3-E8</f>
        <v>0</v>
      </c>
      <c r="F9" s="29">
        <f>$B$3-F8</f>
        <v>0</v>
      </c>
      <c r="G9" s="29">
        <f>$B$3-G8</f>
        <v>0</v>
      </c>
      <c r="H9" s="25">
        <f>$B$5-H8</f>
        <v>8.09498436404958</v>
      </c>
      <c r="I9" s="25">
        <f>$B$5-I8</f>
        <v>8.09498436404958</v>
      </c>
      <c r="J9" s="25">
        <f>$B$5-J8</f>
        <v>8.09498436404958</v>
      </c>
      <c r="K9" s="28" t="s">
        <v>15</v>
      </c>
    </row>
    <row r="10" spans="1:11" x14ac:dyDescent="0.25">
      <c r="D10" s="28" t="s">
        <v>16</v>
      </c>
      <c r="E10" s="27">
        <f t="shared" ref="E10:J10" si="2">2.5-E9</f>
        <v>2.5</v>
      </c>
      <c r="F10" s="27">
        <f t="shared" si="2"/>
        <v>2.5</v>
      </c>
      <c r="G10" s="27">
        <f t="shared" si="2"/>
        <v>2.5</v>
      </c>
      <c r="H10" s="25">
        <f t="shared" si="2"/>
        <v>-5.59498436404958</v>
      </c>
      <c r="I10" s="25">
        <f t="shared" si="2"/>
        <v>-5.59498436404958</v>
      </c>
      <c r="J10" s="25">
        <f t="shared" si="2"/>
        <v>-5.59498436404958</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pageSetup paperSize="9" orientation="portrait" horizontalDpi="300" verticalDpi="300" r:id="rId1"/>
  <headerFooter>
    <oddFooter>&amp;C&amp;1#&amp;"Arial"&amp;10&amp;K000000Internal</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5546875" defaultRowHeight="14.4" x14ac:dyDescent="0.3"/>
  <cols>
    <col min="1" max="1" width="11.44140625" style="1"/>
    <col min="3" max="3" width="15.21875" customWidth="1"/>
    <col min="4" max="4" width="13.77734375" customWidth="1"/>
    <col min="5" max="5" width="18.21875" customWidth="1"/>
    <col min="6" max="6" width="14" customWidth="1"/>
    <col min="7" max="7" width="14.44140625" customWidth="1"/>
    <col min="8" max="8" width="14.21875" customWidth="1"/>
    <col min="9" max="9" width="17" customWidth="1"/>
    <col min="10" max="10" width="12.5546875" customWidth="1"/>
    <col min="11" max="11" width="13.21875" customWidth="1"/>
    <col min="12" max="12" width="15.77734375" customWidth="1"/>
    <col min="13" max="14" width="16.21875" customWidth="1"/>
    <col min="17" max="23" width="9.77734375" customWidth="1"/>
  </cols>
  <sheetData>
    <row r="1" spans="1:23" ht="29.4" thickBot="1" x14ac:dyDescent="0.35">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1" t="s">
        <v>99</v>
      </c>
      <c r="R1" s="231"/>
      <c r="S1" s="231"/>
      <c r="U1" s="231" t="s">
        <v>98</v>
      </c>
      <c r="V1" s="231"/>
      <c r="W1" s="231"/>
    </row>
    <row r="2" spans="1:23" x14ac:dyDescent="0.3">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3">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pageSetup paperSize="9" orientation="portrait" horizontalDpi="300" verticalDpi="300" r:id="rId3"/>
  <headerFooter>
    <oddFooter>&amp;C&amp;1#&amp;"Arial"&amp;10&amp;K000000Internal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465CAA-9136-4127-A0FA-D1ABBFD6C024}">
  <ds:schemaRefs>
    <ds:schemaRef ds:uri="http://schemas.microsoft.com/sharepoint/v3/contenttype/forms"/>
  </ds:schemaRefs>
</ds:datastoreItem>
</file>

<file path=customXml/itemProps2.xml><?xml version="1.0" encoding="utf-8"?>
<ds:datastoreItem xmlns:ds="http://schemas.openxmlformats.org/officeDocument/2006/customXml" ds:itemID="{57DE9489-48B8-4006-B0AB-108239C315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R3</vt:lpstr>
      <vt:lpstr>Graph R4</vt:lpstr>
      <vt:lpstr>Graph R5</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2022-12-22T12:38:30Z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2022-12-22T12:38:30Z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b8b7f844-fe95-4a5d-be6c-fe843833d7a1</vt:lpwstr>
  </property>
  <property fmtid="{D5CDD505-2E9C-101B-9397-08002B2CF9AE}" pid="8" name="MSIP_Label_06530cf4-8573-4c29-a912-bbcdac835909_ContentBits">
    <vt:lpwstr>2</vt:lpwstr>
  </property>
</Properties>
</file>