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02C0C310-1A2E-4FC3-9C9D-D1090F5EBDA0}" xr6:coauthVersionLast="47" xr6:coauthVersionMax="47" xr10:uidLastSave="{00000000-0000-0000-0000-000000000000}"/>
  <bookViews>
    <workbookView xWindow="-110" yWindow="-110" windowWidth="19420" windowHeight="10420" firstSheet="5"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4" r:id="rId20"/>
    <pivotCache cacheId="5" r:id="rId21"/>
    <pivotCache cacheId="6" r:id="rId22"/>
    <pivotCache cacheId="7" r:id="rId23"/>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H68" i="33" l="1"/>
  <c r="I23" i="1"/>
  <c r="J23" i="1"/>
  <c r="K23" i="1"/>
  <c r="L23" i="1"/>
  <c r="M23" i="1"/>
  <c r="I24" i="1"/>
  <c r="J24" i="1"/>
  <c r="K24" i="1"/>
  <c r="L24" i="1"/>
  <c r="M24" i="1"/>
  <c r="I28" i="1"/>
  <c r="J28" i="1"/>
  <c r="I29" i="1"/>
  <c r="J29" i="1"/>
  <c r="I30" i="1"/>
  <c r="J30" i="1"/>
  <c r="I31" i="1"/>
  <c r="J31" i="1"/>
  <c r="I32" i="1"/>
  <c r="J32" i="1"/>
  <c r="I33" i="1"/>
  <c r="J33" i="1"/>
  <c r="I34" i="1"/>
  <c r="J34" i="1"/>
  <c r="I35" i="1"/>
  <c r="J35" i="1"/>
  <c r="I36" i="1"/>
  <c r="J36" i="1"/>
  <c r="K36" i="1"/>
  <c r="L36" i="1"/>
  <c r="M36" i="1"/>
  <c r="I37" i="1"/>
  <c r="J37" i="1"/>
  <c r="K37" i="1"/>
  <c r="L37" i="1"/>
  <c r="M37" i="1"/>
  <c r="I38" i="1"/>
  <c r="J38" i="1"/>
  <c r="K38" i="1"/>
  <c r="L38" i="1"/>
  <c r="M38" i="1"/>
  <c r="I39" i="1"/>
  <c r="J39" i="1"/>
  <c r="K39" i="1"/>
  <c r="L39" i="1"/>
  <c r="M39" i="1"/>
  <c r="I40" i="1"/>
  <c r="J40" i="1"/>
  <c r="K40" i="1"/>
  <c r="L40" i="1"/>
  <c r="M40" i="1"/>
  <c r="I41" i="1"/>
  <c r="J41" i="1"/>
  <c r="K41" i="1"/>
  <c r="L41" i="1"/>
  <c r="M41" i="1"/>
  <c r="I42" i="1"/>
  <c r="J42" i="1"/>
  <c r="K42" i="1"/>
  <c r="L42" i="1"/>
  <c r="M42" i="1"/>
  <c r="I43" i="1"/>
  <c r="J43" i="1"/>
  <c r="K43" i="1"/>
  <c r="L43" i="1"/>
  <c r="M43" i="1"/>
  <c r="J56" i="1"/>
  <c r="I56" i="1"/>
  <c r="I47" i="1" l="1"/>
  <c r="I48" i="1" s="1"/>
  <c r="I54" i="1" s="1"/>
  <c r="J46" i="1"/>
  <c r="J53" i="1" s="1"/>
  <c r="I46" i="1"/>
  <c r="I53" i="1" s="1"/>
  <c r="J47" i="1"/>
  <c r="J48" i="1" s="1"/>
  <c r="J54" i="1" s="1"/>
  <c r="I57" i="1"/>
  <c r="J57" i="1"/>
  <c r="R23" i="1"/>
  <c r="S23" i="1"/>
  <c r="T23" i="1"/>
  <c r="U23" i="1"/>
  <c r="V23" i="1"/>
  <c r="R24" i="1"/>
  <c r="S24" i="1"/>
  <c r="T24" i="1"/>
  <c r="U24" i="1"/>
  <c r="V24" i="1"/>
  <c r="R28" i="1"/>
  <c r="S28" i="1"/>
  <c r="T28" i="1"/>
  <c r="U28" i="1"/>
  <c r="V28" i="1"/>
  <c r="R29" i="1"/>
  <c r="S29" i="1"/>
  <c r="T29" i="1"/>
  <c r="U29" i="1"/>
  <c r="V29" i="1"/>
  <c r="R30" i="1"/>
  <c r="S30" i="1"/>
  <c r="T30" i="1"/>
  <c r="U30" i="1"/>
  <c r="V30" i="1"/>
  <c r="R31" i="1"/>
  <c r="S31" i="1"/>
  <c r="T31" i="1"/>
  <c r="U31" i="1"/>
  <c r="V31" i="1"/>
  <c r="R32" i="1"/>
  <c r="S32" i="1"/>
  <c r="T32" i="1"/>
  <c r="U32" i="1"/>
  <c r="V32" i="1"/>
  <c r="R33" i="1"/>
  <c r="S33" i="1"/>
  <c r="T33" i="1"/>
  <c r="U33" i="1"/>
  <c r="V33" i="1"/>
  <c r="R34" i="1"/>
  <c r="S34" i="1"/>
  <c r="T34" i="1"/>
  <c r="U34" i="1"/>
  <c r="V34" i="1"/>
  <c r="R35" i="1"/>
  <c r="S35" i="1"/>
  <c r="T35" i="1"/>
  <c r="U35" i="1"/>
  <c r="V35" i="1"/>
  <c r="R36" i="1"/>
  <c r="S36" i="1"/>
  <c r="T36" i="1"/>
  <c r="U36" i="1"/>
  <c r="V36" i="1"/>
  <c r="R37" i="1"/>
  <c r="S37" i="1"/>
  <c r="T37" i="1"/>
  <c r="U37" i="1"/>
  <c r="V37" i="1"/>
  <c r="R38" i="1"/>
  <c r="S38" i="1"/>
  <c r="T38" i="1"/>
  <c r="U38" i="1"/>
  <c r="V38" i="1"/>
  <c r="R39" i="1"/>
  <c r="S39" i="1"/>
  <c r="T39" i="1"/>
  <c r="U39" i="1"/>
  <c r="V39" i="1"/>
  <c r="R40" i="1"/>
  <c r="S40" i="1"/>
  <c r="T40" i="1"/>
  <c r="U40" i="1"/>
  <c r="V40" i="1"/>
  <c r="R41" i="1"/>
  <c r="S41" i="1"/>
  <c r="T41" i="1"/>
  <c r="U41" i="1"/>
  <c r="V41" i="1"/>
  <c r="R42" i="1"/>
  <c r="S42" i="1"/>
  <c r="T42" i="1"/>
  <c r="U42" i="1"/>
  <c r="V42" i="1"/>
  <c r="R43" i="1"/>
  <c r="S43" i="1"/>
  <c r="T43" i="1"/>
  <c r="U43" i="1"/>
  <c r="V43" i="1"/>
  <c r="U56" i="1"/>
  <c r="T56" i="1"/>
  <c r="R56" i="1"/>
  <c r="V56" i="1"/>
  <c r="S56" i="1"/>
  <c r="U46" i="1" l="1"/>
  <c r="U53" i="1" s="1"/>
  <c r="V46" i="1"/>
  <c r="V53" i="1" s="1"/>
  <c r="R47" i="1"/>
  <c r="R48" i="1" s="1"/>
  <c r="R54" i="1" s="1"/>
  <c r="V47" i="1"/>
  <c r="V48" i="1" s="1"/>
  <c r="V54" i="1" s="1"/>
  <c r="S47" i="1"/>
  <c r="S48" i="1" s="1"/>
  <c r="S54" i="1" s="1"/>
  <c r="T46" i="1"/>
  <c r="T53" i="1" s="1"/>
  <c r="R46" i="1"/>
  <c r="R53" i="1" s="1"/>
  <c r="U47" i="1"/>
  <c r="U48" i="1" s="1"/>
  <c r="U54" i="1" s="1"/>
  <c r="S46" i="1"/>
  <c r="S53" i="1" s="1"/>
  <c r="T47" i="1"/>
  <c r="T48" i="1" s="1"/>
  <c r="T54" i="1" s="1"/>
  <c r="R57" i="1"/>
  <c r="S57" i="1"/>
  <c r="T57" i="1"/>
  <c r="U57" i="1"/>
  <c r="V57" i="1"/>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16" i="10"/>
  <c r="A17" i="10"/>
  <c r="A18" i="10"/>
  <c r="A19" i="10"/>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R4" i="1" s="1"/>
  <c r="A40" i="10"/>
  <c r="S4" i="1" s="1"/>
  <c r="A41" i="10"/>
  <c r="T4" i="1" s="1"/>
  <c r="A42" i="10"/>
  <c r="U4" i="1" s="1"/>
  <c r="A43" i="10"/>
  <c r="V4" i="1" s="1"/>
  <c r="A44" i="10"/>
  <c r="A45" i="10"/>
  <c r="A46" i="10"/>
  <c r="A47" i="10"/>
  <c r="A48" i="10"/>
  <c r="A49" i="10"/>
  <c r="A50" i="10"/>
  <c r="A51" i="10"/>
  <c r="A52" i="10"/>
  <c r="A53" i="10"/>
  <c r="A54" i="10"/>
  <c r="A55" i="10"/>
  <c r="A56" i="10"/>
  <c r="A57" i="10"/>
  <c r="A58" i="10"/>
  <c r="V27" i="1" l="1"/>
  <c r="V52" i="1" s="1"/>
  <c r="V22" i="1"/>
  <c r="V45" i="1"/>
  <c r="A11" i="22"/>
  <c r="M4" i="1"/>
  <c r="U22" i="1"/>
  <c r="U27" i="1"/>
  <c r="U52" i="1" s="1"/>
  <c r="U45" i="1"/>
  <c r="A10" i="22"/>
  <c r="L4" i="1"/>
  <c r="T22" i="1"/>
  <c r="T45" i="1"/>
  <c r="T27" i="1"/>
  <c r="T52" i="1" s="1"/>
  <c r="A9" i="22"/>
  <c r="K4" i="1"/>
  <c r="S22" i="1"/>
  <c r="S27" i="1"/>
  <c r="S52" i="1" s="1"/>
  <c r="S45" i="1"/>
  <c r="A8" i="22"/>
  <c r="J4" i="1"/>
  <c r="R22" i="1"/>
  <c r="R45" i="1"/>
  <c r="R27" i="1"/>
  <c r="R52" i="1" s="1"/>
  <c r="A7" i="22"/>
  <c r="I4" i="1"/>
  <c r="B2"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M22" i="1" l="1"/>
  <c r="M27" i="1"/>
  <c r="M52" i="1" s="1"/>
  <c r="M45" i="1"/>
  <c r="L22" i="1"/>
  <c r="L27" i="1"/>
  <c r="L52" i="1" s="1"/>
  <c r="L45" i="1"/>
  <c r="K27" i="1"/>
  <c r="K52" i="1" s="1"/>
  <c r="K45" i="1"/>
  <c r="K22" i="1"/>
  <c r="J22" i="1"/>
  <c r="J52" i="1"/>
  <c r="J27" i="1"/>
  <c r="J45" i="1"/>
  <c r="I22" i="1"/>
  <c r="I45" i="1"/>
  <c r="I52" i="1"/>
  <c r="I27" i="1"/>
  <c r="B2" i="35"/>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35" i="33"/>
  <c r="V45" i="4" s="1"/>
  <c r="U35" i="33"/>
  <c r="U45" i="4" s="1"/>
  <c r="T35" i="33"/>
  <c r="T45" i="4" s="1"/>
  <c r="S35" i="33"/>
  <c r="S45" i="4" s="1"/>
  <c r="R35" i="33"/>
  <c r="R45" i="4" s="1"/>
  <c r="Q35" i="33"/>
  <c r="Q45" i="4" s="1"/>
  <c r="P35" i="33"/>
  <c r="P45" i="4" s="1"/>
  <c r="J35" i="33"/>
  <c r="J45" i="4" s="1"/>
  <c r="I35" i="33"/>
  <c r="I45" i="4" s="1"/>
  <c r="H35" i="33"/>
  <c r="H45" i="4" s="1"/>
  <c r="G35" i="33"/>
  <c r="G45" i="4" s="1"/>
  <c r="F35" i="33"/>
  <c r="F45" i="4" s="1"/>
  <c r="E35" i="33"/>
  <c r="E45" i="4" s="1"/>
  <c r="D35" i="33"/>
  <c r="D45" i="4" s="1"/>
  <c r="C35" i="33"/>
  <c r="C45" i="4" s="1"/>
  <c r="V34" i="33"/>
  <c r="V44" i="4" s="1"/>
  <c r="U34" i="33"/>
  <c r="U44" i="4" s="1"/>
  <c r="T34" i="33"/>
  <c r="T44" i="4" s="1"/>
  <c r="S34" i="33"/>
  <c r="S44" i="4" s="1"/>
  <c r="R34" i="33"/>
  <c r="R44" i="4" s="1"/>
  <c r="Q34" i="33"/>
  <c r="Q44" i="4" s="1"/>
  <c r="P34" i="33"/>
  <c r="P44" i="4" s="1"/>
  <c r="J34" i="33"/>
  <c r="J44" i="4" s="1"/>
  <c r="I34" i="33"/>
  <c r="I44" i="4" s="1"/>
  <c r="H34" i="33"/>
  <c r="H44" i="4" s="1"/>
  <c r="G34" i="33"/>
  <c r="G44" i="4" s="1"/>
  <c r="F34" i="33"/>
  <c r="F44" i="4" s="1"/>
  <c r="E34" i="33"/>
  <c r="E44" i="4" s="1"/>
  <c r="D34" i="33"/>
  <c r="D44" i="4" s="1"/>
  <c r="C34" i="33"/>
  <c r="C44" i="4" s="1"/>
  <c r="V33" i="33"/>
  <c r="V43" i="4" s="1"/>
  <c r="U33" i="33"/>
  <c r="U43" i="4" s="1"/>
  <c r="T33" i="33"/>
  <c r="T43" i="4" s="1"/>
  <c r="S33" i="33"/>
  <c r="S43" i="4" s="1"/>
  <c r="R33" i="33"/>
  <c r="R43" i="4" s="1"/>
  <c r="Q33" i="33"/>
  <c r="Q43" i="4" s="1"/>
  <c r="P33" i="33"/>
  <c r="P43" i="4" s="1"/>
  <c r="J33" i="33"/>
  <c r="J43" i="4" s="1"/>
  <c r="I33" i="33"/>
  <c r="I43" i="4" s="1"/>
  <c r="H33" i="33"/>
  <c r="H43" i="4" s="1"/>
  <c r="G33" i="33"/>
  <c r="G43" i="4" s="1"/>
  <c r="F33" i="33"/>
  <c r="F43" i="4" s="1"/>
  <c r="E33" i="33"/>
  <c r="E43" i="4" s="1"/>
  <c r="D33" i="33"/>
  <c r="D43" i="4" s="1"/>
  <c r="C33" i="33"/>
  <c r="C43" i="4" s="1"/>
  <c r="V32" i="33"/>
  <c r="V42" i="4" s="1"/>
  <c r="U42" i="4"/>
  <c r="T32" i="33"/>
  <c r="T42" i="4" s="1"/>
  <c r="S32" i="33"/>
  <c r="S42" i="4" s="1"/>
  <c r="R32" i="33"/>
  <c r="R42" i="4" s="1"/>
  <c r="Q32" i="33"/>
  <c r="Q42" i="4" s="1"/>
  <c r="P32" i="33"/>
  <c r="P42" i="4" s="1"/>
  <c r="J32" i="33"/>
  <c r="J42" i="4" s="1"/>
  <c r="I32" i="33"/>
  <c r="I42" i="4" s="1"/>
  <c r="H32" i="33"/>
  <c r="H42" i="4" s="1"/>
  <c r="G32" i="33"/>
  <c r="G42" i="4" s="1"/>
  <c r="F32" i="33"/>
  <c r="F42" i="4" s="1"/>
  <c r="E32" i="33"/>
  <c r="E42" i="4" s="1"/>
  <c r="D32" i="33"/>
  <c r="D42" i="4" s="1"/>
  <c r="C32" i="33"/>
  <c r="C42" i="4" s="1"/>
  <c r="V31" i="33"/>
  <c r="V41" i="4" s="1"/>
  <c r="U31" i="33"/>
  <c r="U41" i="4" s="1"/>
  <c r="T31" i="33"/>
  <c r="T41" i="4" s="1"/>
  <c r="S31" i="33"/>
  <c r="S41" i="4" s="1"/>
  <c r="R31" i="33"/>
  <c r="R41" i="4" s="1"/>
  <c r="Q31" i="33"/>
  <c r="Q41" i="4" s="1"/>
  <c r="P31" i="33"/>
  <c r="P41" i="4" s="1"/>
  <c r="J31" i="33"/>
  <c r="J41" i="4" s="1"/>
  <c r="I31" i="33"/>
  <c r="I41" i="4" s="1"/>
  <c r="H31" i="33"/>
  <c r="H41" i="4" s="1"/>
  <c r="G31" i="33"/>
  <c r="G41" i="4" s="1"/>
  <c r="F31" i="33"/>
  <c r="F41" i="4" s="1"/>
  <c r="E31" i="33"/>
  <c r="E41" i="4" s="1"/>
  <c r="D31" i="33"/>
  <c r="D41" i="4" s="1"/>
  <c r="C31" i="33"/>
  <c r="C41" i="4" s="1"/>
  <c r="V30" i="33"/>
  <c r="V40" i="4" s="1"/>
  <c r="U30" i="33"/>
  <c r="U40" i="4" s="1"/>
  <c r="T30" i="33"/>
  <c r="T40" i="4" s="1"/>
  <c r="S30" i="33"/>
  <c r="S40" i="4" s="1"/>
  <c r="R30" i="33"/>
  <c r="R40" i="4" s="1"/>
  <c r="Q30" i="33"/>
  <c r="Q40" i="4" s="1"/>
  <c r="P30" i="33"/>
  <c r="P40" i="4" s="1"/>
  <c r="J30" i="33"/>
  <c r="J40" i="4" s="1"/>
  <c r="I30" i="33"/>
  <c r="I40" i="4" s="1"/>
  <c r="H30" i="33"/>
  <c r="H40" i="4" s="1"/>
  <c r="G30" i="33"/>
  <c r="G40" i="4" s="1"/>
  <c r="F30" i="33"/>
  <c r="F40" i="4" s="1"/>
  <c r="E30" i="33"/>
  <c r="E40" i="4" s="1"/>
  <c r="D30" i="33"/>
  <c r="D40" i="4" s="1"/>
  <c r="C30" i="33"/>
  <c r="C40" i="4" s="1"/>
  <c r="V29" i="33"/>
  <c r="V39" i="4" s="1"/>
  <c r="U29" i="33"/>
  <c r="U39" i="4" s="1"/>
  <c r="T29" i="33"/>
  <c r="T39" i="4" s="1"/>
  <c r="S29" i="33"/>
  <c r="S39" i="4" s="1"/>
  <c r="R29" i="33"/>
  <c r="R39" i="4" s="1"/>
  <c r="Q29" i="33"/>
  <c r="Q39" i="4" s="1"/>
  <c r="P29" i="33"/>
  <c r="P39" i="4" s="1"/>
  <c r="J29" i="33"/>
  <c r="J39" i="4" s="1"/>
  <c r="I29" i="33"/>
  <c r="I39" i="4" s="1"/>
  <c r="H29" i="33"/>
  <c r="H39" i="4" s="1"/>
  <c r="G29" i="33"/>
  <c r="G39" i="4" s="1"/>
  <c r="F29" i="33"/>
  <c r="F39" i="4" s="1"/>
  <c r="E29" i="33"/>
  <c r="E39" i="4" s="1"/>
  <c r="D29" i="33"/>
  <c r="D39" i="4" s="1"/>
  <c r="C29" i="33"/>
  <c r="C39" i="4" s="1"/>
  <c r="V28" i="33"/>
  <c r="U28" i="33"/>
  <c r="T28" i="33"/>
  <c r="S28" i="33"/>
  <c r="R28" i="33"/>
  <c r="Q28" i="33"/>
  <c r="P28" i="33"/>
  <c r="J28" i="33"/>
  <c r="I28" i="33"/>
  <c r="H28" i="33"/>
  <c r="G28" i="33"/>
  <c r="F28" i="33"/>
  <c r="E28" i="33"/>
  <c r="D28" i="33"/>
  <c r="C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K35" i="33" s="1"/>
  <c r="K45" i="4" s="1"/>
  <c r="L23" i="33"/>
  <c r="J23" i="33"/>
  <c r="I23" i="33"/>
  <c r="H23" i="33"/>
  <c r="G23" i="33"/>
  <c r="F23" i="33"/>
  <c r="E23" i="33"/>
  <c r="D23" i="33"/>
  <c r="C23" i="33"/>
  <c r="B23" i="33"/>
  <c r="A22" i="33"/>
  <c r="H22" i="33"/>
  <c r="G45" i="33"/>
  <c r="F27" i="33"/>
  <c r="F52" i="33" s="1"/>
  <c r="E45" i="33"/>
  <c r="D22" i="33"/>
  <c r="C45" i="33"/>
  <c r="B45" i="33"/>
  <c r="H56" i="33"/>
  <c r="F56" i="33"/>
  <c r="Q56" i="33"/>
  <c r="R56" i="33"/>
  <c r="C56" i="33"/>
  <c r="I56" i="33"/>
  <c r="G56" i="33"/>
  <c r="S56" i="33"/>
  <c r="D56" i="33"/>
  <c r="V56" i="33"/>
  <c r="T56" i="33"/>
  <c r="U56" i="33"/>
  <c r="J56" i="33"/>
  <c r="P56" i="33"/>
  <c r="E56" i="33"/>
  <c r="B35" i="33" l="1"/>
  <c r="B45" i="4" s="1"/>
  <c r="O43" i="33"/>
  <c r="O53" i="4" s="1"/>
  <c r="O35" i="33"/>
  <c r="O45" i="4" s="1"/>
  <c r="O36" i="33"/>
  <c r="O46" i="4" s="1"/>
  <c r="O37" i="33"/>
  <c r="O47" i="4" s="1"/>
  <c r="O38" i="33"/>
  <c r="O48" i="4" s="1"/>
  <c r="O39" i="33"/>
  <c r="O49" i="4" s="1"/>
  <c r="O40" i="33"/>
  <c r="O50" i="4" s="1"/>
  <c r="O41" i="33"/>
  <c r="O51" i="4" s="1"/>
  <c r="O42" i="33"/>
  <c r="O52" i="4" s="1"/>
  <c r="L29" i="33"/>
  <c r="L39" i="4" s="1"/>
  <c r="L30" i="33"/>
  <c r="L40" i="4" s="1"/>
  <c r="L31" i="33"/>
  <c r="L41" i="4" s="1"/>
  <c r="L32" i="33"/>
  <c r="L42" i="4" s="1"/>
  <c r="L33" i="33"/>
  <c r="L43" i="4" s="1"/>
  <c r="L34" i="33"/>
  <c r="L44" i="4" s="1"/>
  <c r="L35" i="33"/>
  <c r="L45" i="4" s="1"/>
  <c r="M29" i="33"/>
  <c r="M39" i="4" s="1"/>
  <c r="M30" i="33"/>
  <c r="M40" i="4" s="1"/>
  <c r="M31" i="33"/>
  <c r="M41" i="4" s="1"/>
  <c r="M32" i="33"/>
  <c r="M42" i="4" s="1"/>
  <c r="M33" i="33"/>
  <c r="M43" i="4" s="1"/>
  <c r="M34" i="33"/>
  <c r="M44" i="4" s="1"/>
  <c r="M35" i="33"/>
  <c r="M45" i="4" s="1"/>
  <c r="B28" i="33"/>
  <c r="O28" i="33"/>
  <c r="B29" i="33"/>
  <c r="B39" i="4" s="1"/>
  <c r="O29" i="33"/>
  <c r="O39" i="4" s="1"/>
  <c r="B30" i="33"/>
  <c r="B40" i="4" s="1"/>
  <c r="O30" i="33"/>
  <c r="O40" i="4" s="1"/>
  <c r="B31" i="33"/>
  <c r="B41" i="4" s="1"/>
  <c r="O31" i="33"/>
  <c r="O41" i="4" s="1"/>
  <c r="B32" i="33"/>
  <c r="B42" i="4" s="1"/>
  <c r="O32" i="33"/>
  <c r="O42" i="4" s="1"/>
  <c r="B33" i="33"/>
  <c r="B43" i="4" s="1"/>
  <c r="O33" i="33"/>
  <c r="O43" i="4" s="1"/>
  <c r="B34" i="33"/>
  <c r="B44" i="4" s="1"/>
  <c r="O34" i="33"/>
  <c r="O44" i="4" s="1"/>
  <c r="L28" i="33"/>
  <c r="M28" i="33"/>
  <c r="M38" i="4" s="1"/>
  <c r="K28" i="33"/>
  <c r="K38" i="4" s="1"/>
  <c r="K29" i="33"/>
  <c r="K39" i="4" s="1"/>
  <c r="K30" i="33"/>
  <c r="K40" i="4" s="1"/>
  <c r="K31" i="33"/>
  <c r="K41" i="4" s="1"/>
  <c r="K32" i="33"/>
  <c r="K42" i="4" s="1"/>
  <c r="K33" i="33"/>
  <c r="K43" i="4" s="1"/>
  <c r="K34" i="33"/>
  <c r="K44" i="4" s="1"/>
  <c r="D38" i="4"/>
  <c r="H38" i="4"/>
  <c r="B38" i="4"/>
  <c r="E38" i="4"/>
  <c r="I38" i="4"/>
  <c r="F46" i="33"/>
  <c r="F53" i="33" s="1"/>
  <c r="U38" i="4"/>
  <c r="R38" i="4"/>
  <c r="V38" i="4"/>
  <c r="B22" i="33"/>
  <c r="E22" i="33"/>
  <c r="I45" i="33"/>
  <c r="I52" i="33"/>
  <c r="I27" i="33"/>
  <c r="C38" i="4"/>
  <c r="C47" i="33"/>
  <c r="C48" i="33" s="1"/>
  <c r="C54" i="33" s="1"/>
  <c r="C46" i="33"/>
  <c r="C53" i="33" s="1"/>
  <c r="G38" i="4"/>
  <c r="G47" i="33"/>
  <c r="G48" i="33" s="1"/>
  <c r="G54" i="33" s="1"/>
  <c r="P46" i="33"/>
  <c r="P53" i="33" s="1"/>
  <c r="P38" i="4"/>
  <c r="P47" i="33"/>
  <c r="P48" i="33" s="1"/>
  <c r="P54" i="33" s="1"/>
  <c r="T38" i="4"/>
  <c r="T46" i="33"/>
  <c r="T53" i="33" s="1"/>
  <c r="T47" i="33"/>
  <c r="T48" i="33" s="1"/>
  <c r="T54" i="33" s="1"/>
  <c r="B27" i="33"/>
  <c r="B52" i="33" s="1"/>
  <c r="L38" i="4"/>
  <c r="Q47" i="33"/>
  <c r="Q48" i="33" s="1"/>
  <c r="Q54" i="33" s="1"/>
  <c r="Q38" i="4"/>
  <c r="G46" i="33"/>
  <c r="G53" i="33" s="1"/>
  <c r="D27" i="33"/>
  <c r="D52" i="33" s="1"/>
  <c r="I22" i="33"/>
  <c r="E27" i="33"/>
  <c r="E52" i="33" s="1"/>
  <c r="F38" i="4"/>
  <c r="F47" i="33"/>
  <c r="F48" i="33" s="1"/>
  <c r="F54" i="33" s="1"/>
  <c r="J38" i="4"/>
  <c r="J46" i="33"/>
  <c r="J53" i="33" s="1"/>
  <c r="J47" i="33"/>
  <c r="J48" i="33" s="1"/>
  <c r="J54" i="33" s="1"/>
  <c r="S38" i="4"/>
  <c r="S46" i="33"/>
  <c r="S53" i="33" s="1"/>
  <c r="S47" i="33"/>
  <c r="S48" i="33" s="1"/>
  <c r="S54" i="33" s="1"/>
  <c r="D45" i="33"/>
  <c r="G57" i="33"/>
  <c r="T57" i="33"/>
  <c r="H57" i="33"/>
  <c r="U57" i="33"/>
  <c r="C57" i="33"/>
  <c r="J57" i="33"/>
  <c r="P57" i="33"/>
  <c r="D57" i="33"/>
  <c r="S57" i="33"/>
  <c r="F57" i="33"/>
  <c r="Q57" i="33"/>
  <c r="E57" i="33"/>
  <c r="I57" i="33"/>
  <c r="R57" i="33"/>
  <c r="V57" i="33"/>
  <c r="D46" i="33"/>
  <c r="D53" i="33" s="1"/>
  <c r="D47" i="33"/>
  <c r="D48" i="33" s="1"/>
  <c r="D54" i="33" s="1"/>
  <c r="H46" i="33"/>
  <c r="H53" i="33" s="1"/>
  <c r="H47" i="33"/>
  <c r="H48" i="33" s="1"/>
  <c r="H54" i="33" s="1"/>
  <c r="U46" i="33"/>
  <c r="U53" i="33" s="1"/>
  <c r="U47" i="33"/>
  <c r="U48" i="33" s="1"/>
  <c r="U54" i="33" s="1"/>
  <c r="Q46" i="33"/>
  <c r="Q53" i="33" s="1"/>
  <c r="F22" i="33"/>
  <c r="B47" i="33"/>
  <c r="B48" i="33" s="1"/>
  <c r="B54" i="33" s="1"/>
  <c r="E47" i="33"/>
  <c r="E48" i="33" s="1"/>
  <c r="E54" i="33" s="1"/>
  <c r="E46" i="33"/>
  <c r="E53" i="33" s="1"/>
  <c r="I47" i="33"/>
  <c r="I48" i="33" s="1"/>
  <c r="I54" i="33" s="1"/>
  <c r="I46" i="33"/>
  <c r="I53" i="33" s="1"/>
  <c r="R47" i="33"/>
  <c r="R48" i="33" s="1"/>
  <c r="R54" i="33" s="1"/>
  <c r="R46" i="33"/>
  <c r="R53" i="33" s="1"/>
  <c r="V47" i="33"/>
  <c r="V48" i="33" s="1"/>
  <c r="V54" i="33" s="1"/>
  <c r="V46" i="33"/>
  <c r="V53" i="33" s="1"/>
  <c r="F45" i="33"/>
  <c r="G22" i="33"/>
  <c r="G27" i="33"/>
  <c r="G52" i="33" s="1"/>
  <c r="C22" i="33"/>
  <c r="C27" i="33"/>
  <c r="C52" i="33" s="1"/>
  <c r="H27" i="33"/>
  <c r="H52" i="33" s="1"/>
  <c r="H45" i="33"/>
  <c r="O56" i="33"/>
  <c r="M56" i="33"/>
  <c r="B56" i="33"/>
  <c r="L56" i="33"/>
  <c r="K56" i="33"/>
  <c r="B46" i="33" l="1"/>
  <c r="L46" i="33"/>
  <c r="L53" i="33" s="1"/>
  <c r="K46" i="33"/>
  <c r="K53" i="33" s="1"/>
  <c r="O46" i="33"/>
  <c r="O53" i="33" s="1"/>
  <c r="O55" i="33" s="1"/>
  <c r="M46" i="33"/>
  <c r="M53" i="33" s="1"/>
  <c r="K57" i="33"/>
  <c r="B57" i="33"/>
  <c r="I59" i="33" s="1"/>
  <c r="O57" i="33"/>
  <c r="V59" i="33" s="1"/>
  <c r="M57" i="33"/>
  <c r="L57" i="33"/>
  <c r="M47" i="33"/>
  <c r="M48" i="33" s="1"/>
  <c r="M54" i="33" s="1"/>
  <c r="L47" i="33"/>
  <c r="L48" i="33" s="1"/>
  <c r="L54" i="33" s="1"/>
  <c r="O47" i="33"/>
  <c r="O48" i="33" s="1"/>
  <c r="O54" i="33" s="1"/>
  <c r="K47" i="33"/>
  <c r="K48" i="33" s="1"/>
  <c r="K54" i="33" s="1"/>
  <c r="O38" i="4"/>
  <c r="Q55" i="33"/>
  <c r="H59" i="33"/>
  <c r="B53" i="33"/>
  <c r="B65" i="33"/>
  <c r="B64" i="33"/>
  <c r="R59" i="33" l="1"/>
  <c r="D59" i="33"/>
  <c r="F59" i="33"/>
  <c r="K59" i="33"/>
  <c r="E59" i="33"/>
  <c r="L59" i="33"/>
  <c r="M59" i="33"/>
  <c r="J59" i="33"/>
  <c r="P55" i="33"/>
  <c r="T55" i="33"/>
  <c r="Q59" i="33"/>
  <c r="S55" i="33"/>
  <c r="C59" i="33"/>
  <c r="G59" i="33"/>
  <c r="P59" i="33"/>
  <c r="U55" i="33"/>
  <c r="U59" i="33"/>
  <c r="R55" i="33"/>
  <c r="V55" i="33"/>
  <c r="T59" i="33"/>
  <c r="S59" i="33"/>
  <c r="O59" i="33"/>
  <c r="M55" i="33"/>
  <c r="D55" i="33"/>
  <c r="B55" i="33"/>
  <c r="K55" i="33"/>
  <c r="L55" i="33"/>
  <c r="G55" i="33"/>
  <c r="F55" i="33"/>
  <c r="C55" i="33"/>
  <c r="J55" i="33"/>
  <c r="H55" i="33"/>
  <c r="I55" i="33"/>
  <c r="E55" i="33"/>
  <c r="H60" i="33"/>
  <c r="D60" i="33"/>
  <c r="T60" i="33"/>
  <c r="P60" i="33"/>
  <c r="L60" i="33"/>
  <c r="G60" i="33"/>
  <c r="V60" i="33"/>
  <c r="S60" i="33"/>
  <c r="M60" i="33"/>
  <c r="K60" i="33"/>
  <c r="J60" i="33"/>
  <c r="F60" i="33"/>
  <c r="U60" i="33"/>
  <c r="R60" i="33"/>
  <c r="O60" i="33"/>
  <c r="I60" i="33"/>
  <c r="E60" i="33"/>
  <c r="C60" i="33"/>
  <c r="Q60" i="33"/>
  <c r="J61" i="33" l="1"/>
  <c r="I61" i="33"/>
  <c r="H61" i="33"/>
  <c r="G61" i="33"/>
  <c r="E61" i="33"/>
  <c r="V61" i="33"/>
  <c r="U61" i="33"/>
  <c r="S61" i="33"/>
  <c r="R61" i="33"/>
  <c r="P61" i="33"/>
  <c r="M61" i="33"/>
  <c r="F61" i="33"/>
  <c r="D61" i="33"/>
  <c r="C61" i="33"/>
  <c r="T61" i="33"/>
  <c r="Q61" i="33"/>
  <c r="L61" i="33"/>
  <c r="K61" i="33"/>
  <c r="O61" i="33"/>
  <c r="M4" i="33"/>
  <c r="L4" i="33" l="1"/>
  <c r="L22" i="33" s="1"/>
  <c r="K4" i="33"/>
  <c r="K22" i="33" s="1"/>
  <c r="J4" i="33"/>
  <c r="J52" i="33" s="1"/>
  <c r="M45" i="33"/>
  <c r="M52" i="33"/>
  <c r="M27" i="33"/>
  <c r="M22" i="33"/>
  <c r="K52" i="33"/>
  <c r="K45" i="33" l="1"/>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T28" i="23"/>
  <c r="T22" i="4" s="1"/>
  <c r="U28" i="23"/>
  <c r="U22" i="4" s="1"/>
  <c r="V28" i="23"/>
  <c r="P29" i="23"/>
  <c r="Q29" i="23"/>
  <c r="Q23" i="4" s="1"/>
  <c r="R29" i="23"/>
  <c r="R23" i="4" s="1"/>
  <c r="S29" i="23"/>
  <c r="S23" i="4" s="1"/>
  <c r="T29" i="23"/>
  <c r="T23" i="4" s="1"/>
  <c r="U29" i="23"/>
  <c r="U23" i="4" s="1"/>
  <c r="V29" i="23"/>
  <c r="V23" i="4" s="1"/>
  <c r="P30" i="23"/>
  <c r="P24" i="4" s="1"/>
  <c r="Q30" i="23"/>
  <c r="Q24" i="4" s="1"/>
  <c r="R30" i="23"/>
  <c r="R24" i="4" s="1"/>
  <c r="S30" i="23"/>
  <c r="S24" i="4" s="1"/>
  <c r="T30" i="23"/>
  <c r="T24" i="4" s="1"/>
  <c r="U30" i="23"/>
  <c r="U24" i="4" s="1"/>
  <c r="V30" i="23"/>
  <c r="V24" i="4" s="1"/>
  <c r="P31" i="23"/>
  <c r="P25" i="4" s="1"/>
  <c r="Q31" i="23"/>
  <c r="Q25" i="4" s="1"/>
  <c r="R31" i="23"/>
  <c r="R25" i="4" s="1"/>
  <c r="S31" i="23"/>
  <c r="S25" i="4" s="1"/>
  <c r="T31" i="23"/>
  <c r="T25" i="4" s="1"/>
  <c r="U31" i="23"/>
  <c r="U25" i="4" s="1"/>
  <c r="V31" i="23"/>
  <c r="V25" i="4" s="1"/>
  <c r="P32" i="23"/>
  <c r="P26" i="4" s="1"/>
  <c r="Q32" i="23"/>
  <c r="Q26" i="4" s="1"/>
  <c r="R32" i="23"/>
  <c r="R26" i="4" s="1"/>
  <c r="S32" i="23"/>
  <c r="S26" i="4" s="1"/>
  <c r="T32" i="23"/>
  <c r="T26" i="4" s="1"/>
  <c r="U32" i="23"/>
  <c r="U26" i="4" s="1"/>
  <c r="V32" i="23"/>
  <c r="V26" i="4" s="1"/>
  <c r="P33" i="23"/>
  <c r="P27" i="4" s="1"/>
  <c r="Q33" i="23"/>
  <c r="Q27" i="4" s="1"/>
  <c r="R33" i="23"/>
  <c r="R27" i="4" s="1"/>
  <c r="S33" i="23"/>
  <c r="S27" i="4" s="1"/>
  <c r="T33" i="23"/>
  <c r="U33" i="23"/>
  <c r="V33" i="23"/>
  <c r="V27" i="4" s="1"/>
  <c r="P34" i="23"/>
  <c r="P28" i="4" s="1"/>
  <c r="Q34" i="23"/>
  <c r="Q28" i="4" s="1"/>
  <c r="R34" i="23"/>
  <c r="R28" i="4" s="1"/>
  <c r="S34" i="23"/>
  <c r="S28" i="4" s="1"/>
  <c r="T34" i="23"/>
  <c r="T28" i="4" s="1"/>
  <c r="U34" i="23"/>
  <c r="U28" i="4" s="1"/>
  <c r="V34" i="23"/>
  <c r="V28" i="4" s="1"/>
  <c r="P35" i="23"/>
  <c r="P29" i="4" s="1"/>
  <c r="Q35" i="23"/>
  <c r="Q29" i="4" s="1"/>
  <c r="R35" i="23"/>
  <c r="R29" i="4" s="1"/>
  <c r="S35" i="23"/>
  <c r="S29" i="4" s="1"/>
  <c r="T35" i="23"/>
  <c r="T29" i="4" s="1"/>
  <c r="U35" i="23"/>
  <c r="V35" i="23"/>
  <c r="P36" i="23"/>
  <c r="P30" i="4" s="1"/>
  <c r="Q36" i="23"/>
  <c r="Q30" i="4" s="1"/>
  <c r="R36" i="23"/>
  <c r="R30" i="4" s="1"/>
  <c r="S36" i="23"/>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Q37" i="4" s="1"/>
  <c r="R43" i="23"/>
  <c r="S43" i="23"/>
  <c r="T43" i="23"/>
  <c r="U43" i="23"/>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7" i="4"/>
  <c r="T7" i="4"/>
  <c r="U7" i="4"/>
  <c r="V7" i="4"/>
  <c r="S8" i="4"/>
  <c r="T8" i="4"/>
  <c r="U8" i="4"/>
  <c r="V8" i="4"/>
  <c r="S9" i="4"/>
  <c r="T9" i="4"/>
  <c r="U9" i="4"/>
  <c r="V9" i="4"/>
  <c r="S10" i="4"/>
  <c r="T10" i="4"/>
  <c r="U10" i="4"/>
  <c r="V10" i="4"/>
  <c r="S11" i="4"/>
  <c r="T11" i="4"/>
  <c r="U11" i="4"/>
  <c r="V11" i="4"/>
  <c r="S12" i="4"/>
  <c r="T12" i="4"/>
  <c r="U12" i="4"/>
  <c r="V12" i="4"/>
  <c r="S13" i="4"/>
  <c r="T13" i="4"/>
  <c r="U13" i="4"/>
  <c r="V13" i="4"/>
  <c r="S14" i="4"/>
  <c r="T14" i="4"/>
  <c r="U14" i="4"/>
  <c r="V14" i="4"/>
  <c r="S15" i="4"/>
  <c r="T15" i="4"/>
  <c r="U15" i="4"/>
  <c r="V15" i="4"/>
  <c r="S16" i="4"/>
  <c r="T16" i="4"/>
  <c r="U16" i="4"/>
  <c r="V16" i="4"/>
  <c r="S17" i="4"/>
  <c r="T17" i="4"/>
  <c r="U17" i="4"/>
  <c r="V17" i="4"/>
  <c r="S18" i="4"/>
  <c r="T18" i="4"/>
  <c r="U18" i="4"/>
  <c r="V18" i="4"/>
  <c r="S19" i="4"/>
  <c r="T19" i="4"/>
  <c r="U19" i="4"/>
  <c r="V19" i="4"/>
  <c r="S20" i="4"/>
  <c r="T20" i="4"/>
  <c r="U20" i="4"/>
  <c r="V20" i="4"/>
  <c r="S21" i="4"/>
  <c r="K14" i="4"/>
  <c r="L14" i="4"/>
  <c r="M14" i="4"/>
  <c r="K15" i="4"/>
  <c r="L15" i="4"/>
  <c r="M15" i="4"/>
  <c r="K16" i="4"/>
  <c r="L16" i="4"/>
  <c r="M16" i="4"/>
  <c r="K17" i="4"/>
  <c r="L17" i="4"/>
  <c r="M17" i="4"/>
  <c r="K18" i="4"/>
  <c r="L18" i="4"/>
  <c r="M18" i="4"/>
  <c r="K19" i="4"/>
  <c r="L19" i="4"/>
  <c r="M19" i="4"/>
  <c r="K20" i="4"/>
  <c r="L20" i="4"/>
  <c r="M20" i="4"/>
  <c r="N45" i="1"/>
  <c r="A45" i="1"/>
  <c r="A45" i="23"/>
  <c r="A22" i="23"/>
  <c r="A22" i="1"/>
  <c r="B1" i="4"/>
  <c r="A52" i="23"/>
  <c r="U37" i="4"/>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U27" i="4"/>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E30" i="23"/>
  <c r="E24" i="4" s="1"/>
  <c r="F29" i="23"/>
  <c r="F23" i="4" s="1"/>
  <c r="D31" i="23"/>
  <c r="D25" i="4" s="1"/>
  <c r="C28" i="23"/>
  <c r="J29" i="23"/>
  <c r="J23" i="4" s="1"/>
  <c r="J40" i="23"/>
  <c r="J34" i="4" s="1"/>
  <c r="J36" i="23"/>
  <c r="J30" i="4" s="1"/>
  <c r="G35" i="23"/>
  <c r="G29" i="4" s="1"/>
  <c r="C35" i="23"/>
  <c r="C29" i="4" s="1"/>
  <c r="H34" i="23"/>
  <c r="H28" i="4" s="1"/>
  <c r="D34" i="23"/>
  <c r="D28" i="4" s="1"/>
  <c r="I33" i="23"/>
  <c r="I27" i="4" s="1"/>
  <c r="E33" i="23"/>
  <c r="E27" i="4" s="1"/>
  <c r="J32" i="23"/>
  <c r="J26" i="4" s="1"/>
  <c r="F32" i="23"/>
  <c r="F26" i="4" s="1"/>
  <c r="G31" i="23"/>
  <c r="G25" i="4" s="1"/>
  <c r="C31" i="23"/>
  <c r="C25" i="4" s="1"/>
  <c r="H30" i="23"/>
  <c r="H24" i="4" s="1"/>
  <c r="D30" i="23"/>
  <c r="D24" i="4" s="1"/>
  <c r="I29" i="23"/>
  <c r="I23" i="4" s="1"/>
  <c r="E29" i="23"/>
  <c r="E23" i="4" s="1"/>
  <c r="J28" i="23"/>
  <c r="F28" i="23"/>
  <c r="J42" i="23"/>
  <c r="J36" i="4" s="1"/>
  <c r="J38" i="23"/>
  <c r="J32" i="4" s="1"/>
  <c r="J34" i="23"/>
  <c r="J28" i="4" s="1"/>
  <c r="F34" i="23"/>
  <c r="F28" i="4" s="1"/>
  <c r="C33" i="23"/>
  <c r="C27" i="4" s="1"/>
  <c r="H32" i="23"/>
  <c r="H26" i="4" s="1"/>
  <c r="I31" i="23"/>
  <c r="I25" i="4" s="1"/>
  <c r="E31" i="23"/>
  <c r="E25" i="4" s="1"/>
  <c r="J30" i="23"/>
  <c r="J24" i="4" s="1"/>
  <c r="F30" i="23"/>
  <c r="F24" i="4" s="1"/>
  <c r="C29" i="23"/>
  <c r="C23" i="4" s="1"/>
  <c r="D28" i="23"/>
  <c r="J41" i="23"/>
  <c r="J35" i="4" s="1"/>
  <c r="J37" i="23"/>
  <c r="J31" i="4" s="1"/>
  <c r="V29" i="4"/>
  <c r="H35" i="23"/>
  <c r="H29" i="4" s="1"/>
  <c r="I34" i="23"/>
  <c r="I28" i="4" s="1"/>
  <c r="E34" i="23"/>
  <c r="E28" i="4" s="1"/>
  <c r="C32" i="23"/>
  <c r="C26" i="4" s="1"/>
  <c r="J43" i="23"/>
  <c r="J39" i="23"/>
  <c r="J33" i="4" s="1"/>
  <c r="J35" i="23"/>
  <c r="J29" i="4" s="1"/>
  <c r="F35" i="23"/>
  <c r="F29" i="4" s="1"/>
  <c r="G34" i="23"/>
  <c r="G28" i="4" s="1"/>
  <c r="C34" i="23"/>
  <c r="C28" i="4" s="1"/>
  <c r="H33" i="23"/>
  <c r="H27" i="4" s="1"/>
  <c r="D33" i="23"/>
  <c r="D27" i="4" s="1"/>
  <c r="I32" i="23"/>
  <c r="I26" i="4" s="1"/>
  <c r="E32" i="23"/>
  <c r="E26" i="4" s="1"/>
  <c r="J31" i="23"/>
  <c r="J25" i="4" s="1"/>
  <c r="F31" i="23"/>
  <c r="F25" i="4" s="1"/>
  <c r="G30" i="23"/>
  <c r="G24" i="4" s="1"/>
  <c r="C30" i="23"/>
  <c r="C24" i="4" s="1"/>
  <c r="H29" i="23"/>
  <c r="H23" i="4" s="1"/>
  <c r="D29" i="23"/>
  <c r="D23" i="4" s="1"/>
  <c r="I28" i="23"/>
  <c r="E28" i="23"/>
  <c r="I35" i="23"/>
  <c r="I29" i="4" s="1"/>
  <c r="E35" i="23"/>
  <c r="E29" i="4" s="1"/>
  <c r="G33" i="23"/>
  <c r="G27" i="4" s="1"/>
  <c r="D32" i="23"/>
  <c r="D26" i="4" s="1"/>
  <c r="G29" i="23"/>
  <c r="G23" i="4" s="1"/>
  <c r="H28" i="23"/>
  <c r="D35" i="23"/>
  <c r="D29" i="4" s="1"/>
  <c r="J33" i="23"/>
  <c r="J27" i="4" s="1"/>
  <c r="F33" i="23"/>
  <c r="F27" i="4" s="1"/>
  <c r="G32" i="23"/>
  <c r="G26" i="4" s="1"/>
  <c r="H31" i="23"/>
  <c r="H25" i="4" s="1"/>
  <c r="G28" i="23"/>
  <c r="I30" i="23"/>
  <c r="I24" i="4" s="1"/>
  <c r="P22" i="23"/>
  <c r="J7" i="4"/>
  <c r="J8" i="4"/>
  <c r="J9" i="4"/>
  <c r="J11" i="4"/>
  <c r="J12" i="4"/>
  <c r="J13" i="4"/>
  <c r="C36" i="1"/>
  <c r="C14" i="4" s="1"/>
  <c r="D36" i="1"/>
  <c r="D14" i="4" s="1"/>
  <c r="E36" i="1"/>
  <c r="E14" i="4" s="1"/>
  <c r="F36" i="1"/>
  <c r="F14" i="4" s="1"/>
  <c r="G36" i="1"/>
  <c r="G14" i="4" s="1"/>
  <c r="H36" i="1"/>
  <c r="H14" i="4" s="1"/>
  <c r="I14" i="4"/>
  <c r="J14" i="4"/>
  <c r="C37" i="1"/>
  <c r="C15" i="4" s="1"/>
  <c r="D37" i="1"/>
  <c r="D15" i="4" s="1"/>
  <c r="E37" i="1"/>
  <c r="E15" i="4" s="1"/>
  <c r="F37" i="1"/>
  <c r="F15" i="4" s="1"/>
  <c r="G37" i="1"/>
  <c r="G15" i="4" s="1"/>
  <c r="H37" i="1"/>
  <c r="H15" i="4" s="1"/>
  <c r="I15" i="4"/>
  <c r="J15" i="4"/>
  <c r="C38" i="1"/>
  <c r="C16" i="4" s="1"/>
  <c r="D38" i="1"/>
  <c r="D16" i="4" s="1"/>
  <c r="E38" i="1"/>
  <c r="E16" i="4" s="1"/>
  <c r="F38" i="1"/>
  <c r="F16" i="4" s="1"/>
  <c r="G38" i="1"/>
  <c r="G16" i="4" s="1"/>
  <c r="H38" i="1"/>
  <c r="H16" i="4" s="1"/>
  <c r="I16" i="4"/>
  <c r="J16" i="4"/>
  <c r="C39" i="1"/>
  <c r="C17" i="4" s="1"/>
  <c r="D39" i="1"/>
  <c r="E39" i="1"/>
  <c r="E17" i="4" s="1"/>
  <c r="F39" i="1"/>
  <c r="F17" i="4" s="1"/>
  <c r="G39" i="1"/>
  <c r="G17" i="4" s="1"/>
  <c r="H39" i="1"/>
  <c r="H17" i="4" s="1"/>
  <c r="I17" i="4"/>
  <c r="J17" i="4"/>
  <c r="C40" i="1"/>
  <c r="C18" i="4" s="1"/>
  <c r="D40" i="1"/>
  <c r="D18" i="4" s="1"/>
  <c r="E40" i="1"/>
  <c r="E18" i="4" s="1"/>
  <c r="F40" i="1"/>
  <c r="F18" i="4" s="1"/>
  <c r="G40" i="1"/>
  <c r="G18" i="4" s="1"/>
  <c r="H40" i="1"/>
  <c r="H18" i="4" s="1"/>
  <c r="I18" i="4"/>
  <c r="J18" i="4"/>
  <c r="C41" i="1"/>
  <c r="C19" i="4" s="1"/>
  <c r="D41" i="1"/>
  <c r="D19" i="4" s="1"/>
  <c r="E41" i="1"/>
  <c r="E19" i="4" s="1"/>
  <c r="F41" i="1"/>
  <c r="F19" i="4" s="1"/>
  <c r="G41" i="1"/>
  <c r="G19" i="4" s="1"/>
  <c r="H41" i="1"/>
  <c r="H19" i="4" s="1"/>
  <c r="I19" i="4"/>
  <c r="J19" i="4"/>
  <c r="C42" i="1"/>
  <c r="C20" i="4" s="1"/>
  <c r="D42" i="1"/>
  <c r="D20" i="4" s="1"/>
  <c r="E42" i="1"/>
  <c r="E20" i="4" s="1"/>
  <c r="F42" i="1"/>
  <c r="F20" i="4" s="1"/>
  <c r="G42" i="1"/>
  <c r="G20" i="4" s="1"/>
  <c r="H42" i="1"/>
  <c r="H20" i="4" s="1"/>
  <c r="I20" i="4"/>
  <c r="J20" i="4"/>
  <c r="C43" i="1"/>
  <c r="D43" i="1"/>
  <c r="E43" i="1"/>
  <c r="F43" i="1"/>
  <c r="G43" i="1"/>
  <c r="H43" i="1"/>
  <c r="R11" i="4"/>
  <c r="Q36" i="1"/>
  <c r="Q14" i="4" s="1"/>
  <c r="R14" i="4"/>
  <c r="Q37" i="1"/>
  <c r="Q15" i="4" s="1"/>
  <c r="P38" i="1"/>
  <c r="P16" i="4" s="1"/>
  <c r="Q38" i="1"/>
  <c r="Q16" i="4" s="1"/>
  <c r="P39" i="1"/>
  <c r="P17" i="4" s="1"/>
  <c r="Q39" i="1"/>
  <c r="Q17" i="4" s="1"/>
  <c r="R17" i="4"/>
  <c r="P40" i="1"/>
  <c r="P18" i="4" s="1"/>
  <c r="Q40" i="1"/>
  <c r="Q18" i="4" s="1"/>
  <c r="R18" i="4"/>
  <c r="P41" i="1"/>
  <c r="P19" i="4" s="1"/>
  <c r="Q41" i="1"/>
  <c r="Q19" i="4" s="1"/>
  <c r="P42" i="1"/>
  <c r="P20" i="4" s="1"/>
  <c r="Q42" i="1"/>
  <c r="Q20" i="4" s="1"/>
  <c r="P43" i="1"/>
  <c r="Q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H27" i="1"/>
  <c r="H52" i="1" s="1"/>
  <c r="G27" i="1"/>
  <c r="G52" i="1" s="1"/>
  <c r="F27" i="1"/>
  <c r="F52" i="1" s="1"/>
  <c r="E4" i="4"/>
  <c r="D22" i="1"/>
  <c r="C45" i="1"/>
  <c r="G29" i="1"/>
  <c r="H30" i="1"/>
  <c r="H8" i="4" s="1"/>
  <c r="F32" i="1"/>
  <c r="F10" i="4" s="1"/>
  <c r="C33" i="1"/>
  <c r="C11" i="4" s="1"/>
  <c r="H34" i="1"/>
  <c r="H12" i="4" s="1"/>
  <c r="E35" i="1"/>
  <c r="E13" i="4" s="1"/>
  <c r="H31" i="1"/>
  <c r="E32" i="1"/>
  <c r="E10" i="4" s="1"/>
  <c r="D35" i="1"/>
  <c r="D13" i="4" s="1"/>
  <c r="H35" i="1"/>
  <c r="H13" i="4" s="1"/>
  <c r="E30" i="1"/>
  <c r="E8" i="4" s="1"/>
  <c r="I8" i="4"/>
  <c r="D33" i="1"/>
  <c r="D11" i="4" s="1"/>
  <c r="H33" i="1"/>
  <c r="H11" i="4" s="1"/>
  <c r="I12" i="4"/>
  <c r="F35" i="1"/>
  <c r="F13" i="4" s="1"/>
  <c r="E29" i="1"/>
  <c r="F30" i="1"/>
  <c r="H32" i="1"/>
  <c r="H10" i="4" s="1"/>
  <c r="E33" i="1"/>
  <c r="E11" i="4" s="1"/>
  <c r="I11" i="4"/>
  <c r="F34" i="1"/>
  <c r="F12" i="4" s="1"/>
  <c r="C35" i="1"/>
  <c r="C13" i="4" s="1"/>
  <c r="G35" i="1"/>
  <c r="G13" i="4" s="1"/>
  <c r="F29" i="1"/>
  <c r="F7" i="4" s="1"/>
  <c r="G30" i="1"/>
  <c r="G8" i="4" s="1"/>
  <c r="F33" i="1"/>
  <c r="F11" i="4" s="1"/>
  <c r="G34" i="1"/>
  <c r="G12" i="4" s="1"/>
  <c r="O39" i="1"/>
  <c r="O17" i="4" s="1"/>
  <c r="O43" i="1"/>
  <c r="Q31" i="1"/>
  <c r="Q9" i="4" s="1"/>
  <c r="Q34" i="1"/>
  <c r="Q12" i="4" s="1"/>
  <c r="O42" i="1"/>
  <c r="O20" i="4" s="1"/>
  <c r="O32" i="1"/>
  <c r="O10" i="4" s="1"/>
  <c r="O40" i="1"/>
  <c r="O18" i="4" s="1"/>
  <c r="P28" i="1"/>
  <c r="P30" i="1"/>
  <c r="P8" i="4" s="1"/>
  <c r="P33" i="1"/>
  <c r="P11" i="4" s="1"/>
  <c r="P34" i="1"/>
  <c r="P12" i="4" s="1"/>
  <c r="O41" i="1"/>
  <c r="O19" i="4" s="1"/>
  <c r="B33" i="1"/>
  <c r="B11" i="4" s="1"/>
  <c r="Q28" i="1"/>
  <c r="Q33" i="1"/>
  <c r="Q11" i="4" s="1"/>
  <c r="Q35" i="1"/>
  <c r="Q13" i="4" s="1"/>
  <c r="O38" i="1"/>
  <c r="O16" i="4" s="1"/>
  <c r="Q27" i="1"/>
  <c r="Q52" i="1" s="1"/>
  <c r="H24" i="1"/>
  <c r="G24" i="1"/>
  <c r="F24" i="1"/>
  <c r="E24" i="1"/>
  <c r="D24" i="1"/>
  <c r="C24" i="1"/>
  <c r="B24" i="1"/>
  <c r="H23" i="1"/>
  <c r="G23" i="1"/>
  <c r="F23" i="1"/>
  <c r="E23" i="1"/>
  <c r="D23" i="1"/>
  <c r="C23" i="1"/>
  <c r="K4" i="4"/>
  <c r="K62" i="4" s="1"/>
  <c r="L4" i="4"/>
  <c r="K4" i="23"/>
  <c r="K52" i="23" s="1"/>
  <c r="L4" i="23"/>
  <c r="L27" i="23" s="1"/>
  <c r="Q56" i="23"/>
  <c r="F56" i="23"/>
  <c r="R56" i="23"/>
  <c r="T56" i="23"/>
  <c r="H56" i="23"/>
  <c r="G56" i="23"/>
  <c r="S56" i="23"/>
  <c r="I56" i="23"/>
  <c r="J56" i="23"/>
  <c r="V56" i="23"/>
  <c r="E56" i="23"/>
  <c r="C56" i="23"/>
  <c r="P56" i="23"/>
  <c r="U56" i="23"/>
  <c r="D56" i="23"/>
  <c r="O43" i="23" l="1"/>
  <c r="O39" i="23"/>
  <c r="O33" i="4" s="1"/>
  <c r="O42" i="23"/>
  <c r="O36" i="4" s="1"/>
  <c r="O36" i="23"/>
  <c r="O30" i="4" s="1"/>
  <c r="O41" i="23"/>
  <c r="O35" i="4" s="1"/>
  <c r="O40" i="23"/>
  <c r="O34" i="4" s="1"/>
  <c r="M34" i="23"/>
  <c r="M28" i="4" s="1"/>
  <c r="L33" i="23"/>
  <c r="L27" i="4" s="1"/>
  <c r="K32" i="23"/>
  <c r="K26" i="4" s="1"/>
  <c r="M30" i="23"/>
  <c r="M24" i="4" s="1"/>
  <c r="L29" i="23"/>
  <c r="L23" i="4" s="1"/>
  <c r="K28" i="23"/>
  <c r="O33" i="23"/>
  <c r="O27" i="4" s="1"/>
  <c r="M35" i="23"/>
  <c r="M29" i="4" s="1"/>
  <c r="L34" i="23"/>
  <c r="L28" i="4" s="1"/>
  <c r="K33" i="23"/>
  <c r="K27" i="4" s="1"/>
  <c r="M31" i="23"/>
  <c r="M25" i="4" s="1"/>
  <c r="L30" i="23"/>
  <c r="L24" i="4" s="1"/>
  <c r="K29" i="23"/>
  <c r="K23" i="4" s="1"/>
  <c r="O29" i="23"/>
  <c r="O23" i="4" s="1"/>
  <c r="L35" i="23"/>
  <c r="L29" i="4" s="1"/>
  <c r="K34" i="23"/>
  <c r="K28" i="4" s="1"/>
  <c r="M32" i="23"/>
  <c r="M26" i="4" s="1"/>
  <c r="L31" i="23"/>
  <c r="L25" i="4" s="1"/>
  <c r="K30" i="23"/>
  <c r="K24" i="4" s="1"/>
  <c r="M28" i="23"/>
  <c r="K35" i="23"/>
  <c r="K29" i="4" s="1"/>
  <c r="M33" i="23"/>
  <c r="M27" i="4" s="1"/>
  <c r="L32" i="23"/>
  <c r="L26" i="4" s="1"/>
  <c r="K31" i="23"/>
  <c r="K25" i="4" s="1"/>
  <c r="M29" i="23"/>
  <c r="M23" i="4" s="1"/>
  <c r="L28" i="23"/>
  <c r="L22" i="4" s="1"/>
  <c r="O35" i="23"/>
  <c r="O29" i="4" s="1"/>
  <c r="C29" i="1"/>
  <c r="C7" i="4" s="1"/>
  <c r="K28" i="1"/>
  <c r="K6" i="4" s="1"/>
  <c r="M30" i="1"/>
  <c r="M8" i="4" s="1"/>
  <c r="L31" i="1"/>
  <c r="L9" i="4" s="1"/>
  <c r="K32" i="1"/>
  <c r="K10" i="4" s="1"/>
  <c r="M34" i="1"/>
  <c r="M12" i="4" s="1"/>
  <c r="L35" i="1"/>
  <c r="L13" i="4" s="1"/>
  <c r="M29" i="1"/>
  <c r="M7" i="4" s="1"/>
  <c r="K31" i="1"/>
  <c r="K9" i="4" s="1"/>
  <c r="M33" i="1"/>
  <c r="M11" i="4" s="1"/>
  <c r="K35" i="1"/>
  <c r="K13" i="4" s="1"/>
  <c r="L28" i="1"/>
  <c r="K29" i="1"/>
  <c r="K7" i="4" s="1"/>
  <c r="M31" i="1"/>
  <c r="M9" i="4" s="1"/>
  <c r="L32" i="1"/>
  <c r="L10" i="4" s="1"/>
  <c r="K33" i="1"/>
  <c r="K11" i="4" s="1"/>
  <c r="M35" i="1"/>
  <c r="M13" i="4" s="1"/>
  <c r="L34" i="1"/>
  <c r="L12" i="4" s="1"/>
  <c r="M28" i="1"/>
  <c r="M6" i="4" s="1"/>
  <c r="L29" i="1"/>
  <c r="L7" i="4" s="1"/>
  <c r="K30" i="1"/>
  <c r="K8" i="4" s="1"/>
  <c r="M32" i="1"/>
  <c r="M10" i="4" s="1"/>
  <c r="L33" i="1"/>
  <c r="L11" i="4" s="1"/>
  <c r="K34" i="1"/>
  <c r="K12" i="4" s="1"/>
  <c r="L30" i="1"/>
  <c r="L8" i="4" s="1"/>
  <c r="O9" i="12"/>
  <c r="O10" i="12" s="1"/>
  <c r="E22" i="4"/>
  <c r="F22" i="4"/>
  <c r="T6" i="4"/>
  <c r="P6" i="4"/>
  <c r="Q6" i="4"/>
  <c r="H22" i="4"/>
  <c r="I22" i="4"/>
  <c r="D22" i="4"/>
  <c r="J22" i="4"/>
  <c r="C22" i="4"/>
  <c r="J6" i="4"/>
  <c r="S6" i="4"/>
  <c r="Q22" i="4"/>
  <c r="G22" i="4"/>
  <c r="U6" i="4"/>
  <c r="P22" i="4"/>
  <c r="T4" i="33"/>
  <c r="T22" i="33" s="1"/>
  <c r="Q22" i="1"/>
  <c r="S9" i="12"/>
  <c r="S10" i="12" s="1"/>
  <c r="N9" i="12"/>
  <c r="N10" i="12" s="1"/>
  <c r="M9" i="12"/>
  <c r="M10" i="12" s="1"/>
  <c r="I9" i="12"/>
  <c r="I10" i="12" s="1"/>
  <c r="P9" i="12"/>
  <c r="P10" i="12" s="1"/>
  <c r="R13" i="4"/>
  <c r="G32" i="1"/>
  <c r="G10" i="4" s="1"/>
  <c r="H29" i="1"/>
  <c r="E28" i="1"/>
  <c r="D34" i="1"/>
  <c r="D12" i="4" s="1"/>
  <c r="I9" i="4"/>
  <c r="F28" i="1"/>
  <c r="R19" i="4"/>
  <c r="R15" i="4"/>
  <c r="Q29" i="1"/>
  <c r="O37" i="1"/>
  <c r="O15" i="4" s="1"/>
  <c r="P29" i="1"/>
  <c r="B34" i="1"/>
  <c r="B12" i="4" s="1"/>
  <c r="B35" i="1"/>
  <c r="B13" i="4" s="1"/>
  <c r="C34" i="1"/>
  <c r="C12" i="4" s="1"/>
  <c r="G31" i="1"/>
  <c r="G9" i="4" s="1"/>
  <c r="H28" i="1"/>
  <c r="E34" i="1"/>
  <c r="F31" i="1"/>
  <c r="F46" i="1" s="1"/>
  <c r="F53" i="1" s="1"/>
  <c r="G28" i="1"/>
  <c r="I10" i="4"/>
  <c r="G33" i="1"/>
  <c r="E31" i="1"/>
  <c r="E9" i="4" s="1"/>
  <c r="R20" i="4"/>
  <c r="R16" i="4"/>
  <c r="R12" i="4"/>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4"/>
  <c r="J4" i="23"/>
  <c r="J45" i="23" s="1"/>
  <c r="M4" i="23"/>
  <c r="M27" i="23" s="1"/>
  <c r="H10" i="22"/>
  <c r="M4" i="4"/>
  <c r="H13" i="22"/>
  <c r="H12" i="22"/>
  <c r="H11" i="22"/>
  <c r="H9" i="22"/>
  <c r="H8" i="22"/>
  <c r="O32" i="23"/>
  <c r="O31" i="23"/>
  <c r="O25" i="4" s="1"/>
  <c r="O30" i="23"/>
  <c r="O24" i="4" s="1"/>
  <c r="B33" i="23"/>
  <c r="B27" i="4" s="1"/>
  <c r="R46" i="23"/>
  <c r="R53" i="23" s="1"/>
  <c r="B28" i="23"/>
  <c r="B30" i="23"/>
  <c r="B24" i="4" s="1"/>
  <c r="B34" i="23"/>
  <c r="B28" i="4" s="1"/>
  <c r="B35" i="23"/>
  <c r="O28" i="23"/>
  <c r="B31" i="23"/>
  <c r="B25" i="4" s="1"/>
  <c r="G47" i="23"/>
  <c r="G48" i="23" s="1"/>
  <c r="G54" i="23" s="1"/>
  <c r="B29" i="23"/>
  <c r="B23" i="4"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D47" i="23"/>
  <c r="D48" i="23" s="1"/>
  <c r="D54" i="23" s="1"/>
  <c r="G46" i="23"/>
  <c r="G53" i="23" s="1"/>
  <c r="P37" i="1"/>
  <c r="F22" i="23"/>
  <c r="E46" i="23"/>
  <c r="E53" i="23" s="1"/>
  <c r="O36" i="1"/>
  <c r="Q46" i="23"/>
  <c r="Q53" i="23" s="1"/>
  <c r="H45" i="23"/>
  <c r="H47" i="23"/>
  <c r="H48" i="23" s="1"/>
  <c r="H54" i="23" s="1"/>
  <c r="D46" i="23"/>
  <c r="D53" i="23" s="1"/>
  <c r="Q47" i="23"/>
  <c r="Q48" i="23" s="1"/>
  <c r="Q54" i="23" s="1"/>
  <c r="U46" i="23"/>
  <c r="U53" i="23" s="1"/>
  <c r="T46" i="23"/>
  <c r="T53" i="23" s="1"/>
  <c r="R9" i="4"/>
  <c r="R22" i="4"/>
  <c r="V22" i="4"/>
  <c r="U29" i="4"/>
  <c r="T47" i="23"/>
  <c r="T48" i="23" s="1"/>
  <c r="T54" i="23" s="1"/>
  <c r="T27" i="4"/>
  <c r="H46" i="23"/>
  <c r="H53" i="23" s="1"/>
  <c r="E57" i="23"/>
  <c r="U57" i="23"/>
  <c r="Q57" i="23"/>
  <c r="J57" i="23"/>
  <c r="H57" i="23"/>
  <c r="T57" i="23"/>
  <c r="P57" i="23"/>
  <c r="C57" i="23"/>
  <c r="F57" i="23"/>
  <c r="I57" i="23"/>
  <c r="S57" i="23"/>
  <c r="D57" i="23"/>
  <c r="G57" i="23"/>
  <c r="V57" i="23"/>
  <c r="R57" i="23"/>
  <c r="J21" i="4"/>
  <c r="E37" i="4"/>
  <c r="M21" i="4"/>
  <c r="R8" i="4"/>
  <c r="L21" i="4"/>
  <c r="U21" i="4"/>
  <c r="R7" i="4"/>
  <c r="D21" i="4"/>
  <c r="C37" i="4"/>
  <c r="I37" i="4"/>
  <c r="K21" i="4"/>
  <c r="P36" i="1"/>
  <c r="P14" i="4" s="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V6" i="4"/>
  <c r="G21" i="4"/>
  <c r="I21" i="4"/>
  <c r="F21" i="4"/>
  <c r="H21" i="4"/>
  <c r="E21" i="4"/>
  <c r="L52" i="23"/>
  <c r="E7" i="4"/>
  <c r="D17" i="4"/>
  <c r="F8" i="4"/>
  <c r="H9" i="4"/>
  <c r="J10" i="4"/>
  <c r="G7" i="4"/>
  <c r="C4" i="4"/>
  <c r="C47" i="23"/>
  <c r="C48" i="23" s="1"/>
  <c r="C54" i="23" s="1"/>
  <c r="J47" i="23"/>
  <c r="J48" i="23" s="1"/>
  <c r="J54" i="23" s="1"/>
  <c r="P47" i="23"/>
  <c r="P48" i="23" s="1"/>
  <c r="P54" i="23" s="1"/>
  <c r="E47" i="23"/>
  <c r="E48" i="23" s="1"/>
  <c r="E54" i="23" s="1"/>
  <c r="I46" i="23"/>
  <c r="I53" i="23" s="1"/>
  <c r="F47" i="23"/>
  <c r="F48" i="23" s="1"/>
  <c r="F54" i="23" s="1"/>
  <c r="U47" i="23"/>
  <c r="U48" i="23" s="1"/>
  <c r="U54" i="23" s="1"/>
  <c r="A47" i="22"/>
  <c r="F46" i="23"/>
  <c r="F53" i="23" s="1"/>
  <c r="J46" i="23"/>
  <c r="J53" i="23" s="1"/>
  <c r="I47" i="23"/>
  <c r="I48" i="23" s="1"/>
  <c r="I54" i="23" s="1"/>
  <c r="C46" i="23"/>
  <c r="C53" i="23" s="1"/>
  <c r="G27" i="23"/>
  <c r="G52" i="23" s="1"/>
  <c r="A50" i="22"/>
  <c r="H50" i="22" s="1"/>
  <c r="K27" i="23"/>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F4" i="4"/>
  <c r="G22" i="1"/>
  <c r="F45" i="1"/>
  <c r="C22" i="1"/>
  <c r="B22" i="1"/>
  <c r="G45" i="1"/>
  <c r="E27" i="1"/>
  <c r="E52" i="1" s="1"/>
  <c r="E22" i="1"/>
  <c r="P27" i="1"/>
  <c r="P52" i="1" s="1"/>
  <c r="H4" i="4"/>
  <c r="F22" i="1"/>
  <c r="I4" i="4"/>
  <c r="G4" i="4"/>
  <c r="C27" i="1"/>
  <c r="C52" i="1" s="1"/>
  <c r="B45" i="1"/>
  <c r="K74" i="4"/>
  <c r="G2" i="12" s="1"/>
  <c r="H22" i="1"/>
  <c r="O4" i="4"/>
  <c r="H45" i="1"/>
  <c r="O45" i="1"/>
  <c r="P4" i="4"/>
  <c r="P45" i="1"/>
  <c r="O27" i="1"/>
  <c r="O52" i="1" s="1"/>
  <c r="K55" i="4"/>
  <c r="B55" i="4"/>
  <c r="H9" i="12"/>
  <c r="H10" i="12" s="1"/>
  <c r="G9" i="12"/>
  <c r="G10" i="12" s="1"/>
  <c r="E9" i="12"/>
  <c r="E10" i="12" s="1"/>
  <c r="L55" i="4"/>
  <c r="E74" i="4"/>
  <c r="B74" i="4"/>
  <c r="T9" i="12"/>
  <c r="T10" i="12" s="1"/>
  <c r="F9" i="12"/>
  <c r="F10" i="12" s="1"/>
  <c r="L9" i="12"/>
  <c r="L10" i="12" s="1"/>
  <c r="J9" i="12"/>
  <c r="J10" i="12" s="1"/>
  <c r="R9" i="12"/>
  <c r="R10" i="12" s="1"/>
  <c r="Q56" i="1"/>
  <c r="B56" i="23"/>
  <c r="D56" i="1"/>
  <c r="S78" i="4"/>
  <c r="P56" i="1"/>
  <c r="F56" i="1"/>
  <c r="E56" i="1"/>
  <c r="M56" i="1"/>
  <c r="L56" i="23"/>
  <c r="G56" i="1"/>
  <c r="K56" i="1"/>
  <c r="H56" i="1"/>
  <c r="K56" i="23"/>
  <c r="O56" i="23"/>
  <c r="V78" i="4"/>
  <c r="J78" i="4"/>
  <c r="U78" i="4"/>
  <c r="C56" i="1"/>
  <c r="L56" i="1"/>
  <c r="M56" i="23"/>
  <c r="O56" i="1"/>
  <c r="B56" i="1"/>
  <c r="T78" i="4"/>
  <c r="K46" i="23" l="1"/>
  <c r="K53" i="23" s="1"/>
  <c r="M46" i="23"/>
  <c r="M53" i="23" s="1"/>
  <c r="M57" i="23"/>
  <c r="L57" i="23"/>
  <c r="K57" i="23"/>
  <c r="L46" i="23"/>
  <c r="L53" i="23" s="1"/>
  <c r="M47" i="23"/>
  <c r="M48" i="23" s="1"/>
  <c r="M54" i="23" s="1"/>
  <c r="K22" i="4"/>
  <c r="K56" i="4" s="1"/>
  <c r="K75" i="4" s="1"/>
  <c r="L47" i="23"/>
  <c r="L48" i="23" s="1"/>
  <c r="L54" i="23" s="1"/>
  <c r="K47" i="23"/>
  <c r="K48" i="23" s="1"/>
  <c r="K54" i="23" s="1"/>
  <c r="M22" i="4"/>
  <c r="M63" i="4" s="1"/>
  <c r="M64" i="4" s="1"/>
  <c r="L57" i="1"/>
  <c r="M57" i="1"/>
  <c r="K57" i="1"/>
  <c r="L47" i="1"/>
  <c r="L48" i="1" s="1"/>
  <c r="L54" i="1" s="1"/>
  <c r="L46" i="1"/>
  <c r="L53" i="1" s="1"/>
  <c r="M46" i="1"/>
  <c r="M53" i="1" s="1"/>
  <c r="M47" i="1"/>
  <c r="M48" i="1" s="1"/>
  <c r="M54" i="1" s="1"/>
  <c r="K47" i="1"/>
  <c r="K48" i="1" s="1"/>
  <c r="K54" i="1" s="1"/>
  <c r="K46" i="1"/>
  <c r="K53" i="1" s="1"/>
  <c r="L6" i="4"/>
  <c r="S63" i="4"/>
  <c r="S64" i="4" s="1"/>
  <c r="L63" i="4"/>
  <c r="L64" i="4" s="1"/>
  <c r="P47" i="1"/>
  <c r="P48" i="1" s="1"/>
  <c r="P54" i="1" s="1"/>
  <c r="D6" i="4"/>
  <c r="R6" i="4"/>
  <c r="C6" i="4"/>
  <c r="B22" i="4"/>
  <c r="I6" i="4"/>
  <c r="P7" i="4"/>
  <c r="E6" i="4"/>
  <c r="H6" i="4"/>
  <c r="F6" i="4"/>
  <c r="O6" i="4"/>
  <c r="B6" i="4"/>
  <c r="G6" i="4"/>
  <c r="Q7" i="4"/>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F47" i="1"/>
  <c r="F48" i="1" s="1"/>
  <c r="F54" i="1" s="1"/>
  <c r="G47" i="1"/>
  <c r="G48" i="1" s="1"/>
  <c r="G54" i="1" s="1"/>
  <c r="E47" i="1"/>
  <c r="E48" i="1" s="1"/>
  <c r="E54" i="1" s="1"/>
  <c r="Q46" i="1"/>
  <c r="Q53" i="1" s="1"/>
  <c r="E46" i="1"/>
  <c r="E53" i="1" s="1"/>
  <c r="Q47" i="1"/>
  <c r="Q48" i="1" s="1"/>
  <c r="Q54" i="1" s="1"/>
  <c r="Q74" i="4"/>
  <c r="A51" i="22"/>
  <c r="H51" i="22" s="1"/>
  <c r="A45" i="22"/>
  <c r="H45" i="22" s="1"/>
  <c r="T57" i="4"/>
  <c r="T58" i="4" s="1"/>
  <c r="T76" i="4" s="1"/>
  <c r="H57" i="1"/>
  <c r="G57" i="1"/>
  <c r="F57" i="1"/>
  <c r="E57" i="1"/>
  <c r="H7" i="4"/>
  <c r="G46" i="1"/>
  <c r="G53" i="1" s="1"/>
  <c r="H46" i="1"/>
  <c r="H53" i="1" s="1"/>
  <c r="H47" i="1"/>
  <c r="H48" i="1" s="1"/>
  <c r="H54" i="1" s="1"/>
  <c r="G11" i="4"/>
  <c r="F9" i="4"/>
  <c r="F63" i="4" s="1"/>
  <c r="F64" i="4" s="1"/>
  <c r="I13" i="4"/>
  <c r="E12" i="4"/>
  <c r="I55" i="4"/>
  <c r="I62" i="4"/>
  <c r="V57" i="4"/>
  <c r="V58" i="4" s="1"/>
  <c r="V76" i="4" s="1"/>
  <c r="V56" i="4"/>
  <c r="V75" i="4" s="1"/>
  <c r="U57" i="4"/>
  <c r="U58" i="4" s="1"/>
  <c r="U76" i="4" s="1"/>
  <c r="L56" i="4"/>
  <c r="L75" i="4" s="1"/>
  <c r="S56" i="4"/>
  <c r="S75" i="4" s="1"/>
  <c r="J56" i="4"/>
  <c r="J75" i="4" s="1"/>
  <c r="O55" i="4"/>
  <c r="O62" i="4"/>
  <c r="F55" i="4"/>
  <c r="F62" i="4"/>
  <c r="M55" i="4"/>
  <c r="M62" i="4"/>
  <c r="J55" i="4"/>
  <c r="J62" i="4"/>
  <c r="L57" i="4"/>
  <c r="L58" i="4" s="1"/>
  <c r="L76" i="4" s="1"/>
  <c r="J57" i="4"/>
  <c r="J58" i="4" s="1"/>
  <c r="J76" i="4" s="1"/>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V4" i="33"/>
  <c r="S57" i="4"/>
  <c r="S58" i="4" s="1"/>
  <c r="S76" i="4" s="1"/>
  <c r="Q55" i="4"/>
  <c r="O32" i="4"/>
  <c r="Q10" i="4"/>
  <c r="B32" i="4"/>
  <c r="H55" i="4"/>
  <c r="R10" i="4"/>
  <c r="O14" i="4"/>
  <c r="P15" i="4"/>
  <c r="V4" i="23"/>
  <c r="V45" i="23" s="1"/>
  <c r="V4" i="4"/>
  <c r="V55" i="4" s="1"/>
  <c r="B10" i="4"/>
  <c r="A32" i="22"/>
  <c r="H32" i="22" s="1"/>
  <c r="D13" i="28"/>
  <c r="D9" i="28"/>
  <c r="D5" i="28"/>
  <c r="D14" i="28"/>
  <c r="D10" i="28"/>
  <c r="D6" i="28"/>
  <c r="D15" i="28"/>
  <c r="D11" i="28"/>
  <c r="D7" i="28"/>
  <c r="D3" i="28"/>
  <c r="D12" i="28"/>
  <c r="D8" i="28"/>
  <c r="D4" i="28"/>
  <c r="V79" i="4"/>
  <c r="J79" i="4"/>
  <c r="U79" i="4"/>
  <c r="T79" i="4"/>
  <c r="S79" i="4"/>
  <c r="O26" i="4"/>
  <c r="P46" i="1"/>
  <c r="P53" i="1" s="1"/>
  <c r="A37" i="22"/>
  <c r="H37" i="22" s="1"/>
  <c r="M74" i="4"/>
  <c r="I2" i="12" s="1"/>
  <c r="J74" i="4"/>
  <c r="F2" i="12" s="1"/>
  <c r="A48" i="22"/>
  <c r="H48" i="22" s="1"/>
  <c r="A33" i="22"/>
  <c r="H33" i="22" s="1"/>
  <c r="S4" i="23"/>
  <c r="A43" i="22"/>
  <c r="H43" i="22" s="1"/>
  <c r="A41" i="22"/>
  <c r="H41" i="22" s="1"/>
  <c r="A39" i="22"/>
  <c r="H39" i="22" s="1"/>
  <c r="C55" i="4"/>
  <c r="U4" i="23"/>
  <c r="U22" i="23" s="1"/>
  <c r="J22" i="23"/>
  <c r="J52" i="23"/>
  <c r="J27" i="23"/>
  <c r="R4" i="23"/>
  <c r="R22" i="23" s="1"/>
  <c r="M52" i="23"/>
  <c r="M22" i="23"/>
  <c r="M45" i="23"/>
  <c r="L2" i="12"/>
  <c r="B46" i="23"/>
  <c r="B53" i="23" s="1"/>
  <c r="B55" i="23" s="1"/>
  <c r="O46" i="23"/>
  <c r="O53" i="23" s="1"/>
  <c r="O55" i="23" s="1"/>
  <c r="O47" i="23"/>
  <c r="O48" i="23" s="1"/>
  <c r="O54" i="23" s="1"/>
  <c r="B47" i="23"/>
  <c r="B48" i="23" s="1"/>
  <c r="B54" i="23" s="1"/>
  <c r="B57" i="23"/>
  <c r="O57" i="23"/>
  <c r="B29" i="4"/>
  <c r="O22" i="4"/>
  <c r="Q57" i="1"/>
  <c r="D74" i="4"/>
  <c r="M2" i="12"/>
  <c r="J2" i="12"/>
  <c r="C47" i="1"/>
  <c r="C48" i="1" s="1"/>
  <c r="C54" i="1" s="1"/>
  <c r="G74" i="4"/>
  <c r="D57" i="1"/>
  <c r="P57" i="1"/>
  <c r="O57" i="1"/>
  <c r="C57" i="1"/>
  <c r="D10" i="4"/>
  <c r="C10" i="4"/>
  <c r="C63" i="4" s="1"/>
  <c r="C64" i="4" s="1"/>
  <c r="B57" i="1"/>
  <c r="C46" i="1"/>
  <c r="C53" i="1" s="1"/>
  <c r="B46" i="1"/>
  <c r="B53" i="1" s="1"/>
  <c r="B47" i="1"/>
  <c r="B48" i="1" s="1"/>
  <c r="B54" i="1" s="1"/>
  <c r="D46" i="1"/>
  <c r="D53" i="1" s="1"/>
  <c r="O47" i="1"/>
  <c r="O48" i="1" s="1"/>
  <c r="O54" i="1" s="1"/>
  <c r="O46" i="1"/>
  <c r="O53" i="1" s="1"/>
  <c r="D47" i="1"/>
  <c r="D48" i="1" s="1"/>
  <c r="D54" i="1" s="1"/>
  <c r="D8" i="4"/>
  <c r="T4" i="23"/>
  <c r="F74" i="4"/>
  <c r="I74" i="4"/>
  <c r="O74" i="4"/>
  <c r="P74" i="4"/>
  <c r="AD2" i="12"/>
  <c r="M78" i="4"/>
  <c r="H78" i="4"/>
  <c r="E78" i="4"/>
  <c r="Q78" i="4"/>
  <c r="O78" i="4"/>
  <c r="P78" i="4"/>
  <c r="D78" i="4"/>
  <c r="I78" i="4"/>
  <c r="R78" i="4"/>
  <c r="L78" i="4"/>
  <c r="C78" i="4"/>
  <c r="F78" i="4"/>
  <c r="B78" i="4"/>
  <c r="K78" i="4"/>
  <c r="G78" i="4"/>
  <c r="M56" i="4" l="1"/>
  <c r="M75" i="4" s="1"/>
  <c r="K57" i="4"/>
  <c r="K58" i="4" s="1"/>
  <c r="K76" i="4" s="1"/>
  <c r="M57" i="4"/>
  <c r="M58" i="4" s="1"/>
  <c r="M76" i="4" s="1"/>
  <c r="I4" i="12" s="1"/>
  <c r="K63" i="4"/>
  <c r="K64" i="4" s="1"/>
  <c r="F55" i="23"/>
  <c r="K79" i="4"/>
  <c r="M79" i="4"/>
  <c r="L79" i="4"/>
  <c r="H56" i="4"/>
  <c r="H75" i="4" s="1"/>
  <c r="C55" i="23"/>
  <c r="G55" i="1"/>
  <c r="L55" i="1"/>
  <c r="K55" i="1"/>
  <c r="I55" i="1"/>
  <c r="J55" i="1"/>
  <c r="M55" i="1"/>
  <c r="L59" i="1"/>
  <c r="L60" i="1" s="1"/>
  <c r="L61" i="1" s="1"/>
  <c r="I59" i="1"/>
  <c r="M59" i="1"/>
  <c r="M60" i="1" s="1"/>
  <c r="M61" i="1" s="1"/>
  <c r="J59" i="1"/>
  <c r="K59" i="1"/>
  <c r="R55" i="1"/>
  <c r="V55" i="1"/>
  <c r="T55" i="1"/>
  <c r="U55" i="1"/>
  <c r="S55" i="1"/>
  <c r="S59" i="1"/>
  <c r="T59" i="1"/>
  <c r="U59" i="1"/>
  <c r="R59" i="1"/>
  <c r="V59" i="1"/>
  <c r="O55" i="1"/>
  <c r="I63" i="4"/>
  <c r="I64" i="4" s="1"/>
  <c r="R63" i="4"/>
  <c r="R64" i="4" s="1"/>
  <c r="I57" i="4"/>
  <c r="I58" i="4" s="1"/>
  <c r="I76" i="4" s="1"/>
  <c r="P55" i="23"/>
  <c r="V55" i="23"/>
  <c r="Q55" i="23"/>
  <c r="U55" i="23"/>
  <c r="R55" i="23"/>
  <c r="T55" i="23"/>
  <c r="P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H4" i="12"/>
  <c r="F4" i="12"/>
  <c r="L4" i="12"/>
  <c r="V22" i="23"/>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V74" i="4"/>
  <c r="Z2" i="12" s="1"/>
  <c r="V62" i="4"/>
  <c r="P56" i="4"/>
  <c r="R57" i="4"/>
  <c r="R58" i="4" s="1"/>
  <c r="R76" i="4" s="1"/>
  <c r="Q57" i="4"/>
  <c r="Q58" i="4" s="1"/>
  <c r="Q76" i="4" s="1"/>
  <c r="Q79" i="4"/>
  <c r="P79" i="4"/>
  <c r="R79" i="4"/>
  <c r="U4" i="4"/>
  <c r="F2" i="27"/>
  <c r="F4" i="27" s="1"/>
  <c r="O2" i="12"/>
  <c r="O4" i="12"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O79" i="4"/>
  <c r="B79" i="4"/>
  <c r="B64" i="23"/>
  <c r="L59" i="23"/>
  <c r="F59" i="23"/>
  <c r="Q59" i="23"/>
  <c r="Q60" i="23" s="1"/>
  <c r="V59" i="23"/>
  <c r="V60" i="23" s="1"/>
  <c r="P59" i="23"/>
  <c r="P60" i="23" s="1"/>
  <c r="T59" i="23"/>
  <c r="T60" i="23" s="1"/>
  <c r="U59" i="23"/>
  <c r="S59" i="23"/>
  <c r="B65" i="23"/>
  <c r="N2" i="12"/>
  <c r="N4" i="12" s="1"/>
  <c r="R45" i="23"/>
  <c r="S4" i="4"/>
  <c r="S62" i="4" s="1"/>
  <c r="S2" i="12"/>
  <c r="S4" i="12" s="1"/>
  <c r="U27" i="23"/>
  <c r="U52" i="23" s="1"/>
  <c r="U45" i="23"/>
  <c r="S45" i="23"/>
  <c r="S27" i="23"/>
  <c r="S52" i="23" s="1"/>
  <c r="S22" i="23"/>
  <c r="R4" i="4"/>
  <c r="R62" i="4" s="1"/>
  <c r="R27" i="23"/>
  <c r="R52" i="23" s="1"/>
  <c r="C59" i="23"/>
  <c r="E59" i="23"/>
  <c r="J59" i="23"/>
  <c r="K59" i="23"/>
  <c r="D59" i="23"/>
  <c r="I59" i="23"/>
  <c r="O59" i="23"/>
  <c r="G59" i="23"/>
  <c r="H59" i="23"/>
  <c r="M59" i="23"/>
  <c r="C55" i="1"/>
  <c r="H55" i="1"/>
  <c r="F55" i="1"/>
  <c r="D55" i="1"/>
  <c r="E55" i="1"/>
  <c r="H3" i="12"/>
  <c r="O59" i="1"/>
  <c r="F59" i="1"/>
  <c r="E59" i="1"/>
  <c r="E60" i="1" s="1"/>
  <c r="H59" i="1"/>
  <c r="D59" i="1"/>
  <c r="C59" i="1"/>
  <c r="G59" i="1"/>
  <c r="G60" i="1" s="1"/>
  <c r="P59" i="1"/>
  <c r="Q59" i="1"/>
  <c r="B65" i="1"/>
  <c r="B64" i="1"/>
  <c r="B55" i="1"/>
  <c r="G3" i="12"/>
  <c r="T27" i="23"/>
  <c r="T52" i="23" s="1"/>
  <c r="T45" i="23"/>
  <c r="T22" i="23"/>
  <c r="F3" i="12"/>
  <c r="J3" i="12"/>
  <c r="I3" i="12"/>
  <c r="T4" i="4"/>
  <c r="T62" i="4" s="1"/>
  <c r="R60" i="23"/>
  <c r="I60" i="1"/>
  <c r="K60" i="1"/>
  <c r="L60" i="23"/>
  <c r="D60" i="1"/>
  <c r="K60" i="23"/>
  <c r="D60" i="23"/>
  <c r="C60" i="1"/>
  <c r="F60" i="23"/>
  <c r="E60" i="23"/>
  <c r="M60" i="23"/>
  <c r="G60" i="23"/>
  <c r="O60" i="1"/>
  <c r="C60" i="23"/>
  <c r="T60" i="1"/>
  <c r="U60" i="1"/>
  <c r="P60" i="1"/>
  <c r="Q60" i="1"/>
  <c r="S60" i="23"/>
  <c r="O60" i="23"/>
  <c r="J60" i="1"/>
  <c r="S60" i="1"/>
  <c r="R60" i="1"/>
  <c r="H60" i="1"/>
  <c r="H60" i="23"/>
  <c r="U60" i="23"/>
  <c r="I60" i="23"/>
  <c r="J60" i="23"/>
  <c r="V60" i="1"/>
  <c r="F60" i="1"/>
  <c r="J80" i="4" l="1"/>
  <c r="J61" i="1"/>
  <c r="V61" i="1"/>
  <c r="U61" i="1"/>
  <c r="T61" i="1"/>
  <c r="S61" i="1"/>
  <c r="I61" i="1"/>
  <c r="R61" i="1"/>
  <c r="K61" i="1"/>
  <c r="AA2" i="12"/>
  <c r="AH2" i="12"/>
  <c r="P75" i="4"/>
  <c r="B5" i="27" s="1"/>
  <c r="O81" i="4"/>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G61" i="1"/>
  <c r="E61" i="1"/>
  <c r="F61" i="1"/>
  <c r="H61" i="1"/>
  <c r="O3" i="12"/>
  <c r="R3" i="12"/>
  <c r="S3" i="12"/>
  <c r="N3" i="12"/>
  <c r="M3" i="12"/>
  <c r="L3" i="12"/>
  <c r="AC2" i="12"/>
  <c r="S55" i="4"/>
  <c r="S74" i="4"/>
  <c r="W2" i="12" s="1"/>
  <c r="AG2" i="12"/>
  <c r="R55" i="4"/>
  <c r="R74" i="4"/>
  <c r="AD4" i="12" s="1"/>
  <c r="P3" i="12"/>
  <c r="Q3" i="12"/>
  <c r="K2" i="12"/>
  <c r="K4" i="12" s="1"/>
  <c r="B4" i="27"/>
  <c r="B4" i="12"/>
  <c r="O61" i="1"/>
  <c r="Q61" i="1"/>
  <c r="P61" i="1"/>
  <c r="C61" i="1"/>
  <c r="AB2" i="12"/>
  <c r="AB4" i="12" s="1"/>
  <c r="AF2" i="12"/>
  <c r="T55" i="4"/>
  <c r="T74" i="4"/>
  <c r="O82" i="4"/>
  <c r="P82" i="4"/>
  <c r="Q82" i="4"/>
  <c r="B5" i="12" l="1"/>
  <c r="P77" i="4"/>
  <c r="AE4" i="12"/>
  <c r="Z4" i="12"/>
  <c r="W4" i="12"/>
  <c r="AG4" i="12"/>
  <c r="AC4" i="12"/>
  <c r="AH4" i="12"/>
  <c r="AF4" i="12"/>
  <c r="Y4" i="12"/>
  <c r="AA4" i="12"/>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Q5" i="12"/>
  <c r="R5" i="12"/>
  <c r="P83" i="4"/>
  <c r="S5" i="12"/>
  <c r="Q83" i="4"/>
  <c r="P5" i="12"/>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E2" i="28" l="1"/>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F12" i="22"/>
  <c r="I12" i="22" s="1"/>
  <c r="F16" i="22"/>
  <c r="G16" i="22" s="1"/>
  <c r="F22" i="22"/>
  <c r="I22" i="22" s="1"/>
  <c r="J5" i="12"/>
  <c r="F15" i="22"/>
  <c r="I15" i="22" s="1"/>
  <c r="L5" i="12"/>
  <c r="F21" i="22"/>
  <c r="G21" i="22" s="1"/>
  <c r="F5" i="12"/>
  <c r="F24" i="22"/>
  <c r="G24" i="22" s="1"/>
  <c r="F10" i="22"/>
  <c r="F11" i="22"/>
  <c r="F13" i="22"/>
  <c r="I13" i="22" s="1"/>
  <c r="F14" i="22"/>
  <c r="G14" i="22" s="1"/>
  <c r="F18" i="22"/>
  <c r="G18" i="22" s="1"/>
  <c r="F8" i="22"/>
  <c r="G8" i="22" s="1"/>
  <c r="F5" i="27"/>
  <c r="F25" i="22"/>
  <c r="I25" i="22" s="1"/>
  <c r="G5" i="12"/>
  <c r="H5" i="12"/>
  <c r="F17" i="22"/>
  <c r="K17" i="22" s="1"/>
  <c r="M17" i="22" s="1"/>
  <c r="K5" i="12"/>
  <c r="G51" i="22"/>
  <c r="J51" i="22" s="1"/>
  <c r="I51" i="22"/>
  <c r="K51" i="22"/>
  <c r="N51" i="22" s="1"/>
  <c r="G44" i="22"/>
  <c r="J44" i="22" s="1"/>
  <c r="I44" i="22"/>
  <c r="K44" i="22"/>
  <c r="N44" i="22" s="1"/>
  <c r="G38" i="22"/>
  <c r="J38" i="22" s="1"/>
  <c r="I38" i="22"/>
  <c r="K38" i="22"/>
  <c r="N38" i="22" s="1"/>
  <c r="G33" i="22"/>
  <c r="J33" i="22" s="1"/>
  <c r="G46" i="22"/>
  <c r="J46" i="22" s="1"/>
  <c r="I46" i="22"/>
  <c r="K46" i="22"/>
  <c r="N46" i="22" s="1"/>
  <c r="G37" i="22"/>
  <c r="J37" i="22" s="1"/>
  <c r="I37" i="22"/>
  <c r="K37" i="22"/>
  <c r="N37" i="22" s="1"/>
  <c r="G40" i="22"/>
  <c r="J40" i="22" s="1"/>
  <c r="I40" i="22"/>
  <c r="K40" i="22"/>
  <c r="N40" i="22" s="1"/>
  <c r="K26" i="22"/>
  <c r="M26" i="22" s="1"/>
  <c r="G41" i="22"/>
  <c r="J41" i="22" s="1"/>
  <c r="I41" i="22"/>
  <c r="K41" i="22"/>
  <c r="N41" i="22" s="1"/>
  <c r="G25" i="22"/>
  <c r="G50" i="22"/>
  <c r="J50" i="22" s="1"/>
  <c r="I50" i="22"/>
  <c r="K50" i="22"/>
  <c r="N50" i="22" s="1"/>
  <c r="G35" i="22"/>
  <c r="J35" i="22" s="1"/>
  <c r="G42" i="22"/>
  <c r="J42" i="22" s="1"/>
  <c r="I42" i="22"/>
  <c r="K42" i="22"/>
  <c r="N42" i="22" s="1"/>
  <c r="G47" i="22"/>
  <c r="J47" i="22" s="1"/>
  <c r="I47" i="22"/>
  <c r="K47" i="22"/>
  <c r="N47" i="22" s="1"/>
  <c r="G49" i="22"/>
  <c r="J49" i="22" s="1"/>
  <c r="I49" i="22"/>
  <c r="K49" i="22"/>
  <c r="N49" i="22" s="1"/>
  <c r="G34" i="22"/>
  <c r="J34" i="22" s="1"/>
  <c r="G39" i="22"/>
  <c r="J39" i="22" s="1"/>
  <c r="I39" i="22"/>
  <c r="K39" i="22"/>
  <c r="N39" i="22" s="1"/>
  <c r="G32" i="22"/>
  <c r="J32" i="22" s="1"/>
  <c r="I32" i="22"/>
  <c r="K32" i="22"/>
  <c r="G45" i="22"/>
  <c r="J45" i="22" s="1"/>
  <c r="I45" i="22"/>
  <c r="K45" i="22"/>
  <c r="N45" i="22" s="1"/>
  <c r="G36" i="22"/>
  <c r="J36" i="22" s="1"/>
  <c r="G48" i="22"/>
  <c r="J48" i="22" s="1"/>
  <c r="I48" i="22"/>
  <c r="K48" i="22"/>
  <c r="N48" i="22" s="1"/>
  <c r="G43" i="22"/>
  <c r="J43" i="22" s="1"/>
  <c r="I43" i="22"/>
  <c r="M43" i="22" s="1"/>
  <c r="K43" i="22"/>
  <c r="N43" i="22" s="1"/>
  <c r="L3" i="28"/>
  <c r="I34" i="22" l="1"/>
  <c r="K34" i="22" s="1"/>
  <c r="N34" i="22" s="1"/>
  <c r="M40" i="22"/>
  <c r="M51" i="22"/>
  <c r="M38" i="22"/>
  <c r="M39" i="22"/>
  <c r="M42" i="22"/>
  <c r="M50" i="22"/>
  <c r="M41" i="22"/>
  <c r="M45" i="22"/>
  <c r="M49" i="22"/>
  <c r="M46" i="22"/>
  <c r="M47" i="22"/>
  <c r="M44" i="22"/>
  <c r="M48" i="22"/>
  <c r="M37" i="22"/>
  <c r="I33" i="22"/>
  <c r="K33" i="22" s="1"/>
  <c r="N33" i="22" s="1"/>
  <c r="K15" i="22"/>
  <c r="M15" i="22" s="1"/>
  <c r="I14" i="22"/>
  <c r="G13" i="22"/>
  <c r="I7" i="22"/>
  <c r="G3" i="28" s="1"/>
  <c r="G7" i="22"/>
  <c r="I19" i="22"/>
  <c r="G9" i="22"/>
  <c r="I9" i="22" s="1"/>
  <c r="K9" i="22" s="1"/>
  <c r="M9" i="22" s="1"/>
  <c r="I36" i="22"/>
  <c r="I35" i="22"/>
  <c r="K16" i="22"/>
  <c r="M16" i="22" s="1"/>
  <c r="M32" i="22"/>
  <c r="K24" i="22"/>
  <c r="M24" i="22" s="1"/>
  <c r="K12" i="22"/>
  <c r="M12" i="22" s="1"/>
  <c r="G12" i="22"/>
  <c r="G15" i="22"/>
  <c r="K25" i="22"/>
  <c r="M25" i="22" s="1"/>
  <c r="K14" i="22"/>
  <c r="M14" i="22" s="1"/>
  <c r="I24" i="22"/>
  <c r="K19" i="22"/>
  <c r="M19" i="22" s="1"/>
  <c r="I18" i="22"/>
  <c r="K18" i="22"/>
  <c r="M18" i="22" s="1"/>
  <c r="G10" i="22"/>
  <c r="I10" i="22" s="1"/>
  <c r="K10" i="22"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M7" i="22"/>
  <c r="H3" i="28"/>
  <c r="N7" i="22"/>
  <c r="N17" i="22"/>
  <c r="N26" i="22"/>
  <c r="L2" i="28"/>
  <c r="N32" i="22"/>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M34" i="22" l="1"/>
  <c r="M33" i="22"/>
  <c r="N15" i="22"/>
  <c r="N19" i="22"/>
  <c r="N16" i="22"/>
  <c r="K36" i="22"/>
  <c r="N36" i="22" s="1"/>
  <c r="N10" i="22"/>
  <c r="M10" i="22"/>
  <c r="N24" i="22"/>
  <c r="H2" i="28"/>
  <c r="K35" i="22"/>
  <c r="N35" i="22" s="1"/>
  <c r="N21" i="22"/>
  <c r="N13" i="22"/>
  <c r="N14" i="22"/>
  <c r="N12" i="22"/>
  <c r="N25" i="22"/>
  <c r="N20" i="22"/>
  <c r="N18" i="22"/>
  <c r="N8" i="22"/>
  <c r="N11" i="22"/>
  <c r="N9" i="22"/>
  <c r="N23" i="22"/>
  <c r="N22" i="22"/>
  <c r="M36" i="22" l="1"/>
  <c r="M3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<sst xmlns="http://schemas.openxmlformats.org/spreadsheetml/2006/main" count="490" uniqueCount="174">
  <si>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</si>
  <si>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</si>
  <si>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</si>
  <si>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</si>
  <si>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</si>
  <si>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</si>
  <si>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</si>
  <si>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</si>
  <si>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</si>
  <si>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</si>
  <si>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</si>
  <si>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</si>
  <si>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</si>
  <si>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</si>
  <si>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</si>
  <si>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</si>
  <si>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</si>
  <si>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</si>
  <si>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</si>
  <si>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</si>
  <si>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</si>
  <si>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</si>
  <si>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</si>
  <si>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</si>
  <si>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</si>
  <si>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</si>
  <si>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</si>
  <si>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</si>
  <si>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</si>
  <si>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</si>
  <si>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</si>
  <si>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</si>
  <si>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</si>
  <si>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</si>
  <si>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</si>
  <si>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</si>
  <si>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</si>
  <si>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</si>
  <si>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</si>
  <si>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</si>
  <si>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</si>
  <si>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</si>
  <si>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</si>
  <si>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</si>
  <si>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</si>
  <si>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</si>
  <si>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</si>
  <si>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</si>
  <si>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</si>
  <si>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</si>
  <si>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</si>
  <si>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</si>
  <si>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</si>
  <si>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</si>
  <si>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</si>
  <si>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</si>
  <si>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</si>
  <si>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</si>
  <si>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</si>
  <si>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</si>
  <si>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</si>
  <si>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</si>
  <si>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</si>
  <si>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</si>
  <si>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</si>
  <si>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</si>
  <si>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</si>
  <si>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</si>
  <si>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</si>
  <si>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</si>
  <si>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</si>
  <si>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</si>
  <si>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</si>
  <si>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</si>
  <si>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</si>
  <si>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</si>
  <si>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</si>
  <si>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</si>
  <si>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</si>
  <si>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</si>
  <si>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</si>
  <si>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</si>
  <si>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</si>
  <si>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</si>
  <si>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</si>
  <si>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</si>
  <si>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</si>
  <si>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</si>
  <si>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</si>
  <si>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</si>
  <si>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</si>
  <si>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</si>
  <si>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</si>
  <si>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</si>
  <si>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</si>
  <si>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</si>
  <si>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</si>
  <si>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</si>
  <si>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</si>
  <si>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</si>
  <si>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</si>
  <si>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</si>
  <si>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</si>
  <si>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</si>
  <si>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</si>
  <si>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</si>
  <si>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</si>
  <si>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</si>
  <si>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</si>
  <si>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</si>
  <si>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</si>
  <si>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</si>
  <si>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</si>
  <si>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</si>
  <si>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</si>
  <si>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</si>
  <si>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</si>
  <si>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</si>
  <si>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</si>
  <si>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</si>
  <si>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</si>
  <si>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</si>
  <si>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</si>
  <si>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</si>
  <si>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</si>
  <si>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</si>
  <si>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</si>
  <si>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</si>
  <si>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</si>
  <si>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</si>
  <si>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</si>
  <si>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</si>
  <si>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</si>
  <si>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</si>
  <si>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</si>
  <si>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</si>
  <si>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</si>
  <si>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</si>
  <si>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</si>
  <si>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</si>
  <si>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</si>
  <si>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</si>
  <si>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</si>
  <si>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</si>
  <si>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</si>
  <si>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</si>
  <si>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</si>
  <si>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</si>
  <si>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</si>
  <si>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</si>
  <si>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</si>
  <si>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</si>
  <si>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</si>
  <si>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</si>
  <si>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</si>
  <si>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</si>
  <si>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</si>
  <si>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</si>
  <si>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</si>
  <si>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</si>
  <si>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</si>
  <si>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</si>
  <si>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</si>
  <si>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</si>
  <si>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</si>
  <si>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</si>
  <si>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Test</t>
  </si>
  <si>
    <t>Anastrozole</t>
  </si>
  <si>
    <t>ns</t>
  </si>
  <si>
    <t>&gt;0,99</t>
  </si>
  <si>
    <t>***</t>
  </si>
  <si>
    <t>&lt;0,001</t>
  </si>
  <si>
    <t>*</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</si>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</sst>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0.26874754674154538</c:v>
                  </c:pt>
                  <c:pt idx="2">
                    <c:v>1.142351465703731</c:v>
                  </c:pt>
                  <c:pt idx="3">
                    <c:v>4.4885568041006768E-2</c:v>
                  </c:pt>
                  <c:pt idx="4">
                    <c:v>0.3505309894655193</c:v>
                  </c:pt>
                  <c:pt idx="5">
                    <c:v>0.46073916909197316</c:v>
                  </c:pt>
                  <c:pt idx="6">
                    <c:v>6.7253029763954961E-2</c:v>
                  </c:pt>
                  <c:pt idx="7">
                    <c:v>3.1430397527308675E-2</c:v>
                  </c:pt>
                  <c:pt idx="8">
                    <c:v>7.271899180610264E-2</c:v>
                  </c:pt>
                </c:numCache>
              </c:numRef>
            </c:plus>
            <c:minus>
              <c:numRef>
                <c:f>'R1'!$N$48:$V$48</c:f>
                <c:numCache>
                  <c:formatCode>General</c:formatCode>
                  <c:ptCount val="9"/>
                  <c:pt idx="0">
                    <c:v>0</c:v>
                  </c:pt>
                  <c:pt idx="1">
                    <c:v>0.26874754674154538</c:v>
                  </c:pt>
                  <c:pt idx="2">
                    <c:v>1.142351465703731</c:v>
                  </c:pt>
                  <c:pt idx="3">
                    <c:v>4.4885568041006768E-2</c:v>
                  </c:pt>
                  <c:pt idx="4">
                    <c:v>0.3505309894655193</c:v>
                  </c:pt>
                  <c:pt idx="5">
                    <c:v>0.46073916909197316</c:v>
                  </c:pt>
                  <c:pt idx="6">
                    <c:v>6.7253029763954961E-2</c:v>
                  </c:pt>
                  <c:pt idx="7">
                    <c:v>3.1430397527308675E-2</c:v>
                  </c:pt>
                  <c:pt idx="8">
                    <c:v>7.271899180610264E-2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Anastrozole-0,032µg/L</c:v>
                </c:pt>
                <c:pt idx="8">
                  <c:v>Anastrozole-0,16µg/L</c:v>
                </c:pt>
                <c:pt idx="9">
                  <c:v>Anastrozole-0,8µg/L</c:v>
                </c:pt>
                <c:pt idx="10">
                  <c:v>Anastrozole-4µg/L</c:v>
                </c:pt>
                <c:pt idx="11">
                  <c:v>Anastrozole-20µg/L</c:v>
                </c:pt>
                <c:pt idx="13">
                  <c:v>Testo -30µg/L</c:v>
                </c:pt>
                <c:pt idx="14">
                  <c:v>Testo 30µg/L + EE2 -64ng/L</c:v>
                </c:pt>
                <c:pt idx="15">
                  <c:v>Testo 30µg/L + FAD-10µg/L</c:v>
                </c:pt>
                <c:pt idx="16">
                  <c:v>Anastrozole-0,032µg/L + Testostérone</c:v>
                </c:pt>
                <c:pt idx="17">
                  <c:v>Anastrozole-0,16µg/L + Testostérone</c:v>
                </c:pt>
                <c:pt idx="18">
                  <c:v>Anastrozole-0,8µg/L + Testostérone</c:v>
                </c:pt>
                <c:pt idx="19">
                  <c:v>Anastrozole-4µg/L + Testostérone</c:v>
                </c:pt>
                <c:pt idx="20">
                  <c:v>Anastrozole-20µg/L + Testostérone</c:v>
                </c:pt>
              </c:strCache>
            </c:strRef>
          </c:cat>
          <c:val>
            <c:numRef>
              <c:f>'R1'!$B$53:$V$53</c:f>
              <c:numCache>
                <c:formatCode>0.0000</c:formatCode>
                <c:ptCount val="21"/>
                <c:pt idx="0">
                  <c:v>0.17945848922335145</c:v>
                </c:pt>
                <c:pt idx="1">
                  <c:v>0.24926430719537182</c:v>
                </c:pt>
                <c:pt idx="2">
                  <c:v>0.94307187191397635</c:v>
                </c:pt>
                <c:pt idx="3">
                  <c:v>4.5441698056617996</c:v>
                </c:pt>
                <c:pt idx="4">
                  <c:v>7.1604811971520475</c:v>
                </c:pt>
                <c:pt idx="5">
                  <c:v>9.1497722603286018</c:v>
                </c:pt>
                <c:pt idx="6">
                  <c:v>17.816312164913462</c:v>
                </c:pt>
                <c:pt idx="7">
                  <c:v>0.31196418039114837</c:v>
                </c:pt>
                <c:pt idx="8">
                  <c:v>0.10284737987640549</c:v>
                </c:pt>
                <c:pt idx="9">
                  <c:v>0.17956364503354835</c:v>
                </c:pt>
                <c:pt idx="10">
                  <c:v>0.18588736146893298</c:v>
                </c:pt>
                <c:pt idx="11">
                  <c:v>0.11731265477295456</c:v>
                </c:pt>
                <c:pt idx="13">
                  <c:v>1</c:v>
                </c:pt>
                <c:pt idx="14">
                  <c:v>10.659729437223803</c:v>
                </c:pt>
                <c:pt idx="15">
                  <c:v>0.10095644935680564</c:v>
                </c:pt>
                <c:pt idx="16">
                  <c:v>1.0608186848339813</c:v>
                </c:pt>
                <c:pt idx="17">
                  <c:v>1.4158213683894347</c:v>
                </c:pt>
                <c:pt idx="18">
                  <c:v>0.18801192529356428</c:v>
                </c:pt>
                <c:pt idx="19">
                  <c:v>0.12293047378939373</c:v>
                </c:pt>
                <c:pt idx="20">
                  <c:v>0.22841986736833012</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3.0304074717994331E-2</c:v>
                  </c:pt>
                  <c:pt idx="1">
                    <c:v>1.3344401238319231E-2</c:v>
                  </c:pt>
                  <c:pt idx="2">
                    <c:v>0.35361181001573111</c:v>
                  </c:pt>
                  <c:pt idx="3">
                    <c:v>0.25755539015353646</c:v>
                  </c:pt>
                  <c:pt idx="4">
                    <c:v>0.33885389416805051</c:v>
                  </c:pt>
                  <c:pt idx="5">
                    <c:v>0.33885389416805051</c:v>
                  </c:pt>
                  <c:pt idx="6">
                    <c:v>0.59704257908380687</c:v>
                  </c:pt>
                  <c:pt idx="7">
                    <c:v>1.6565436449390122E-2</c:v>
                  </c:pt>
                  <c:pt idx="8">
                    <c:v>2.0192455598371926E-2</c:v>
                  </c:pt>
                  <c:pt idx="9">
                    <c:v>1.0494305508578902E-2</c:v>
                  </c:pt>
                  <c:pt idx="10">
                    <c:v>2.1739442687310883E-2</c:v>
                  </c:pt>
                  <c:pt idx="11">
                    <c:v>1.4106591557950708E-2</c:v>
                  </c:pt>
                  <c:pt idx="13">
                    <c:v>0.21679978552813869</c:v>
                  </c:pt>
                  <c:pt idx="14">
                    <c:v>0.12099840208253397</c:v>
                  </c:pt>
                  <c:pt idx="15">
                    <c:v>8.9223734181960584E-3</c:v>
                  </c:pt>
                  <c:pt idx="16">
                    <c:v>0.16172856480488382</c:v>
                  </c:pt>
                  <c:pt idx="17">
                    <c:v>0.18709066248549891</c:v>
                  </c:pt>
                  <c:pt idx="18">
                    <c:v>6.9706824596159636E-2</c:v>
                  </c:pt>
                  <c:pt idx="19">
                    <c:v>0.37024092929653923</c:v>
                  </c:pt>
                  <c:pt idx="20">
                    <c:v>6.062834035014745E-3</c:v>
                  </c:pt>
                </c:numCache>
              </c:numRef>
            </c:plus>
            <c:minus>
              <c:numRef>
                <c:f>'R1'!$N$48:$V$48</c:f>
                <c:numCache>
                  <c:formatCode>General</c:formatCode>
                  <c:ptCount val="9"/>
                  <c:pt idx="0">
                    <c:v>0</c:v>
                  </c:pt>
                  <c:pt idx="1">
                    <c:v>0.26874754674154538</c:v>
                  </c:pt>
                  <c:pt idx="2">
                    <c:v>1.142351465703731</c:v>
                  </c:pt>
                  <c:pt idx="3">
                    <c:v>4.4885568041006768E-2</c:v>
                  </c:pt>
                  <c:pt idx="4">
                    <c:v>0.3505309894655193</c:v>
                  </c:pt>
                  <c:pt idx="5">
                    <c:v>0.46073916909197316</c:v>
                  </c:pt>
                  <c:pt idx="6">
                    <c:v>6.7253029763954961E-2</c:v>
                  </c:pt>
                  <c:pt idx="7">
                    <c:v>3.1430397527308675E-2</c:v>
                  </c:pt>
                  <c:pt idx="8">
                    <c:v>7.271899180610264E-2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Anastrozole-0,032µg/L</c:v>
                </c:pt>
                <c:pt idx="8">
                  <c:v>Anastrozole-0,16µg/L</c:v>
                </c:pt>
                <c:pt idx="9">
                  <c:v>Anastrozole-0,8µg/L</c:v>
                </c:pt>
                <c:pt idx="10">
                  <c:v>Anastrozole-4µg/L</c:v>
                </c:pt>
                <c:pt idx="11">
                  <c:v>Anastrozole-20µg/L</c:v>
                </c:pt>
                <c:pt idx="13">
                  <c:v>Testo -30µg/L</c:v>
                </c:pt>
                <c:pt idx="14">
                  <c:v>Testo 30µg/L + EE2 -64ng/L</c:v>
                </c:pt>
                <c:pt idx="15">
                  <c:v>Testo 30µg/L + FAD-10µg/L</c:v>
                </c:pt>
                <c:pt idx="16">
                  <c:v>Anastrozole-0,032µg/L + Testostérone</c:v>
                </c:pt>
                <c:pt idx="17">
                  <c:v>Anastrozole-0,16µg/L + Testostérone</c:v>
                </c:pt>
                <c:pt idx="18">
                  <c:v>Anastrozole-0,8µg/L + Testostérone</c:v>
                </c:pt>
                <c:pt idx="19">
                  <c:v>Anastrozole-4µg/L + Testostérone</c:v>
                </c:pt>
                <c:pt idx="20">
                  <c:v>Anastrozole-20µg/L + Testostérone</c:v>
                </c:pt>
              </c:strCache>
            </c:strRef>
          </c:cat>
          <c:val>
            <c:numRef>
              <c:f>'R2'!$B$53:$V$53</c:f>
              <c:numCache>
                <c:formatCode>0.0000</c:formatCode>
                <c:ptCount val="21"/>
                <c:pt idx="0">
                  <c:v>7.7759534283023013E-2</c:v>
                </c:pt>
                <c:pt idx="1">
                  <c:v>3.7657373496600068E-2</c:v>
                </c:pt>
                <c:pt idx="2">
                  <c:v>0.56434164153272581</c:v>
                </c:pt>
                <c:pt idx="3">
                  <c:v>1.2007147285361275</c:v>
                </c:pt>
                <c:pt idx="4">
                  <c:v>2.1047110144376973</c:v>
                </c:pt>
                <c:pt idx="5">
                  <c:v>2.1047110144376973</c:v>
                </c:pt>
                <c:pt idx="6">
                  <c:v>5.3916511981254631</c:v>
                </c:pt>
                <c:pt idx="7">
                  <c:v>5.9054059538796735E-2</c:v>
                </c:pt>
                <c:pt idx="8">
                  <c:v>7.1660580117384548E-2</c:v>
                </c:pt>
                <c:pt idx="9">
                  <c:v>4.5752504373828315E-2</c:v>
                </c:pt>
                <c:pt idx="10">
                  <c:v>6.6715426133018785E-2</c:v>
                </c:pt>
                <c:pt idx="11">
                  <c:v>3.8590711845896179E-2</c:v>
                </c:pt>
                <c:pt idx="13">
                  <c:v>1</c:v>
                </c:pt>
                <c:pt idx="14">
                  <c:v>2.9526971740731742</c:v>
                </c:pt>
                <c:pt idx="15">
                  <c:v>3.8368818137730173E-2</c:v>
                </c:pt>
                <c:pt idx="16">
                  <c:v>0.52024025054931877</c:v>
                </c:pt>
                <c:pt idx="17">
                  <c:v>0.33915197104422284</c:v>
                </c:pt>
                <c:pt idx="18">
                  <c:v>0.33590295918833984</c:v>
                </c:pt>
                <c:pt idx="19">
                  <c:v>0.43339672415647995</c:v>
                </c:pt>
                <c:pt idx="20">
                  <c:v>3.4892966948684892E-2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3.2912160256293656E-2</c:v>
                  </c:pt>
                  <c:pt idx="1">
                    <c:v>3.6632611702630831E-2</c:v>
                  </c:pt>
                  <c:pt idx="2">
                    <c:v>3.1045043761090248E-2</c:v>
                  </c:pt>
                  <c:pt idx="3">
                    <c:v>0.45420062865101585</c:v>
                  </c:pt>
                  <c:pt idx="4">
                    <c:v>1.6461686610273296</c:v>
                  </c:pt>
                  <c:pt idx="5">
                    <c:v>0.98414860181258834</c:v>
                  </c:pt>
                  <c:pt idx="6">
                    <c:v>1.4538694035450341</c:v>
                  </c:pt>
                  <c:pt idx="7">
                    <c:v>5.9694911776796866E-2</c:v>
                  </c:pt>
                  <c:pt idx="8">
                    <c:v>6.7360516253271482E-2</c:v>
                  </c:pt>
                  <c:pt idx="9">
                    <c:v>4.8364589391477385E-2</c:v>
                  </c:pt>
                  <c:pt idx="10">
                    <c:v>3.1366486456598376E-2</c:v>
                  </c:pt>
                  <c:pt idx="11">
                    <c:v>6.1482952771565402E-2</c:v>
                  </c:pt>
                  <c:pt idx="13">
                    <c:v>0.37182914293013092</c:v>
                  </c:pt>
                  <c:pt idx="14">
                    <c:v>0.62906051359579584</c:v>
                  </c:pt>
                  <c:pt idx="15">
                    <c:v>3.6093577454084085E-2</c:v>
                  </c:pt>
                  <c:pt idx="16">
                    <c:v>0.45690259813324935</c:v>
                  </c:pt>
                  <c:pt idx="17">
                    <c:v>8.2972692486629682E-2</c:v>
                  </c:pt>
                  <c:pt idx="18">
                    <c:v>8.1957877473265772E-2</c:v>
                  </c:pt>
                  <c:pt idx="19">
                    <c:v>2.8927872565943601E-2</c:v>
                  </c:pt>
                  <c:pt idx="20">
                    <c:v>2.7625620222713938E-2</c:v>
                  </c:pt>
                </c:numCache>
              </c:numRef>
            </c:plus>
            <c:minus>
              <c:numRef>
                <c:f>'R1'!$N$48:$V$48</c:f>
                <c:numCache>
                  <c:formatCode>General</c:formatCode>
                  <c:ptCount val="9"/>
                  <c:pt idx="0">
                    <c:v>0</c:v>
                  </c:pt>
                  <c:pt idx="1">
                    <c:v>0.26874754674154538</c:v>
                  </c:pt>
                  <c:pt idx="2">
                    <c:v>1.142351465703731</c:v>
                  </c:pt>
                  <c:pt idx="3">
                    <c:v>4.4885568041006768E-2</c:v>
                  </c:pt>
                  <c:pt idx="4">
                    <c:v>0.3505309894655193</c:v>
                  </c:pt>
                  <c:pt idx="5">
                    <c:v>0.46073916909197316</c:v>
                  </c:pt>
                  <c:pt idx="6">
                    <c:v>6.7253029763954961E-2</c:v>
                  </c:pt>
                  <c:pt idx="7">
                    <c:v>3.1430397527308675E-2</c:v>
                  </c:pt>
                  <c:pt idx="8">
                    <c:v>7.271899180610264E-2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Anastrozole-0,032µg/L</c:v>
                </c:pt>
                <c:pt idx="8">
                  <c:v>Anastrozole-0,16µg/L</c:v>
                </c:pt>
                <c:pt idx="9">
                  <c:v>Anastrozole-0,8µg/L</c:v>
                </c:pt>
                <c:pt idx="10">
                  <c:v>Anastrozole-4µg/L</c:v>
                </c:pt>
                <c:pt idx="11">
                  <c:v>Anastrozole-20µg/L</c:v>
                </c:pt>
                <c:pt idx="13">
                  <c:v>Testo -30µg/L</c:v>
                </c:pt>
                <c:pt idx="14">
                  <c:v>Testo 30µg/L + EE2 -64ng/L</c:v>
                </c:pt>
                <c:pt idx="15">
                  <c:v>Testo 30µg/L + FAD-10µg/L</c:v>
                </c:pt>
                <c:pt idx="16">
                  <c:v>Anastrozole-0,032µg/L + Testostérone</c:v>
                </c:pt>
                <c:pt idx="17">
                  <c:v>Anastrozole-0,16µg/L + Testostérone</c:v>
                </c:pt>
                <c:pt idx="18">
                  <c:v>Anastrozole-0,8µg/L + Testostérone</c:v>
                </c:pt>
                <c:pt idx="19">
                  <c:v>Anastrozole-4µg/L + Testostérone</c:v>
                </c:pt>
                <c:pt idx="20">
                  <c:v>Anastrozole-20µg/L + Testostérone</c:v>
                </c:pt>
              </c:strCache>
            </c:strRef>
          </c:cat>
          <c:val>
            <c:numRef>
              <c:f>'R3'!$B$53:$V$53</c:f>
              <c:numCache>
                <c:formatCode>0.0000</c:formatCode>
                <c:ptCount val="21"/>
                <c:pt idx="0">
                  <c:v>8.9866763713917538E-2</c:v>
                </c:pt>
                <c:pt idx="1">
                  <c:v>0.12221482591428369</c:v>
                </c:pt>
                <c:pt idx="2">
                  <c:v>9.9036194210995521E-2</c:v>
                </c:pt>
                <c:pt idx="3">
                  <c:v>1.7085534425908013</c:v>
                </c:pt>
                <c:pt idx="4">
                  <c:v>7.5322340533107361</c:v>
                </c:pt>
                <c:pt idx="5">
                  <c:v>5.272116958520412</c:v>
                </c:pt>
                <c:pt idx="6">
                  <c:v>11.648412446490177</c:v>
                </c:pt>
                <c:pt idx="7">
                  <c:v>0.17747101425372486</c:v>
                </c:pt>
                <c:pt idx="8">
                  <c:v>0.15847130082739683</c:v>
                </c:pt>
                <c:pt idx="9">
                  <c:v>0.19355555062868918</c:v>
                </c:pt>
                <c:pt idx="10">
                  <c:v>0.14253977197861573</c:v>
                </c:pt>
                <c:pt idx="11">
                  <c:v>0.16594196668128505</c:v>
                </c:pt>
                <c:pt idx="13">
                  <c:v>1</c:v>
                </c:pt>
                <c:pt idx="14">
                  <c:v>5.4324763650108618</c:v>
                </c:pt>
                <c:pt idx="15">
                  <c:v>0.14585531271511856</c:v>
                </c:pt>
                <c:pt idx="16">
                  <c:v>1.2001302134733092</c:v>
                </c:pt>
                <c:pt idx="17">
                  <c:v>0.24857164435787579</c:v>
                </c:pt>
                <c:pt idx="18">
                  <c:v>0.23533651909319939</c:v>
                </c:pt>
                <c:pt idx="19">
                  <c:v>8.2723768807636461E-2</c:v>
                </c:pt>
                <c:pt idx="20">
                  <c:v>0.14273822855961438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1C9F0597-D73B-4EE0-807F-494A0CCAEC7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F30BDAD0-9509-4C6A-A323-2D8C3D4F623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1B9B85AB-CA68-43DF-9072-C1D1E31EDA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FBF4DFB2-2B0B-4991-A8BF-EF3B34DE9F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F40027ED-F812-426B-A043-860545F7A11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9955E2F0-02F6-4325-BC54-F1DD473D7E1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1EE75397-9700-4EED-AF69-D5B68680B7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901E239-AD30-4B9E-969E-1F6D4446873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0C00A70E-96B2-449D-8B2D-7574FCDA36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0FAAF765-0D5D-44B8-B5B7-FA6A1A2B09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AD6F9332-4450-4FB8-82EA-EF0F3667EA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A7A2020F-C387-4778-A759-D28886831A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FBF50EC8-DFCA-4AB6-A098-8844FD41F4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1E4A5EDC-4651-447B-A280-25A4960A69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DC6EA5E1-2680-4180-B420-90460CED52F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653AC555-3463-4A4C-93ED-B53CEF2912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04EC90BE-D314-4768-9490-071258EC4A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537BB645-F846-4AF1-A594-75F9B36BA8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A55D967F-E25F-485E-916C-21035ED7B4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84E4EF05-1331-45E7-8C12-692D1FD42F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2.1589062270086012E-2</c:v>
                  </c:pt>
                  <c:pt idx="1">
                    <c:v>3.8509160313867564E-2</c:v>
                  </c:pt>
                  <c:pt idx="2">
                    <c:v>0.1856472984926342</c:v>
                  </c:pt>
                  <c:pt idx="3">
                    <c:v>0.61971973208750819</c:v>
                  </c:pt>
                  <c:pt idx="4">
                    <c:v>0.92967762776641394</c:v>
                  </c:pt>
                  <c:pt idx="5">
                    <c:v>0.78159525011875797</c:v>
                  </c:pt>
                  <c:pt idx="6">
                    <c:v>1.379022758036383</c:v>
                  </c:pt>
                  <c:pt idx="7">
                    <c:v>4.1296525427114698E-2</c:v>
                  </c:pt>
                  <c:pt idx="8">
                    <c:v>2.5214819002235631E-2</c:v>
                  </c:pt>
                  <c:pt idx="9">
                    <c:v>2.5239353146685951E-2</c:v>
                  </c:pt>
                  <c:pt idx="10">
                    <c:v>2.3512394205809105E-2</c:v>
                  </c:pt>
                  <c:pt idx="11">
                    <c:v>2.515076914413078E-2</c:v>
                  </c:pt>
                  <c:pt idx="13">
                    <c:v>0.16550512700704234</c:v>
                  </c:pt>
                  <c:pt idx="14">
                    <c:v>0.78909733399621718</c:v>
                  </c:pt>
                  <c:pt idx="15">
                    <c:v>2.0714871471003576E-2</c:v>
                  </c:pt>
                  <c:pt idx="16">
                    <c:v>0.20008974970968954</c:v>
                  </c:pt>
                  <c:pt idx="17">
                    <c:v>0.19495349356365432</c:v>
                  </c:pt>
                  <c:pt idx="18">
                    <c:v>4.2409676158593396E-2</c:v>
                  </c:pt>
                  <c:pt idx="19">
                    <c:v>0.12324303210730565</c:v>
                  </c:pt>
                  <c:pt idx="20">
                    <c:v>2.9836290992234334E-2</c:v>
                  </c:pt>
                </c:numCache>
              </c:numRef>
            </c:plus>
            <c:minus>
              <c:numRef>
                <c:f>'pooled normalised values'!$B$76:$V$76</c:f>
                <c:numCache>
                  <c:formatCode>General</c:formatCode>
                  <c:ptCount val="21"/>
                  <c:pt idx="0">
                    <c:v>2.1589062270086012E-2</c:v>
                  </c:pt>
                  <c:pt idx="1">
                    <c:v>3.8509160313867564E-2</c:v>
                  </c:pt>
                  <c:pt idx="2">
                    <c:v>0.1856472984926342</c:v>
                  </c:pt>
                  <c:pt idx="3">
                    <c:v>0.61971973208750819</c:v>
                  </c:pt>
                  <c:pt idx="4">
                    <c:v>0.92967762776641394</c:v>
                  </c:pt>
                  <c:pt idx="5">
                    <c:v>0.78159525011875797</c:v>
                  </c:pt>
                  <c:pt idx="6">
                    <c:v>1.379022758036383</c:v>
                  </c:pt>
                  <c:pt idx="7">
                    <c:v>4.1296525427114698E-2</c:v>
                  </c:pt>
                  <c:pt idx="8">
                    <c:v>2.5214819002235631E-2</c:v>
                  </c:pt>
                  <c:pt idx="9">
                    <c:v>2.5239353146685951E-2</c:v>
                  </c:pt>
                  <c:pt idx="10">
                    <c:v>2.3512394205809105E-2</c:v>
                  </c:pt>
                  <c:pt idx="11">
                    <c:v>2.515076914413078E-2</c:v>
                  </c:pt>
                  <c:pt idx="13">
                    <c:v>0.16550512700704234</c:v>
                  </c:pt>
                  <c:pt idx="14">
                    <c:v>0.78909733399621718</c:v>
                  </c:pt>
                  <c:pt idx="15">
                    <c:v>2.0714871471003576E-2</c:v>
                  </c:pt>
                  <c:pt idx="16">
                    <c:v>0.20008974970968954</c:v>
                  </c:pt>
                  <c:pt idx="17">
                    <c:v>0.19495349356365432</c:v>
                  </c:pt>
                  <c:pt idx="18">
                    <c:v>4.2409676158593396E-2</c:v>
                  </c:pt>
                  <c:pt idx="19">
                    <c:v>0.12324303210730565</c:v>
                  </c:pt>
                  <c:pt idx="20">
                    <c:v>2.9836290992234334E-2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Anastrozole-0,032µg/L</c:v>
                </c:pt>
                <c:pt idx="8">
                  <c:v>Anastrozole-0,16µg/L</c:v>
                </c:pt>
                <c:pt idx="9">
                  <c:v>Anastrozole-0,8µg/L</c:v>
                </c:pt>
                <c:pt idx="10">
                  <c:v>Anastrozole-4µg/L</c:v>
                </c:pt>
                <c:pt idx="11">
                  <c:v>Anastrozole-20µg/L</c:v>
                </c:pt>
                <c:pt idx="13">
                  <c:v>Testo -30µg/L</c:v>
                </c:pt>
                <c:pt idx="14">
                  <c:v>Testo 30µg/L + EE2 -64ng/L</c:v>
                </c:pt>
                <c:pt idx="15">
                  <c:v>Testo 30µg/L + FAD-10µg/L</c:v>
                </c:pt>
                <c:pt idx="16">
                  <c:v>Anastrozole-0,032µg/L + Testostérone</c:v>
                </c:pt>
                <c:pt idx="17">
                  <c:v>Anastrozole-0,16µg/L + Testostérone</c:v>
                </c:pt>
                <c:pt idx="18">
                  <c:v>Anastrozole-0,8µg/L + Testostérone</c:v>
                </c:pt>
                <c:pt idx="19">
                  <c:v>Anastrozole-4µg/L + Testostérone</c:v>
                </c:pt>
                <c:pt idx="20">
                  <c:v>Anastrozole-20µg/L + Testostérone</c:v>
                </c:pt>
              </c:strCache>
            </c:strRef>
          </c:cat>
          <c:val>
            <c:numRef>
              <c:f>'pooled normalised values'!$B$75:$V$75</c:f>
              <c:numCache>
                <c:formatCode>0.0000</c:formatCode>
                <c:ptCount val="21"/>
                <c:pt idx="0">
                  <c:v>0.11569492907343065</c:v>
                </c:pt>
                <c:pt idx="1">
                  <c:v>0.13147077155020315</c:v>
                </c:pt>
                <c:pt idx="2">
                  <c:v>0.55445919421959056</c:v>
                </c:pt>
                <c:pt idx="3">
                  <c:v>2.3949275655933926</c:v>
                </c:pt>
                <c:pt idx="4">
                  <c:v>5.5991420883001615</c:v>
                </c:pt>
                <c:pt idx="5">
                  <c:v>5.3505665046071753</c:v>
                </c:pt>
                <c:pt idx="6">
                  <c:v>11.618791936509702</c:v>
                </c:pt>
                <c:pt idx="7">
                  <c:v>0.18282975139455668</c:v>
                </c:pt>
                <c:pt idx="8">
                  <c:v>0.11062282752839607</c:v>
                </c:pt>
                <c:pt idx="9">
                  <c:v>0.13962390001202193</c:v>
                </c:pt>
                <c:pt idx="10">
                  <c:v>0.13171418652685585</c:v>
                </c:pt>
                <c:pt idx="11">
                  <c:v>0.10728177776671192</c:v>
                </c:pt>
                <c:pt idx="13">
                  <c:v>1</c:v>
                </c:pt>
                <c:pt idx="14">
                  <c:v>6.3483009921026143</c:v>
                </c:pt>
                <c:pt idx="15">
                  <c:v>9.5060193403218127E-2</c:v>
                </c:pt>
                <c:pt idx="16">
                  <c:v>0.92706304961886987</c:v>
                </c:pt>
                <c:pt idx="17">
                  <c:v>0.66784832793051097</c:v>
                </c:pt>
                <c:pt idx="18">
                  <c:v>0.25308380119170121</c:v>
                </c:pt>
                <c:pt idx="19">
                  <c:v>0.20957016521751851</c:v>
                </c:pt>
                <c:pt idx="20">
                  <c:v>0.13535035429220982</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c:v>
                  </c:pt>
                  <c:pt idx="15">
                    <c:v>***</c:v>
                  </c:pt>
                  <c:pt idx="16">
                    <c:v>ns</c:v>
                  </c:pt>
                  <c:pt idx="17">
                    <c:v>ns</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Anastrozole-0,032µg/L : 0%</c:v>
                  </c:pt>
                  <c:pt idx="1">
                    <c:v>Anastrozole-0,16µg/L : 0%</c:v>
                  </c:pt>
                  <c:pt idx="2">
                    <c:v>Anastrozole-0,8µg/L : 0%</c:v>
                  </c:pt>
                  <c:pt idx="3">
                    <c:v>Anastrozole-4µg/L : 0%</c:v>
                  </c:pt>
                  <c:pt idx="4">
                    <c:v>Anastrozole-20µg/L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Anastrozole-0,032µg/L : 0%</c:v>
                  </c:pt>
                  <c:pt idx="1">
                    <c:v>Anastrozole-0,16µg/L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Anastrozole-0,032µg/L : 0%</c:v>
                  </c:pt>
                  <c:pt idx="1">
                    <c:v>Anastrozole-0,16µg/L : 0%</c:v>
                  </c:pt>
                  <c:pt idx="2">
                    <c:v>Anastrozole-0,8µg/L : 0%</c:v>
                  </c:pt>
                  <c:pt idx="3">
                    <c:v>Anastrozole-4µg/L : 0%</c:v>
                  </c:pt>
                  <c:pt idx="4">
                    <c:v>Anastrozole-20µg/L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Anastrozole-0,032µg/L : 0%</c:v>
                  </c:pt>
                  <c:pt idx="1">
                    <c:v>Anastrozole-0,16µg/L : 0%</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Anastrozole-0,16µg/L</c:v>
                </c:pt>
                <c:pt idx="2">
                  <c:v>Anastrozole-0,8µg/L</c:v>
                </c:pt>
                <c:pt idx="3">
                  <c:v>Anastrozole-4µg/L</c:v>
                </c:pt>
                <c:pt idx="4">
                  <c:v>Anastrozole-20µg/L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Anastrozole-0,16µg/L</c:v>
                </c:pt>
                <c:pt idx="2">
                  <c:v>Anastrozole-0,8µg/L</c:v>
                </c:pt>
                <c:pt idx="3">
                  <c:v>Anastrozole-4µg/L</c:v>
                </c:pt>
                <c:pt idx="4">
                  <c:v>Anastrozole-20µg/L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Anastrozole-0,16µg/L</c:v>
                </c:pt>
                <c:pt idx="2">
                  <c:v>Anastrozole-0,8µg/L</c:v>
                </c:pt>
                <c:pt idx="3">
                  <c:v>Anastrozole-4µg/L</c:v>
                </c:pt>
                <c:pt idx="4">
                  <c:v>Anastrozole-20µg/L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3E669ECE-E507-4D22-B52C-E2F46B513E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B0A23ACF-0BB8-4929-B293-D3635190A6E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0F394D6C-2706-4B2E-9B82-7C75F3517F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C45068F5-8184-44FC-8256-F05E2A8742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EA8DCAEA-7413-4592-95B5-01E4CAACFD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0742BCEC-119D-4BBA-9ACE-0530EBDA1B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CAF844AC-6C2B-4F13-BD86-5C53ACDC23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55CCF218-D551-49B9-BB5F-3D5E69C513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8ADDA197-4A81-4548-955F-4E04B790AE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DC49E940-8D96-4336-801A-9A1E08837F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7F7BD4B9-D015-4721-80EF-00C6F14843E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E78DFC00-8CEE-472A-BF7D-8BB11B7ED3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87149A5B-6556-4252-9022-01C141707E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E8B446DD-DDAC-4CB8-8DF0-FA17457B2E3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2.5214819002235631E-2</c:v>
                  </c:pt>
                  <c:pt idx="2">
                    <c:v>2.5239353146685951E-2</c:v>
                  </c:pt>
                  <c:pt idx="3">
                    <c:v>2.3512394205809105E-2</c:v>
                  </c:pt>
                  <c:pt idx="4">
                    <c:v>2.515076914413078E-2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2.5214819002235631E-2</c:v>
                  </c:pt>
                  <c:pt idx="2">
                    <c:v>2.5239353146685951E-2</c:v>
                  </c:pt>
                  <c:pt idx="3">
                    <c:v>2.3512394205809105E-2</c:v>
                  </c:pt>
                  <c:pt idx="4">
                    <c:v>2.515076914413078E-2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Anastrozole-0,16µg/L</c:v>
                </c:pt>
                <c:pt idx="2">
                  <c:v>Anastrozole-0,8µg/L</c:v>
                </c:pt>
                <c:pt idx="3">
                  <c:v>Anastrozole-4µg/L</c:v>
                </c:pt>
                <c:pt idx="4">
                  <c:v>Anastrozole-20µg/L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0.11062282752839607</c:v>
                </c:pt>
                <c:pt idx="2">
                  <c:v>0.13962390001202193</c:v>
                </c:pt>
                <c:pt idx="3">
                  <c:v>0.13171418652685585</c:v>
                </c:pt>
                <c:pt idx="4">
                  <c:v>0.10728177776671192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0.11569492907343065</c:v>
                </c:pt>
                <c:pt idx="1">
                  <c:v>0.11569492907343065</c:v>
                </c:pt>
                <c:pt idx="2">
                  <c:v>0.11569492907343065</c:v>
                </c:pt>
                <c:pt idx="3">
                  <c:v>0.11569492907343065</c:v>
                </c:pt>
                <c:pt idx="4">
                  <c:v>0.11569492907343065</c:v>
                </c:pt>
                <c:pt idx="5">
                  <c:v>0.11569492907343065</c:v>
                </c:pt>
                <c:pt idx="6">
                  <c:v>0.11569492907343065</c:v>
                </c:pt>
                <c:pt idx="7">
                  <c:v>0.11569492907343065</c:v>
                </c:pt>
                <c:pt idx="8">
                  <c:v>0.11569492907343065</c:v>
                </c:pt>
                <c:pt idx="9">
                  <c:v>0.11569492907343065</c:v>
                </c:pt>
                <c:pt idx="10">
                  <c:v>0.11569492907343065</c:v>
                </c:pt>
                <c:pt idx="11">
                  <c:v>0.11569492907343065</c:v>
                </c:pt>
                <c:pt idx="12">
                  <c:v>0.11569492907343065</c:v>
                </c:pt>
                <c:pt idx="13">
                  <c:v>0.11569492907343065</c:v>
                </c:pt>
                <c:pt idx="14">
                  <c:v>0.11569492907343065</c:v>
                </c:pt>
                <c:pt idx="15">
                  <c:v>0.11569492907343065</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9.5060193403218127E-2</c:v>
                </c:pt>
                <c:pt idx="1">
                  <c:v>9.5060193403218127E-2</c:v>
                </c:pt>
                <c:pt idx="2">
                  <c:v>9.5060193403218127E-2</c:v>
                </c:pt>
                <c:pt idx="3">
                  <c:v>9.5060193403218127E-2</c:v>
                </c:pt>
                <c:pt idx="4">
                  <c:v>9.5060193403218127E-2</c:v>
                </c:pt>
                <c:pt idx="5">
                  <c:v>9.5060193403218127E-2</c:v>
                </c:pt>
                <c:pt idx="6">
                  <c:v>9.5060193403218127E-2</c:v>
                </c:pt>
                <c:pt idx="7">
                  <c:v>9.5060193403218127E-2</c:v>
                </c:pt>
                <c:pt idx="8">
                  <c:v>9.5060193403218127E-2</c:v>
                </c:pt>
                <c:pt idx="9">
                  <c:v>9.5060193403218127E-2</c:v>
                </c:pt>
                <c:pt idx="10">
                  <c:v>9.5060193403218127E-2</c:v>
                </c:pt>
                <c:pt idx="11">
                  <c:v>9.5060193403218127E-2</c:v>
                </c:pt>
                <c:pt idx="12">
                  <c:v>9.5060193403218127E-2</c:v>
                </c:pt>
                <c:pt idx="13">
                  <c:v>9.5060193403218127E-2</c:v>
                </c:pt>
                <c:pt idx="14">
                  <c:v>9.5060193403218127E-2</c:v>
                </c:pt>
                <c:pt idx="15">
                  <c:v>9.5060193403218127E-2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6.2532407986993963</c:v>
                </c:pt>
                <c:pt idx="1">
                  <c:v>6.2532407986993963</c:v>
                </c:pt>
                <c:pt idx="2">
                  <c:v>6.2532407986993963</c:v>
                </c:pt>
                <c:pt idx="3">
                  <c:v>6.2532407986993963</c:v>
                </c:pt>
                <c:pt idx="4">
                  <c:v>6.2532407986993963</c:v>
                </c:pt>
                <c:pt idx="5">
                  <c:v>6.2532407986993963</c:v>
                </c:pt>
                <c:pt idx="6">
                  <c:v>6.2532407986993963</c:v>
                </c:pt>
                <c:pt idx="7">
                  <c:v>6.2532407986993963</c:v>
                </c:pt>
                <c:pt idx="8">
                  <c:v>6.2532407986993963</c:v>
                </c:pt>
                <c:pt idx="9">
                  <c:v>6.2532407986993963</c:v>
                </c:pt>
                <c:pt idx="10">
                  <c:v>6.2532407986993963</c:v>
                </c:pt>
                <c:pt idx="11">
                  <c:v>6.2532407986993963</c:v>
                </c:pt>
                <c:pt idx="12">
                  <c:v>6.2532407986993963</c:v>
                </c:pt>
                <c:pt idx="13">
                  <c:v>6.2532407986993963</c:v>
                </c:pt>
                <c:pt idx="14">
                  <c:v>6.2532407986993963</c:v>
                </c:pt>
                <c:pt idx="15">
                  <c:v>6.2532407986993963</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-3.7532407986993963</c:v>
                </c:pt>
                <c:pt idx="1">
                  <c:v>-3.7532407986993963</c:v>
                </c:pt>
                <c:pt idx="2">
                  <c:v>-3.7532407986993963</c:v>
                </c:pt>
                <c:pt idx="3">
                  <c:v>-3.7532407986993963</c:v>
                </c:pt>
                <c:pt idx="4">
                  <c:v>-3.7532407986993963</c:v>
                </c:pt>
                <c:pt idx="5">
                  <c:v>-3.7532407986993963</c:v>
                </c:pt>
                <c:pt idx="6">
                  <c:v>-3.7532407986993963</c:v>
                </c:pt>
                <c:pt idx="7">
                  <c:v>-3.7532407986993963</c:v>
                </c:pt>
                <c:pt idx="8">
                  <c:v>-3.7532407986993963</c:v>
                </c:pt>
                <c:pt idx="9">
                  <c:v>-3.7532407986993963</c:v>
                </c:pt>
                <c:pt idx="10">
                  <c:v>-3.7532407986993963</c:v>
                </c:pt>
                <c:pt idx="11">
                  <c:v>-3.7532407986993963</c:v>
                </c:pt>
                <c:pt idx="12">
                  <c:v>-3.7532407986993963</c:v>
                </c:pt>
                <c:pt idx="13">
                  <c:v>-3.7532407986993963</c:v>
                </c:pt>
                <c:pt idx="14">
                  <c:v>-3.7532407986993963</c:v>
                </c:pt>
                <c:pt idx="15">
                  <c:v>-3.7532407986993963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087D29C8-A9D3-4EAC-A390-4E0BB59C4BB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CC88B2DD-3ECA-4F53-898A-29F1A7568F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19F1F380-3ABA-4199-A4C5-A7398165EC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F76CB29D-162F-434C-A031-F64EB00563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E5607514-2A4D-4921-BD85-E8B305E284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7956AC9F-E112-4BAC-ADF2-38E6F03E926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F538AACF-653C-4B44-AECA-F37707376E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9522D57C-4D56-4CD4-864F-E86E2764E97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B6EC649C-4DE6-499E-87F7-D574E2497C7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0F376BB1-033D-4044-85D9-0800796A468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8005BBB4-9725-4FB0-8D42-53078FB234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9183F500-3DF6-41ED-AF5A-F862388B31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EF951AE9-34BB-442B-8D03-3AB0E0BC49E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42A94145-4165-4E97-A312-21562CC90B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0.20008974970968954</c:v>
                  </c:pt>
                  <c:pt idx="2">
                    <c:v>0.19495349356365432</c:v>
                  </c:pt>
                  <c:pt idx="3">
                    <c:v>4.2409676158593396E-2</c:v>
                  </c:pt>
                  <c:pt idx="4">
                    <c:v>0.12324303210730565</c:v>
                  </c:pt>
                  <c:pt idx="5">
                    <c:v>2.9836290992234334E-2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0.20008974970968954</c:v>
                  </c:pt>
                  <c:pt idx="2">
                    <c:v>0.19495349356365432</c:v>
                  </c:pt>
                  <c:pt idx="3">
                    <c:v>4.2409676158593396E-2</c:v>
                  </c:pt>
                  <c:pt idx="4">
                    <c:v>0.12324303210730565</c:v>
                  </c:pt>
                  <c:pt idx="5">
                    <c:v>2.9836290992234334E-2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0.92706304961886987</c:v>
                </c:pt>
                <c:pt idx="2">
                  <c:v>0.66784832793051097</c:v>
                </c:pt>
                <c:pt idx="3">
                  <c:v>0.25308380119170121</c:v>
                </c:pt>
                <c:pt idx="4">
                  <c:v>0.20957016521751851</c:v>
                </c:pt>
                <c:pt idx="5">
                  <c:v>0.13535035429220982</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Anastrozole-0,16µg/L</c:v>
                </c:pt>
                <c:pt idx="2">
                  <c:v>Anastrozole-0,8µg/L</c:v>
                </c:pt>
                <c:pt idx="3">
                  <c:v>Anastrozole-4µg/L</c:v>
                </c:pt>
                <c:pt idx="4">
                  <c:v>Anastrozole-20µg/L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Anastrozole-0,16µg/L</c:v>
                </c:pt>
                <c:pt idx="2">
                  <c:v>Anastrozole-0,8µg/L</c:v>
                </c:pt>
                <c:pt idx="3">
                  <c:v>Anastrozole-4µg/L</c:v>
                </c:pt>
                <c:pt idx="4">
                  <c:v>Anastrozole-20µg/L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Anastrozole-0,16µg/L</c:v>
                </c:pt>
                <c:pt idx="2">
                  <c:v>Anastrozole-0,8µg/L</c:v>
                </c:pt>
                <c:pt idx="3">
                  <c:v>Anastrozole-4µg/L</c:v>
                </c:pt>
                <c:pt idx="4">
                  <c:v>Anastrozole-20µg/L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BBD09E9C-618E-4256-8CA4-6264C0AEDE5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59E9A931-E20B-47F9-BD3A-2D1581E45CC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A1F25743-C756-4590-96E7-7985FCB796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60F7BE13-7E3B-405A-B00B-37BC0A566D3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A206A513-7DF4-4342-9751-826A138584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EB62F0A6-A4D5-4425-94F1-1A2B7FC08E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AB55B9FB-7392-4E26-BB53-BBAE4FAA9E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FCEE0904-B64D-469C-8F56-13A971D72F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8B876105-5E96-4FDF-BB5E-AB859C8E8CB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B79E1955-70A9-49CF-A1CE-28706BFD7E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9DB8B26D-A972-4F37-8539-6062CBE696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D0CE4DB6-F08B-41AB-9C1C-F871EDAE16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30AFE341-1160-48C1-9729-510EDC4CF4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D22FC0C3-5EB2-440B-811D-562317AB5AA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2.5214819002235631E-2</c:v>
                  </c:pt>
                  <c:pt idx="2">
                    <c:v>2.5239353146685951E-2</c:v>
                  </c:pt>
                  <c:pt idx="3">
                    <c:v>2.3512394205809105E-2</c:v>
                  </c:pt>
                  <c:pt idx="4">
                    <c:v>2.515076914413078E-2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2.5214819002235631E-2</c:v>
                  </c:pt>
                  <c:pt idx="2">
                    <c:v>2.5239353146685951E-2</c:v>
                  </c:pt>
                  <c:pt idx="3">
                    <c:v>2.3512394205809105E-2</c:v>
                  </c:pt>
                  <c:pt idx="4">
                    <c:v>2.515076914413078E-2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Anastrozole-0,16µg/L</c:v>
                </c:pt>
                <c:pt idx="2">
                  <c:v>Anastrozole-0,8µg/L</c:v>
                </c:pt>
                <c:pt idx="3">
                  <c:v>Anastrozole-4µg/L</c:v>
                </c:pt>
                <c:pt idx="4">
                  <c:v>Anastrozole-20µg/L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0.11062282752839607</c:v>
                </c:pt>
                <c:pt idx="2">
                  <c:v>0.13962390001202193</c:v>
                </c:pt>
                <c:pt idx="3">
                  <c:v>0.13171418652685585</c:v>
                </c:pt>
                <c:pt idx="4">
                  <c:v>0.10728177776671192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0.11569492907343065</c:v>
                </c:pt>
                <c:pt idx="1">
                  <c:v>0.11569492907343065</c:v>
                </c:pt>
                <c:pt idx="2">
                  <c:v>0.11569492907343065</c:v>
                </c:pt>
                <c:pt idx="3">
                  <c:v>0.11569492907343065</c:v>
                </c:pt>
                <c:pt idx="4">
                  <c:v>0.11569492907343065</c:v>
                </c:pt>
                <c:pt idx="5">
                  <c:v>0.11569492907343065</c:v>
                </c:pt>
                <c:pt idx="6">
                  <c:v>0.11569492907343065</c:v>
                </c:pt>
                <c:pt idx="7">
                  <c:v>0.11569492907343065</c:v>
                </c:pt>
                <c:pt idx="8">
                  <c:v>0.11569492907343065</c:v>
                </c:pt>
                <c:pt idx="9">
                  <c:v>0.11569492907343065</c:v>
                </c:pt>
                <c:pt idx="10">
                  <c:v>0.11569492907343065</c:v>
                </c:pt>
                <c:pt idx="11">
                  <c:v>0.11569492907343065</c:v>
                </c:pt>
                <c:pt idx="12">
                  <c:v>0.11569492907343065</c:v>
                </c:pt>
                <c:pt idx="13">
                  <c:v>0.11569492907343065</c:v>
                </c:pt>
                <c:pt idx="14">
                  <c:v>0.11569492907343065</c:v>
                </c:pt>
                <c:pt idx="15">
                  <c:v>0.11569492907343065</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9.5060193403218127E-2</c:v>
                </c:pt>
                <c:pt idx="1">
                  <c:v>9.5060193403218127E-2</c:v>
                </c:pt>
                <c:pt idx="2">
                  <c:v>9.5060193403218127E-2</c:v>
                </c:pt>
                <c:pt idx="3">
                  <c:v>9.5060193403218127E-2</c:v>
                </c:pt>
                <c:pt idx="4">
                  <c:v>9.5060193403218127E-2</c:v>
                </c:pt>
                <c:pt idx="5">
                  <c:v>9.5060193403218127E-2</c:v>
                </c:pt>
                <c:pt idx="6">
                  <c:v>9.5060193403218127E-2</c:v>
                </c:pt>
                <c:pt idx="7">
                  <c:v>9.5060193403218127E-2</c:v>
                </c:pt>
                <c:pt idx="8">
                  <c:v>9.5060193403218127E-2</c:v>
                </c:pt>
                <c:pt idx="9">
                  <c:v>9.5060193403218127E-2</c:v>
                </c:pt>
                <c:pt idx="10">
                  <c:v>9.5060193403218127E-2</c:v>
                </c:pt>
                <c:pt idx="11">
                  <c:v>9.5060193403218127E-2</c:v>
                </c:pt>
                <c:pt idx="12">
                  <c:v>9.5060193403218127E-2</c:v>
                </c:pt>
                <c:pt idx="13">
                  <c:v>9.5060193403218127E-2</c:v>
                </c:pt>
                <c:pt idx="14">
                  <c:v>9.5060193403218127E-2</c:v>
                </c:pt>
                <c:pt idx="15">
                  <c:v>9.5060193403218127E-2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6.2532407986993963</c:v>
                </c:pt>
                <c:pt idx="1">
                  <c:v>6.2532407986993963</c:v>
                </c:pt>
                <c:pt idx="2">
                  <c:v>6.2532407986993963</c:v>
                </c:pt>
                <c:pt idx="3">
                  <c:v>6.2532407986993963</c:v>
                </c:pt>
                <c:pt idx="4">
                  <c:v>6.2532407986993963</c:v>
                </c:pt>
                <c:pt idx="5">
                  <c:v>6.2532407986993963</c:v>
                </c:pt>
                <c:pt idx="6">
                  <c:v>6.2532407986993963</c:v>
                </c:pt>
                <c:pt idx="7">
                  <c:v>6.2532407986993963</c:v>
                </c:pt>
                <c:pt idx="8">
                  <c:v>6.2532407986993963</c:v>
                </c:pt>
                <c:pt idx="9">
                  <c:v>6.2532407986993963</c:v>
                </c:pt>
                <c:pt idx="10">
                  <c:v>6.2532407986993963</c:v>
                </c:pt>
                <c:pt idx="11">
                  <c:v>6.2532407986993963</c:v>
                </c:pt>
                <c:pt idx="12">
                  <c:v>6.2532407986993963</c:v>
                </c:pt>
                <c:pt idx="13">
                  <c:v>6.2532407986993963</c:v>
                </c:pt>
                <c:pt idx="14">
                  <c:v>6.2532407986993963</c:v>
                </c:pt>
                <c:pt idx="15">
                  <c:v>6.2532407986993963</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-3.7532407986993963</c:v>
                </c:pt>
                <c:pt idx="1">
                  <c:v>-3.7532407986993963</c:v>
                </c:pt>
                <c:pt idx="2">
                  <c:v>-3.7532407986993963</c:v>
                </c:pt>
                <c:pt idx="3">
                  <c:v>-3.7532407986993963</c:v>
                </c:pt>
                <c:pt idx="4">
                  <c:v>-3.7532407986993963</c:v>
                </c:pt>
                <c:pt idx="5">
                  <c:v>-3.7532407986993963</c:v>
                </c:pt>
                <c:pt idx="6">
                  <c:v>-3.7532407986993963</c:v>
                </c:pt>
                <c:pt idx="7">
                  <c:v>-3.7532407986993963</c:v>
                </c:pt>
                <c:pt idx="8">
                  <c:v>-3.7532407986993963</c:v>
                </c:pt>
                <c:pt idx="9">
                  <c:v>-3.7532407986993963</c:v>
                </c:pt>
                <c:pt idx="10">
                  <c:v>-3.7532407986993963</c:v>
                </c:pt>
                <c:pt idx="11">
                  <c:v>-3.7532407986993963</c:v>
                </c:pt>
                <c:pt idx="12">
                  <c:v>-3.7532407986993963</c:v>
                </c:pt>
                <c:pt idx="13">
                  <c:v>-3.7532407986993963</c:v>
                </c:pt>
                <c:pt idx="14">
                  <c:v>-3.7532407986993963</c:v>
                </c:pt>
                <c:pt idx="15">
                  <c:v>-3.7532407986993963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B35CECDF-BF47-487F-AB91-FCF91842B82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6F1AB5DD-3ACD-4032-AB7E-9BB7E3B2E3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E8453D3A-493C-41E9-B901-113B441956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FB37191B-0059-40BE-B92C-D02B4E4E10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DFBF588B-28C7-4983-82B2-B563984E53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8717DD26-B1FF-4214-B893-100B75732A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547DB10D-D19C-4539-AC61-A37E86F05F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A991D7A3-0C93-4DDA-8F78-07E59338B6E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BB73EAC1-FA55-4EC0-BC04-DC2F477FA9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D8F538D2-0E9D-4231-9292-7C05A72265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0CE832A0-D23C-4D63-A0F7-9DF1C93CE91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43105029-F877-4138-B7CE-77AC707116D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FBAA0217-9D3E-4666-95EE-93ED505715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D45369E7-3A44-4B81-A817-FD7D0508573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0.20008974970968954</c:v>
                  </c:pt>
                  <c:pt idx="2">
                    <c:v>0.19495349356365432</c:v>
                  </c:pt>
                  <c:pt idx="3">
                    <c:v>4.2409676158593396E-2</c:v>
                  </c:pt>
                  <c:pt idx="4">
                    <c:v>0.12324303210730565</c:v>
                  </c:pt>
                  <c:pt idx="5">
                    <c:v>2.9836290992234334E-2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0.20008974970968954</c:v>
                  </c:pt>
                  <c:pt idx="2">
                    <c:v>0.19495349356365432</c:v>
                  </c:pt>
                  <c:pt idx="3">
                    <c:v>4.2409676158593396E-2</c:v>
                  </c:pt>
                  <c:pt idx="4">
                    <c:v>0.12324303210730565</c:v>
                  </c:pt>
                  <c:pt idx="5">
                    <c:v>2.9836290992234334E-2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0.92706304961886987</c:v>
                </c:pt>
                <c:pt idx="2">
                  <c:v>0.66784832793051097</c:v>
                </c:pt>
                <c:pt idx="3">
                  <c:v>0.25308380119170121</c:v>
                </c:pt>
                <c:pt idx="4">
                  <c:v>0.20957016521751851</c:v>
                </c:pt>
                <c:pt idx="5">
                  <c:v>0.13535035429220982</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Anastrozole-0,032µg/L + Testostérone</c:v>
                </c:pt>
                <c:pt idx="2">
                  <c:v>Anastrozole-0,16µg/L + Testostérone</c:v>
                </c:pt>
                <c:pt idx="3">
                  <c:v>Anastrozole-0,8µg/L + Testostérone</c:v>
                </c:pt>
                <c:pt idx="4">
                  <c:v>Anastrozole-4µg/L + Testostérone</c:v>
                </c:pt>
                <c:pt idx="5">
                  <c:v>Anastrozole-20µg/L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Anastrozole-0,16µg/L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Anastrozole-0,16µg/L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Anastrozole-0,16µg/L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012DBE75-7B0C-4AC7-AAF8-24C2A3CD28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553791D5-C8C6-4BB8-85F0-A72A41EBDB8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2.5214819002235631E-2</c:v>
                  </c:pt>
                </c:numCache>
              </c:numRef>
            </c:plus>
            <c:minus>
              <c:numRef>
                <c:f>'Graph format rapport CHG 1éch'!$E$4:$G$4</c:f>
                <c:numCache>
                  <c:formatCode>General</c:formatCode>
                  <c:ptCount val="3"/>
                  <c:pt idx="1">
                    <c:v>2.5214819002235631E-2</c:v>
                  </c:pt>
                </c:numCache>
              </c:numRef>
            </c:minus>
          </c:errBars>
          <c:cat>
            <c:strRef>
              <c:f>'Graph format rapport CHG 1éch'!$E$2:$G$2</c:f>
              <c:strCache>
                <c:ptCount val="2"/>
                <c:pt idx="1">
                  <c:v>Anastrozole-0,16µg/L</c:v>
                </c:pt>
              </c:strCache>
            </c:strRef>
          </c:cat>
          <c:val>
            <c:numRef>
              <c:f>'Graph format rapport CHG 1éch'!$E$3:$G$3</c:f>
              <c:numCache>
                <c:formatCode>General</c:formatCode>
                <c:ptCount val="3"/>
                <c:pt idx="1">
                  <c:v>0.11062282752839607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0.11569492907343065</c:v>
                </c:pt>
                <c:pt idx="1">
                  <c:v>0.11569492907343065</c:v>
                </c:pt>
                <c:pt idx="2">
                  <c:v>0.11569492907343065</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Anastrozole-0,032µg/L + Testostérone</c:v>
                </c:pt>
              </c:strCache>
            </c:strRef>
          </c:cat>
          <c:val>
            <c:numRef>
              <c:f>'Graph format rapport CHG 1éch'!$H$8:$J$8</c:f>
              <c:numCache>
                <c:formatCode>General</c:formatCode>
                <c:ptCount val="3"/>
                <c:pt idx="0">
                  <c:v>9.5060193403218127E-2</c:v>
                </c:pt>
                <c:pt idx="1">
                  <c:v>9.5060193403218127E-2</c:v>
                </c:pt>
                <c:pt idx="2">
                  <c:v>9.5060193403218127E-2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Anastrozole-0,032µg/L + Testostérone</c:v>
                </c:pt>
              </c:strCache>
            </c:strRef>
          </c:cat>
          <c:val>
            <c:numRef>
              <c:f>'Graph format rapport CHG 1éch'!$H$9:$J$9</c:f>
              <c:numCache>
                <c:formatCode>General</c:formatCode>
                <c:ptCount val="3"/>
                <c:pt idx="0">
                  <c:v>6.2532407986993963</c:v>
                </c:pt>
                <c:pt idx="1">
                  <c:v>6.2532407986993963</c:v>
                </c:pt>
                <c:pt idx="2">
                  <c:v>6.2532407986993963</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Anastrozole-0,032µg/L + Testostérone</c:v>
                </c:pt>
              </c:strCache>
            </c:strRef>
          </c:cat>
          <c:val>
            <c:numRef>
              <c:f>'Graph format rapport CHG 1éch'!$H$10:$J$10</c:f>
              <c:numCache>
                <c:formatCode>General</c:formatCode>
                <c:ptCount val="3"/>
                <c:pt idx="0">
                  <c:v>-3.7532407986993963</c:v>
                </c:pt>
                <c:pt idx="1">
                  <c:v>-3.7532407986993963</c:v>
                </c:pt>
                <c:pt idx="2">
                  <c:v>-3.7532407986993963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AC7CC4C-28A6-49F4-99E9-1311CFBBF85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04570820-ED87-4346-93E1-8275E6926D3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0.20008974970968954</c:v>
                  </c:pt>
                </c:numCache>
              </c:numRef>
            </c:plus>
            <c:minus>
              <c:numRef>
                <c:f>'Graph format rapport CHG 1éch'!$H$4:$J$4</c:f>
                <c:numCache>
                  <c:formatCode>General</c:formatCode>
                  <c:ptCount val="3"/>
                  <c:pt idx="1">
                    <c:v>0.20008974970968954</c:v>
                  </c:pt>
                </c:numCache>
              </c:numRef>
            </c:minus>
          </c:errBars>
          <c:cat>
            <c:strRef>
              <c:f>'Graph format rapport CHG 1éch'!$H$2:$J$2</c:f>
              <c:strCache>
                <c:ptCount val="2"/>
                <c:pt idx="1">
                  <c:v>Anastrozole-0,032µg/L + Testostérone</c:v>
                </c:pt>
              </c:strCache>
            </c:strRef>
          </c:cat>
          <c:val>
            <c:numRef>
              <c:f>'Graph format rapport CHG 1éch'!$H$3:$J$3</c:f>
              <c:numCache>
                <c:formatCode>General</c:formatCode>
                <c:ptCount val="3"/>
                <c:pt idx="1">
                  <c:v>0.92706304961886987</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Anastrozole-0,032µg/L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Anastrozole-0,16µg/L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Anastrozole-0,16µg/L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Anastrozole-0,16µg/L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AC23D9E7-F82E-4961-8585-9AE3B15806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A6C7A3E8-7D1F-4B9C-86BA-47714DD1E4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2.5214819002235631E-2</c:v>
                  </c:pt>
                </c:numCache>
              </c:numRef>
            </c:plus>
            <c:minus>
              <c:numRef>
                <c:f>'Graph format rapport CHG 1éch'!$E$4:$G$4</c:f>
                <c:numCache>
                  <c:formatCode>General</c:formatCode>
                  <c:ptCount val="3"/>
                  <c:pt idx="1">
                    <c:v>2.5214819002235631E-2</c:v>
                  </c:pt>
                </c:numCache>
              </c:numRef>
            </c:minus>
          </c:errBars>
          <c:cat>
            <c:strRef>
              <c:f>'Graph format rapport CHG 1éch'!$E$2:$G$2</c:f>
              <c:strCache>
                <c:ptCount val="2"/>
                <c:pt idx="1">
                  <c:v>Anastrozole-0,16µg/L</c:v>
                </c:pt>
              </c:strCache>
            </c:strRef>
          </c:cat>
          <c:val>
            <c:numRef>
              <c:f>'Graph format rapport CHG 1éch'!$E$3:$G$3</c:f>
              <c:numCache>
                <c:formatCode>General</c:formatCode>
                <c:ptCount val="3"/>
                <c:pt idx="1">
                  <c:v>0.11062282752839607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0.11569492907343065</c:v>
                </c:pt>
                <c:pt idx="1">
                  <c:v>0.11569492907343065</c:v>
                </c:pt>
                <c:pt idx="2">
                  <c:v>0.11569492907343065</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Anastrozole-0,032µg/L + Testostérone</c:v>
                </c:pt>
              </c:strCache>
            </c:strRef>
          </c:cat>
          <c:val>
            <c:numRef>
              <c:f>'Graph format rapport CHG 1éch'!$H$8:$J$8</c:f>
              <c:numCache>
                <c:formatCode>General</c:formatCode>
                <c:ptCount val="3"/>
                <c:pt idx="0">
                  <c:v>9.5060193403218127E-2</c:v>
                </c:pt>
                <c:pt idx="1">
                  <c:v>9.5060193403218127E-2</c:v>
                </c:pt>
                <c:pt idx="2">
                  <c:v>9.5060193403218127E-2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Anastrozole-0,032µg/L + Testostérone</c:v>
                </c:pt>
              </c:strCache>
            </c:strRef>
          </c:cat>
          <c:val>
            <c:numRef>
              <c:f>'Graph format rapport CHG 1éch'!$H$9:$J$9</c:f>
              <c:numCache>
                <c:formatCode>General</c:formatCode>
                <c:ptCount val="3"/>
                <c:pt idx="0">
                  <c:v>6.2532407986993963</c:v>
                </c:pt>
                <c:pt idx="1">
                  <c:v>6.2532407986993963</c:v>
                </c:pt>
                <c:pt idx="2">
                  <c:v>6.2532407986993963</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Anastrozole-0,032µg/L + Testostérone</c:v>
                </c:pt>
              </c:strCache>
            </c:strRef>
          </c:cat>
          <c:val>
            <c:numRef>
              <c:f>'Graph format rapport CHG 1éch'!$H$10:$J$10</c:f>
              <c:numCache>
                <c:formatCode>General</c:formatCode>
                <c:ptCount val="3"/>
                <c:pt idx="0">
                  <c:v>-3.7532407986993963</c:v>
                </c:pt>
                <c:pt idx="1">
                  <c:v>-3.7532407986993963</c:v>
                </c:pt>
                <c:pt idx="2">
                  <c:v>-3.7532407986993963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69A73292-843F-48F3-84C6-475684AE95C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200995E6-4F8D-40BF-A2E1-AEFF49A0B7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0.20008974970968954</c:v>
                  </c:pt>
                </c:numCache>
              </c:numRef>
            </c:plus>
            <c:minus>
              <c:numRef>
                <c:f>'Graph format rapport CHG 1éch'!$H$4:$J$4</c:f>
                <c:numCache>
                  <c:formatCode>General</c:formatCode>
                  <c:ptCount val="3"/>
                  <c:pt idx="1">
                    <c:v>0.20008974970968954</c:v>
                  </c:pt>
                </c:numCache>
              </c:numRef>
            </c:minus>
          </c:errBars>
          <c:cat>
            <c:strRef>
              <c:f>'Graph format rapport CHG 1éch'!$H$2:$J$2</c:f>
              <c:strCache>
                <c:ptCount val="2"/>
                <c:pt idx="1">
                  <c:v>Anastrozole-0,032µg/L + Testostérone</c:v>
                </c:pt>
              </c:strCache>
            </c:strRef>
          </c:cat>
          <c:val>
            <c:numRef>
              <c:f>'Graph format rapport CHG 1éch'!$H$3:$J$3</c:f>
              <c:numCache>
                <c:formatCode>General</c:formatCode>
                <c:ptCount val="3"/>
                <c:pt idx="1">
                  <c:v>0.92706304961886987</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Anastrozole-0,032µg/L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43050462964"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43050578702"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43050925925"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741.4430511574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7"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6"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5"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4"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4"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10" zoomScale="55" zoomScaleNormal="55" workbookViewId="0">
      <selection activeCell="C15" sqref="C15:E19"/>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5" t="s">
        <v>36</v>
      </c>
      <c r="B1" s="196"/>
      <c r="C1" s="196"/>
      <c r="D1" s="196"/>
      <c r="E1" s="196"/>
      <c r="F1" s="196"/>
      <c r="G1" s="196"/>
      <c r="H1" s="196"/>
      <c r="I1" s="197"/>
    </row>
    <row r="2" spans="1:9" ht="21" x14ac:dyDescent="0.5">
      <c r="A2" s="188" t="s">
        <v>17</v>
      </c>
      <c r="B2" s="42" t="s">
        <v>115</v>
      </c>
      <c r="C2" s="198"/>
      <c r="D2" s="199"/>
      <c r="E2" s="42" t="s">
        <v>21</v>
      </c>
      <c r="F2" s="210"/>
      <c r="G2" s="211"/>
      <c r="H2" s="211"/>
      <c r="I2" s="212"/>
    </row>
    <row r="3" spans="1:9" ht="21" x14ac:dyDescent="0.5">
      <c r="A3" s="189" t="s">
        <v>18</v>
      </c>
      <c r="B3" s="43" t="s">
        <v>115</v>
      </c>
      <c r="C3" s="200"/>
      <c r="D3" s="201"/>
      <c r="E3" s="43" t="s">
        <v>21</v>
      </c>
      <c r="F3" s="207"/>
      <c r="G3" s="208"/>
      <c r="H3" s="208"/>
      <c r="I3" s="209"/>
    </row>
    <row r="4" spans="1:9" ht="21.5" thickBot="1" x14ac:dyDescent="0.55000000000000004">
      <c r="A4" s="190" t="s">
        <v>22</v>
      </c>
      <c r="B4" s="178" t="s">
        <v>115</v>
      </c>
      <c r="C4" s="202"/>
      <c r="D4" s="203"/>
      <c r="E4" s="178" t="s">
        <v>21</v>
      </c>
      <c r="F4" s="204"/>
      <c r="G4" s="205"/>
      <c r="H4" s="205"/>
      <c r="I4" s="206"/>
    </row>
    <row r="5" spans="1:9" s="1" customFormat="1" ht="65.25" customHeight="1" thickBot="1" x14ac:dyDescent="0.4">
      <c r="A5" s="195" t="s">
        <v>37</v>
      </c>
      <c r="B5" s="196"/>
      <c r="C5" s="196"/>
      <c r="D5" s="196"/>
      <c r="E5" s="196"/>
      <c r="F5" s="196"/>
      <c r="G5" s="196"/>
      <c r="H5" s="196"/>
      <c r="I5" s="197"/>
    </row>
    <row r="6" spans="1:9" s="109" customFormat="1" ht="39" customHeight="1" x14ac:dyDescent="0.5">
      <c r="A6" s="75" t="s">
        <v>35</v>
      </c>
      <c r="B6" s="100" t="s">
        <v>7</v>
      </c>
      <c r="C6" s="64" t="s">
        <v>19</v>
      </c>
      <c r="D6" s="64" t="s">
        <v>75</v>
      </c>
      <c r="E6" s="157" t="s">
        <v>51</v>
      </c>
      <c r="F6" s="108"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5">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Anastrozole-0,032µg/L</v>
      </c>
      <c r="B15" s="162" t="s">
        <v>166</v>
      </c>
      <c r="C15" s="163">
        <v>3.2000000000000001E-2</v>
      </c>
      <c r="D15" s="164" t="s">
        <v>127</v>
      </c>
      <c r="E15" s="165" t="s">
        <v>167</v>
      </c>
      <c r="F15" s="110"/>
    </row>
    <row r="16" spans="1:9" s="111" customFormat="1" ht="39" customHeight="1" x14ac:dyDescent="0.3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Anastrozole-0,16µg/L</v>
      </c>
      <c r="B16" s="162" t="s">
        <v>166</v>
      </c>
      <c r="C16" s="105">
        <v>0.16</v>
      </c>
      <c r="D16" s="164" t="s">
        <v>127</v>
      </c>
      <c r="E16" s="165" t="s">
        <v>167</v>
      </c>
      <c r="F16" s="110"/>
    </row>
    <row r="17" spans="1:6" s="111" customFormat="1" ht="39" customHeight="1" x14ac:dyDescent="0.3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Anastrozole-0,8µg/L</v>
      </c>
      <c r="B17" s="162" t="s">
        <v>166</v>
      </c>
      <c r="C17" s="105">
        <v>0.8</v>
      </c>
      <c r="D17" s="164" t="s">
        <v>127</v>
      </c>
      <c r="E17" s="165" t="s">
        <v>167</v>
      </c>
      <c r="F17" s="110"/>
    </row>
    <row r="18" spans="1:6" s="111" customFormat="1" ht="39" customHeight="1" x14ac:dyDescent="0.3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Anastrozole-4µg/L</v>
      </c>
      <c r="B18" s="162" t="s">
        <v>166</v>
      </c>
      <c r="C18" s="105">
        <v>4</v>
      </c>
      <c r="D18" s="164" t="s">
        <v>127</v>
      </c>
      <c r="E18" s="165" t="s">
        <v>167</v>
      </c>
      <c r="F18" s="110"/>
    </row>
    <row r="19" spans="1:6" s="111" customFormat="1" ht="39" customHeight="1" x14ac:dyDescent="0.3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Anastrozole-20µg/L</v>
      </c>
      <c r="B19" s="162" t="s">
        <v>166</v>
      </c>
      <c r="C19" s="105">
        <v>20</v>
      </c>
      <c r="D19" s="164" t="s">
        <v>127</v>
      </c>
      <c r="E19" s="165" t="s">
        <v>167</v>
      </c>
      <c r="F19" s="110"/>
    </row>
    <row r="20" spans="1:6" s="111"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4">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5">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4">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4">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Anastrozole-0,032µg/L + Testostérone</v>
      </c>
      <c r="B39" s="191" t="str">
        <f>B15</f>
        <v>Test</v>
      </c>
      <c r="C39" s="191">
        <f t="shared" ref="C39:E39" si="0">C15</f>
        <v>3.2000000000000001E-2</v>
      </c>
      <c r="D39" s="191" t="str">
        <f t="shared" si="0"/>
        <v>µg/L</v>
      </c>
      <c r="E39" s="191" t="str">
        <f t="shared" si="0"/>
        <v>Anastrozole</v>
      </c>
      <c r="F39" s="112" t="s">
        <v>50</v>
      </c>
    </row>
    <row r="40" spans="1:6" s="111" customFormat="1" ht="39" customHeight="1" x14ac:dyDescent="0.3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Anastrozole-0,16µg/L + Testostérone</v>
      </c>
      <c r="B40" s="193" t="str">
        <f t="shared" ref="B40:E40" si="1">B16</f>
        <v>Test</v>
      </c>
      <c r="C40" s="193">
        <f t="shared" si="1"/>
        <v>0.16</v>
      </c>
      <c r="D40" s="193" t="str">
        <f t="shared" si="1"/>
        <v>µg/L</v>
      </c>
      <c r="E40" s="193" t="str">
        <f t="shared" si="1"/>
        <v>Anastrozole</v>
      </c>
      <c r="F40" s="113" t="s">
        <v>50</v>
      </c>
    </row>
    <row r="41" spans="1:6" s="111" customFormat="1" ht="39" customHeight="1" x14ac:dyDescent="0.3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Anastrozole-0,8µg/L + Testostérone</v>
      </c>
      <c r="B41" s="193" t="str">
        <f t="shared" ref="B41:E41" si="2">B17</f>
        <v>Test</v>
      </c>
      <c r="C41" s="193">
        <f t="shared" si="2"/>
        <v>0.8</v>
      </c>
      <c r="D41" s="193" t="str">
        <f t="shared" si="2"/>
        <v>µg/L</v>
      </c>
      <c r="E41" s="193" t="str">
        <f t="shared" si="2"/>
        <v>Anastrozole</v>
      </c>
      <c r="F41" s="113" t="s">
        <v>50</v>
      </c>
    </row>
    <row r="42" spans="1:6" s="111" customFormat="1" ht="39" customHeight="1" x14ac:dyDescent="0.3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Anastrozole-4µg/L + Testostérone</v>
      </c>
      <c r="B42" s="193" t="str">
        <f t="shared" ref="B42:E42" si="3">B18</f>
        <v>Test</v>
      </c>
      <c r="C42" s="193">
        <f t="shared" si="3"/>
        <v>4</v>
      </c>
      <c r="D42" s="193" t="str">
        <f t="shared" si="3"/>
        <v>µg/L</v>
      </c>
      <c r="E42" s="193" t="str">
        <f t="shared" si="3"/>
        <v>Anastrozole</v>
      </c>
      <c r="F42" s="113" t="s">
        <v>50</v>
      </c>
    </row>
    <row r="43" spans="1:6" s="111" customFormat="1" ht="39" customHeight="1" x14ac:dyDescent="0.3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Anastrozole-20µg/L + Testostérone</v>
      </c>
      <c r="B43" s="193" t="str">
        <f t="shared" ref="B43:E43" si="4">B19</f>
        <v>Test</v>
      </c>
      <c r="C43" s="193">
        <f t="shared" si="4"/>
        <v>20</v>
      </c>
      <c r="D43" s="193" t="str">
        <f t="shared" si="4"/>
        <v>µg/L</v>
      </c>
      <c r="E43" s="193" t="str">
        <f t="shared" si="4"/>
        <v>Anastrozole</v>
      </c>
      <c r="F43" s="113" t="s">
        <v>50</v>
      </c>
    </row>
    <row r="44" spans="1:6" s="111" customFormat="1" ht="39" customHeight="1" x14ac:dyDescent="0.3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152</v>
      </c>
      <c r="B2" t="s">
        <v>163</v>
      </c>
      <c r="C2" t="s">
        <v>143</v>
      </c>
      <c r="D2" t="s">
        <v>146</v>
      </c>
      <c r="E2" t="s">
        <v>147</v>
      </c>
      <c r="F2" t="s">
        <v>112</v>
      </c>
      <c r="G2">
        <v>360268</v>
      </c>
    </row>
    <row r="3" spans="1:9" x14ac:dyDescent="0.35">
      <c r="A3" t="s">
        <v>152</v>
      </c>
      <c r="B3" t="s">
        <v>163</v>
      </c>
      <c r="C3" t="s">
        <v>144</v>
      </c>
      <c r="D3" t="s">
        <v>148</v>
      </c>
      <c r="E3" t="s">
        <v>149</v>
      </c>
      <c r="F3" t="s">
        <v>112</v>
      </c>
      <c r="G3">
        <v>372315</v>
      </c>
    </row>
    <row r="4" spans="1:9" x14ac:dyDescent="0.35">
      <c r="A4" t="s">
        <v>152</v>
      </c>
      <c r="B4" t="s">
        <v>163</v>
      </c>
      <c r="C4" t="s">
        <v>145</v>
      </c>
      <c r="D4" t="s">
        <v>150</v>
      </c>
      <c r="E4" t="s">
        <v>151</v>
      </c>
      <c r="F4" t="s">
        <v>112</v>
      </c>
      <c r="G4">
        <v>237626</v>
      </c>
    </row>
    <row r="5" spans="1:9" x14ac:dyDescent="0.35">
      <c r="A5" t="s">
        <v>152</v>
      </c>
      <c r="B5" t="s">
        <v>163</v>
      </c>
      <c r="C5" t="s">
        <v>160</v>
      </c>
      <c r="D5" t="s">
        <v>161</v>
      </c>
      <c r="E5" t="s">
        <v>162</v>
      </c>
      <c r="F5" t="s">
        <v>112</v>
      </c>
      <c r="G5">
        <v>1439015</v>
      </c>
    </row>
    <row r="6" spans="1:9" x14ac:dyDescent="0.35">
      <c r="A6" t="s">
        <v>152</v>
      </c>
      <c r="B6" t="s">
        <v>163</v>
      </c>
      <c r="C6" t="s">
        <v>157</v>
      </c>
      <c r="D6" t="s">
        <v>158</v>
      </c>
      <c r="E6" t="s">
        <v>159</v>
      </c>
      <c r="F6" t="s">
        <v>112</v>
      </c>
      <c r="G6">
        <v>1433586</v>
      </c>
    </row>
    <row r="7" spans="1:9" x14ac:dyDescent="0.3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5">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5">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5">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5">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5">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5">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5">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5">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5">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5">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5">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5">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5">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5">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5">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5">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5">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5">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5">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5">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5">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5">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5">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5">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5">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5">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5">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5">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5">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5">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5">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5">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5">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5">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5">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5">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5">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5">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5">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5">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5">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5">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5">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5">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5">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5">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5">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5">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5">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5">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5">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5">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5">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5">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5">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5">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5">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5">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5">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5">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5">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5">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5">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5">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5">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5">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5">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5">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5">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5">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5">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5">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5">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5">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5">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5">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5">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5">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5">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5">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5">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5">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5">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5">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5">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5">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5">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5">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5">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5">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5">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5">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5">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5">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5">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5">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5">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5">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5">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5">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5">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5">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5">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5">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5">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5">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5">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5">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5">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5">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5">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5">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5">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5">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5">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5">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5">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5">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5">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5">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5">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5">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5">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5">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5">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5">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5">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5">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5">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5">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5">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5">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5">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5">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5">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5">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5">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5">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5">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5">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5">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5">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5">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5">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5">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5">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5">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5">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5">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5">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5">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5">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5">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5">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5">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5">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5">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5">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5">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5">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5">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5">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5">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5">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5">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5">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5">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5">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5">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5">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5">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5">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5">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5">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5">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5">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5">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5">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5">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5">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5">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5">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5">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5">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5">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5">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5">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5">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5">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5">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5">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5">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5">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5">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5">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5">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5">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5">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5">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5">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5">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5">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5">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5">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5">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5">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5">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5">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5">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5">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5">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5">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5">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5">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5">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5">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5">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5">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5">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5">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5">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5">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5">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5">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5">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5">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5">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5">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5">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5">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5">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5">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5">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5">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5">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5">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5">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5">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5">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5">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5">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5">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5">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5">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5">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5">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5">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5">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5">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5">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5">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5">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5">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5">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5">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5">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5">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5">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5">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5">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5">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5">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5">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5">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5">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5">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5">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5">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5">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5">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5">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5">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5">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5">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5">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5">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5">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5">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5">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5">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5">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5">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5">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5">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5">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5">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5">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5">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5">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5">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5">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5">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5">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5">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5">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5">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5">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5">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5">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5">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5">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5">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5">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5">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5">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5">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5">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5">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5">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5">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5">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5">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5">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5">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5">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5">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5">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5">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5">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5">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5">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5">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5">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5">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5">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5">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5">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5">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5">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5">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5">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5">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5">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5">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5">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5">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5">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5">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5">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5">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5">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5">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5">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5">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5">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5">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5">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5">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5">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5">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5">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5">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5">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5">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5">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5">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5">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5">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5">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5">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5">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5">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5">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5">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5">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5">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5">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5">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5">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5">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5">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5">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5">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5">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5">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5">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5">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5">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5">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5">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5">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5">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5">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5">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5">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5">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5">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5">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5">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5">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5">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5">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5">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5">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60" zoomScaleNormal="60" zoomScaleSheetLayoutView="40" zoomScalePageLayoutView="30" workbookViewId="0">
      <pane xSplit="1" topLeftCell="F1" activePane="topRight" state="frozen"/>
      <selection pane="topRight" activeCell="J5" sqref="J5:J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c r="A2"/>
      <c r="B2"/>
      <c r="C2"/>
      <c r="D2"/>
      <c r="E2"/>
      <c r="F2"/>
      <c r="G2"/>
      <c r="H2"/>
      <c r="I2"/>
      <c r="J2"/>
      <c r="K2"/>
      <c r="L2"/>
      <c r="M2"/>
      <c r="S2"/>
      <c r="T2"/>
      <c r="U2"/>
      <c r="V2"/>
    </row>
    <row r="3" spans="1:22" ht="15" thickBot="1" x14ac:dyDescent="0.4">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Anastrozole-0,032µg/L</v>
      </c>
      <c r="J4" s="35" t="str">
        <f>'Page de garde'!A16</f>
        <v>Anastrozole-0,16µg/L</v>
      </c>
      <c r="K4" s="35" t="str">
        <f>'Page de garde'!A17</f>
        <v>Anastrozole-0,8µg/L</v>
      </c>
      <c r="L4" s="35" t="str">
        <f>'Page de garde'!A18</f>
        <v>Anastrozole-4µg/L</v>
      </c>
      <c r="M4" s="35" t="str">
        <f>'Page de garde'!A19</f>
        <v>Anastrozole-20µg/L</v>
      </c>
      <c r="N4" s="3"/>
      <c r="O4" s="36" t="str">
        <f>'Page de garde'!A36</f>
        <v>Testo -30µg/L</v>
      </c>
      <c r="P4" s="36" t="str">
        <f>'Page de garde'!A37</f>
        <v>Testo 30µg/L + EE2 -64ng/L</v>
      </c>
      <c r="Q4" s="36" t="str">
        <f>'Page de garde'!A38</f>
        <v>Testo 30µg/L + FAD-10µg/L</v>
      </c>
      <c r="R4" s="36" t="str">
        <f>'Page de garde'!A39</f>
        <v>Anastrozole-0,032µg/L + Testostérone</v>
      </c>
      <c r="S4" s="36" t="str">
        <f>'Page de garde'!A40</f>
        <v>Anastrozole-0,16µg/L + Testostérone</v>
      </c>
      <c r="T4" s="36" t="str">
        <f>'Page de garde'!A41</f>
        <v>Anastrozole-0,8µg/L + Testostérone</v>
      </c>
      <c r="U4" s="36" t="str">
        <f>'Page de garde'!A42</f>
        <v>Anastrozole-4µg/L + Testostérone</v>
      </c>
      <c r="V4" s="36" t="str">
        <f>'Page de garde'!A43</f>
        <v>Anastrozole-20µg/L + Testostérone</v>
      </c>
    </row>
    <row r="5" spans="1:22" x14ac:dyDescent="0.35">
      <c r="A5" s="217" t="s">
        <v>33</v>
      </c>
      <c r="B5" s="1">
        <v>107443</v>
      </c>
      <c r="C5" s="1">
        <v>164883</v>
      </c>
      <c r="D5" s="1">
        <v>1579484</v>
      </c>
      <c r="E5" s="1">
        <v>904259</v>
      </c>
      <c r="F5" s="1">
        <v>4208855</v>
      </c>
      <c r="G5" s="1">
        <v>3365047</v>
      </c>
      <c r="H5" s="1">
        <v>7432180</v>
      </c>
      <c r="I5" s="1">
        <v>382578</v>
      </c>
      <c r="J5" s="1">
        <v>140015</v>
      </c>
      <c r="K5" s="1">
        <v>75356</v>
      </c>
      <c r="L5" s="1">
        <v>300260</v>
      </c>
      <c r="M5" s="1">
        <v>181551</v>
      </c>
      <c r="N5" s="3"/>
      <c r="O5" s="1">
        <v>745360</v>
      </c>
      <c r="P5" s="1">
        <v>4577429</v>
      </c>
      <c r="Q5" s="1">
        <v>29808</v>
      </c>
      <c r="R5" s="1">
        <v>214905</v>
      </c>
      <c r="S5" s="1">
        <v>589702</v>
      </c>
      <c r="T5" s="1">
        <v>329491</v>
      </c>
      <c r="U5" s="1">
        <v>50726</v>
      </c>
      <c r="V5" s="1">
        <v>153426</v>
      </c>
    </row>
    <row r="6" spans="1:22" x14ac:dyDescent="0.35">
      <c r="A6" s="218"/>
      <c r="B6" s="1">
        <v>137474</v>
      </c>
      <c r="C6" s="1">
        <v>22661</v>
      </c>
      <c r="D6" s="1">
        <v>208467</v>
      </c>
      <c r="E6" s="1">
        <v>3634629</v>
      </c>
      <c r="F6" s="1">
        <v>2713048</v>
      </c>
      <c r="G6" s="1">
        <v>3974090</v>
      </c>
      <c r="H6" s="1">
        <v>9175017</v>
      </c>
      <c r="I6" s="1">
        <v>14113</v>
      </c>
      <c r="J6" s="1">
        <v>71300</v>
      </c>
      <c r="K6" s="1">
        <v>108192</v>
      </c>
      <c r="L6" s="1">
        <v>6908</v>
      </c>
      <c r="M6" s="1">
        <v>12571</v>
      </c>
      <c r="N6" s="3"/>
      <c r="O6" s="1">
        <v>704204</v>
      </c>
      <c r="P6" s="1">
        <v>8549253</v>
      </c>
      <c r="Q6" s="1">
        <v>25937</v>
      </c>
      <c r="R6" s="1">
        <v>1817311</v>
      </c>
      <c r="S6" s="1">
        <v>37033</v>
      </c>
      <c r="T6" s="1">
        <v>419</v>
      </c>
      <c r="U6" s="1">
        <v>83220</v>
      </c>
      <c r="V6" s="1">
        <v>16252</v>
      </c>
    </row>
    <row r="7" spans="1:22" x14ac:dyDescent="0.35">
      <c r="A7" s="218"/>
      <c r="B7" s="1">
        <v>114783</v>
      </c>
      <c r="C7" s="1">
        <v>96278</v>
      </c>
      <c r="D7" s="1">
        <v>673062</v>
      </c>
      <c r="E7" s="1">
        <v>630048</v>
      </c>
      <c r="F7" s="1">
        <v>2175007</v>
      </c>
      <c r="G7" s="1">
        <v>7218114</v>
      </c>
      <c r="H7" s="1">
        <v>7715181</v>
      </c>
      <c r="I7" s="1">
        <v>166178</v>
      </c>
      <c r="J7" s="1">
        <v>20710</v>
      </c>
      <c r="K7" s="1">
        <v>34006</v>
      </c>
      <c r="L7" s="1">
        <v>105964</v>
      </c>
      <c r="M7" s="1">
        <v>50073</v>
      </c>
      <c r="N7" s="3"/>
      <c r="O7" s="1">
        <v>187479</v>
      </c>
      <c r="P7" s="1">
        <v>6675919</v>
      </c>
      <c r="Q7" s="1">
        <v>7213</v>
      </c>
      <c r="R7" s="1">
        <v>519204</v>
      </c>
      <c r="S7" s="1">
        <v>1974534</v>
      </c>
      <c r="T7" s="1">
        <v>180351</v>
      </c>
      <c r="U7" s="1">
        <v>128537</v>
      </c>
      <c r="V7" s="1">
        <v>130361</v>
      </c>
    </row>
    <row r="8" spans="1:22" x14ac:dyDescent="0.35">
      <c r="A8" s="218"/>
      <c r="B8" s="1">
        <v>78531</v>
      </c>
      <c r="C8" s="1">
        <v>517326</v>
      </c>
      <c r="D8" s="1">
        <v>121715</v>
      </c>
      <c r="E8" s="1">
        <v>7408812</v>
      </c>
      <c r="F8" s="1">
        <v>11411184</v>
      </c>
      <c r="G8" s="1">
        <v>7575738</v>
      </c>
      <c r="H8" s="1">
        <v>7692767</v>
      </c>
      <c r="I8" s="1">
        <v>386459</v>
      </c>
      <c r="J8" s="1">
        <v>14006</v>
      </c>
      <c r="K8" s="1">
        <v>186105</v>
      </c>
      <c r="L8" s="1">
        <v>88378</v>
      </c>
      <c r="M8" s="1">
        <v>28651</v>
      </c>
      <c r="N8" s="3"/>
      <c r="O8" s="1">
        <v>476957</v>
      </c>
      <c r="P8" s="1">
        <v>8485170</v>
      </c>
      <c r="Q8" s="1">
        <v>13243</v>
      </c>
      <c r="R8" s="1">
        <v>41533</v>
      </c>
      <c r="S8" s="1">
        <v>446622</v>
      </c>
      <c r="T8" s="1">
        <v>182072</v>
      </c>
      <c r="U8" s="1">
        <v>169570</v>
      </c>
      <c r="V8" s="1">
        <v>394893</v>
      </c>
    </row>
    <row r="9" spans="1:22" x14ac:dyDescent="0.35">
      <c r="A9" s="218"/>
      <c r="B9" s="1">
        <v>261327</v>
      </c>
      <c r="C9" s="1">
        <v>68297</v>
      </c>
      <c r="D9" s="1">
        <v>1499681</v>
      </c>
      <c r="E9" s="1">
        <v>5403361</v>
      </c>
      <c r="F9" s="1">
        <v>2854349</v>
      </c>
      <c r="G9" s="1">
        <v>3083593</v>
      </c>
      <c r="H9" s="1">
        <v>9823794</v>
      </c>
      <c r="I9" s="1">
        <v>25309</v>
      </c>
      <c r="J9" s="1">
        <v>21026</v>
      </c>
      <c r="K9" s="1">
        <v>54325</v>
      </c>
      <c r="L9" s="1">
        <v>141530</v>
      </c>
      <c r="M9" s="1">
        <v>93477</v>
      </c>
      <c r="N9" s="3"/>
      <c r="O9" s="1">
        <v>727157</v>
      </c>
      <c r="P9" s="1">
        <v>6782445</v>
      </c>
      <c r="Q9" s="1">
        <v>4672</v>
      </c>
      <c r="R9" s="1">
        <v>87514</v>
      </c>
      <c r="S9" s="1">
        <v>183435</v>
      </c>
      <c r="T9" s="1">
        <v>31197</v>
      </c>
      <c r="U9" s="1">
        <v>36461</v>
      </c>
      <c r="V9" s="1">
        <v>72109</v>
      </c>
    </row>
    <row r="10" spans="1:22" x14ac:dyDescent="0.35">
      <c r="A10" s="218"/>
      <c r="B10" s="1">
        <v>61864</v>
      </c>
      <c r="C10" s="1">
        <v>15707</v>
      </c>
      <c r="D10" s="1">
        <v>223747</v>
      </c>
      <c r="E10" s="1">
        <v>131676</v>
      </c>
      <c r="F10" s="1">
        <v>3736922</v>
      </c>
      <c r="G10" s="1">
        <v>6260669</v>
      </c>
      <c r="H10" s="1">
        <v>10384031</v>
      </c>
      <c r="I10" s="1">
        <v>138974</v>
      </c>
      <c r="J10" s="1">
        <v>151441</v>
      </c>
      <c r="K10" s="1">
        <v>241262</v>
      </c>
      <c r="L10" s="1">
        <v>37594</v>
      </c>
      <c r="M10" s="1">
        <v>58877</v>
      </c>
      <c r="N10" s="3"/>
      <c r="O10" s="1">
        <v>97758</v>
      </c>
      <c r="P10" s="1">
        <v>7207308</v>
      </c>
      <c r="Q10" s="1">
        <v>108249</v>
      </c>
      <c r="R10" s="1">
        <v>765259</v>
      </c>
      <c r="S10" s="1">
        <v>329807</v>
      </c>
      <c r="T10" s="1">
        <v>50737</v>
      </c>
      <c r="U10" s="1">
        <v>71491</v>
      </c>
      <c r="V10" s="1">
        <v>96549</v>
      </c>
    </row>
    <row r="11" spans="1:22" x14ac:dyDescent="0.35">
      <c r="A11" s="218"/>
      <c r="B11" s="1">
        <v>35581</v>
      </c>
      <c r="C11" s="1">
        <v>162281</v>
      </c>
      <c r="D11" s="1">
        <v>215372</v>
      </c>
      <c r="E11" s="1">
        <v>982261</v>
      </c>
      <c r="F11" s="1">
        <v>4365278</v>
      </c>
      <c r="G11" s="1">
        <v>6970987</v>
      </c>
      <c r="H11" s="1">
        <v>15479326</v>
      </c>
      <c r="I11" s="1">
        <v>319953</v>
      </c>
      <c r="J11" s="1">
        <v>28069</v>
      </c>
      <c r="K11" s="1">
        <v>127490</v>
      </c>
      <c r="L11" s="1">
        <v>51079</v>
      </c>
      <c r="M11" s="1">
        <v>29142</v>
      </c>
      <c r="N11" s="3"/>
      <c r="O11" s="1">
        <v>28182</v>
      </c>
      <c r="P11" s="1">
        <v>2780517</v>
      </c>
      <c r="Q11" s="1">
        <v>67889</v>
      </c>
      <c r="R11" s="1">
        <v>549404</v>
      </c>
      <c r="S11" s="1">
        <v>1958179</v>
      </c>
      <c r="T11" s="1">
        <v>4669</v>
      </c>
      <c r="U11" s="1">
        <v>2612</v>
      </c>
      <c r="V11" s="1">
        <v>20150</v>
      </c>
    </row>
    <row r="12" spans="1:22" x14ac:dyDescent="0.35">
      <c r="A12" s="218"/>
      <c r="B12" s="1">
        <v>64828</v>
      </c>
      <c r="C12" s="13"/>
      <c r="D12" s="1">
        <v>7478</v>
      </c>
      <c r="E12" s="32"/>
      <c r="F12" s="1">
        <v>2922834</v>
      </c>
      <c r="G12" s="32"/>
      <c r="H12" s="1">
        <v>17858717</v>
      </c>
      <c r="I12" s="1">
        <v>64612</v>
      </c>
      <c r="J12" s="1">
        <v>47347</v>
      </c>
      <c r="K12" s="1">
        <v>35600</v>
      </c>
      <c r="L12" s="1">
        <v>160992</v>
      </c>
      <c r="M12" s="1">
        <v>109040</v>
      </c>
      <c r="N12" s="3"/>
      <c r="O12" s="1">
        <v>298546</v>
      </c>
      <c r="P12" s="1">
        <v>6134217</v>
      </c>
      <c r="Q12" s="1">
        <v>227822</v>
      </c>
      <c r="R12" s="1">
        <v>1099343</v>
      </c>
      <c r="S12" s="1">
        <v>1280025</v>
      </c>
      <c r="T12" s="1">
        <v>123972</v>
      </c>
      <c r="U12" s="1">
        <v>47744</v>
      </c>
      <c r="V12" s="1">
        <v>213223</v>
      </c>
    </row>
    <row r="13" spans="1:22" ht="16.5" x14ac:dyDescent="0.35">
      <c r="A13" s="218"/>
      <c r="B13" s="14"/>
      <c r="C13" s="13"/>
      <c r="D13" s="16"/>
      <c r="E13" s="16"/>
      <c r="F13" s="16"/>
      <c r="G13" s="16"/>
      <c r="H13" s="16"/>
      <c r="I13" s="32"/>
      <c r="J13" s="16"/>
      <c r="K13" s="13"/>
      <c r="L13" s="13"/>
      <c r="M13" s="13"/>
      <c r="N13" s="3"/>
      <c r="O13" s="1">
        <v>1438402</v>
      </c>
      <c r="P13" s="13"/>
      <c r="Q13" s="13"/>
      <c r="R13" s="4"/>
      <c r="S13" s="32"/>
      <c r="T13" s="32"/>
      <c r="U13" s="32"/>
      <c r="V13" s="32"/>
    </row>
    <row r="14" spans="1:22" ht="16.5" x14ac:dyDescent="0.35">
      <c r="A14" s="218"/>
      <c r="B14" s="14"/>
      <c r="C14" s="16"/>
      <c r="D14" s="16"/>
      <c r="E14" s="16"/>
      <c r="F14" s="16"/>
      <c r="G14" s="16"/>
      <c r="H14" s="16"/>
      <c r="I14" s="32"/>
      <c r="J14" s="16"/>
      <c r="K14" s="13"/>
      <c r="L14" s="13"/>
      <c r="M14" s="13"/>
      <c r="N14" s="3"/>
      <c r="O14" s="1">
        <v>703051</v>
      </c>
      <c r="P14" s="13"/>
      <c r="Q14" s="13"/>
      <c r="R14" s="4"/>
      <c r="S14" s="32"/>
      <c r="T14" s="32"/>
      <c r="U14" s="32"/>
      <c r="V14" s="32"/>
    </row>
    <row r="15" spans="1:22" ht="16.5" x14ac:dyDescent="0.35">
      <c r="A15" s="218"/>
      <c r="B15" s="14"/>
      <c r="C15" s="16"/>
      <c r="D15" s="16"/>
      <c r="E15" s="16"/>
      <c r="F15" s="16"/>
      <c r="G15" s="16"/>
      <c r="H15" s="16"/>
      <c r="I15" s="32"/>
      <c r="J15" s="16"/>
      <c r="K15" s="13"/>
      <c r="L15" s="13"/>
      <c r="M15" s="13"/>
      <c r="N15" s="3"/>
      <c r="O15" s="1">
        <v>2462128</v>
      </c>
      <c r="P15" s="13"/>
      <c r="Q15" s="13"/>
      <c r="R15" s="4"/>
      <c r="S15" s="32"/>
      <c r="T15" s="32"/>
      <c r="U15" s="32"/>
      <c r="V15" s="32"/>
    </row>
    <row r="16" spans="1:22" ht="16.5" x14ac:dyDescent="0.35">
      <c r="A16" s="218"/>
      <c r="B16" s="14"/>
      <c r="C16" s="16"/>
      <c r="D16" s="16"/>
      <c r="E16" s="16"/>
      <c r="F16" s="16"/>
      <c r="G16" s="16"/>
      <c r="H16" s="16"/>
      <c r="I16" s="32"/>
      <c r="J16" s="16"/>
      <c r="K16" s="13"/>
      <c r="L16" s="13"/>
      <c r="M16" s="13"/>
      <c r="N16" s="3"/>
      <c r="O16" s="1">
        <v>1133199</v>
      </c>
      <c r="P16" s="13"/>
      <c r="Q16" s="13"/>
      <c r="R16" s="4"/>
      <c r="S16" s="32"/>
      <c r="T16" s="32"/>
      <c r="U16" s="32"/>
      <c r="V16" s="32"/>
    </row>
    <row r="17" spans="1:22" s="1" customFormat="1" ht="16.5" x14ac:dyDescent="0.35">
      <c r="A17" s="218"/>
      <c r="B17" s="14"/>
      <c r="C17" s="32"/>
      <c r="D17" s="32"/>
      <c r="E17" s="32"/>
      <c r="F17" s="32"/>
      <c r="G17" s="32"/>
      <c r="H17" s="32"/>
      <c r="I17" s="32"/>
      <c r="J17" s="32"/>
      <c r="K17" s="13"/>
      <c r="L17" s="13"/>
      <c r="M17" s="13"/>
      <c r="N17" s="3"/>
      <c r="O17" s="1">
        <v>375309</v>
      </c>
      <c r="P17" s="13"/>
      <c r="Q17" s="13"/>
      <c r="R17" s="32"/>
      <c r="S17" s="32"/>
      <c r="T17" s="32"/>
      <c r="U17" s="32"/>
      <c r="V17" s="32"/>
    </row>
    <row r="18" spans="1:22" s="1" customFormat="1" ht="16.5" x14ac:dyDescent="0.35">
      <c r="A18" s="218"/>
      <c r="B18" s="14"/>
      <c r="C18" s="32"/>
      <c r="D18" s="32"/>
      <c r="E18" s="32"/>
      <c r="F18" s="32"/>
      <c r="G18" s="32"/>
      <c r="H18" s="32"/>
      <c r="I18" s="32"/>
      <c r="J18" s="32"/>
      <c r="K18" s="13"/>
      <c r="L18" s="13"/>
      <c r="M18" s="13"/>
      <c r="N18" s="3"/>
      <c r="O18" s="1">
        <v>114091</v>
      </c>
      <c r="P18" s="13"/>
      <c r="Q18" s="13"/>
      <c r="R18" s="32"/>
      <c r="S18" s="32"/>
      <c r="T18" s="32"/>
      <c r="U18" s="32"/>
      <c r="V18" s="32"/>
    </row>
    <row r="19" spans="1:22" s="1" customFormat="1" ht="16.5" x14ac:dyDescent="0.35">
      <c r="A19" s="218"/>
      <c r="B19" s="14"/>
      <c r="C19" s="32"/>
      <c r="D19" s="32"/>
      <c r="E19" s="32"/>
      <c r="F19" s="32"/>
      <c r="G19" s="32"/>
      <c r="H19" s="32"/>
      <c r="I19" s="32"/>
      <c r="J19" s="32"/>
      <c r="K19" s="13"/>
      <c r="L19" s="13"/>
      <c r="M19" s="13"/>
      <c r="N19" s="3"/>
      <c r="O19" s="1">
        <v>47470</v>
      </c>
      <c r="P19" s="13"/>
      <c r="Q19" s="13"/>
      <c r="R19" s="32"/>
      <c r="S19" s="32"/>
      <c r="T19" s="32"/>
      <c r="U19" s="32"/>
      <c r="V19" s="32"/>
    </row>
    <row r="20" spans="1:22" ht="16.5" x14ac:dyDescent="0.35">
      <c r="A20" s="218"/>
      <c r="B20" s="14"/>
      <c r="C20" s="16"/>
      <c r="D20" s="16"/>
      <c r="E20" s="16"/>
      <c r="F20" s="16"/>
      <c r="G20" s="16"/>
      <c r="H20" s="16"/>
      <c r="I20" s="32"/>
      <c r="J20" s="16"/>
      <c r="K20" s="13"/>
      <c r="L20" s="13"/>
      <c r="M20" s="13"/>
      <c r="N20" s="3"/>
      <c r="O20" s="1">
        <v>65502</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Anastrozole-0,032µg/L</v>
      </c>
      <c r="J22" s="68" t="str">
        <f t="shared" si="0"/>
        <v>Anastrozole-0,16µg/L</v>
      </c>
      <c r="K22" s="68" t="str">
        <f t="shared" si="0"/>
        <v>Anastrozole-0,8µg/L</v>
      </c>
      <c r="L22" s="68" t="str">
        <f t="shared" si="0"/>
        <v>Anastrozole-4µg/L</v>
      </c>
      <c r="M22" s="68" t="str">
        <f t="shared" si="0"/>
        <v>Anastrozole-20µg/L</v>
      </c>
      <c r="N22" s="68" t="s">
        <v>47</v>
      </c>
      <c r="O22" s="68" t="str">
        <f t="shared" ref="O22:V22" si="1">O4</f>
        <v>Testo -30µg/L</v>
      </c>
      <c r="P22" s="68" t="str">
        <f t="shared" si="1"/>
        <v>Testo 30µg/L + EE2 -64ng/L</v>
      </c>
      <c r="Q22" s="68" t="str">
        <f t="shared" si="1"/>
        <v>Testo 30µg/L + FAD-10µg/L</v>
      </c>
      <c r="R22" s="68" t="str">
        <f t="shared" si="1"/>
        <v>Anastrozole-0,032µg/L + Testostérone</v>
      </c>
      <c r="S22" s="68" t="str">
        <f t="shared" si="1"/>
        <v>Anastrozole-0,16µg/L + Testostérone</v>
      </c>
      <c r="T22" s="68" t="str">
        <f t="shared" si="1"/>
        <v>Anastrozole-0,8µg/L + Testostérone</v>
      </c>
      <c r="U22" s="68" t="str">
        <f t="shared" si="1"/>
        <v>Anastrozole-4µg/L + Testostérone</v>
      </c>
      <c r="V22" s="68" t="str">
        <f t="shared" si="1"/>
        <v>Anastrozole-20µg/L + Testostérone</v>
      </c>
    </row>
    <row r="23" spans="1:22" x14ac:dyDescent="0.35">
      <c r="A23" s="5" t="s">
        <v>0</v>
      </c>
      <c r="B23" s="5">
        <f t="shared" ref="B23:M23" si="2">AVERAGE(B5:B20)</f>
        <v>107728.875</v>
      </c>
      <c r="C23" s="5">
        <f t="shared" si="2"/>
        <v>149633.28571428571</v>
      </c>
      <c r="D23" s="5">
        <f t="shared" si="2"/>
        <v>566125.75</v>
      </c>
      <c r="E23" s="5">
        <f t="shared" si="2"/>
        <v>2727863.7142857141</v>
      </c>
      <c r="F23" s="5">
        <f t="shared" si="2"/>
        <v>4298434.625</v>
      </c>
      <c r="G23" s="5">
        <f t="shared" si="2"/>
        <v>5492605.4285714282</v>
      </c>
      <c r="H23" s="5">
        <f t="shared" si="2"/>
        <v>10695126.625</v>
      </c>
      <c r="I23" s="5">
        <f t="shared" si="2"/>
        <v>187272</v>
      </c>
      <c r="J23" s="5">
        <f t="shared" si="2"/>
        <v>61739.25</v>
      </c>
      <c r="K23" s="5">
        <f t="shared" si="2"/>
        <v>107792</v>
      </c>
      <c r="L23" s="5">
        <f t="shared" si="2"/>
        <v>111588.125</v>
      </c>
      <c r="M23" s="5">
        <f t="shared" si="2"/>
        <v>70422.75</v>
      </c>
      <c r="N23" s="5" t="s">
        <v>0</v>
      </c>
      <c r="O23" s="5">
        <f t="shared" ref="O23:V23" si="3">AVERAGE(O5:O20)</f>
        <v>600299.6875</v>
      </c>
      <c r="P23" s="5">
        <f t="shared" si="3"/>
        <v>6399032.25</v>
      </c>
      <c r="Q23" s="5">
        <f t="shared" si="3"/>
        <v>60604.125</v>
      </c>
      <c r="R23" s="5">
        <f t="shared" si="3"/>
        <v>636809.125</v>
      </c>
      <c r="S23" s="5">
        <f t="shared" si="3"/>
        <v>849917.125</v>
      </c>
      <c r="T23" s="5">
        <f t="shared" si="3"/>
        <v>112863.5</v>
      </c>
      <c r="U23" s="5">
        <f t="shared" si="3"/>
        <v>73795.125</v>
      </c>
      <c r="V23" s="5">
        <f t="shared" si="3"/>
        <v>137120.375</v>
      </c>
    </row>
    <row r="24" spans="1:22" x14ac:dyDescent="0.35">
      <c r="A24" s="3" t="s">
        <v>1</v>
      </c>
      <c r="B24" s="3">
        <f t="shared" ref="B24:M24" si="4">STDEV(B5:B20)</f>
        <v>70233.185557495337</v>
      </c>
      <c r="C24" s="3">
        <f t="shared" si="4"/>
        <v>172776.85022085017</v>
      </c>
      <c r="D24" s="3">
        <f t="shared" si="4"/>
        <v>631055.25177475542</v>
      </c>
      <c r="E24" s="3">
        <f t="shared" si="4"/>
        <v>2810856.0461115586</v>
      </c>
      <c r="F24" s="3">
        <f t="shared" si="4"/>
        <v>2974151.7073124731</v>
      </c>
      <c r="G24" s="3">
        <f t="shared" si="4"/>
        <v>1946282.3414363479</v>
      </c>
      <c r="H24" s="3">
        <f t="shared" si="4"/>
        <v>3889792.2263136348</v>
      </c>
      <c r="I24" s="3">
        <f t="shared" si="4"/>
        <v>155592.56512534816</v>
      </c>
      <c r="J24" s="3">
        <f t="shared" si="4"/>
        <v>55065.102720714662</v>
      </c>
      <c r="K24" s="3">
        <f t="shared" si="4"/>
        <v>74548.364855115564</v>
      </c>
      <c r="L24" s="3">
        <f t="shared" si="4"/>
        <v>92272.182123537568</v>
      </c>
      <c r="M24" s="3">
        <f t="shared" si="4"/>
        <v>55697.524250570212</v>
      </c>
      <c r="N24" s="3" t="s">
        <v>1</v>
      </c>
      <c r="O24" s="3">
        <f t="shared" ref="O24:V24" si="5">STDEV(O5:O20)</f>
        <v>645316.27330136544</v>
      </c>
      <c r="P24" s="3">
        <f t="shared" si="5"/>
        <v>1939603.0306098904</v>
      </c>
      <c r="Q24" s="3">
        <f t="shared" si="5"/>
        <v>76211.381887929689</v>
      </c>
      <c r="R24" s="3">
        <f t="shared" si="5"/>
        <v>595167.94078008831</v>
      </c>
      <c r="S24" s="3">
        <f t="shared" si="5"/>
        <v>782290.84088490438</v>
      </c>
      <c r="T24" s="3">
        <f t="shared" si="5"/>
        <v>114189.1828076798</v>
      </c>
      <c r="U24" s="3">
        <f t="shared" si="5"/>
        <v>53365.795140540562</v>
      </c>
      <c r="V24" s="3">
        <f t="shared" si="5"/>
        <v>123469.8611807033</v>
      </c>
    </row>
    <row r="25" spans="1:22" ht="15" thickBot="1" x14ac:dyDescent="0.4"/>
    <row r="26" spans="1:22" ht="15" thickBot="1" x14ac:dyDescent="0.4">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Anastrozole-0,032µg/L</v>
      </c>
      <c r="J27" s="35" t="str">
        <f t="shared" si="6"/>
        <v>Anastrozole-0,16µg/L</v>
      </c>
      <c r="K27" s="35" t="str">
        <f t="shared" si="6"/>
        <v>Anastrozole-0,8µg/L</v>
      </c>
      <c r="L27" s="35" t="str">
        <f t="shared" si="6"/>
        <v>Anastrozole-4µg/L</v>
      </c>
      <c r="M27" s="35" t="str">
        <f t="shared" si="6"/>
        <v>Anastrozole-20µg/L</v>
      </c>
      <c r="N27" s="3"/>
      <c r="O27" s="36" t="str">
        <f t="shared" ref="O27:V27" si="7">O4</f>
        <v>Testo -30µg/L</v>
      </c>
      <c r="P27" s="36" t="str">
        <f t="shared" si="7"/>
        <v>Testo 30µg/L + EE2 -64ng/L</v>
      </c>
      <c r="Q27" s="36" t="str">
        <f t="shared" si="7"/>
        <v>Testo 30µg/L + FAD-10µg/L</v>
      </c>
      <c r="R27" s="36" t="str">
        <f t="shared" si="7"/>
        <v>Anastrozole-0,032µg/L + Testostérone</v>
      </c>
      <c r="S27" s="36" t="str">
        <f t="shared" si="7"/>
        <v>Anastrozole-0,16µg/L + Testostérone</v>
      </c>
      <c r="T27" s="36" t="str">
        <f t="shared" si="7"/>
        <v>Anastrozole-0,8µg/L + Testostérone</v>
      </c>
      <c r="U27" s="36" t="str">
        <f t="shared" si="7"/>
        <v>Anastrozole-4µg/L + Testostérone</v>
      </c>
      <c r="V27" s="36" t="str">
        <f t="shared" si="7"/>
        <v>Anastrozole-20µg/L + Testostérone</v>
      </c>
    </row>
    <row r="28" spans="1:22" x14ac:dyDescent="0.35">
      <c r="A28" s="219" t="s">
        <v>34</v>
      </c>
      <c r="B28" s="11">
        <f t="shared" ref="B28:M28" si="8">IF(B5="","",(B5/$O$23))</f>
        <v>0.1789822687522222</v>
      </c>
      <c r="C28" s="11">
        <f t="shared" si="8"/>
        <v>0.27466780915157479</v>
      </c>
      <c r="D28" s="11">
        <f t="shared" si="8"/>
        <v>2.631159124166627</v>
      </c>
      <c r="E28" s="11">
        <f t="shared" si="8"/>
        <v>1.506345944916055</v>
      </c>
      <c r="F28" s="11">
        <f t="shared" si="8"/>
        <v>7.011256356850927</v>
      </c>
      <c r="G28" s="11">
        <f t="shared" si="8"/>
        <v>5.6056117803659529</v>
      </c>
      <c r="H28" s="11">
        <f t="shared" si="8"/>
        <v>12.380782723629187</v>
      </c>
      <c r="I28" s="11">
        <f t="shared" si="8"/>
        <v>0.63731167609511707</v>
      </c>
      <c r="J28" s="11">
        <f t="shared" si="8"/>
        <v>0.23324183389650691</v>
      </c>
      <c r="K28" s="11">
        <f t="shared" si="8"/>
        <v>0.12553063339717296</v>
      </c>
      <c r="L28" s="11">
        <f t="shared" si="8"/>
        <v>0.50018350209452678</v>
      </c>
      <c r="M28" s="11">
        <f t="shared" si="8"/>
        <v>0.30243394054740369</v>
      </c>
      <c r="N28" s="6"/>
      <c r="O28" s="11">
        <f t="shared" ref="O28:V28" si="9">IF(O5="","",(O5/$O$23))</f>
        <v>1.2416464901124906</v>
      </c>
      <c r="P28" s="11">
        <f t="shared" si="9"/>
        <v>7.6252396849698512</v>
      </c>
      <c r="Q28" s="11">
        <f t="shared" si="9"/>
        <v>4.965519826295095E-2</v>
      </c>
      <c r="R28" s="11">
        <f t="shared" si="9"/>
        <v>0.35799618836216701</v>
      </c>
      <c r="S28" s="11">
        <f t="shared" si="9"/>
        <v>0.98234600530255978</v>
      </c>
      <c r="T28" s="11">
        <f t="shared" si="9"/>
        <v>0.54887751378348004</v>
      </c>
      <c r="U28" s="11">
        <f t="shared" si="9"/>
        <v>8.4501126780946387E-2</v>
      </c>
      <c r="V28" s="11">
        <f t="shared" si="9"/>
        <v>0.2555823419448307</v>
      </c>
    </row>
    <row r="29" spans="1:22" x14ac:dyDescent="0.35">
      <c r="A29" s="220"/>
      <c r="B29" s="11">
        <f t="shared" ref="B29:M29" si="10">IF(B6="","",(B6/$O$23))</f>
        <v>0.22900894813475978</v>
      </c>
      <c r="C29" s="11">
        <f t="shared" si="10"/>
        <v>3.7749478255392231E-2</v>
      </c>
      <c r="D29" s="11">
        <f t="shared" si="10"/>
        <v>0.34727154509804736</v>
      </c>
      <c r="E29" s="11">
        <f t="shared" si="10"/>
        <v>6.0546908080807551</v>
      </c>
      <c r="F29" s="11">
        <f t="shared" si="10"/>
        <v>4.5194892759293666</v>
      </c>
      <c r="G29" s="11">
        <f t="shared" si="10"/>
        <v>6.6201766929955301</v>
      </c>
      <c r="H29" s="11">
        <f t="shared" si="10"/>
        <v>15.28406092998341</v>
      </c>
      <c r="I29" s="11">
        <f t="shared" si="10"/>
        <v>2.3509923949444001E-2</v>
      </c>
      <c r="J29" s="11">
        <f t="shared" si="10"/>
        <v>0.11877400819070058</v>
      </c>
      <c r="K29" s="11">
        <f t="shared" si="10"/>
        <v>0.18022997888034051</v>
      </c>
      <c r="L29" s="11">
        <f t="shared" si="10"/>
        <v>1.1507585534100416E-2</v>
      </c>
      <c r="M29" s="11">
        <f t="shared" si="10"/>
        <v>2.0941206970060265E-2</v>
      </c>
      <c r="N29" s="6"/>
      <c r="O29" s="11">
        <f t="shared" ref="O29:V29" si="11">IF(O6="","",(O6/$O$23))</f>
        <v>1.1730874006160465</v>
      </c>
      <c r="P29" s="11">
        <f t="shared" si="11"/>
        <v>14.241641596723303</v>
      </c>
      <c r="Q29" s="11">
        <f t="shared" si="11"/>
        <v>4.3206752460619932E-2</v>
      </c>
      <c r="R29" s="11">
        <f t="shared" si="11"/>
        <v>3.0273395736192183</v>
      </c>
      <c r="S29" s="11">
        <f t="shared" si="11"/>
        <v>6.1690853370634145E-2</v>
      </c>
      <c r="T29" s="11">
        <f t="shared" si="11"/>
        <v>6.9798470451477618E-4</v>
      </c>
      <c r="U29" s="11">
        <f t="shared" si="11"/>
        <v>0.13863075682510662</v>
      </c>
      <c r="V29" s="11">
        <f t="shared" si="11"/>
        <v>2.707314419516502E-2</v>
      </c>
    </row>
    <row r="30" spans="1:22" x14ac:dyDescent="0.35">
      <c r="A30" s="220"/>
      <c r="B30" s="11">
        <f t="shared" ref="B30:M30" si="12">IF(B7="","",(B7/$O$23))</f>
        <v>0.19120949484085814</v>
      </c>
      <c r="C30" s="11">
        <f t="shared" si="12"/>
        <v>0.16038322525363632</v>
      </c>
      <c r="D30" s="11">
        <f t="shared" si="12"/>
        <v>1.1212099789740437</v>
      </c>
      <c r="E30" s="11">
        <f t="shared" si="12"/>
        <v>1.0495557687592498</v>
      </c>
      <c r="F30" s="11">
        <f t="shared" si="12"/>
        <v>3.6232019527746298</v>
      </c>
      <c r="G30" s="11">
        <f t="shared" si="12"/>
        <v>12.024184170510667</v>
      </c>
      <c r="H30" s="11">
        <f t="shared" si="12"/>
        <v>12.852215586069249</v>
      </c>
      <c r="I30" s="11">
        <f t="shared" si="12"/>
        <v>0.27682506498056442</v>
      </c>
      <c r="J30" s="11">
        <f t="shared" si="12"/>
        <v>3.4499434917663524E-2</v>
      </c>
      <c r="K30" s="11">
        <f t="shared" si="12"/>
        <v>5.6648371985034557E-2</v>
      </c>
      <c r="L30" s="11">
        <f t="shared" si="12"/>
        <v>0.17651849935370822</v>
      </c>
      <c r="M30" s="11">
        <f t="shared" si="12"/>
        <v>8.3413336776058208E-2</v>
      </c>
      <c r="N30" s="6"/>
      <c r="O30" s="11">
        <f t="shared" ref="O30:V30" si="13">IF(O7="","",(O7/$O$23))</f>
        <v>0.3123090081568633</v>
      </c>
      <c r="P30" s="11">
        <f t="shared" si="13"/>
        <v>11.120976970356994</v>
      </c>
      <c r="Q30" s="11">
        <f t="shared" si="13"/>
        <v>1.2015665092279429E-2</v>
      </c>
      <c r="R30" s="11">
        <f t="shared" si="13"/>
        <v>0.86490799647467753</v>
      </c>
      <c r="S30" s="11">
        <f t="shared" si="13"/>
        <v>3.2892470896047237</v>
      </c>
      <c r="T30" s="11">
        <f t="shared" si="13"/>
        <v>0.30043493900702722</v>
      </c>
      <c r="U30" s="11">
        <f t="shared" si="13"/>
        <v>0.21412138416280618</v>
      </c>
      <c r="V30" s="11">
        <f t="shared" si="13"/>
        <v>0.21715986650417837</v>
      </c>
    </row>
    <row r="31" spans="1:22" x14ac:dyDescent="0.35">
      <c r="A31" s="220"/>
      <c r="B31" s="11">
        <f t="shared" ref="B31:M31" si="14">IF(B8="","",(B8/$O$23))</f>
        <v>0.13081965830608566</v>
      </c>
      <c r="C31" s="11">
        <f t="shared" si="14"/>
        <v>0.8617795590639884</v>
      </c>
      <c r="D31" s="11">
        <f t="shared" si="14"/>
        <v>0.20275706040576608</v>
      </c>
      <c r="E31" s="11">
        <f t="shared" si="14"/>
        <v>12.341855500299589</v>
      </c>
      <c r="F31" s="11">
        <f t="shared" si="14"/>
        <v>19.009145327932558</v>
      </c>
      <c r="G31" s="11">
        <f t="shared" si="14"/>
        <v>12.619926609573655</v>
      </c>
      <c r="H31" s="11">
        <f t="shared" si="14"/>
        <v>12.814877568964251</v>
      </c>
      <c r="I31" s="11">
        <f t="shared" si="14"/>
        <v>0.64377678024361795</v>
      </c>
      <c r="J31" s="11">
        <f t="shared" si="14"/>
        <v>2.3331679645427102E-2</v>
      </c>
      <c r="K31" s="11">
        <f t="shared" si="14"/>
        <v>0.31002015139313227</v>
      </c>
      <c r="L31" s="11">
        <f t="shared" si="14"/>
        <v>0.1472231317794914</v>
      </c>
      <c r="M31" s="11">
        <f t="shared" si="14"/>
        <v>4.772782761110466E-2</v>
      </c>
      <c r="N31" s="6"/>
      <c r="O31" s="11">
        <f t="shared" ref="O31:V31" si="15">IF(O8="","",(O8/$O$23))</f>
        <v>0.79453148141110763</v>
      </c>
      <c r="P31" s="11">
        <f t="shared" si="15"/>
        <v>14.134889916963351</v>
      </c>
      <c r="Q31" s="11">
        <f t="shared" si="15"/>
        <v>2.2060647832671077E-2</v>
      </c>
      <c r="R31" s="11">
        <f t="shared" si="15"/>
        <v>6.918710914704583E-2</v>
      </c>
      <c r="S31" s="11">
        <f t="shared" si="15"/>
        <v>0.74399838830500808</v>
      </c>
      <c r="T31" s="11">
        <f t="shared" si="15"/>
        <v>0.30330184038285046</v>
      </c>
      <c r="U31" s="11">
        <f t="shared" si="15"/>
        <v>0.28247557600136181</v>
      </c>
      <c r="V31" s="11">
        <f t="shared" si="15"/>
        <v>0.65782642940323033</v>
      </c>
    </row>
    <row r="32" spans="1:22" x14ac:dyDescent="0.35">
      <c r="A32" s="220"/>
      <c r="B32" s="11">
        <f t="shared" ref="B32:M32" si="16">IF(B9="","",(B9/$O$23))</f>
        <v>0.43532756295162989</v>
      </c>
      <c r="C32" s="11">
        <f t="shared" si="16"/>
        <v>0.11377150683590852</v>
      </c>
      <c r="D32" s="11">
        <f t="shared" si="16"/>
        <v>2.4982205242277424</v>
      </c>
      <c r="E32" s="11">
        <f t="shared" si="16"/>
        <v>9.0011058018416836</v>
      </c>
      <c r="F32" s="11">
        <f t="shared" si="16"/>
        <v>4.7548733731433099</v>
      </c>
      <c r="G32" s="11">
        <f t="shared" si="16"/>
        <v>5.1367559640783584</v>
      </c>
      <c r="H32" s="11">
        <f t="shared" si="16"/>
        <v>16.364816115284086</v>
      </c>
      <c r="I32" s="11">
        <f t="shared" si="16"/>
        <v>4.2160608321156257E-2</v>
      </c>
      <c r="J32" s="11">
        <f t="shared" si="16"/>
        <v>3.5025838656629317E-2</v>
      </c>
      <c r="K32" s="11">
        <f t="shared" si="16"/>
        <v>9.0496465567458759E-2</v>
      </c>
      <c r="L32" s="11">
        <f t="shared" si="16"/>
        <v>0.23576557334123216</v>
      </c>
      <c r="M32" s="11">
        <f t="shared" si="16"/>
        <v>0.15571722249147432</v>
      </c>
      <c r="N32" s="6"/>
      <c r="O32" s="11">
        <f t="shared" ref="O32:V32" si="17">IF(O9="","",(O9/$O$23))</f>
        <v>1.2113233025795969</v>
      </c>
      <c r="P32" s="11">
        <f t="shared" si="17"/>
        <v>11.298431668765446</v>
      </c>
      <c r="Q32" s="11">
        <f t="shared" si="17"/>
        <v>7.7827793305323021E-3</v>
      </c>
      <c r="R32" s="11">
        <f t="shared" si="17"/>
        <v>0.14578385067042035</v>
      </c>
      <c r="S32" s="11">
        <f t="shared" si="17"/>
        <v>0.3055723729657947</v>
      </c>
      <c r="T32" s="11">
        <f t="shared" si="17"/>
        <v>5.1969042545936692E-2</v>
      </c>
      <c r="U32" s="11">
        <f t="shared" si="17"/>
        <v>6.0737995969721376E-2</v>
      </c>
      <c r="V32" s="11">
        <f t="shared" si="17"/>
        <v>0.12012166839583771</v>
      </c>
    </row>
    <row r="33" spans="1:22" x14ac:dyDescent="0.35">
      <c r="A33" s="220"/>
      <c r="B33" s="11">
        <f t="shared" ref="B33:M33" si="18">IF(B10="","",(B10/$O$23))</f>
        <v>0.10305519274487378</v>
      </c>
      <c r="C33" s="11">
        <f t="shared" si="18"/>
        <v>2.6165264328910715E-2</v>
      </c>
      <c r="D33" s="11">
        <f t="shared" si="18"/>
        <v>0.37272549804550748</v>
      </c>
      <c r="E33" s="11">
        <f t="shared" si="18"/>
        <v>0.21935043902550758</v>
      </c>
      <c r="F33" s="11">
        <f t="shared" si="18"/>
        <v>6.225094028555529</v>
      </c>
      <c r="G33" s="11">
        <f t="shared" si="18"/>
        <v>10.429239145655893</v>
      </c>
      <c r="H33" s="11">
        <f t="shared" si="18"/>
        <v>17.298078303597318</v>
      </c>
      <c r="I33" s="11">
        <f t="shared" si="18"/>
        <v>0.23150770006023033</v>
      </c>
      <c r="J33" s="11">
        <f t="shared" si="18"/>
        <v>0.25227566023012465</v>
      </c>
      <c r="K33" s="11">
        <f t="shared" si="18"/>
        <v>0.40190259136191869</v>
      </c>
      <c r="L33" s="11">
        <f t="shared" si="18"/>
        <v>6.262538659076014E-2</v>
      </c>
      <c r="M33" s="11">
        <f t="shared" si="18"/>
        <v>9.8079344743953412E-2</v>
      </c>
      <c r="N33" s="6"/>
      <c r="O33" s="11">
        <f t="shared" ref="O33:V33" si="19">IF(O10="","",(O10/$O$23))</f>
        <v>0.1628486604867673</v>
      </c>
      <c r="P33" s="11">
        <f t="shared" si="19"/>
        <v>12.006183161639576</v>
      </c>
      <c r="Q33" s="11">
        <f t="shared" si="19"/>
        <v>0.18032493145350839</v>
      </c>
      <c r="R33" s="11">
        <f t="shared" si="19"/>
        <v>1.2747949331557831</v>
      </c>
      <c r="S33" s="11">
        <f t="shared" si="19"/>
        <v>0.54940391752244577</v>
      </c>
      <c r="T33" s="11">
        <f t="shared" si="19"/>
        <v>8.4519450961733175E-2</v>
      </c>
      <c r="U33" s="11">
        <f t="shared" si="19"/>
        <v>0.11909218260254384</v>
      </c>
      <c r="V33" s="11">
        <f t="shared" si="19"/>
        <v>0.16083466643483801</v>
      </c>
    </row>
    <row r="34" spans="1:22" x14ac:dyDescent="0.35">
      <c r="A34" s="220"/>
      <c r="B34" s="11">
        <f t="shared" ref="B34:M34" si="20">IF(B11="","",(B11/$O$23))</f>
        <v>5.9272061506778648E-2</v>
      </c>
      <c r="C34" s="11">
        <f t="shared" si="20"/>
        <v>0.2703333074781919</v>
      </c>
      <c r="D34" s="11">
        <f t="shared" si="20"/>
        <v>0.35877413312829687</v>
      </c>
      <c r="E34" s="11">
        <f t="shared" si="20"/>
        <v>1.6362843767097579</v>
      </c>
      <c r="F34" s="11">
        <f t="shared" si="20"/>
        <v>7.2718312051428482</v>
      </c>
      <c r="G34" s="11">
        <f t="shared" si="20"/>
        <v>11.612511459120158</v>
      </c>
      <c r="H34" s="11">
        <f t="shared" si="20"/>
        <v>25.785997098324327</v>
      </c>
      <c r="I34" s="11">
        <f t="shared" si="20"/>
        <v>0.53298878320672127</v>
      </c>
      <c r="J34" s="11">
        <f t="shared" si="20"/>
        <v>4.6758311864022087E-2</v>
      </c>
      <c r="K34" s="11">
        <f t="shared" si="20"/>
        <v>0.21237725531882773</v>
      </c>
      <c r="L34" s="11">
        <f t="shared" si="20"/>
        <v>8.5089166400740462E-2</v>
      </c>
      <c r="M34" s="11">
        <f t="shared" si="20"/>
        <v>4.8545752408042028E-2</v>
      </c>
      <c r="N34" s="6"/>
      <c r="O34" s="11">
        <f t="shared" ref="O34:V34" si="21">IF(O11="","",(O11/$O$23))</f>
        <v>4.6946551175740869E-2</v>
      </c>
      <c r="P34" s="11">
        <f t="shared" si="21"/>
        <v>4.6318814717024157</v>
      </c>
      <c r="Q34" s="11">
        <f t="shared" si="21"/>
        <v>0.11309184631218053</v>
      </c>
      <c r="R34" s="11">
        <f t="shared" si="21"/>
        <v>0.91521620190748476</v>
      </c>
      <c r="S34" s="11">
        <f t="shared" si="21"/>
        <v>3.2620023644440095</v>
      </c>
      <c r="T34" s="11">
        <f t="shared" si="21"/>
        <v>7.7777818266813606E-3</v>
      </c>
      <c r="U34" s="11">
        <f t="shared" si="21"/>
        <v>4.3511600195527342E-3</v>
      </c>
      <c r="V34" s="11">
        <f t="shared" si="21"/>
        <v>3.3566567532154513E-2</v>
      </c>
    </row>
    <row r="35" spans="1:22" x14ac:dyDescent="0.35">
      <c r="A35" s="220"/>
      <c r="B35" s="11">
        <f t="shared" ref="B35:M35" si="22">IF(B12="","",(B12/$O$23))</f>
        <v>0.10799272654960361</v>
      </c>
      <c r="C35" s="11" t="str">
        <f t="shared" si="22"/>
        <v/>
      </c>
      <c r="D35" s="11">
        <f t="shared" si="22"/>
        <v>1.2457111265779228E-2</v>
      </c>
      <c r="E35" s="11" t="str">
        <f t="shared" si="22"/>
        <v/>
      </c>
      <c r="F35" s="11">
        <f t="shared" si="22"/>
        <v>4.8689580568872106</v>
      </c>
      <c r="G35" s="11" t="str">
        <f t="shared" si="22"/>
        <v/>
      </c>
      <c r="H35" s="11">
        <f t="shared" si="22"/>
        <v>29.749668993455874</v>
      </c>
      <c r="I35" s="11">
        <f t="shared" si="22"/>
        <v>0.10763290627233585</v>
      </c>
      <c r="J35" s="11">
        <f t="shared" si="22"/>
        <v>7.8872271610169714E-2</v>
      </c>
      <c r="K35" s="11">
        <f t="shared" si="22"/>
        <v>5.9303712364501271E-2</v>
      </c>
      <c r="L35" s="11">
        <f t="shared" si="22"/>
        <v>0.26818604665690421</v>
      </c>
      <c r="M35" s="11">
        <f t="shared" si="22"/>
        <v>0.18164260663553985</v>
      </c>
      <c r="N35" s="6"/>
      <c r="O35" s="11">
        <f t="shared" ref="O35:V35" si="23">IF(O12="","",(O12/$O$23))</f>
        <v>0.49732826156102239</v>
      </c>
      <c r="P35" s="11">
        <f t="shared" si="23"/>
        <v>10.218591026669491</v>
      </c>
      <c r="Q35" s="11">
        <f t="shared" si="23"/>
        <v>0.3795137741097025</v>
      </c>
      <c r="R35" s="11">
        <f t="shared" si="23"/>
        <v>1.831323625335054</v>
      </c>
      <c r="S35" s="11">
        <f t="shared" si="23"/>
        <v>2.1323099556003018</v>
      </c>
      <c r="T35" s="11">
        <f t="shared" si="23"/>
        <v>0.20651684913629079</v>
      </c>
      <c r="U35" s="11">
        <f t="shared" si="23"/>
        <v>7.9533607953110916E-2</v>
      </c>
      <c r="V35" s="11">
        <f t="shared" si="23"/>
        <v>0.35519425453640602</v>
      </c>
    </row>
    <row r="36" spans="1:22" s="1" customFormat="1" x14ac:dyDescent="0.35">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2.3961398447338023</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1.1711666933026681</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4.101498053836651</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1.8877221221275415</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0.62520272426428669</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0.19005673728590772</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7.90771692680583E-2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0.10911549908144838</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Anastrozole-0,032µg/L</v>
      </c>
      <c r="J45" s="70" t="str">
        <f t="shared" si="46"/>
        <v>Anastrozole-0,16µg/L</v>
      </c>
      <c r="K45" s="70" t="str">
        <f t="shared" si="46"/>
        <v>Anastrozole-0,8µg/L</v>
      </c>
      <c r="L45" s="70" t="str">
        <f t="shared" si="46"/>
        <v>Anastrozole-4µg/L</v>
      </c>
      <c r="M45" s="70" t="str">
        <f t="shared" si="46"/>
        <v>Anastrozole-20µg/L</v>
      </c>
      <c r="N45" s="70" t="str">
        <f>N22</f>
        <v>Nom des groupes</v>
      </c>
      <c r="O45" s="70" t="str">
        <f t="shared" ref="O45:V45" si="47">O4</f>
        <v>Testo -30µg/L</v>
      </c>
      <c r="P45" s="70" t="str">
        <f t="shared" si="47"/>
        <v>Testo 30µg/L + EE2 -64ng/L</v>
      </c>
      <c r="Q45" s="70" t="str">
        <f t="shared" si="47"/>
        <v>Testo 30µg/L + FAD-10µg/L</v>
      </c>
      <c r="R45" s="70" t="str">
        <f t="shared" si="47"/>
        <v>Anastrozole-0,032µg/L + Testostérone</v>
      </c>
      <c r="S45" s="70" t="str">
        <f t="shared" si="47"/>
        <v>Anastrozole-0,16µg/L + Testostérone</v>
      </c>
      <c r="T45" s="70" t="str">
        <f t="shared" si="47"/>
        <v>Anastrozole-0,8µg/L + Testostérone</v>
      </c>
      <c r="U45" s="70" t="str">
        <f t="shared" si="47"/>
        <v>Anastrozole-4µg/L + Testostérone</v>
      </c>
      <c r="V45" s="70" t="str">
        <f t="shared" si="47"/>
        <v>Anastrozole-20µg/L + Testostérone</v>
      </c>
    </row>
    <row r="46" spans="1:22" x14ac:dyDescent="0.35">
      <c r="A46" s="8" t="s">
        <v>0</v>
      </c>
      <c r="B46" s="10">
        <f t="shared" ref="B46:H46" si="48">AVERAGE(B28:B43)</f>
        <v>0.17945848922335145</v>
      </c>
      <c r="C46" s="10">
        <f t="shared" si="48"/>
        <v>0.24926430719537182</v>
      </c>
      <c r="D46" s="10">
        <f t="shared" si="48"/>
        <v>0.94307187191397635</v>
      </c>
      <c r="E46" s="10">
        <f t="shared" si="48"/>
        <v>4.5441698056617996</v>
      </c>
      <c r="F46" s="10">
        <f t="shared" si="48"/>
        <v>7.1604811971520475</v>
      </c>
      <c r="G46" s="10">
        <f t="shared" si="48"/>
        <v>9.1497722603286018</v>
      </c>
      <c r="H46" s="10">
        <f t="shared" si="48"/>
        <v>17.816312164913462</v>
      </c>
      <c r="I46" s="10">
        <f>AVERAGE(I28:I43)</f>
        <v>0.31196418039114837</v>
      </c>
      <c r="J46" s="9">
        <f>AVERAGE(J28:J43)</f>
        <v>0.10284737987640549</v>
      </c>
      <c r="K46" s="9">
        <f>AVERAGE(K28:K43)</f>
        <v>0.17956364503354835</v>
      </c>
      <c r="L46" s="9">
        <f t="shared" ref="L46:M46" si="49">AVERAGE(L28:L43)</f>
        <v>0.18588736146893298</v>
      </c>
      <c r="M46" s="9">
        <f t="shared" si="49"/>
        <v>0.11731265477295456</v>
      </c>
      <c r="N46" s="8" t="s">
        <v>0</v>
      </c>
      <c r="O46" s="10">
        <f>AVERAGE(O28:O43)</f>
        <v>1</v>
      </c>
      <c r="P46" s="10">
        <f>AVERAGE(P28:P43)</f>
        <v>10.659729437223803</v>
      </c>
      <c r="Q46" s="10">
        <f>AVERAGE(Q28:Q43)</f>
        <v>0.10095644935680564</v>
      </c>
      <c r="R46" s="10">
        <f>AVERAGE(R28:R43)</f>
        <v>1.0608186848339813</v>
      </c>
      <c r="S46" s="10">
        <f t="shared" ref="S46:V46" si="50">AVERAGE(S28:S43)</f>
        <v>1.4158213683894347</v>
      </c>
      <c r="T46" s="10">
        <f t="shared" si="50"/>
        <v>0.18801192529356428</v>
      </c>
      <c r="U46" s="10">
        <f t="shared" si="50"/>
        <v>0.12293047378939373</v>
      </c>
      <c r="V46" s="10">
        <f t="shared" si="50"/>
        <v>0.22841986736833012</v>
      </c>
    </row>
    <row r="47" spans="1:22" x14ac:dyDescent="0.35">
      <c r="A47" s="8" t="s">
        <v>1</v>
      </c>
      <c r="B47" s="8">
        <f t="shared" ref="B47:K47" si="51">STDEV(B28:B43)</f>
        <v>0.11699687176248169</v>
      </c>
      <c r="C47" s="8">
        <f t="shared" si="51"/>
        <v>0.28781765811072524</v>
      </c>
      <c r="D47" s="8">
        <f t="shared" si="51"/>
        <v>1.0512336836336522</v>
      </c>
      <c r="E47" s="8">
        <f t="shared" si="51"/>
        <v>4.6824213049612142</v>
      </c>
      <c r="F47" s="8">
        <f t="shared" si="51"/>
        <v>4.9544448701923933</v>
      </c>
      <c r="G47" s="8">
        <f t="shared" si="51"/>
        <v>3.2421844987822825</v>
      </c>
      <c r="H47" s="8">
        <f t="shared" si="51"/>
        <v>6.4797505434544007</v>
      </c>
      <c r="I47" s="8">
        <f>STDEV(I28:I43)</f>
        <v>0.25919148113057816</v>
      </c>
      <c r="J47" s="8">
        <f t="shared" si="51"/>
        <v>9.1729354299746615E-2</v>
      </c>
      <c r="K47" s="8">
        <f t="shared" si="51"/>
        <v>0.12418524681493448</v>
      </c>
      <c r="L47" s="8">
        <f t="shared" ref="L47:M47" si="52">STDEV(L28:L43)</f>
        <v>0.15371019516570641</v>
      </c>
      <c r="M47" s="8">
        <f t="shared" si="52"/>
        <v>9.2782863976703669E-2</v>
      </c>
      <c r="N47" s="8" t="s">
        <v>1</v>
      </c>
      <c r="O47" s="8">
        <f>STDEV(O28:O43)</f>
        <v>1.0749901869661815</v>
      </c>
      <c r="P47" s="8">
        <f>STDEV(P28:P43)</f>
        <v>3.2310578715900005</v>
      </c>
      <c r="Q47" s="8">
        <f>STDEV(Q28:Q43)</f>
        <v>0.12695555815682427</v>
      </c>
      <c r="R47" s="8">
        <f>STDEV(R28:R43)</f>
        <v>0.99145135866839584</v>
      </c>
      <c r="S47" s="8">
        <f t="shared" ref="S47:V47" si="53">STDEV(S28:S43)</f>
        <v>1.3031671632927584</v>
      </c>
      <c r="T47" s="8">
        <f t="shared" si="53"/>
        <v>0.19022029360573309</v>
      </c>
      <c r="U47" s="8">
        <f t="shared" si="53"/>
        <v>8.8898588907795451E-2</v>
      </c>
      <c r="V47" s="8">
        <f t="shared" si="53"/>
        <v>0.20568036890857666</v>
      </c>
    </row>
    <row r="48" spans="1:22" x14ac:dyDescent="0.35">
      <c r="A48" s="8" t="s">
        <v>2</v>
      </c>
      <c r="B48" s="8">
        <f t="shared" ref="B48:K48" si="54" xml:space="preserve"> B47/SQRT(COUNT(B28:B43))</f>
        <v>4.1364640700431846E-2</v>
      </c>
      <c r="C48" s="8">
        <f t="shared" si="54"/>
        <v>0.1087848494705702</v>
      </c>
      <c r="D48" s="8">
        <f t="shared" si="54"/>
        <v>0.37166723315453459</v>
      </c>
      <c r="E48" s="8">
        <f t="shared" si="54"/>
        <v>1.7697889009368433</v>
      </c>
      <c r="F48" s="8">
        <f t="shared" si="54"/>
        <v>1.7516607823639727</v>
      </c>
      <c r="G48" s="8">
        <f t="shared" si="54"/>
        <v>1.2254305554809308</v>
      </c>
      <c r="H48" s="8">
        <f t="shared" si="54"/>
        <v>2.2909377748369115</v>
      </c>
      <c r="I48" s="8">
        <f xml:space="preserve"> I47/SQRT(COUNT(I28:I43))</f>
        <v>9.1638026966608443E-2</v>
      </c>
      <c r="J48" s="8">
        <f t="shared" si="54"/>
        <v>3.2431224229607106E-2</v>
      </c>
      <c r="K48" s="8">
        <f t="shared" si="54"/>
        <v>4.3906115073082633E-2</v>
      </c>
      <c r="L48" s="8">
        <f t="shared" ref="L48:M48" si="55" xml:space="preserve"> L47/SQRT(COUNT(L28:L43))</f>
        <v>5.4344760669589334E-2</v>
      </c>
      <c r="M48" s="8">
        <f t="shared" si="55"/>
        <v>3.2803696147918102E-2</v>
      </c>
      <c r="N48" s="8" t="s">
        <v>2</v>
      </c>
      <c r="O48" s="8">
        <f xml:space="preserve"> O47/SQRT(COUNT(O28:O43))</f>
        <v>0.26874754674154538</v>
      </c>
      <c r="P48" s="8">
        <f xml:space="preserve"> P47/SQRT(COUNT(P28:P43))</f>
        <v>1.142351465703731</v>
      </c>
      <c r="Q48" s="8">
        <f xml:space="preserve"> Q47/SQRT(COUNT(Q28:Q43))</f>
        <v>4.4885568041006768E-2</v>
      </c>
      <c r="R48" s="8">
        <f xml:space="preserve"> R47/SQRT(COUNT(R28:R43))</f>
        <v>0.3505309894655193</v>
      </c>
      <c r="S48" s="8">
        <f t="shared" ref="S48:V48" si="56" xml:space="preserve"> S47/SQRT(COUNT(S28:S43))</f>
        <v>0.46073916909197316</v>
      </c>
      <c r="T48" s="8">
        <f t="shared" si="56"/>
        <v>6.7253029763954961E-2</v>
      </c>
      <c r="U48" s="8">
        <f t="shared" si="56"/>
        <v>3.1430397527308675E-2</v>
      </c>
      <c r="V48" s="8">
        <f t="shared" si="56"/>
        <v>7.271899180610264E-2</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Anastrozole-0,032µg/L</v>
      </c>
      <c r="J52" s="46" t="str">
        <f>J4</f>
        <v>Anastrozole-0,16µg/L</v>
      </c>
      <c r="K52" s="46" t="str">
        <f>K27</f>
        <v>Anastrozole-0,8µg/L</v>
      </c>
      <c r="L52" s="46" t="str">
        <f t="shared" ref="L52:M52" si="58">L27</f>
        <v>Anastrozole-4µg/L</v>
      </c>
      <c r="M52" s="46" t="str">
        <f t="shared" si="58"/>
        <v>Anastrozole-20µg/L</v>
      </c>
      <c r="N52" s="47"/>
      <c r="O52" s="46" t="str">
        <f>O27</f>
        <v>Testo -30µg/L</v>
      </c>
      <c r="P52" s="46" t="str">
        <f>P27</f>
        <v>Testo 30µg/L + EE2 -64ng/L</v>
      </c>
      <c r="Q52" s="46" t="str">
        <f>Q27</f>
        <v>Testo 30µg/L + FAD-10µg/L</v>
      </c>
      <c r="R52" s="46" t="str">
        <f>R27</f>
        <v>Anastrozole-0,032µg/L + Testostérone</v>
      </c>
      <c r="S52" s="46" t="str">
        <f t="shared" ref="S52:V52" si="59">S27</f>
        <v>Anastrozole-0,16µg/L + Testostérone</v>
      </c>
      <c r="T52" s="46" t="str">
        <f t="shared" si="59"/>
        <v>Anastrozole-0,8µg/L + Testostérone</v>
      </c>
      <c r="U52" s="46" t="str">
        <f t="shared" si="59"/>
        <v>Anastrozole-4µg/L + Testostérone</v>
      </c>
      <c r="V52" s="46" t="str">
        <f t="shared" si="59"/>
        <v>Anastrozole-20µg/L + Testostérone</v>
      </c>
    </row>
    <row r="53" spans="1:22" s="3" customFormat="1" x14ac:dyDescent="0.35">
      <c r="A53" s="61" t="s">
        <v>32</v>
      </c>
      <c r="B53" s="141">
        <f t="shared" ref="B53:M53" si="60">B46</f>
        <v>0.17945848922335145</v>
      </c>
      <c r="C53" s="141">
        <f t="shared" si="60"/>
        <v>0.24926430719537182</v>
      </c>
      <c r="D53" s="141">
        <f t="shared" si="60"/>
        <v>0.94307187191397635</v>
      </c>
      <c r="E53" s="141">
        <f t="shared" si="60"/>
        <v>4.5441698056617996</v>
      </c>
      <c r="F53" s="141">
        <f t="shared" si="60"/>
        <v>7.1604811971520475</v>
      </c>
      <c r="G53" s="141">
        <f t="shared" si="60"/>
        <v>9.1497722603286018</v>
      </c>
      <c r="H53" s="141">
        <f t="shared" si="60"/>
        <v>17.816312164913462</v>
      </c>
      <c r="I53" s="141">
        <f t="shared" si="60"/>
        <v>0.31196418039114837</v>
      </c>
      <c r="J53" s="141">
        <f t="shared" si="60"/>
        <v>0.10284737987640549</v>
      </c>
      <c r="K53" s="141">
        <f t="shared" si="60"/>
        <v>0.17956364503354835</v>
      </c>
      <c r="L53" s="141">
        <f t="shared" si="60"/>
        <v>0.18588736146893298</v>
      </c>
      <c r="M53" s="141">
        <f t="shared" si="60"/>
        <v>0.11731265477295456</v>
      </c>
      <c r="N53" s="141"/>
      <c r="O53" s="141">
        <f t="shared" ref="O53:V53" si="61">O46</f>
        <v>1</v>
      </c>
      <c r="P53" s="141">
        <f t="shared" si="61"/>
        <v>10.659729437223803</v>
      </c>
      <c r="Q53" s="141">
        <f t="shared" si="61"/>
        <v>0.10095644935680564</v>
      </c>
      <c r="R53" s="141">
        <f t="shared" si="61"/>
        <v>1.0608186848339813</v>
      </c>
      <c r="S53" s="141">
        <f t="shared" si="61"/>
        <v>1.4158213683894347</v>
      </c>
      <c r="T53" s="141">
        <f t="shared" si="61"/>
        <v>0.18801192529356428</v>
      </c>
      <c r="U53" s="141">
        <f t="shared" si="61"/>
        <v>0.12293047378939373</v>
      </c>
      <c r="V53" s="141">
        <f t="shared" si="61"/>
        <v>0.22841986736833012</v>
      </c>
    </row>
    <row r="54" spans="1:22" s="3" customFormat="1" x14ac:dyDescent="0.35">
      <c r="A54" s="61" t="s">
        <v>2</v>
      </c>
      <c r="B54" s="141">
        <f t="shared" ref="B54:M54" si="62">B48</f>
        <v>4.1364640700431846E-2</v>
      </c>
      <c r="C54" s="141">
        <f t="shared" si="62"/>
        <v>0.1087848494705702</v>
      </c>
      <c r="D54" s="141">
        <f t="shared" si="62"/>
        <v>0.37166723315453459</v>
      </c>
      <c r="E54" s="141">
        <f t="shared" si="62"/>
        <v>1.7697889009368433</v>
      </c>
      <c r="F54" s="141">
        <f t="shared" si="62"/>
        <v>1.7516607823639727</v>
      </c>
      <c r="G54" s="141">
        <f t="shared" si="62"/>
        <v>1.2254305554809308</v>
      </c>
      <c r="H54" s="141">
        <f t="shared" si="62"/>
        <v>2.2909377748369115</v>
      </c>
      <c r="I54" s="141">
        <f t="shared" si="62"/>
        <v>9.1638026966608443E-2</v>
      </c>
      <c r="J54" s="141">
        <f t="shared" si="62"/>
        <v>3.2431224229607106E-2</v>
      </c>
      <c r="K54" s="141">
        <f t="shared" si="62"/>
        <v>4.3906115073082633E-2</v>
      </c>
      <c r="L54" s="141">
        <f t="shared" si="62"/>
        <v>5.4344760669589334E-2</v>
      </c>
      <c r="M54" s="141">
        <f t="shared" si="62"/>
        <v>3.2803696147918102E-2</v>
      </c>
      <c r="N54" s="141"/>
      <c r="O54" s="141">
        <f t="shared" ref="O54:V54" si="63">O48</f>
        <v>0.26874754674154538</v>
      </c>
      <c r="P54" s="141">
        <f t="shared" si="63"/>
        <v>1.142351465703731</v>
      </c>
      <c r="Q54" s="141">
        <f t="shared" si="63"/>
        <v>4.4885568041006768E-2</v>
      </c>
      <c r="R54" s="141">
        <f t="shared" si="63"/>
        <v>0.3505309894655193</v>
      </c>
      <c r="S54" s="141">
        <f t="shared" si="63"/>
        <v>0.46073916909197316</v>
      </c>
      <c r="T54" s="141">
        <f t="shared" si="63"/>
        <v>6.7253029763954961E-2</v>
      </c>
      <c r="U54" s="141">
        <f t="shared" si="63"/>
        <v>3.1430397527308675E-2</v>
      </c>
      <c r="V54" s="141">
        <f t="shared" si="63"/>
        <v>7.271899180610264E-2</v>
      </c>
    </row>
    <row r="55" spans="1:22" s="3" customFormat="1" x14ac:dyDescent="0.35">
      <c r="A55" s="61" t="s">
        <v>79</v>
      </c>
      <c r="B55" s="141">
        <f t="shared" ref="B55:M55" si="64">(B53*100/$B$53)-100</f>
        <v>0</v>
      </c>
      <c r="C55" s="141">
        <f t="shared" si="64"/>
        <v>38.898030555211619</v>
      </c>
      <c r="D55" s="141">
        <f t="shared" si="64"/>
        <v>425.50975771351932</v>
      </c>
      <c r="E55" s="141">
        <f t="shared" si="64"/>
        <v>2432.1565033383245</v>
      </c>
      <c r="F55" s="141">
        <f t="shared" si="64"/>
        <v>3890.0487450555852</v>
      </c>
      <c r="G55" s="141">
        <f t="shared" si="64"/>
        <v>4998.5452401423745</v>
      </c>
      <c r="H55" s="141">
        <f t="shared" si="64"/>
        <v>9827.8179828759949</v>
      </c>
      <c r="I55" s="141">
        <f t="shared" si="64"/>
        <v>73.836401800353002</v>
      </c>
      <c r="J55" s="141">
        <f t="shared" si="64"/>
        <v>-42.69015619071488</v>
      </c>
      <c r="K55" s="141">
        <f t="shared" si="64"/>
        <v>5.8596174888123187E-2</v>
      </c>
      <c r="L55" s="141">
        <f t="shared" si="64"/>
        <v>3.5823728782093127</v>
      </c>
      <c r="M55" s="141">
        <f t="shared" si="64"/>
        <v>-34.629643166699722</v>
      </c>
      <c r="N55" s="141"/>
      <c r="O55" s="141">
        <f>(O53*100/$O$53)-100</f>
        <v>0</v>
      </c>
      <c r="P55" s="141">
        <f t="shared" ref="P55:V55" si="65">(P53*100/$O$53)-100</f>
        <v>965.97294372238025</v>
      </c>
      <c r="Q55" s="141">
        <f t="shared" si="65"/>
        <v>-89.904355064319432</v>
      </c>
      <c r="R55" s="141">
        <f t="shared" si="65"/>
        <v>6.0818684833981393</v>
      </c>
      <c r="S55" s="141">
        <f t="shared" si="65"/>
        <v>41.582136838943484</v>
      </c>
      <c r="T55" s="141">
        <f t="shared" si="65"/>
        <v>-81.198807470643573</v>
      </c>
      <c r="U55" s="141">
        <f t="shared" si="65"/>
        <v>-87.706952621060623</v>
      </c>
      <c r="V55" s="141">
        <f t="shared" si="65"/>
        <v>-77.158013263166993</v>
      </c>
    </row>
    <row r="56" spans="1:22" s="3" customFormat="1" x14ac:dyDescent="0.35">
      <c r="A56" s="61" t="s">
        <v>81</v>
      </c>
      <c r="B56" s="141">
        <f>[1]!SWTEST(B28:B43)</f>
        <v>8.6212838758716992E-2</v>
      </c>
      <c r="C56" s="141">
        <f>[1]!SWTEST(C28:C43)</f>
        <v>1.6074434347731037E-2</v>
      </c>
      <c r="D56" s="141">
        <f>[1]!SWTEST(D28:D43)</f>
        <v>1.4971890192791659E-2</v>
      </c>
      <c r="E56" s="141">
        <f>[1]!SWTEST(E28:E43)</f>
        <v>0.13626754682579478</v>
      </c>
      <c r="F56" s="141">
        <f>[1]!SWTEST(F28:F43)</f>
        <v>7.951428545840411E-4</v>
      </c>
      <c r="G56" s="141">
        <f>[1]!SWTEST(G28:G43)</f>
        <v>0.1172819212747831</v>
      </c>
      <c r="H56" s="141">
        <f>[1]!SWTEST(H28:H43)</f>
        <v>3.8729125265202113E-2</v>
      </c>
      <c r="I56" s="141">
        <f>[1]!SWTEST(I28:I43)</f>
        <v>0.15983944325875865</v>
      </c>
      <c r="J56" s="141">
        <f>[1]!SWTEST(J28:J43)</f>
        <v>3.3074071189240994E-2</v>
      </c>
      <c r="K56" s="141">
        <f>[1]!SWTEST(K28:K43)</f>
        <v>0.32273233149686109</v>
      </c>
      <c r="L56" s="141">
        <f>[1]!SWTEST(L28:L43)</f>
        <v>0.38095518274075979</v>
      </c>
      <c r="M56" s="141">
        <f>[1]!SWTEST(M28:M43)</f>
        <v>0.26187285862442744</v>
      </c>
      <c r="N56" s="141"/>
      <c r="O56" s="141">
        <f>[1]!SWTEST(O28:O43)</f>
        <v>3.7360808060173945E-3</v>
      </c>
      <c r="P56" s="141">
        <f>[1]!SWTEST(P28:P43)</f>
        <v>0.42452083195033041</v>
      </c>
      <c r="Q56" s="141">
        <f>[1]!SWTEST(Q28:Q43)</f>
        <v>1.3057699414119273E-2</v>
      </c>
      <c r="R56" s="141">
        <f>[1]!SWTEST(R28:R43)</f>
        <v>0.2798232343303626</v>
      </c>
      <c r="S56" s="141">
        <f>[1]!SWTEST(S28:S43)</f>
        <v>9.5119272149691847E-2</v>
      </c>
      <c r="T56" s="141">
        <f>[1]!SWTEST(T28:T43)</f>
        <v>0.24885584466781552</v>
      </c>
      <c r="U56" s="141">
        <f>[1]!SWTEST(U28:U43)</f>
        <v>0.6988662750062784</v>
      </c>
      <c r="V56" s="141">
        <f>[1]!SWTEST(V28:V43)</f>
        <v>0.18538591152369688</v>
      </c>
    </row>
    <row r="57" spans="1:22" s="3" customFormat="1" x14ac:dyDescent="0.35">
      <c r="A57" s="61" t="s">
        <v>85</v>
      </c>
      <c r="B57" s="141" t="str">
        <f t="shared" ref="B57:M57" si="66">IF(B56&gt;0.05,"Oui","Non")</f>
        <v>Oui</v>
      </c>
      <c r="C57" s="141" t="str">
        <f t="shared" si="66"/>
        <v>Non</v>
      </c>
      <c r="D57" s="141" t="str">
        <f t="shared" si="66"/>
        <v>Non</v>
      </c>
      <c r="E57" s="141" t="str">
        <f t="shared" si="66"/>
        <v>Oui</v>
      </c>
      <c r="F57" s="141" t="str">
        <f t="shared" si="66"/>
        <v>Non</v>
      </c>
      <c r="G57" s="141" t="str">
        <f t="shared" si="66"/>
        <v>Oui</v>
      </c>
      <c r="H57" s="141" t="str">
        <f t="shared" si="66"/>
        <v>Non</v>
      </c>
      <c r="I57" s="141" t="str">
        <f t="shared" si="66"/>
        <v>Oui</v>
      </c>
      <c r="J57" s="141" t="str">
        <f t="shared" si="66"/>
        <v>Non</v>
      </c>
      <c r="K57" s="141" t="str">
        <f t="shared" si="66"/>
        <v>Oui</v>
      </c>
      <c r="L57" s="141" t="str">
        <f t="shared" si="66"/>
        <v>Oui</v>
      </c>
      <c r="M57" s="141" t="str">
        <f t="shared" si="66"/>
        <v>Oui</v>
      </c>
      <c r="N57" s="141"/>
      <c r="O57" s="141" t="str">
        <f t="shared" ref="O57:V57" si="67">IF(O56&gt;0.05,"Oui","Non")</f>
        <v>Non</v>
      </c>
      <c r="P57" s="141" t="str">
        <f t="shared" si="67"/>
        <v>Oui</v>
      </c>
      <c r="Q57" s="141" t="str">
        <f t="shared" si="67"/>
        <v>Non</v>
      </c>
      <c r="R57" s="141" t="str">
        <f t="shared" si="67"/>
        <v>Oui</v>
      </c>
      <c r="S57" s="141" t="str">
        <f t="shared" si="67"/>
        <v>Oui</v>
      </c>
      <c r="T57" s="141" t="str">
        <f t="shared" si="67"/>
        <v>Oui</v>
      </c>
      <c r="U57" s="141" t="str">
        <f t="shared" si="67"/>
        <v>Oui</v>
      </c>
      <c r="V57" s="141" t="str">
        <f t="shared" si="67"/>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M59" si="68">IF($B57="Non",IF(C$57="Non","Mann Withney",IF(C$57="Oui","Mann Withney","")),IF($B$57="Oui",IF(C$57="Oui","T-Test Welch",IF(C$57="Non","Mann Withney",""))))</f>
        <v>Mann Withney</v>
      </c>
      <c r="D59" s="150" t="str">
        <f t="shared" si="68"/>
        <v>Mann Withney</v>
      </c>
      <c r="E59" s="150" t="str">
        <f t="shared" si="68"/>
        <v>T-Test Welch</v>
      </c>
      <c r="F59" s="150" t="str">
        <f t="shared" si="68"/>
        <v>Mann Withney</v>
      </c>
      <c r="G59" s="150" t="str">
        <f t="shared" si="68"/>
        <v>T-Test Welch</v>
      </c>
      <c r="H59" s="150" t="str">
        <f t="shared" si="68"/>
        <v>Mann Withney</v>
      </c>
      <c r="I59" s="150" t="str">
        <f t="shared" si="68"/>
        <v>T-Test Welch</v>
      </c>
      <c r="J59" s="150" t="str">
        <f t="shared" si="68"/>
        <v>Mann Withney</v>
      </c>
      <c r="K59" s="150" t="str">
        <f t="shared" si="68"/>
        <v>T-Test Welch</v>
      </c>
      <c r="L59" s="150" t="str">
        <f t="shared" si="68"/>
        <v>T-Test Welch</v>
      </c>
      <c r="M59" s="150" t="str">
        <f t="shared" si="68"/>
        <v>T-Test Welch</v>
      </c>
      <c r="N59" s="150"/>
      <c r="O59" s="150" t="str">
        <f>IF($B57="Non",IF(O$57="Non","Mann Withney",IF(O$57="Oui","Mann Withney","")),IF($B$57="Oui",IF(O$57="Oui","T-Test Welch",IF(O$57="Non","Mann Withney",""))))</f>
        <v>Mann Withney</v>
      </c>
      <c r="P59" s="150" t="str">
        <f>IF($O57="Non",IF(P$57="Non","Mann Withney",IF(P$57="Oui","Mann Withney","")),IF($O$57="Oui",IF(P$57="Oui","T-Test Welch",IF(P$57="Non","Mann Withney",""))))</f>
        <v>Mann Withney</v>
      </c>
      <c r="Q59" s="150" t="str">
        <f t="shared" ref="Q59:V59" si="69">IF($O57="Non",IF(Q$57="Non","Mann Withney",IF(Q$57="Oui","Mann Withney","")),IF($O$57="Oui",IF(Q$57="Oui","T-Test Welch",IF(Q$57="Non","Mann Withney",""))))</f>
        <v>Mann Withney</v>
      </c>
      <c r="R59" s="150" t="str">
        <f t="shared" si="69"/>
        <v>Mann Withney</v>
      </c>
      <c r="S59" s="150" t="str">
        <f t="shared" si="69"/>
        <v>Mann Withney</v>
      </c>
      <c r="T59" s="150" t="str">
        <f t="shared" si="69"/>
        <v>Mann Withney</v>
      </c>
      <c r="U59" s="150" t="str">
        <f t="shared" si="69"/>
        <v>Mann Withney</v>
      </c>
      <c r="V59" s="150" t="str">
        <f t="shared" si="69"/>
        <v>Mann Withney</v>
      </c>
    </row>
    <row r="60" spans="1:22" s="3" customFormat="1" x14ac:dyDescent="0.35">
      <c r="A60" s="61" t="s">
        <v>83</v>
      </c>
      <c r="B60" s="151"/>
      <c r="C60" s="151">
        <f>IF(C59="Mann Withney",[1]!MTEST($B28:$B43,C28:C43,2), IF(C59="T-Test Welch",_xlfn.T.TEST($B28:$B43,C28:C43,2,3),""))</f>
        <v>0.90786850094953597</v>
      </c>
      <c r="D60" s="151">
        <f>IF(D59="Mann Withney",[1]!MTEST($B28:$B43,D28:D43,2), IF(D59="T-Test Welch",_xlfn.T.TEST($B28:$B43,D28:D43,2,3),""))</f>
        <v>4.599936687503714E-2</v>
      </c>
      <c r="E60" s="151">
        <f>IF(E59="Mann Withney",[1]!MTEST($B28:$B43,E28:E43,2), IF(E59="T-Test Welch",_xlfn.T.TEST($B28:$B43,E28:E43,2,3),""))</f>
        <v>4.870684746939969E-2</v>
      </c>
      <c r="F60" s="151">
        <f>IF(F59="Mann Withney",[1]!MTEST($B28:$B43,F28:F43,2), IF(F59="T-Test Welch",_xlfn.T.TEST($B28:$B43,F28:F43,2,3),""))</f>
        <v>7.7753044694039986E-4</v>
      </c>
      <c r="G60" s="151">
        <f>IF(G59="Mann Withney",[1]!MTEST($B28:$B43,G28:G43,2), IF(G59="T-Test Welch",_xlfn.T.TEST($B28:$B43,G28:G43,2,3),""))</f>
        <v>3.2948504274274567E-4</v>
      </c>
      <c r="H60" s="151">
        <f>IF(H59="Mann Withney",[1]!MTEST($B28:$B43,H28:H43,2), IF(H59="T-Test Welch",_xlfn.T.TEST($B28:$B43,H28:H43,2,3),""))</f>
        <v>7.7753044694039986E-4</v>
      </c>
      <c r="I60" s="151">
        <f>IF(I59="Mann Withney",[1]!MTEST($B28:$B43,I28:I43,2), IF(I59="T-Test Welch",_xlfn.T.TEST($B28:$B43,I28:I43,2,3),""))</f>
        <v>0.21768709671811637</v>
      </c>
      <c r="J60" s="151">
        <f>IF(J59="Mann Withney",[1]!MTEST($B28:$B43,J28:J43,2), IF(J59="T-Test Welch",_xlfn.T.TEST($B28:$B43,J28:J43,2,3),""))</f>
        <v>0.14148212148279327</v>
      </c>
      <c r="K60" s="151">
        <f>IF(K59="Mann Withney",[1]!MTEST($B28:$B43,K28:K43,2), IF(K59="T-Test Welch",_xlfn.T.TEST($B28:$B43,K28:K43,2,3),""))</f>
        <v>0.99863378505468214</v>
      </c>
      <c r="L60" s="151">
        <f>IF(L59="Mann Withney",[1]!MTEST($B28:$B43,L28:L43,2), IF(L59="T-Test Welch",_xlfn.T.TEST($B28:$B43,L28:L43,2,3),""))</f>
        <v>0.92643175699019242</v>
      </c>
      <c r="M60" s="151">
        <f>IF(M59="Mann Withney",[1]!MTEST($B28:$B43,M28:M43,2), IF(M59="T-Test Welch",_xlfn.T.TEST($B28:$B43,M28:M43,2,3),""))</f>
        <v>0.25975592533809061</v>
      </c>
      <c r="N60" s="151"/>
      <c r="O60" s="151">
        <f>IF(O59="Mann Withney",[1]!MTEST($B28:$B43,O28:O43,2), IF(O59="T-Test Welch",_xlfn.T.TEST($B28:$B43,O28:O43,2,3),""))</f>
        <v>2.7486336111510301E-2</v>
      </c>
      <c r="P60" s="151">
        <f>IF(P59="Mann Withney",[1]!MTEST($O28:$O43,P28:P43,2), IF(P59="T-Test Welch",_xlfn.T.TEST($O28:$O43,P28:P43,2,3),""))</f>
        <v>8.884941911446731E-5</v>
      </c>
      <c r="Q60" s="151">
        <f>IF(Q59="Mann Withney",[1]!MTEST($O28:$O43,Q28:Q43,2), IF(Q59="T-Test Welch",_xlfn.T.TEST($O28:$O43,Q28:Q43,2,3),""))</f>
        <v>2.1996470611129748E-3</v>
      </c>
      <c r="R60" s="151">
        <f>IF(R59="Mann Withney",[1]!MTEST($O28:$O43,R28:R43,2), IF(R59="T-Test Welch",_xlfn.T.TEST($O28:$O43,R28:R43,2,3),""))</f>
        <v>0.75946286537993357</v>
      </c>
      <c r="S60" s="151">
        <f>IF(S59="Mann Withney",[1]!MTEST($O28:$O43,S28:S43,2), IF(S59="T-Test Welch",_xlfn.T.TEST($O28:$O43,S28:S43,2,3),""))</f>
        <v>0.54029137460741983</v>
      </c>
      <c r="T60" s="151">
        <f>IF(T59="Mann Withney",[1]!MTEST($O28:$O43,T28:T43,2), IF(T59="T-Test Welch",_xlfn.T.TEST($O28:$O43,T28:T43,2,3),""))</f>
        <v>1.6928706486087464E-2</v>
      </c>
      <c r="U60" s="151">
        <f>IF(U59="Mann Withney",[1]!MTEST($O28:$O43,U28:U43,2), IF(U59="T-Test Welch",_xlfn.T.TEST($O28:$O43,U28:U43,2,3),""))</f>
        <v>8.4584156046332293E-3</v>
      </c>
      <c r="V60" s="151">
        <f>IF(V59="Mann Withney",[1]!MTEST($O28:$O43,V28:V43,2), IF(V59="T-Test Welch",_xlfn.T.TEST($O28:$O43,V28:V43,2,3),""))</f>
        <v>3.7336415920662835E-2</v>
      </c>
    </row>
    <row r="61" spans="1:22" s="3" customFormat="1" ht="15" thickBot="1" x14ac:dyDescent="0.4">
      <c r="A61" s="62" t="s">
        <v>84</v>
      </c>
      <c r="B61" s="142"/>
      <c r="C61" s="142" t="str">
        <f t="shared" ref="C61:M61" si="70">IF(C60&gt;0.05,"NS",IF(C60&gt;0.01,"*",IF(C60&gt;0.001,"**","***")))</f>
        <v>NS</v>
      </c>
      <c r="D61" s="142" t="str">
        <f t="shared" si="70"/>
        <v>*</v>
      </c>
      <c r="E61" s="142" t="str">
        <f t="shared" si="70"/>
        <v>*</v>
      </c>
      <c r="F61" s="142" t="str">
        <f t="shared" si="70"/>
        <v>***</v>
      </c>
      <c r="G61" s="142" t="str">
        <f t="shared" si="70"/>
        <v>***</v>
      </c>
      <c r="H61" s="142" t="str">
        <f t="shared" si="70"/>
        <v>***</v>
      </c>
      <c r="I61" s="142" t="str">
        <f t="shared" si="70"/>
        <v>NS</v>
      </c>
      <c r="J61" s="142" t="str">
        <f t="shared" si="70"/>
        <v>NS</v>
      </c>
      <c r="K61" s="142" t="str">
        <f t="shared" si="70"/>
        <v>NS</v>
      </c>
      <c r="L61" s="142" t="str">
        <f t="shared" si="70"/>
        <v>NS</v>
      </c>
      <c r="M61" s="142" t="str">
        <f t="shared" si="70"/>
        <v>NS</v>
      </c>
      <c r="N61" s="142"/>
      <c r="O61" s="142" t="str">
        <f>IF(O60&gt;0.05,"NS",IF(O60&gt;0.01,"*",IF(O60&gt;0.001,"**","***")))</f>
        <v>*</v>
      </c>
      <c r="P61" s="142" t="str">
        <f>IF(P60&gt;0.05,"NS",IF(P60&gt;0.01,"*",IF(P60&gt;0.001,"**","***")))</f>
        <v>***</v>
      </c>
      <c r="Q61" s="142" t="str">
        <f t="shared" ref="Q61" si="71">IF(Q60&gt;0.05,"NS",IF(Q60&gt;0.01,"*",IF(Q60&gt;0.001,"**","***")))</f>
        <v>**</v>
      </c>
      <c r="R61" s="142" t="str">
        <f t="shared" ref="R61" si="72">IF(R60&gt;0.05,"NS",IF(R60&gt;0.01,"*",IF(R60&gt;0.001,"**","***")))</f>
        <v>NS</v>
      </c>
      <c r="S61" s="142" t="str">
        <f t="shared" ref="S61" si="73">IF(S60&gt;0.05,"NS",IF(S60&gt;0.01,"*",IF(S60&gt;0.001,"**","***")))</f>
        <v>NS</v>
      </c>
      <c r="T61" s="142" t="str">
        <f t="shared" ref="T61" si="74">IF(T60&gt;0.05,"NS",IF(T60&gt;0.01,"*",IF(T60&gt;0.001,"**","***")))</f>
        <v>*</v>
      </c>
      <c r="U61" s="142" t="str">
        <f t="shared" ref="U61" si="75">IF(U60&gt;0.05,"NS",IF(U60&gt;0.01,"*",IF(U60&gt;0.001,"**","***")))</f>
        <v>**</v>
      </c>
      <c r="V61" s="142" t="str">
        <f t="shared" ref="V61" si="76">IF(V60&gt;0.05,"NS",IF(V60&gt;0.01,"*",IF(V60&gt;0.001,"**","***")))</f>
        <v>*</v>
      </c>
    </row>
    <row r="63" spans="1:22" x14ac:dyDescent="0.35">
      <c r="A63" s="2" t="s">
        <v>39</v>
      </c>
    </row>
    <row r="64" spans="1:22" x14ac:dyDescent="0.35">
      <c r="A64" s="1" t="s">
        <v>23</v>
      </c>
      <c r="B64" s="1">
        <f>B46+(3*B47)</f>
        <v>0.53044910451079652</v>
      </c>
    </row>
    <row r="65" spans="1:22" x14ac:dyDescent="0.35">
      <c r="A65" s="1" t="s">
        <v>24</v>
      </c>
      <c r="B65" s="1">
        <f>B46+(10*B47)</f>
        <v>1.3494272068481683</v>
      </c>
    </row>
    <row r="66" spans="1:22" ht="15" thickBot="1" x14ac:dyDescent="0.4"/>
    <row r="67" spans="1:22" s="1" customFormat="1" ht="26.5" thickBot="1" x14ac:dyDescent="0.65">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5">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5">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5">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5">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5">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5">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5">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5">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5">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5">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5">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5">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5">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5">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5">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5">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5">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5">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5">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5">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5">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5">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5">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5">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5">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5">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5">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5">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5">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5">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5">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5">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5">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5">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5">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5">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5">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5">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5">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5">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5">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5">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5">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5">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5">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5">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5">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5">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5">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5">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5">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5">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5">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5">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5">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5">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5">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5">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5">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5">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5">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5">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5">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5">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5">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5">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5">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5">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5">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5">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5">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5">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5">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5">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5">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5">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5">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5">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5">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5">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5">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5">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5">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5">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5">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5">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5">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5">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5">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5">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5">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5">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5">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5">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5">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5">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5">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5">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5">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5">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5">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5">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5">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5">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5">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5">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5">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5">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5">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5">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5">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5">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5">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5">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5">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5">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5">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5">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5">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5">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5">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5">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5">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5">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5">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5">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5">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5">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5">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5">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5">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5">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5">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5">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5">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5">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5">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5">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5">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5">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5">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5">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5">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5">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5">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5">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5">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5">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5">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5">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5">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5">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5">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5">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5">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5">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5">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5">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5">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5">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5">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5">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5">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5">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5">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5">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5">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5">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5">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5">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5">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5">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5">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5">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5">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5">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5">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5">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5">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5">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5">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5">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5">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5">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5">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5">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5">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5">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5">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5">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5">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5">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5">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5">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5">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5">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5">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5">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5">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5">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5">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5">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5">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5">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5">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5">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5">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5">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5">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5">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5">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5">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5">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5">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5">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5">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5">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5">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5">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5">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5">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5">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5">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5">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5">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5">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5">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5">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5">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5">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5">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5">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5">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5">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5">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5">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5">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5">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5">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5">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5">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5">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5">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5">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5">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5">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5">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5">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5">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5">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5">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5">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5">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5">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5">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5">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5">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5">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5">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5">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5">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5">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5">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5">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5">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5">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5">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5">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5">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5">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5">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5">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5">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5">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5">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5">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5">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5">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5">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5">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5">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5">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5">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5">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5">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5">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5">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5">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5">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5">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5">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5">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5">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5">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5">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5">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5">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5">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5">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5">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5">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5">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5">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5">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5">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5">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5">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5">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5">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5">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5">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5">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5">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5">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5">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5">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5">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5">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5">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5">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5">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5">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5">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5">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5">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5">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5">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5">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5">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5">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5">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5">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5">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5">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5">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5">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5">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5">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5">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5">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5">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5">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5">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5">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5">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5">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5">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5">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5">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5">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5">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5">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5">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5">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5">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5">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5">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5">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5">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5">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5">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5">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5">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5">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5">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5">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5">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5">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5">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5">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5">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5">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5">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5">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5">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5">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5">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5">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5">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5">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5">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5">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5">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5">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5">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5">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5">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5">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5">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5">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5">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5">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5">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5">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5">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5">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5">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5">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5">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5">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5">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5">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5">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5">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5">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5">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5">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5">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5">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5">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5">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5">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5">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5">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5">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5">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5">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5">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5">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5">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5">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5">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5">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5">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5">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5">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5">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5">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5">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5">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5">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5">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5">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5">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5">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5">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5">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5">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5">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5">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5">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5">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5">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5">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5">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5">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5">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5">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5">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5">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5">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5">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5">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5">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5">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5">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5">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5">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5">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H1" zoomScale="70" zoomScaleNormal="70" zoomScaleSheetLayoutView="40" zoomScalePageLayoutView="30" workbookViewId="0">
      <selection activeCell="J5" sqref="J5:J11"/>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4"/>
    <row r="3" spans="1:22" ht="15" thickBot="1" x14ac:dyDescent="0.4">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Anastrozole-0,032µg/L</v>
      </c>
      <c r="J4" s="35" t="str">
        <f>'Page de garde'!A16</f>
        <v>Anastrozole-0,16µg/L</v>
      </c>
      <c r="K4" s="35" t="str">
        <f>'Page de garde'!A17</f>
        <v>Anastrozole-0,8µg/L</v>
      </c>
      <c r="L4" s="35" t="str">
        <f>'Page de garde'!A18</f>
        <v>Anastrozole-4µg/L</v>
      </c>
      <c r="M4" s="35" t="str">
        <f>'Page de garde'!A19</f>
        <v>Anastrozole-20µg/L</v>
      </c>
      <c r="N4" s="3"/>
      <c r="O4" s="36" t="str">
        <f>'Page de garde'!A36</f>
        <v>Testo -30µg/L</v>
      </c>
      <c r="P4" s="36" t="str">
        <f>'Page de garde'!A37</f>
        <v>Testo 30µg/L + EE2 -64ng/L</v>
      </c>
      <c r="Q4" s="36" t="str">
        <f>'Page de garde'!A38</f>
        <v>Testo 30µg/L + FAD-10µg/L</v>
      </c>
      <c r="R4" s="36" t="str">
        <f>'Page de garde'!A39</f>
        <v>Anastrozole-0,032µg/L + Testostérone</v>
      </c>
      <c r="S4" s="36" t="str">
        <f>'Page de garde'!A40</f>
        <v>Anastrozole-0,16µg/L + Testostérone</v>
      </c>
      <c r="T4" s="36" t="str">
        <f>'Page de garde'!A41</f>
        <v>Anastrozole-0,8µg/L + Testostérone</v>
      </c>
      <c r="U4" s="36" t="str">
        <f>'Page de garde'!A42</f>
        <v>Anastrozole-4µg/L + Testostérone</v>
      </c>
      <c r="V4" s="36" t="str">
        <f>'Page de garde'!A43</f>
        <v>Anastrozole-20µg/L + Testostérone</v>
      </c>
    </row>
    <row r="5" spans="1:22" x14ac:dyDescent="0.35">
      <c r="A5" s="223" t="s">
        <v>33</v>
      </c>
      <c r="B5" s="1">
        <v>53882</v>
      </c>
      <c r="C5" s="1">
        <v>84330</v>
      </c>
      <c r="D5" s="1">
        <v>268240</v>
      </c>
      <c r="E5" s="1">
        <v>1272871</v>
      </c>
      <c r="F5" s="1">
        <v>4085219</v>
      </c>
      <c r="G5" s="1">
        <v>4085219</v>
      </c>
      <c r="H5" s="1">
        <v>13861816</v>
      </c>
      <c r="I5" s="1">
        <v>1538</v>
      </c>
      <c r="J5" s="1">
        <v>150823</v>
      </c>
      <c r="K5" s="1">
        <v>94390</v>
      </c>
      <c r="L5" s="1">
        <v>49124</v>
      </c>
      <c r="M5" s="1">
        <v>239250</v>
      </c>
      <c r="N5" s="3"/>
      <c r="O5" s="1">
        <v>1484282</v>
      </c>
      <c r="P5" s="1">
        <v>5502856</v>
      </c>
      <c r="Q5" s="1">
        <v>80500</v>
      </c>
      <c r="R5" s="1">
        <v>1452594</v>
      </c>
      <c r="S5" s="1">
        <v>23680</v>
      </c>
      <c r="T5" s="1">
        <v>923557</v>
      </c>
      <c r="U5" s="1">
        <v>315877</v>
      </c>
      <c r="V5" s="1">
        <v>57310</v>
      </c>
    </row>
    <row r="6" spans="1:22" x14ac:dyDescent="0.35">
      <c r="A6" s="223"/>
      <c r="B6" s="1">
        <v>55660</v>
      </c>
      <c r="C6" s="1">
        <v>98032</v>
      </c>
      <c r="D6" s="1">
        <v>5662466</v>
      </c>
      <c r="E6" s="1">
        <v>2268733</v>
      </c>
      <c r="F6" s="1">
        <v>3613765</v>
      </c>
      <c r="G6" s="1">
        <v>3613765</v>
      </c>
      <c r="H6" s="1">
        <v>11194851</v>
      </c>
      <c r="I6" s="1">
        <v>41689</v>
      </c>
      <c r="J6" s="1">
        <v>129520</v>
      </c>
      <c r="K6" s="1">
        <v>35027</v>
      </c>
      <c r="L6" s="1">
        <v>87794</v>
      </c>
      <c r="M6" s="1">
        <v>127584</v>
      </c>
      <c r="N6" s="3"/>
      <c r="O6" s="1">
        <v>1946258</v>
      </c>
      <c r="P6" s="1">
        <v>5756946</v>
      </c>
      <c r="Q6" s="1">
        <v>25789</v>
      </c>
      <c r="R6" s="1">
        <v>2028139</v>
      </c>
      <c r="S6" s="1">
        <v>19266</v>
      </c>
      <c r="T6" s="1">
        <v>1266594</v>
      </c>
      <c r="U6" s="1">
        <v>5728456</v>
      </c>
      <c r="V6" s="1">
        <v>56964</v>
      </c>
    </row>
    <row r="7" spans="1:22" x14ac:dyDescent="0.35">
      <c r="A7" s="223"/>
      <c r="B7" s="1">
        <v>92346</v>
      </c>
      <c r="C7" s="1">
        <v>3798</v>
      </c>
      <c r="D7" s="1">
        <v>1134454</v>
      </c>
      <c r="E7" s="1">
        <v>621174</v>
      </c>
      <c r="F7" s="1">
        <v>5173219</v>
      </c>
      <c r="G7" s="1">
        <v>5173219</v>
      </c>
      <c r="H7" s="1">
        <v>4763095</v>
      </c>
      <c r="I7" s="1">
        <v>229838</v>
      </c>
      <c r="J7" s="1">
        <v>97112</v>
      </c>
      <c r="K7" s="1">
        <v>32882</v>
      </c>
      <c r="L7" s="1">
        <v>33846</v>
      </c>
      <c r="M7" s="1">
        <v>23087</v>
      </c>
      <c r="N7" s="3"/>
      <c r="O7" s="1">
        <v>2749791</v>
      </c>
      <c r="P7" s="1">
        <v>4937905</v>
      </c>
      <c r="Q7" s="1">
        <v>62246</v>
      </c>
      <c r="R7" s="1">
        <v>1525881</v>
      </c>
      <c r="S7" s="1">
        <v>3016142</v>
      </c>
      <c r="T7" s="1">
        <v>617526</v>
      </c>
      <c r="U7" s="1">
        <v>41487</v>
      </c>
      <c r="V7" s="1">
        <v>120810</v>
      </c>
    </row>
    <row r="8" spans="1:22" x14ac:dyDescent="0.35">
      <c r="A8" s="223"/>
      <c r="B8" s="1">
        <v>113172</v>
      </c>
      <c r="C8" s="1">
        <v>205</v>
      </c>
      <c r="D8" s="1">
        <v>838390</v>
      </c>
      <c r="E8" s="1">
        <v>3617081</v>
      </c>
      <c r="F8" s="1">
        <v>4308083</v>
      </c>
      <c r="G8" s="1">
        <v>4308083</v>
      </c>
      <c r="H8" s="1">
        <v>8018159</v>
      </c>
      <c r="I8" s="1">
        <v>59510</v>
      </c>
      <c r="J8" s="1">
        <v>67194</v>
      </c>
      <c r="K8" s="1">
        <v>179754</v>
      </c>
      <c r="L8" s="1">
        <v>68806</v>
      </c>
      <c r="M8" s="1">
        <v>37548</v>
      </c>
      <c r="N8" s="3"/>
      <c r="O8" s="1">
        <v>919561</v>
      </c>
      <c r="P8" s="1">
        <v>5644463</v>
      </c>
      <c r="Q8" s="1">
        <v>27963</v>
      </c>
      <c r="R8" s="1">
        <v>12491</v>
      </c>
      <c r="S8" s="1">
        <v>875965</v>
      </c>
      <c r="T8" s="1">
        <v>103728</v>
      </c>
      <c r="U8" s="1">
        <v>103234</v>
      </c>
      <c r="V8" s="1">
        <v>60781</v>
      </c>
    </row>
    <row r="9" spans="1:22" x14ac:dyDescent="0.35">
      <c r="A9" s="223"/>
      <c r="B9" s="1">
        <v>480158</v>
      </c>
      <c r="C9" s="1">
        <v>211949</v>
      </c>
      <c r="D9" s="1">
        <v>280521</v>
      </c>
      <c r="E9" s="1">
        <v>809099</v>
      </c>
      <c r="F9" s="1">
        <v>2443704</v>
      </c>
      <c r="G9" s="1">
        <v>2443704</v>
      </c>
      <c r="H9" s="1">
        <v>13999562</v>
      </c>
      <c r="I9" s="1">
        <v>256065</v>
      </c>
      <c r="J9" s="1">
        <v>41451</v>
      </c>
      <c r="K9" s="1">
        <v>39354</v>
      </c>
      <c r="L9" s="1">
        <v>238349</v>
      </c>
      <c r="M9" s="1">
        <v>58437</v>
      </c>
      <c r="N9" s="3"/>
      <c r="O9" s="1">
        <v>2414135</v>
      </c>
      <c r="P9" s="1">
        <v>5946807</v>
      </c>
      <c r="Q9" s="1">
        <v>108777</v>
      </c>
      <c r="R9" s="1">
        <v>752</v>
      </c>
      <c r="S9" s="1">
        <v>332728</v>
      </c>
      <c r="T9" s="1">
        <v>718115</v>
      </c>
      <c r="U9" s="1">
        <v>30552</v>
      </c>
      <c r="V9" s="1">
        <v>91357</v>
      </c>
    </row>
    <row r="10" spans="1:22" x14ac:dyDescent="0.35">
      <c r="A10" s="223"/>
      <c r="B10" s="1">
        <v>56830</v>
      </c>
      <c r="C10" s="1">
        <v>82436</v>
      </c>
      <c r="D10" s="1">
        <v>135</v>
      </c>
      <c r="E10" s="1">
        <v>2087473</v>
      </c>
      <c r="F10" s="1">
        <v>6332865</v>
      </c>
      <c r="G10" s="1">
        <v>6332865</v>
      </c>
      <c r="H10" s="1">
        <v>11996253</v>
      </c>
      <c r="I10" s="1">
        <v>118386</v>
      </c>
      <c r="J10" s="1">
        <v>115122</v>
      </c>
      <c r="K10" s="1">
        <v>91066</v>
      </c>
      <c r="L10" s="1">
        <v>91749</v>
      </c>
      <c r="M10" s="1">
        <v>16967</v>
      </c>
      <c r="N10" s="3"/>
      <c r="O10" s="1">
        <v>890137</v>
      </c>
      <c r="P10" s="1">
        <v>4416558</v>
      </c>
      <c r="Q10" s="1">
        <v>57362</v>
      </c>
      <c r="R10" s="1">
        <v>1992209</v>
      </c>
      <c r="S10" s="1">
        <v>447897</v>
      </c>
      <c r="T10" s="1">
        <v>435502</v>
      </c>
      <c r="U10" s="1">
        <v>21709</v>
      </c>
      <c r="V10" s="1">
        <v>20069</v>
      </c>
    </row>
    <row r="11" spans="1:22" x14ac:dyDescent="0.35">
      <c r="A11" s="223"/>
      <c r="B11" s="1">
        <v>15301</v>
      </c>
      <c r="C11" s="1">
        <v>90245</v>
      </c>
      <c r="D11" s="1">
        <v>40100</v>
      </c>
      <c r="E11" s="1">
        <v>2999123</v>
      </c>
      <c r="F11" s="1">
        <v>5382039</v>
      </c>
      <c r="G11" s="1">
        <v>5382039</v>
      </c>
      <c r="H11" s="1">
        <v>10037703</v>
      </c>
      <c r="I11" s="1">
        <v>96318</v>
      </c>
      <c r="J11" s="1">
        <v>349664</v>
      </c>
      <c r="K11" s="1">
        <v>63426</v>
      </c>
      <c r="L11" s="1">
        <v>369545</v>
      </c>
      <c r="M11" s="1">
        <v>53419</v>
      </c>
      <c r="N11" s="3"/>
      <c r="O11" s="1">
        <v>3767638</v>
      </c>
      <c r="P11" s="1">
        <v>6215530</v>
      </c>
      <c r="Q11" s="1">
        <v>170380</v>
      </c>
      <c r="R11" s="1">
        <v>175920</v>
      </c>
      <c r="S11" s="1">
        <v>416339</v>
      </c>
      <c r="T11" s="1">
        <v>776471</v>
      </c>
      <c r="U11" s="1">
        <v>165630</v>
      </c>
      <c r="V11" s="1">
        <v>34431</v>
      </c>
    </row>
    <row r="12" spans="1:22" x14ac:dyDescent="0.35">
      <c r="A12" s="223"/>
      <c r="B12" s="1">
        <v>311868</v>
      </c>
      <c r="C12" s="1">
        <v>76</v>
      </c>
      <c r="D12" s="1">
        <v>333889</v>
      </c>
      <c r="E12" s="1">
        <v>4533187</v>
      </c>
      <c r="F12" s="1">
        <v>578877</v>
      </c>
      <c r="G12" s="1">
        <v>578877</v>
      </c>
      <c r="H12" s="1">
        <v>7892512</v>
      </c>
      <c r="I12" s="1">
        <v>92206</v>
      </c>
      <c r="K12" s="1">
        <v>157934</v>
      </c>
      <c r="L12" s="1">
        <v>72521</v>
      </c>
      <c r="M12" s="1">
        <v>28933</v>
      </c>
      <c r="N12" s="3"/>
      <c r="O12" s="1">
        <v>2235256</v>
      </c>
      <c r="P12" s="1">
        <v>6356347</v>
      </c>
      <c r="Q12" s="1">
        <v>48843</v>
      </c>
      <c r="R12" s="1">
        <v>701415</v>
      </c>
      <c r="S12" s="1">
        <v>11195</v>
      </c>
      <c r="T12" s="1">
        <v>252448</v>
      </c>
      <c r="U12" s="1">
        <v>165481</v>
      </c>
      <c r="V12" s="1">
        <v>87427</v>
      </c>
    </row>
    <row r="13" spans="1:22" ht="16.5" x14ac:dyDescent="0.35">
      <c r="A13" s="223"/>
      <c r="B13" s="14"/>
      <c r="C13" s="13"/>
      <c r="D13" s="32"/>
      <c r="E13" s="32"/>
      <c r="F13" s="32"/>
      <c r="G13" s="32"/>
      <c r="H13" s="32"/>
      <c r="I13" s="32"/>
      <c r="J13" s="32"/>
      <c r="K13" s="13"/>
      <c r="L13" s="13"/>
      <c r="M13" s="13"/>
      <c r="N13" s="3"/>
      <c r="O13" s="1">
        <v>3341624</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1">
        <v>26376</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1">
        <v>1891908</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1">
        <v>6320510</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1">
        <v>159788</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1">
        <v>1717898</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1">
        <v>371622</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1">
        <v>93053</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Anastrozole-0,032µg/L</v>
      </c>
      <c r="J22" s="3" t="str">
        <f t="shared" si="0"/>
        <v>Anastrozole-0,16µg/L</v>
      </c>
      <c r="K22" s="3" t="str">
        <f t="shared" si="0"/>
        <v>Anastrozole-0,8µg/L</v>
      </c>
      <c r="L22" s="3" t="str">
        <f t="shared" si="0"/>
        <v>Anastrozole-4µg/L</v>
      </c>
      <c r="M22" s="3" t="str">
        <f t="shared" si="0"/>
        <v>Anastrozole-20µg/L</v>
      </c>
      <c r="N22" s="3" t="s">
        <v>41</v>
      </c>
      <c r="O22" s="3" t="str">
        <f t="shared" si="0"/>
        <v>Testo -30µg/L</v>
      </c>
      <c r="P22" s="3" t="str">
        <f t="shared" si="0"/>
        <v>Testo 30µg/L + EE2 -64ng/L</v>
      </c>
      <c r="Q22" s="3" t="str">
        <f t="shared" si="0"/>
        <v>Testo 30µg/L + FAD-10µg/L</v>
      </c>
      <c r="R22" s="3" t="str">
        <f t="shared" si="0"/>
        <v>Anastrozole-0,032µg/L + Testostérone</v>
      </c>
      <c r="S22" s="3" t="str">
        <f t="shared" si="0"/>
        <v>Anastrozole-0,16µg/L + Testostérone</v>
      </c>
      <c r="T22" s="3" t="str">
        <f t="shared" si="0"/>
        <v>Anastrozole-0,8µg/L + Testostérone</v>
      </c>
      <c r="U22" s="3" t="str">
        <f t="shared" si="0"/>
        <v>Anastrozole-4µg/L + Testostérone</v>
      </c>
      <c r="V22" s="3" t="str">
        <f t="shared" si="0"/>
        <v>Anastrozole-20µg/L + Testostérone</v>
      </c>
    </row>
    <row r="23" spans="1:22" x14ac:dyDescent="0.35">
      <c r="A23" s="5" t="s">
        <v>0</v>
      </c>
      <c r="B23" s="5">
        <f t="shared" ref="B23:J23" si="1">AVERAGE(B5:B20)</f>
        <v>147402.125</v>
      </c>
      <c r="C23" s="5">
        <f t="shared" si="1"/>
        <v>71383.875</v>
      </c>
      <c r="D23" s="5">
        <f t="shared" si="1"/>
        <v>1069774.375</v>
      </c>
      <c r="E23" s="5">
        <f t="shared" si="1"/>
        <v>2276092.625</v>
      </c>
      <c r="F23" s="5">
        <f t="shared" si="1"/>
        <v>3989721.375</v>
      </c>
      <c r="G23" s="5">
        <f t="shared" si="1"/>
        <v>3989721.375</v>
      </c>
      <c r="H23" s="5">
        <f t="shared" si="1"/>
        <v>10220493.875</v>
      </c>
      <c r="I23" s="5">
        <f t="shared" si="1"/>
        <v>111943.75</v>
      </c>
      <c r="J23" s="5">
        <f t="shared" si="1"/>
        <v>135840.85714285713</v>
      </c>
      <c r="K23" s="5"/>
      <c r="L23" s="5">
        <f>AVERAGE(L5:L20)</f>
        <v>126466.75</v>
      </c>
      <c r="M23" s="5"/>
      <c r="N23" s="5" t="s">
        <v>0</v>
      </c>
      <c r="O23" s="5">
        <f>AVERAGE(O5:O20)</f>
        <v>1895614.8125</v>
      </c>
      <c r="P23" s="5">
        <f>AVERAGE(P5:P20)</f>
        <v>5597176.5</v>
      </c>
      <c r="Q23" s="5">
        <f>AVERAGE(Q5:Q20)</f>
        <v>72732.5</v>
      </c>
      <c r="R23" s="5">
        <f>AVERAGE(R5:R20)</f>
        <v>986175.125</v>
      </c>
      <c r="S23" s="5">
        <f>AVERAGE(S5:S20)</f>
        <v>642901.5</v>
      </c>
      <c r="T23" s="5">
        <f t="shared" ref="T23:V23" si="2">AVERAGE(T5:T20)</f>
        <v>636742.625</v>
      </c>
      <c r="U23" s="5">
        <f t="shared" si="2"/>
        <v>821553.25</v>
      </c>
      <c r="V23" s="5">
        <f t="shared" si="2"/>
        <v>66143.625</v>
      </c>
    </row>
    <row r="24" spans="1:22" x14ac:dyDescent="0.35">
      <c r="A24" s="3" t="s">
        <v>1</v>
      </c>
      <c r="B24" s="3">
        <f t="shared" ref="B24:J24" si="3">STDEV(B5:B20)</f>
        <v>162478.58016053113</v>
      </c>
      <c r="C24" s="3">
        <f t="shared" si="3"/>
        <v>71547.453155106385</v>
      </c>
      <c r="D24" s="3">
        <f t="shared" si="3"/>
        <v>1895928.0345634683</v>
      </c>
      <c r="E24" s="3">
        <f t="shared" si="3"/>
        <v>1380911.1313994247</v>
      </c>
      <c r="F24" s="3">
        <f t="shared" si="3"/>
        <v>1816801.8696706693</v>
      </c>
      <c r="G24" s="3">
        <f t="shared" si="3"/>
        <v>1816801.8696706693</v>
      </c>
      <c r="H24" s="3">
        <f t="shared" si="3"/>
        <v>3201108.4795575975</v>
      </c>
      <c r="I24" s="3">
        <f t="shared" si="3"/>
        <v>88817.382450493009</v>
      </c>
      <c r="J24" s="3">
        <f t="shared" si="3"/>
        <v>101271.73495506792</v>
      </c>
      <c r="K24" s="3"/>
      <c r="L24" s="3">
        <f>STDEV(L5:L20)</f>
        <v>116558.37751806113</v>
      </c>
      <c r="M24" s="3"/>
      <c r="N24" s="3" t="s">
        <v>1</v>
      </c>
      <c r="O24" s="3">
        <f>STDEV(O5:O20)</f>
        <v>1643875.5391758513</v>
      </c>
      <c r="P24" s="3">
        <f>STDEV(P5:P20)</f>
        <v>648746.04339558678</v>
      </c>
      <c r="Q24" s="3">
        <f>STDEV(Q5:Q20)</f>
        <v>47838.271854238214</v>
      </c>
      <c r="R24" s="3">
        <f>STDEV(R5:R20)</f>
        <v>867125.22409716214</v>
      </c>
      <c r="S24" s="3">
        <f>STDEV(S5:S20)</f>
        <v>1003106.8588900615</v>
      </c>
      <c r="T24" s="3">
        <f t="shared" ref="T24:V24" si="4">STDEV(T5:T20)</f>
        <v>373740.69306785328</v>
      </c>
      <c r="U24" s="3">
        <f t="shared" si="4"/>
        <v>1985086.859414883</v>
      </c>
      <c r="V24" s="3">
        <f t="shared" si="4"/>
        <v>32506.541609508604</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Anastrozole-0,032µg/L</v>
      </c>
      <c r="J27" s="35" t="str">
        <f t="shared" si="5"/>
        <v>Anastrozole-0,16µg/L</v>
      </c>
      <c r="K27" s="35" t="str">
        <f t="shared" si="5"/>
        <v>Anastrozole-0,8µg/L</v>
      </c>
      <c r="L27" s="35" t="str">
        <f t="shared" si="5"/>
        <v>Anastrozole-4µg/L</v>
      </c>
      <c r="M27" s="35" t="str">
        <f t="shared" si="5"/>
        <v>Anastrozole-20µg/L</v>
      </c>
      <c r="N27" s="3"/>
      <c r="O27" s="36" t="str">
        <f>O4</f>
        <v>Testo -30µg/L</v>
      </c>
      <c r="P27" s="36" t="str">
        <f t="shared" ref="P27:R27" si="6">P4</f>
        <v>Testo 30µg/L + EE2 -64ng/L</v>
      </c>
      <c r="Q27" s="36" t="str">
        <f t="shared" si="6"/>
        <v>Testo 30µg/L + FAD-10µg/L</v>
      </c>
      <c r="R27" s="36" t="str">
        <f t="shared" si="6"/>
        <v>Anastrozole-0,032µg/L + Testostérone</v>
      </c>
      <c r="S27" s="36" t="str">
        <f t="shared" ref="S27:V27" si="7">S4</f>
        <v>Anastrozole-0,16µg/L + Testostérone</v>
      </c>
      <c r="T27" s="36" t="str">
        <f t="shared" si="7"/>
        <v>Anastrozole-0,8µg/L + Testostérone</v>
      </c>
      <c r="U27" s="36" t="str">
        <f t="shared" si="7"/>
        <v>Anastrozole-4µg/L + Testostérone</v>
      </c>
      <c r="V27" s="36" t="str">
        <f t="shared" si="7"/>
        <v>Anastrozole-20µg/L + Testostérone</v>
      </c>
    </row>
    <row r="28" spans="1:22" x14ac:dyDescent="0.35">
      <c r="A28" s="224" t="s">
        <v>34</v>
      </c>
      <c r="B28" s="11">
        <f t="shared" ref="B28:M28" si="8">IF(B5="","",(B5/$O$23))</f>
        <v>2.8424551045229819E-2</v>
      </c>
      <c r="C28" s="11">
        <f t="shared" si="8"/>
        <v>4.4486885966449473E-2</v>
      </c>
      <c r="D28" s="11">
        <f t="shared" si="8"/>
        <v>0.14150554122661457</v>
      </c>
      <c r="E28" s="11">
        <f t="shared" si="8"/>
        <v>0.67148188102692408</v>
      </c>
      <c r="F28" s="11">
        <f t="shared" si="8"/>
        <v>2.1550891948413704</v>
      </c>
      <c r="G28" s="11">
        <f t="shared" si="8"/>
        <v>2.1550891948413704</v>
      </c>
      <c r="H28" s="11">
        <f t="shared" si="8"/>
        <v>7.3125699950184364</v>
      </c>
      <c r="I28" s="11">
        <f t="shared" si="8"/>
        <v>8.1134626605477631E-4</v>
      </c>
      <c r="J28" s="11">
        <f t="shared" si="8"/>
        <v>7.9564159873328696E-2</v>
      </c>
      <c r="K28" s="11">
        <f t="shared" si="8"/>
        <v>4.9793871295780452E-2</v>
      </c>
      <c r="L28" s="11">
        <f t="shared" si="8"/>
        <v>2.5914547447122779E-2</v>
      </c>
      <c r="M28" s="11">
        <f t="shared" si="8"/>
        <v>0.12621234990481486</v>
      </c>
      <c r="N28" s="6"/>
      <c r="O28" s="11">
        <f t="shared" ref="O28:S37" si="9">IF(O5="","",(O5/$O$23))</f>
        <v>0.78300823047614798</v>
      </c>
      <c r="P28" s="11">
        <f t="shared" si="9"/>
        <v>2.9029399663440327</v>
      </c>
      <c r="Q28" s="11">
        <f t="shared" si="9"/>
        <v>4.2466433301306568E-2</v>
      </c>
      <c r="R28" s="11">
        <f t="shared" si="9"/>
        <v>0.76629175422208828</v>
      </c>
      <c r="S28" s="11">
        <f t="shared" si="9"/>
        <v>1.2491989323912291E-2</v>
      </c>
      <c r="T28" s="11">
        <f t="shared" ref="T28:V43" si="10">IF(T5="","",(T5/$O$23))</f>
        <v>0.48720710236589798</v>
      </c>
      <c r="U28" s="11">
        <f t="shared" si="10"/>
        <v>0.16663564660766228</v>
      </c>
      <c r="V28" s="11">
        <f t="shared" si="10"/>
        <v>3.0232935310532661E-2</v>
      </c>
    </row>
    <row r="29" spans="1:22" x14ac:dyDescent="0.35">
      <c r="A29" s="224"/>
      <c r="B29" s="11">
        <f t="shared" ref="B29:M29" si="11">IF(B6="","",(B6/$O$23))</f>
        <v>2.936250531118911E-2</v>
      </c>
      <c r="C29" s="11">
        <f t="shared" si="11"/>
        <v>5.1715147694331491E-2</v>
      </c>
      <c r="D29" s="11">
        <f t="shared" si="11"/>
        <v>2.9871395616138656</v>
      </c>
      <c r="E29" s="11">
        <f t="shared" si="11"/>
        <v>1.1968322810307224</v>
      </c>
      <c r="F29" s="11">
        <f t="shared" si="11"/>
        <v>1.9063814948956039</v>
      </c>
      <c r="G29" s="11">
        <f t="shared" si="11"/>
        <v>1.9063814948956039</v>
      </c>
      <c r="H29" s="11">
        <f t="shared" si="11"/>
        <v>5.90565705974615</v>
      </c>
      <c r="I29" s="11">
        <f t="shared" si="11"/>
        <v>2.1992337116747446E-2</v>
      </c>
      <c r="J29" s="11">
        <f t="shared" si="11"/>
        <v>6.8326117281804058E-2</v>
      </c>
      <c r="K29" s="11">
        <f t="shared" si="11"/>
        <v>1.8477910052731243E-2</v>
      </c>
      <c r="L29" s="11">
        <f t="shared" si="11"/>
        <v>4.6314261431737995E-2</v>
      </c>
      <c r="M29" s="11">
        <f t="shared" si="11"/>
        <v>6.7304812749240953E-2</v>
      </c>
      <c r="N29" s="6"/>
      <c r="O29" s="11">
        <f t="shared" si="9"/>
        <v>1.0267159694923518</v>
      </c>
      <c r="P29" s="11">
        <f t="shared" si="9"/>
        <v>3.0369809109096102</v>
      </c>
      <c r="Q29" s="11">
        <f t="shared" si="9"/>
        <v>1.360455712307323E-2</v>
      </c>
      <c r="R29" s="11">
        <f t="shared" si="9"/>
        <v>1.0699109263264421</v>
      </c>
      <c r="S29" s="11">
        <f t="shared" si="9"/>
        <v>1.016345719233506E-2</v>
      </c>
      <c r="T29" s="11">
        <f t="shared" si="10"/>
        <v>0.66817055429608807</v>
      </c>
      <c r="U29" s="11">
        <f t="shared" si="10"/>
        <v>3.0219514862542782</v>
      </c>
      <c r="V29" s="11">
        <f t="shared" si="10"/>
        <v>3.0050408777336984E-2</v>
      </c>
    </row>
    <row r="30" spans="1:22" x14ac:dyDescent="0.35">
      <c r="A30" s="224"/>
      <c r="B30" s="11">
        <f t="shared" ref="B30:M30" si="12">IF(B7="","",(B7/$O$23))</f>
        <v>4.8715593163260323E-2</v>
      </c>
      <c r="C30" s="11">
        <f t="shared" si="12"/>
        <v>2.0035715984889732E-3</v>
      </c>
      <c r="D30" s="11">
        <f t="shared" si="12"/>
        <v>0.59846229968199305</v>
      </c>
      <c r="E30" s="11">
        <f t="shared" si="12"/>
        <v>0.32768999055286713</v>
      </c>
      <c r="F30" s="11">
        <f t="shared" si="12"/>
        <v>2.7290454610751782</v>
      </c>
      <c r="G30" s="11">
        <f t="shared" si="12"/>
        <v>2.7290454610751782</v>
      </c>
      <c r="H30" s="11">
        <f t="shared" si="12"/>
        <v>2.5126913804383451</v>
      </c>
      <c r="I30" s="11">
        <f t="shared" si="12"/>
        <v>0.12124720617522607</v>
      </c>
      <c r="J30" s="11">
        <f t="shared" si="12"/>
        <v>5.1229817028030845E-2</v>
      </c>
      <c r="K30" s="11">
        <f t="shared" si="12"/>
        <v>1.7346351053584626E-2</v>
      </c>
      <c r="L30" s="11">
        <f t="shared" si="12"/>
        <v>1.7854893186534434E-2</v>
      </c>
      <c r="M30" s="11">
        <f t="shared" si="12"/>
        <v>1.2179162057481549E-2</v>
      </c>
      <c r="N30" s="6"/>
      <c r="O30" s="11">
        <f t="shared" si="9"/>
        <v>1.4506064111060011</v>
      </c>
      <c r="P30" s="11">
        <f t="shared" si="9"/>
        <v>2.6049094823687975</v>
      </c>
      <c r="Q30" s="11">
        <f t="shared" si="9"/>
        <v>3.2836839841902214E-2</v>
      </c>
      <c r="R30" s="11">
        <f t="shared" si="9"/>
        <v>0.80495308959293121</v>
      </c>
      <c r="S30" s="11">
        <f t="shared" si="9"/>
        <v>1.5911154418667004</v>
      </c>
      <c r="T30" s="11">
        <f t="shared" si="10"/>
        <v>0.32576554895431847</v>
      </c>
      <c r="U30" s="11">
        <f t="shared" si="10"/>
        <v>2.1885775383494479E-2</v>
      </c>
      <c r="V30" s="11">
        <f t="shared" si="10"/>
        <v>6.3731301951935979E-2</v>
      </c>
    </row>
    <row r="31" spans="1:22" x14ac:dyDescent="0.35">
      <c r="A31" s="224"/>
      <c r="B31" s="11">
        <f t="shared" ref="B31:M31" si="13">IF(B8="","",(B8/$O$23))</f>
        <v>5.9702002354974741E-2</v>
      </c>
      <c r="C31" s="11">
        <f t="shared" si="13"/>
        <v>1.0814433325177448E-4</v>
      </c>
      <c r="D31" s="11">
        <f t="shared" si="13"/>
        <v>0.44227867099978152</v>
      </c>
      <c r="E31" s="11">
        <f t="shared" si="13"/>
        <v>1.9081307954276181</v>
      </c>
      <c r="F31" s="11">
        <f t="shared" si="13"/>
        <v>2.2726573835527044</v>
      </c>
      <c r="G31" s="11">
        <f t="shared" si="13"/>
        <v>2.2726573835527044</v>
      </c>
      <c r="H31" s="11">
        <f t="shared" si="13"/>
        <v>4.2298461412766581</v>
      </c>
      <c r="I31" s="11">
        <f t="shared" si="13"/>
        <v>3.1393508642990731E-2</v>
      </c>
      <c r="J31" s="11">
        <f t="shared" si="13"/>
        <v>3.5447074773267001E-2</v>
      </c>
      <c r="K31" s="11">
        <f t="shared" si="13"/>
        <v>9.4826226728485216E-2</v>
      </c>
      <c r="L31" s="11">
        <f t="shared" si="13"/>
        <v>3.6297458505959002E-2</v>
      </c>
      <c r="M31" s="11">
        <f t="shared" si="13"/>
        <v>1.98078215850616E-2</v>
      </c>
      <c r="N31" s="6"/>
      <c r="O31" s="11">
        <f t="shared" si="9"/>
        <v>0.48509907916748779</v>
      </c>
      <c r="P31" s="11">
        <f t="shared" si="9"/>
        <v>2.9776423790210282</v>
      </c>
      <c r="Q31" s="11">
        <f t="shared" si="9"/>
        <v>1.4751414588874974E-2</v>
      </c>
      <c r="R31" s="11">
        <f t="shared" si="9"/>
        <v>6.5894188616971465E-3</v>
      </c>
      <c r="S31" s="11">
        <f t="shared" si="9"/>
        <v>0.46210073598483237</v>
      </c>
      <c r="T31" s="11">
        <f t="shared" si="10"/>
        <v>5.4719977558732015E-2</v>
      </c>
      <c r="U31" s="11">
        <f t="shared" si="10"/>
        <v>5.4459376092261889E-2</v>
      </c>
      <c r="V31" s="11">
        <f t="shared" si="10"/>
        <v>3.2064003509151728E-2</v>
      </c>
    </row>
    <row r="32" spans="1:22" x14ac:dyDescent="0.35">
      <c r="A32" s="224"/>
      <c r="B32" s="11">
        <f t="shared" ref="B32:M32" si="14">IF(B9="","",(B9/$O$23))</f>
        <v>0.25329935007563675</v>
      </c>
      <c r="C32" s="11">
        <f t="shared" si="14"/>
        <v>0.11181016238234318</v>
      </c>
      <c r="D32" s="11">
        <f t="shared" si="14"/>
        <v>0.14798417808839526</v>
      </c>
      <c r="E32" s="11">
        <f t="shared" si="14"/>
        <v>0.4268266921447682</v>
      </c>
      <c r="F32" s="11">
        <f t="shared" si="14"/>
        <v>1.2891353158277772</v>
      </c>
      <c r="G32" s="11">
        <f t="shared" si="14"/>
        <v>1.2891353158277772</v>
      </c>
      <c r="H32" s="11">
        <f t="shared" si="14"/>
        <v>7.3852356014969684</v>
      </c>
      <c r="I32" s="11">
        <f t="shared" si="14"/>
        <v>0.13508282289812504</v>
      </c>
      <c r="J32" s="11">
        <f t="shared" si="14"/>
        <v>2.1866784183508799E-2</v>
      </c>
      <c r="K32" s="11">
        <f t="shared" si="14"/>
        <v>2.0760546784343088E-2</v>
      </c>
      <c r="L32" s="11">
        <f t="shared" si="14"/>
        <v>0.12573704237183997</v>
      </c>
      <c r="M32" s="11">
        <f t="shared" si="14"/>
        <v>3.0827465376750952E-2</v>
      </c>
      <c r="N32" s="6"/>
      <c r="O32" s="11">
        <f t="shared" si="9"/>
        <v>1.2735366827062078</v>
      </c>
      <c r="P32" s="11">
        <f t="shared" si="9"/>
        <v>3.1371389170340742</v>
      </c>
      <c r="Q32" s="11">
        <f t="shared" si="9"/>
        <v>5.7383493356723284E-2</v>
      </c>
      <c r="R32" s="11">
        <f t="shared" si="9"/>
        <v>3.9670506636748493E-4</v>
      </c>
      <c r="S32" s="11">
        <f t="shared" si="9"/>
        <v>0.17552511080095815</v>
      </c>
      <c r="T32" s="11">
        <f t="shared" si="10"/>
        <v>0.378829599380966</v>
      </c>
      <c r="U32" s="11">
        <f t="shared" si="10"/>
        <v>1.6117198387844946E-2</v>
      </c>
      <c r="V32" s="11">
        <f t="shared" si="10"/>
        <v>4.8193862696987132E-2</v>
      </c>
    </row>
    <row r="33" spans="1:22" x14ac:dyDescent="0.35">
      <c r="A33" s="224"/>
      <c r="B33" s="11">
        <f t="shared" ref="B33:M33" si="15">IF(B10="","",(B10/$O$23))</f>
        <v>2.9979719310723629E-2</v>
      </c>
      <c r="C33" s="11">
        <f t="shared" si="15"/>
        <v>4.3487737833869666E-2</v>
      </c>
      <c r="D33" s="11">
        <f t="shared" si="15"/>
        <v>7.1216999946290514E-5</v>
      </c>
      <c r="E33" s="11">
        <f t="shared" si="15"/>
        <v>1.1012115891028362</v>
      </c>
      <c r="F33" s="11">
        <f t="shared" si="15"/>
        <v>3.340797380480482</v>
      </c>
      <c r="G33" s="11">
        <f t="shared" si="15"/>
        <v>3.340797380480482</v>
      </c>
      <c r="H33" s="11">
        <f t="shared" si="15"/>
        <v>6.3284233278273136</v>
      </c>
      <c r="I33" s="11">
        <f t="shared" si="15"/>
        <v>6.2452561152900363E-2</v>
      </c>
      <c r="J33" s="11">
        <f t="shared" si="15"/>
        <v>6.0730692354198937E-2</v>
      </c>
      <c r="K33" s="11">
        <f t="shared" si="15"/>
        <v>4.8040350497102903E-2</v>
      </c>
      <c r="L33" s="11">
        <f t="shared" si="15"/>
        <v>4.8400655763497842E-2</v>
      </c>
      <c r="M33" s="11">
        <f t="shared" si="15"/>
        <v>8.9506580599163794E-3</v>
      </c>
      <c r="N33" s="6"/>
      <c r="O33" s="11">
        <f t="shared" si="9"/>
        <v>0.46957693837919406</v>
      </c>
      <c r="P33" s="11">
        <f t="shared" si="9"/>
        <v>2.329881561842881</v>
      </c>
      <c r="Q33" s="11">
        <f t="shared" si="9"/>
        <v>3.0260367043845306E-2</v>
      </c>
      <c r="R33" s="11">
        <f t="shared" si="9"/>
        <v>1.0509566536740702</v>
      </c>
      <c r="S33" s="11">
        <f t="shared" si="9"/>
        <v>0.23628059722180506</v>
      </c>
      <c r="T33" s="11">
        <f t="shared" si="10"/>
        <v>0.2297418215600697</v>
      </c>
      <c r="U33" s="11">
        <f t="shared" si="10"/>
        <v>1.145222112469645E-2</v>
      </c>
      <c r="V33" s="11">
        <f t="shared" si="10"/>
        <v>1.0587066458682255E-2</v>
      </c>
    </row>
    <row r="34" spans="1:22" x14ac:dyDescent="0.35">
      <c r="A34" s="224"/>
      <c r="B34" s="11">
        <f t="shared" ref="B34:M34" si="16">IF(B11="","",(B11/$O$23))</f>
        <v>8.0717875272458602E-3</v>
      </c>
      <c r="C34" s="11">
        <f t="shared" si="16"/>
        <v>4.7607245630762872E-2</v>
      </c>
      <c r="D34" s="11">
        <f t="shared" si="16"/>
        <v>2.1154086650712958E-2</v>
      </c>
      <c r="E34" s="11">
        <f t="shared" si="16"/>
        <v>1.5821373520734714</v>
      </c>
      <c r="F34" s="11">
        <f t="shared" si="16"/>
        <v>2.8392049716587664</v>
      </c>
      <c r="G34" s="11">
        <f t="shared" si="16"/>
        <v>2.8392049716587664</v>
      </c>
      <c r="H34" s="11">
        <f t="shared" si="16"/>
        <v>5.2952229186065196</v>
      </c>
      <c r="I34" s="11">
        <f t="shared" si="16"/>
        <v>5.0810955561680068E-2</v>
      </c>
      <c r="J34" s="11">
        <f t="shared" si="16"/>
        <v>0.18445941532755353</v>
      </c>
      <c r="K34" s="11">
        <f t="shared" si="16"/>
        <v>3.3459329174766086E-2</v>
      </c>
      <c r="L34" s="11">
        <f t="shared" si="16"/>
        <v>0.1949473055196439</v>
      </c>
      <c r="M34" s="11">
        <f t="shared" si="16"/>
        <v>2.8180303112080689E-2</v>
      </c>
      <c r="N34" s="6"/>
      <c r="O34" s="11">
        <f t="shared" si="9"/>
        <v>1.9875546314343859</v>
      </c>
      <c r="P34" s="11">
        <f t="shared" si="9"/>
        <v>3.2788992568604969</v>
      </c>
      <c r="Q34" s="11">
        <f t="shared" si="9"/>
        <v>8.9881129265547977E-2</v>
      </c>
      <c r="R34" s="11">
        <f t="shared" si="9"/>
        <v>9.2803663930010577E-2</v>
      </c>
      <c r="S34" s="11">
        <f t="shared" si="9"/>
        <v>0.219632700301027</v>
      </c>
      <c r="T34" s="11">
        <f t="shared" si="10"/>
        <v>0.4096143345577492</v>
      </c>
      <c r="U34" s="11">
        <f t="shared" si="10"/>
        <v>8.7375345934104426E-2</v>
      </c>
      <c r="V34" s="11">
        <f t="shared" si="10"/>
        <v>1.8163500186301692E-2</v>
      </c>
    </row>
    <row r="35" spans="1:22" x14ac:dyDescent="0.35">
      <c r="A35" s="224"/>
      <c r="B35" s="11">
        <f t="shared" ref="B35:M35" si="17">IF(B12="","",(B12/$O$23))</f>
        <v>0.16452076547592392</v>
      </c>
      <c r="C35" s="11">
        <f t="shared" si="17"/>
        <v>4.0092533303096882E-5</v>
      </c>
      <c r="D35" s="11">
        <f t="shared" si="17"/>
        <v>0.17613757700049623</v>
      </c>
      <c r="E35" s="11">
        <f t="shared" si="17"/>
        <v>2.3914072469298135</v>
      </c>
      <c r="F35" s="11">
        <f t="shared" si="17"/>
        <v>0.3053769131696949</v>
      </c>
      <c r="G35" s="11">
        <f t="shared" si="17"/>
        <v>0.3053769131696949</v>
      </c>
      <c r="H35" s="11">
        <f t="shared" si="17"/>
        <v>4.1635631605933128</v>
      </c>
      <c r="I35" s="11">
        <f t="shared" si="17"/>
        <v>4.8641738496649357E-2</v>
      </c>
      <c r="J35" s="11" t="str">
        <f t="shared" si="17"/>
        <v/>
      </c>
      <c r="K35" s="11">
        <f t="shared" si="17"/>
        <v>8.3315449403832925E-2</v>
      </c>
      <c r="L35" s="11">
        <f t="shared" si="17"/>
        <v>3.8257244837814328E-2</v>
      </c>
      <c r="M35" s="11">
        <f t="shared" si="17"/>
        <v>1.5263121921822395E-2</v>
      </c>
      <c r="N35" s="6"/>
      <c r="O35" s="11">
        <f t="shared" si="9"/>
        <v>1.179172047644041</v>
      </c>
      <c r="P35" s="11">
        <f t="shared" si="9"/>
        <v>3.3531849182044731</v>
      </c>
      <c r="Q35" s="11">
        <f t="shared" si="9"/>
        <v>2.5766310580567907E-2</v>
      </c>
      <c r="R35" s="11">
        <f t="shared" si="9"/>
        <v>0.37001979272094343</v>
      </c>
      <c r="S35" s="11">
        <f t="shared" si="9"/>
        <v>5.9057356622127574E-3</v>
      </c>
      <c r="T35" s="11">
        <f t="shared" si="10"/>
        <v>0.13317473483289738</v>
      </c>
      <c r="U35" s="11">
        <f t="shared" si="10"/>
        <v>8.7296743467497037E-2</v>
      </c>
      <c r="V35" s="11">
        <f t="shared" si="10"/>
        <v>4.6120656698550672E-2</v>
      </c>
    </row>
    <row r="36" spans="1:22" x14ac:dyDescent="0.35">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1.7628180461372081</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5">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1.391421918950636E-2</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5">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0.9980445328473081</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5">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3.3342797061520639</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5">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8.4293496203095328E-2</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5">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0.90624845758320427</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5">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0.19604299225215091</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5">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4.9088559229645709E-2</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Anastrozole-0,032µg/L</v>
      </c>
      <c r="J45" s="7" t="str">
        <f t="shared" si="27"/>
        <v>Anastrozole-0,16µg/L</v>
      </c>
      <c r="K45" s="7" t="str">
        <f t="shared" ref="K45:M45" si="28">K4</f>
        <v>Anastrozole-0,8µg/L</v>
      </c>
      <c r="L45" s="7" t="str">
        <f t="shared" si="28"/>
        <v>Anastrozole-4µg/L</v>
      </c>
      <c r="M45" s="7" t="str">
        <f t="shared" si="28"/>
        <v>Anastrozole-20µg/L</v>
      </c>
      <c r="N45" s="7"/>
      <c r="O45" s="7" t="str">
        <f t="shared" si="27"/>
        <v>Testo -30µg/L</v>
      </c>
      <c r="P45" s="7" t="str">
        <f t="shared" si="27"/>
        <v>Testo 30µg/L + EE2 -64ng/L</v>
      </c>
      <c r="Q45" s="7" t="str">
        <f t="shared" si="27"/>
        <v>Testo 30µg/L + FAD-10µg/L</v>
      </c>
      <c r="R45" s="7" t="str">
        <f t="shared" si="27"/>
        <v>Anastrozole-0,032µg/L + Testostérone</v>
      </c>
      <c r="S45" s="7" t="str">
        <f t="shared" ref="S45:V45" si="29">S4</f>
        <v>Anastrozole-0,16µg/L + Testostérone</v>
      </c>
      <c r="T45" s="7" t="str">
        <f t="shared" si="29"/>
        <v>Anastrozole-0,8µg/L + Testostérone</v>
      </c>
      <c r="U45" s="7" t="str">
        <f t="shared" si="29"/>
        <v>Anastrozole-4µg/L + Testostérone</v>
      </c>
      <c r="V45" s="7" t="str">
        <f t="shared" si="29"/>
        <v>Anastrozole-20µg/L + Testostérone</v>
      </c>
    </row>
    <row r="46" spans="1:22" x14ac:dyDescent="0.35">
      <c r="A46" s="8" t="s">
        <v>0</v>
      </c>
      <c r="B46" s="10">
        <f t="shared" ref="B46:H46" si="30">AVERAGE(B28:B43)</f>
        <v>7.7759534283023013E-2</v>
      </c>
      <c r="C46" s="10">
        <f t="shared" si="30"/>
        <v>3.7657373496600068E-2</v>
      </c>
      <c r="D46" s="10">
        <f t="shared" si="30"/>
        <v>0.56434164153272581</v>
      </c>
      <c r="E46" s="10">
        <f t="shared" si="30"/>
        <v>1.2007147285361275</v>
      </c>
      <c r="F46" s="10">
        <f t="shared" si="30"/>
        <v>2.1047110144376973</v>
      </c>
      <c r="G46" s="10">
        <f t="shared" si="30"/>
        <v>2.1047110144376973</v>
      </c>
      <c r="H46" s="10">
        <f t="shared" si="30"/>
        <v>5.3916511981254631</v>
      </c>
      <c r="I46" s="10">
        <f>AVERAGE(I28:I43)</f>
        <v>5.9054059538796735E-2</v>
      </c>
      <c r="J46" s="9">
        <f>AVERAGE(J28:J43)</f>
        <v>7.1660580117384548E-2</v>
      </c>
      <c r="K46" s="9">
        <f t="shared" ref="K46:M46" si="31">AVERAGE(K28:K43)</f>
        <v>4.5752504373828315E-2</v>
      </c>
      <c r="L46" s="9">
        <f t="shared" si="31"/>
        <v>6.6715426133018785E-2</v>
      </c>
      <c r="M46" s="9">
        <f t="shared" si="31"/>
        <v>3.8590711845896179E-2</v>
      </c>
      <c r="N46" s="8" t="s">
        <v>0</v>
      </c>
      <c r="O46" s="10">
        <f t="shared" ref="O46:R46" si="32">AVERAGE(O28:O43)</f>
        <v>1</v>
      </c>
      <c r="P46" s="10">
        <f t="shared" si="32"/>
        <v>2.9526971740731742</v>
      </c>
      <c r="Q46" s="10">
        <f t="shared" si="32"/>
        <v>3.8368818137730173E-2</v>
      </c>
      <c r="R46" s="10">
        <f t="shared" si="32"/>
        <v>0.52024025054931877</v>
      </c>
      <c r="S46" s="10">
        <f t="shared" ref="S46:V46" si="33">AVERAGE(S28:S43)</f>
        <v>0.33915197104422284</v>
      </c>
      <c r="T46" s="10">
        <f t="shared" si="33"/>
        <v>0.33590295918833984</v>
      </c>
      <c r="U46" s="10">
        <f t="shared" si="33"/>
        <v>0.43339672415647995</v>
      </c>
      <c r="V46" s="10">
        <f t="shared" si="33"/>
        <v>3.4892966948684892E-2</v>
      </c>
    </row>
    <row r="47" spans="1:22" x14ac:dyDescent="0.35">
      <c r="A47" s="8" t="s">
        <v>1</v>
      </c>
      <c r="B47" s="8">
        <f t="shared" ref="B47:J47" si="34">STDEV(B28:B43)</f>
        <v>8.5712866922710421E-2</v>
      </c>
      <c r="C47" s="8">
        <f t="shared" si="34"/>
        <v>3.7743666425958763E-2</v>
      </c>
      <c r="D47" s="8">
        <f t="shared" si="34"/>
        <v>1.0001652350790904</v>
      </c>
      <c r="E47" s="8">
        <f t="shared" si="34"/>
        <v>0.72847665163485043</v>
      </c>
      <c r="F47" s="8">
        <f t="shared" si="34"/>
        <v>0.95842354559078902</v>
      </c>
      <c r="G47" s="8">
        <f t="shared" si="34"/>
        <v>0.95842354559078902</v>
      </c>
      <c r="H47" s="8">
        <f t="shared" si="34"/>
        <v>1.6886914253090619</v>
      </c>
      <c r="I47" s="8">
        <f t="shared" si="34"/>
        <v>4.6854129786714244E-2</v>
      </c>
      <c r="J47" s="8">
        <f t="shared" si="34"/>
        <v>5.342421587300606E-2</v>
      </c>
      <c r="K47" s="8">
        <f t="shared" ref="K47:M47" si="35">STDEV(K28:K43)</f>
        <v>2.9682378355837931E-2</v>
      </c>
      <c r="L47" s="8">
        <f t="shared" si="35"/>
        <v>6.1488429373655312E-2</v>
      </c>
      <c r="M47" s="8">
        <f t="shared" si="35"/>
        <v>3.9899466200223402E-2</v>
      </c>
      <c r="N47" s="8" t="s">
        <v>1</v>
      </c>
      <c r="O47" s="8">
        <f t="shared" ref="O47:R47" si="36">STDEV(O28:O43)</f>
        <v>0.86719914211255478</v>
      </c>
      <c r="P47" s="8">
        <f t="shared" si="36"/>
        <v>0.34223516250118502</v>
      </c>
      <c r="Q47" s="8">
        <f t="shared" si="36"/>
        <v>2.5236282993140114E-2</v>
      </c>
      <c r="R47" s="8">
        <f t="shared" si="36"/>
        <v>0.45743745954040543</v>
      </c>
      <c r="S47" s="8">
        <f t="shared" ref="S47:V47" si="37">STDEV(S28:S43)</f>
        <v>0.52917230456071962</v>
      </c>
      <c r="T47" s="8">
        <f t="shared" si="37"/>
        <v>0.19716067346770283</v>
      </c>
      <c r="U47" s="8">
        <f t="shared" si="37"/>
        <v>1.0471994871135679</v>
      </c>
      <c r="V47" s="8">
        <f t="shared" si="37"/>
        <v>1.7148284237470099E-2</v>
      </c>
    </row>
    <row r="48" spans="1:22" x14ac:dyDescent="0.35">
      <c r="A48" s="8" t="s">
        <v>2</v>
      </c>
      <c r="B48" s="8">
        <f t="shared" ref="B48:J48" si="38" xml:space="preserve"> B47/SQRT(COUNT(B28:B43))</f>
        <v>3.0304074717994331E-2</v>
      </c>
      <c r="C48" s="8">
        <f t="shared" si="38"/>
        <v>1.3344401238319231E-2</v>
      </c>
      <c r="D48" s="8">
        <f t="shared" si="38"/>
        <v>0.35361181001573111</v>
      </c>
      <c r="E48" s="8">
        <f t="shared" si="38"/>
        <v>0.25755539015353646</v>
      </c>
      <c r="F48" s="8">
        <f t="shared" si="38"/>
        <v>0.33885389416805051</v>
      </c>
      <c r="G48" s="8">
        <f t="shared" si="38"/>
        <v>0.33885389416805051</v>
      </c>
      <c r="H48" s="8">
        <f t="shared" si="38"/>
        <v>0.59704257908380687</v>
      </c>
      <c r="I48" s="8">
        <f t="shared" si="38"/>
        <v>1.6565436449390122E-2</v>
      </c>
      <c r="J48" s="8">
        <f t="shared" si="38"/>
        <v>2.0192455598371926E-2</v>
      </c>
      <c r="K48" s="8">
        <f t="shared" ref="K48:M48" si="39" xml:space="preserve"> K47/SQRT(COUNT(K28:K43))</f>
        <v>1.0494305508578902E-2</v>
      </c>
      <c r="L48" s="8">
        <f t="shared" si="39"/>
        <v>2.1739442687310883E-2</v>
      </c>
      <c r="M48" s="8">
        <f t="shared" si="39"/>
        <v>1.4106591557950708E-2</v>
      </c>
      <c r="N48" s="8" t="s">
        <v>2</v>
      </c>
      <c r="O48" s="8">
        <f t="shared" ref="O48:R48" si="40" xml:space="preserve"> O47/SQRT(COUNT(O28:O43))</f>
        <v>0.21679978552813869</v>
      </c>
      <c r="P48" s="8">
        <f t="shared" si="40"/>
        <v>0.12099840208253397</v>
      </c>
      <c r="Q48" s="8">
        <f t="shared" si="40"/>
        <v>8.9223734181960584E-3</v>
      </c>
      <c r="R48" s="8">
        <f t="shared" si="40"/>
        <v>0.16172856480488382</v>
      </c>
      <c r="S48" s="8">
        <f t="shared" ref="S48:V48" si="41" xml:space="preserve"> S47/SQRT(COUNT(S28:S43))</f>
        <v>0.18709066248549891</v>
      </c>
      <c r="T48" s="8">
        <f t="shared" si="41"/>
        <v>6.9706824596159636E-2</v>
      </c>
      <c r="U48" s="8">
        <f t="shared" si="41"/>
        <v>0.37024092929653923</v>
      </c>
      <c r="V48" s="8">
        <f t="shared" si="41"/>
        <v>6.062834035014745E-3</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4"/>
    <row r="52" spans="1:22" x14ac:dyDescent="0.3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Anastrozole-0,032µg/L</v>
      </c>
      <c r="J52" s="46" t="str">
        <f>J4</f>
        <v>Anastrozole-0,16µg/L</v>
      </c>
      <c r="K52" s="46" t="str">
        <f t="shared" ref="K52:M52" si="43">K4</f>
        <v>Anastrozole-0,8µg/L</v>
      </c>
      <c r="L52" s="46" t="str">
        <f t="shared" si="43"/>
        <v>Anastrozole-4µg/L</v>
      </c>
      <c r="M52" s="46" t="str">
        <f t="shared" si="43"/>
        <v>Anastrozole-20µg/L</v>
      </c>
      <c r="N52" s="47"/>
      <c r="O52" s="46" t="str">
        <f>O27</f>
        <v>Testo -30µg/L</v>
      </c>
      <c r="P52" s="46" t="str">
        <f>P27</f>
        <v>Testo 30µg/L + EE2 -64ng/L</v>
      </c>
      <c r="Q52" s="46" t="str">
        <f>Q27</f>
        <v>Testo 30µg/L + FAD-10µg/L</v>
      </c>
      <c r="R52" s="46" t="str">
        <f>R27</f>
        <v>Anastrozole-0,032µg/L + Testostérone</v>
      </c>
      <c r="S52" s="46" t="str">
        <f t="shared" ref="S52:V52" si="44">S27</f>
        <v>Anastrozole-0,16µg/L + Testostérone</v>
      </c>
      <c r="T52" s="46" t="str">
        <f t="shared" si="44"/>
        <v>Anastrozole-0,8µg/L + Testostérone</v>
      </c>
      <c r="U52" s="46" t="str">
        <f t="shared" si="44"/>
        <v>Anastrozole-4µg/L + Testostérone</v>
      </c>
      <c r="V52" s="46" t="str">
        <f t="shared" si="44"/>
        <v>Anastrozole-20µg/L + Testostérone</v>
      </c>
    </row>
    <row r="53" spans="1:22" s="3" customFormat="1" x14ac:dyDescent="0.35">
      <c r="A53" s="61" t="s">
        <v>32</v>
      </c>
      <c r="B53" s="141">
        <f t="shared" ref="B53" si="45">B46</f>
        <v>7.7759534283023013E-2</v>
      </c>
      <c r="C53" s="141">
        <f t="shared" ref="C53:V53" si="46">C46</f>
        <v>3.7657373496600068E-2</v>
      </c>
      <c r="D53" s="141">
        <f t="shared" si="46"/>
        <v>0.56434164153272581</v>
      </c>
      <c r="E53" s="141">
        <f t="shared" si="46"/>
        <v>1.2007147285361275</v>
      </c>
      <c r="F53" s="141">
        <f t="shared" si="46"/>
        <v>2.1047110144376973</v>
      </c>
      <c r="G53" s="141">
        <f t="shared" si="46"/>
        <v>2.1047110144376973</v>
      </c>
      <c r="H53" s="141">
        <f t="shared" si="46"/>
        <v>5.3916511981254631</v>
      </c>
      <c r="I53" s="141">
        <f t="shared" si="46"/>
        <v>5.9054059538796735E-2</v>
      </c>
      <c r="J53" s="141">
        <f t="shared" si="46"/>
        <v>7.1660580117384548E-2</v>
      </c>
      <c r="K53" s="141">
        <f t="shared" si="46"/>
        <v>4.5752504373828315E-2</v>
      </c>
      <c r="L53" s="141">
        <f t="shared" si="46"/>
        <v>6.6715426133018785E-2</v>
      </c>
      <c r="M53" s="141">
        <f t="shared" si="46"/>
        <v>3.8590711845896179E-2</v>
      </c>
      <c r="N53" s="141"/>
      <c r="O53" s="141">
        <f t="shared" si="46"/>
        <v>1</v>
      </c>
      <c r="P53" s="141">
        <f t="shared" si="46"/>
        <v>2.9526971740731742</v>
      </c>
      <c r="Q53" s="141">
        <f t="shared" si="46"/>
        <v>3.8368818137730173E-2</v>
      </c>
      <c r="R53" s="141">
        <f t="shared" si="46"/>
        <v>0.52024025054931877</v>
      </c>
      <c r="S53" s="141">
        <f t="shared" si="46"/>
        <v>0.33915197104422284</v>
      </c>
      <c r="T53" s="141">
        <f t="shared" si="46"/>
        <v>0.33590295918833984</v>
      </c>
      <c r="U53" s="141">
        <f t="shared" si="46"/>
        <v>0.43339672415647995</v>
      </c>
      <c r="V53" s="141">
        <f t="shared" si="46"/>
        <v>3.4892966948684892E-2</v>
      </c>
    </row>
    <row r="54" spans="1:22" s="3" customFormat="1" x14ac:dyDescent="0.35">
      <c r="A54" s="61" t="s">
        <v>2</v>
      </c>
      <c r="B54" s="141">
        <f t="shared" ref="B54" si="47">B48</f>
        <v>3.0304074717994331E-2</v>
      </c>
      <c r="C54" s="141">
        <f t="shared" ref="C54:V54" si="48">C48</f>
        <v>1.3344401238319231E-2</v>
      </c>
      <c r="D54" s="141">
        <f t="shared" si="48"/>
        <v>0.35361181001573111</v>
      </c>
      <c r="E54" s="141">
        <f t="shared" si="48"/>
        <v>0.25755539015353646</v>
      </c>
      <c r="F54" s="141">
        <f t="shared" si="48"/>
        <v>0.33885389416805051</v>
      </c>
      <c r="G54" s="141">
        <f t="shared" si="48"/>
        <v>0.33885389416805051</v>
      </c>
      <c r="H54" s="141">
        <f t="shared" si="48"/>
        <v>0.59704257908380687</v>
      </c>
      <c r="I54" s="141">
        <f t="shared" si="48"/>
        <v>1.6565436449390122E-2</v>
      </c>
      <c r="J54" s="141">
        <f t="shared" si="48"/>
        <v>2.0192455598371926E-2</v>
      </c>
      <c r="K54" s="141">
        <f t="shared" si="48"/>
        <v>1.0494305508578902E-2</v>
      </c>
      <c r="L54" s="141">
        <f t="shared" si="48"/>
        <v>2.1739442687310883E-2</v>
      </c>
      <c r="M54" s="141">
        <f t="shared" si="48"/>
        <v>1.4106591557950708E-2</v>
      </c>
      <c r="N54" s="141"/>
      <c r="O54" s="141">
        <f t="shared" si="48"/>
        <v>0.21679978552813869</v>
      </c>
      <c r="P54" s="141">
        <f t="shared" si="48"/>
        <v>0.12099840208253397</v>
      </c>
      <c r="Q54" s="141">
        <f t="shared" si="48"/>
        <v>8.9223734181960584E-3</v>
      </c>
      <c r="R54" s="141">
        <f t="shared" si="48"/>
        <v>0.16172856480488382</v>
      </c>
      <c r="S54" s="141">
        <f t="shared" si="48"/>
        <v>0.18709066248549891</v>
      </c>
      <c r="T54" s="141">
        <f t="shared" si="48"/>
        <v>6.9706824596159636E-2</v>
      </c>
      <c r="U54" s="141">
        <f t="shared" si="48"/>
        <v>0.37024092929653923</v>
      </c>
      <c r="V54" s="141">
        <f t="shared" si="48"/>
        <v>6.062834035014745E-3</v>
      </c>
    </row>
    <row r="55" spans="1:22" s="3" customFormat="1" x14ac:dyDescent="0.35">
      <c r="A55" s="61" t="s">
        <v>79</v>
      </c>
      <c r="B55" s="141">
        <f>(B53*100/$B53)-100</f>
        <v>0</v>
      </c>
      <c r="C55" s="141">
        <f t="shared" ref="C55:M55" si="49">(C53*100/$B53)-100</f>
        <v>-51.572017703272586</v>
      </c>
      <c r="D55" s="141">
        <f t="shared" si="49"/>
        <v>625.75234244418141</v>
      </c>
      <c r="E55" s="141">
        <f t="shared" si="49"/>
        <v>1444.1382714123015</v>
      </c>
      <c r="F55" s="141">
        <f t="shared" si="49"/>
        <v>2606.6918980984842</v>
      </c>
      <c r="G55" s="141">
        <f t="shared" si="49"/>
        <v>2606.6918980984842</v>
      </c>
      <c r="H55" s="141">
        <f t="shared" si="49"/>
        <v>6833.7493438442634</v>
      </c>
      <c r="I55" s="141">
        <f t="shared" si="49"/>
        <v>-24.055538548036523</v>
      </c>
      <c r="J55" s="141">
        <f t="shared" si="49"/>
        <v>-7.8433522292455677</v>
      </c>
      <c r="K55" s="141">
        <f t="shared" si="49"/>
        <v>-41.161550418625239</v>
      </c>
      <c r="L55" s="141">
        <f t="shared" si="49"/>
        <v>-14.202899042330628</v>
      </c>
      <c r="M55" s="141">
        <f t="shared" si="49"/>
        <v>-50.371729715565486</v>
      </c>
      <c r="N55" s="141"/>
      <c r="O55" s="141">
        <f t="shared" ref="O55:V55" si="50">(O53*100/$O53)-100</f>
        <v>0</v>
      </c>
      <c r="P55" s="141">
        <f t="shared" si="50"/>
        <v>195.26971740731744</v>
      </c>
      <c r="Q55" s="141">
        <f t="shared" si="50"/>
        <v>-96.163118186226981</v>
      </c>
      <c r="R55" s="141">
        <f t="shared" si="50"/>
        <v>-47.975974945068124</v>
      </c>
      <c r="S55" s="141">
        <f t="shared" si="50"/>
        <v>-66.084802895577724</v>
      </c>
      <c r="T55" s="141">
        <f t="shared" si="50"/>
        <v>-66.409704081166012</v>
      </c>
      <c r="U55" s="141">
        <f t="shared" si="50"/>
        <v>-56.660327584352004</v>
      </c>
      <c r="V55" s="141">
        <f t="shared" si="50"/>
        <v>-96.510703305131514</v>
      </c>
    </row>
    <row r="56" spans="1:22" s="3" customFormat="1" x14ac:dyDescent="0.35">
      <c r="A56" s="61" t="s">
        <v>81</v>
      </c>
      <c r="B56" s="141">
        <f>[1]!SWTEST(B28:B43)</f>
        <v>1.073330117741389E-2</v>
      </c>
      <c r="C56" s="141">
        <f>[1]!SWTEST(C28:C43)</f>
        <v>9.2299463534808113E-2</v>
      </c>
      <c r="D56" s="141">
        <f>[1]!SWTEST(D28:D43)</f>
        <v>1.4578629131811738E-4</v>
      </c>
      <c r="E56" s="141">
        <f>[1]!SWTEST(E28:E43)</f>
        <v>0.74699060926100236</v>
      </c>
      <c r="F56" s="141">
        <f>[1]!SWTEST(F28:F43)</f>
        <v>0.75801180607090224</v>
      </c>
      <c r="G56" s="141">
        <f>[1]!SWTEST(G28:G43)</f>
        <v>0.75801180607090224</v>
      </c>
      <c r="H56" s="141">
        <f>[1]!SWTEST(H28:H43)</f>
        <v>0.67367982152808681</v>
      </c>
      <c r="I56" s="141">
        <f>[1]!SWTEST(I28:I43)</f>
        <v>0.34801426738447627</v>
      </c>
      <c r="J56" s="141">
        <f>[1]!SWTEST(J28:J43)</f>
        <v>4.1568262770359743E-2</v>
      </c>
      <c r="K56" s="141">
        <f>[1]!SWTEST(K28:K43)</f>
        <v>0.15448095510087922</v>
      </c>
      <c r="L56" s="141">
        <f>[1]!SWTEST(L28:L43)</f>
        <v>9.135330003772868E-3</v>
      </c>
      <c r="M56" s="141">
        <f>[1]!SWTEST(M28:M43)</f>
        <v>8.7479922142279509E-3</v>
      </c>
      <c r="N56" s="141"/>
      <c r="O56" s="141">
        <f>[1]!SWTEST(O28:O43)</f>
        <v>7.8654677521116656E-2</v>
      </c>
      <c r="P56" s="141">
        <f>[1]!SWTEST(P28:P43)</f>
        <v>0.58647880166517941</v>
      </c>
      <c r="Q56" s="141">
        <f>[1]!SWTEST(Q28:Q43)</f>
        <v>0.19685124203547788</v>
      </c>
      <c r="R56" s="141">
        <f>[1]!SWTEST(R28:R43)</f>
        <v>0.12967123055714713</v>
      </c>
      <c r="S56" s="141">
        <f>[1]!SWTEST(S28:S43)</f>
        <v>9.5877267977184655E-4</v>
      </c>
      <c r="T56" s="141">
        <f>[1]!SWTEST(T28:T43)</f>
        <v>0.98257496805462241</v>
      </c>
      <c r="U56" s="141">
        <f>[1]!SWTEST(U28:U43)</f>
        <v>3.5455910888382292E-6</v>
      </c>
      <c r="V56" s="141">
        <f>[1]!SWTEST(V28:V43)</f>
        <v>0.85715094761906885</v>
      </c>
    </row>
    <row r="57" spans="1:22" s="3" customFormat="1" x14ac:dyDescent="0.35">
      <c r="A57" s="61" t="s">
        <v>85</v>
      </c>
      <c r="B57" s="141" t="str">
        <f>IF(B56&gt;0.05,"Oui","Non")</f>
        <v>Non</v>
      </c>
      <c r="C57" s="141" t="str">
        <f t="shared" ref="C57:V57" si="51">IF(C56&gt;0.05,"Oui","Non")</f>
        <v>Oui</v>
      </c>
      <c r="D57" s="141" t="str">
        <f t="shared" si="51"/>
        <v>Non</v>
      </c>
      <c r="E57" s="141" t="str">
        <f t="shared" si="51"/>
        <v>Oui</v>
      </c>
      <c r="F57" s="141" t="str">
        <f t="shared" si="51"/>
        <v>Oui</v>
      </c>
      <c r="G57" s="141" t="str">
        <f t="shared" si="51"/>
        <v>Oui</v>
      </c>
      <c r="H57" s="141" t="str">
        <f t="shared" si="51"/>
        <v>Oui</v>
      </c>
      <c r="I57" s="141" t="str">
        <f t="shared" si="51"/>
        <v>Oui</v>
      </c>
      <c r="J57" s="141" t="str">
        <f t="shared" si="51"/>
        <v>Non</v>
      </c>
      <c r="K57" s="141" t="str">
        <f t="shared" si="51"/>
        <v>Oui</v>
      </c>
      <c r="L57" s="141" t="str">
        <f t="shared" si="51"/>
        <v>Non</v>
      </c>
      <c r="M57" s="141" t="str">
        <f t="shared" si="51"/>
        <v>Non</v>
      </c>
      <c r="N57" s="141"/>
      <c r="O57" s="141" t="str">
        <f t="shared" si="51"/>
        <v>Oui</v>
      </c>
      <c r="P57" s="141" t="str">
        <f t="shared" si="51"/>
        <v>Oui</v>
      </c>
      <c r="Q57" s="141" t="str">
        <f t="shared" si="51"/>
        <v>Oui</v>
      </c>
      <c r="R57" s="141" t="str">
        <f t="shared" si="51"/>
        <v>Oui</v>
      </c>
      <c r="S57" s="141" t="str">
        <f t="shared" si="51"/>
        <v>Non</v>
      </c>
      <c r="T57" s="141" t="str">
        <f t="shared" si="51"/>
        <v>Oui</v>
      </c>
      <c r="U57" s="141" t="str">
        <f t="shared" si="51"/>
        <v>Non</v>
      </c>
      <c r="V57" s="141" t="str">
        <f t="shared" si="5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52">IF($B57="Non",IF(C57="Non","MW",IF(C57="Oui","MW","")),IF($B57="Oui",IF(C57="Oui","T-Test Welch",IF(C57="Non","MW",""))))</f>
        <v>MW</v>
      </c>
      <c r="D59" s="150" t="str">
        <f t="shared" si="52"/>
        <v>MW</v>
      </c>
      <c r="E59" s="150" t="str">
        <f t="shared" si="52"/>
        <v>MW</v>
      </c>
      <c r="F59" s="150" t="str">
        <f t="shared" si="52"/>
        <v>MW</v>
      </c>
      <c r="G59" s="150" t="str">
        <f t="shared" si="52"/>
        <v>MW</v>
      </c>
      <c r="H59" s="150" t="str">
        <f t="shared" si="52"/>
        <v>MW</v>
      </c>
      <c r="I59" s="150" t="str">
        <f t="shared" si="52"/>
        <v>MW</v>
      </c>
      <c r="J59" s="150" t="str">
        <f t="shared" si="52"/>
        <v>MW</v>
      </c>
      <c r="K59" s="150" t="str">
        <f t="shared" si="52"/>
        <v>MW</v>
      </c>
      <c r="L59" s="150" t="str">
        <f t="shared" si="52"/>
        <v>MW</v>
      </c>
      <c r="M59" s="150" t="str">
        <f t="shared" si="52"/>
        <v>MW</v>
      </c>
      <c r="N59" s="150"/>
      <c r="O59" s="150" t="str">
        <f t="shared" si="52"/>
        <v>MW</v>
      </c>
      <c r="P59" s="150" t="str">
        <f t="shared" ref="P59:V59" si="53">IF($O57="Non",IF(P57="Non","MW",IF(P57="Oui","MW","")),IF($O57="Oui",IF(P57="Oui","T-Test Welch",IF(P57="Non","MW",""))))</f>
        <v>T-Test Welch</v>
      </c>
      <c r="Q59" s="150" t="str">
        <f t="shared" si="53"/>
        <v>T-Test Welch</v>
      </c>
      <c r="R59" s="150" t="str">
        <f t="shared" si="53"/>
        <v>T-Test Welch</v>
      </c>
      <c r="S59" s="150" t="str">
        <f t="shared" si="53"/>
        <v>MW</v>
      </c>
      <c r="T59" s="150" t="str">
        <f t="shared" si="53"/>
        <v>T-Test Welch</v>
      </c>
      <c r="U59" s="150" t="str">
        <f t="shared" si="53"/>
        <v>MW</v>
      </c>
      <c r="V59" s="150" t="str">
        <f t="shared" si="53"/>
        <v>T-Test Welch</v>
      </c>
    </row>
    <row r="60" spans="1:22" s="3" customFormat="1" x14ac:dyDescent="0.35">
      <c r="A60" s="61" t="s">
        <v>83</v>
      </c>
      <c r="B60" s="151"/>
      <c r="C60" s="151">
        <f>IF(C59="MW",[1]!MTEST($B28:$B43,C28:C43,2), IF(C59="T-Test Welch",_xlfn.T.TEST($B28:$B43,C28:C43,2,3),""))</f>
        <v>0.34456236532569795</v>
      </c>
      <c r="D60" s="151">
        <f>IF(D59="MW",[1]!MTEST($B28:$B43,D28:D43,2), IF(D59="T-Test Welch",_xlfn.T.TEST($B28:$B43,D28:D43,2,3),""))</f>
        <v>0.20757844233562395</v>
      </c>
      <c r="E60" s="151">
        <f>IF(E59="MW",[1]!MTEST($B28:$B43,E28:E43,2), IF(E59="T-Test Welch",_xlfn.T.TEST($B28:$B43,E28:E43,2,3),""))</f>
        <v>7.7753044694039986E-4</v>
      </c>
      <c r="F60" s="151">
        <f>IF(F59="MW",[1]!MTEST($B28:$B43,F28:F43,2), IF(F59="T-Test Welch",_xlfn.T.TEST($B28:$B43,F28:F43,2,3),""))</f>
        <v>7.7753044694039986E-4</v>
      </c>
      <c r="G60" s="151">
        <f>IF(G59="MW",[1]!MTEST($B28:$B43,G28:G43,2), IF(G59="T-Test Welch",_xlfn.T.TEST($B28:$B43,G28:G43,2,3),""))</f>
        <v>7.7753044694039986E-4</v>
      </c>
      <c r="H60" s="151">
        <f>IF(H59="MW",[1]!MTEST($B28:$B43,H28:H43,2), IF(H59="T-Test Welch",_xlfn.T.TEST($B28:$B43,H28:H43,2,3),""))</f>
        <v>7.7753044694039986E-4</v>
      </c>
      <c r="I60" s="151">
        <f>IF(I59="MW",[1]!MTEST($B28:$B43,I28:I43,2), IF(I59="T-Test Welch",_xlfn.T.TEST($B28:$B43,I28:I43,2,3),""))</f>
        <v>1</v>
      </c>
      <c r="J60" s="151">
        <f>IF(J59="MW",[1]!MTEST($B28:$B43,J28:J43,2), IF(J59="T-Test Welch",_xlfn.T.TEST($B28:$B43,J28:J43,2,3),""))</f>
        <v>0.41788696431750072</v>
      </c>
      <c r="K60" s="151">
        <f>IF(K59="MW",[1]!MTEST($B28:$B43,K28:K43,2), IF(K59="T-Test Welch",_xlfn.T.TEST($B28:$B43,K28:K43,2,3),""))</f>
        <v>0.67442407223529366</v>
      </c>
      <c r="L60" s="151">
        <f>IF(L59="MW",[1]!MTEST($B28:$B43,L28:L43,2), IF(L59="T-Test Welch",_xlfn.T.TEST($B28:$B43,L28:L43,2,3),""))</f>
        <v>0.91635914027348853</v>
      </c>
      <c r="M60" s="151">
        <f>IF(M59="MW",[1]!MTEST($B28:$B43,M28:M43,2), IF(M59="T-Test Welch",_xlfn.T.TEST($B28:$B43,M28:M43,2,3),""))</f>
        <v>0.24799581483148536</v>
      </c>
      <c r="N60" s="151"/>
      <c r="O60" s="151">
        <f>IF(O59="MW",[1]!MTEST($B28:$B43,O28:O43,2), IF(O59="T-Test Welch",_xlfn.T.TEST($B28:$B43,O28:O43,2,3),""))</f>
        <v>1.7895728484755846E-3</v>
      </c>
      <c r="P60" s="151">
        <f>IF(P59="MW",[1]!MTEST($O28:$O43,P28:P43,2), IF(P59="T-Test Welch",_xlfn.T.TEST($O28:$O43,P28:P43,2,3),""))</f>
        <v>9.6083619449822984E-8</v>
      </c>
      <c r="Q60" s="151">
        <f>IF(Q59="MW",[1]!MTEST($O28:$O43,Q28:Q43,2), IF(Q59="T-Test Welch",_xlfn.T.TEST($O28:$O43,Q28:Q43,2,3),""))</f>
        <v>4.8127182809877572E-4</v>
      </c>
      <c r="R60" s="151">
        <f>IF(R59="MW",[1]!MTEST($O28:$O43,R28:R43,2), IF(R59="T-Test Welch",_xlfn.T.TEST($O28:$O43,R28:R43,2,3),""))</f>
        <v>9.0047570214456849E-2</v>
      </c>
      <c r="S60" s="151">
        <f>IF(S59="MW",[1]!MTEST($O28:$O43,S28:S43,2), IF(S59="T-Test Welch",_xlfn.T.TEST($O28:$O43,S28:S43,2,3),""))</f>
        <v>2.7486336111510301E-2</v>
      </c>
      <c r="T60" s="151">
        <f>IF(T59="MW",[1]!MTEST($O28:$O43,T28:T43,2), IF(T59="T-Test Welch",_xlfn.T.TEST($O28:$O43,T28:T43,2,3),""))</f>
        <v>9.2748163273517689E-3</v>
      </c>
      <c r="U60" s="151">
        <f>IF(U59="MW",[1]!MTEST($O28:$O43,U28:U43,2), IF(U59="T-Test Welch",_xlfn.T.TEST($O28:$O43,U28:U43,2,3),""))</f>
        <v>2.7486336111510301E-2</v>
      </c>
      <c r="V60" s="151">
        <f>IF(V59="MW",[1]!MTEST($O28:$O43,V28:V43,2), IF(V59="T-Test Welch",_xlfn.T.TEST($O28:$O43,V28:V43,2,3),""))</f>
        <v>4.6614697355002051E-4</v>
      </c>
    </row>
    <row r="61" spans="1:22" s="3" customFormat="1" ht="15" thickBot="1" x14ac:dyDescent="0.4">
      <c r="A61" s="62" t="s">
        <v>84</v>
      </c>
      <c r="B61" s="142"/>
      <c r="C61" s="142" t="str">
        <f t="shared" ref="C61:O61" si="54">IF(C60&gt;0.05,"NS",IF(C60&gt;0.01,"*",IF(C60&gt;0.001,"**","***")))</f>
        <v>NS</v>
      </c>
      <c r="D61" s="142" t="str">
        <f t="shared" si="54"/>
        <v>NS</v>
      </c>
      <c r="E61" s="142" t="str">
        <f t="shared" si="54"/>
        <v>***</v>
      </c>
      <c r="F61" s="142" t="str">
        <f t="shared" si="54"/>
        <v>***</v>
      </c>
      <c r="G61" s="142" t="str">
        <f t="shared" si="54"/>
        <v>***</v>
      </c>
      <c r="H61" s="142" t="str">
        <f t="shared" si="54"/>
        <v>***</v>
      </c>
      <c r="I61" s="142" t="str">
        <f t="shared" si="54"/>
        <v>NS</v>
      </c>
      <c r="J61" s="142" t="str">
        <f t="shared" si="54"/>
        <v>NS</v>
      </c>
      <c r="K61" s="142" t="str">
        <f t="shared" si="54"/>
        <v>NS</v>
      </c>
      <c r="L61" s="142" t="str">
        <f t="shared" si="54"/>
        <v>NS</v>
      </c>
      <c r="M61" s="142" t="str">
        <f t="shared" si="54"/>
        <v>NS</v>
      </c>
      <c r="N61" s="142"/>
      <c r="O61" s="142" t="str">
        <f t="shared" si="54"/>
        <v>**</v>
      </c>
      <c r="P61" s="142" t="str">
        <f>IF(P60&gt;0.05,"NS",IF(P60&gt;0.01,"*",IF(P60&gt;0.001,"**","***")))</f>
        <v>***</v>
      </c>
      <c r="Q61" s="142" t="str">
        <f t="shared" ref="Q61:V61" si="55">IF(Q60&gt;0.05,"NS",IF(Q60&gt;0.01,"*",IF(Q60&gt;0.001,"**","***")))</f>
        <v>***</v>
      </c>
      <c r="R61" s="142" t="str">
        <f t="shared" si="55"/>
        <v>NS</v>
      </c>
      <c r="S61" s="142" t="str">
        <f t="shared" si="55"/>
        <v>*</v>
      </c>
      <c r="T61" s="142" t="str">
        <f t="shared" si="55"/>
        <v>**</v>
      </c>
      <c r="U61" s="142" t="str">
        <f t="shared" si="55"/>
        <v>*</v>
      </c>
      <c r="V61" s="142" t="str">
        <f t="shared" si="55"/>
        <v>***</v>
      </c>
    </row>
    <row r="63" spans="1:22" x14ac:dyDescent="0.35">
      <c r="A63" s="2" t="s">
        <v>39</v>
      </c>
    </row>
    <row r="64" spans="1:22" x14ac:dyDescent="0.35">
      <c r="A64" s="1" t="s">
        <v>23</v>
      </c>
      <c r="B64" s="1">
        <f>B46+(3*B47)</f>
        <v>0.33489813505115429</v>
      </c>
    </row>
    <row r="65" spans="1:22" x14ac:dyDescent="0.35">
      <c r="A65" s="1" t="s">
        <v>24</v>
      </c>
      <c r="B65" s="1">
        <f>B46+(10*B47)</f>
        <v>0.93488820351012714</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5">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5">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5">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5">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5">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5">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5">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5">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5">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5">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5">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5">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5">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5">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5">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5">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5">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5">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5">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5">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5">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5">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5">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5">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5">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5">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5">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5">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5">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5">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5">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5">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5">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5">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5">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5">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5">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5">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5">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5">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5">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5">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5">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5">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5">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5">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5">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5">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5">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5">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5">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5">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5">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5">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5">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5">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5">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5">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5">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5">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5">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5">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5">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5">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5">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5">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5">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5">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5">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5">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5">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5">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5">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5">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5">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5">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5">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5">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5">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5">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5">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5">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5">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5">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5">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5">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5">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5">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5">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5">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5">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5">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5">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5">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5">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5">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5">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5">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5">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5">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5">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5">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5">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5">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5">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5">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5">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5">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5">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5">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5">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5">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5">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5">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5">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5">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5">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5">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5">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5">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5">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5">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5">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5">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5">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5">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5">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5">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5">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5">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5">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5">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5">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5">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5">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5">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5">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5">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5">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5">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5">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5">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5">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5">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5">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5">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5">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5">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5">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5">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5">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5">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5">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5">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5">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5">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5">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5">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5">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5">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5">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5">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5">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5">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5">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5">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5">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5">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5">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5">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5">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5">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5">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5">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5">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5">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5">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5">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5">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5">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5">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5">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5">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5">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5">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5">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5">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5">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5">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5">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5">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5">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5">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5">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5">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5">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5">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5">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5">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5">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5">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5">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5">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5">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5">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5">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5">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5">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5">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5">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5">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5">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5">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5">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5">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5">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5">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5">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5">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5">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5">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5">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5">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5">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5">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5">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5">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5">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5">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5">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5">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5">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5">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5">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5">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5">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5">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5">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5">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5">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5">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5">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5">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5">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5">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5">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5">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5">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5">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5">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5">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5">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5">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5">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5">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5">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5">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5">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5">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5">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5">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5">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5">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5">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5">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5">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5">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5">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5">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5">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5">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5">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5">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5">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5">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5">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5">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5">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5">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5">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5">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5">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5">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5">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5">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5">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5">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5">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5">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5">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5">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5">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5">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5">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5">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5">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5">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5">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5">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5">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5">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5">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5">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5">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5">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5">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5">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5">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5">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5">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5">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5">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5">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5">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5">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5">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5">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5">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5">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5">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5">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5">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5">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5">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5">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5">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5">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5">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5">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5">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5">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5">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5">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5">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5">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5">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5">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5">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5">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5">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5">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5">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5">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5">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5">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5">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5">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5">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5">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5">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5">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5">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5">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5">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5">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5">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5">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5">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5">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5">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5">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5">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5">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5">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5">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5">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5">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5">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5">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5">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5">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5">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5">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5">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5">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5">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5">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5">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5">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5">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5">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5">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5">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5">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5">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5">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A46" zoomScale="70" zoomScaleNormal="70" zoomScaleSheetLayoutView="40" zoomScalePageLayoutView="30" workbookViewId="0">
      <selection activeCell="H69" sqref="H69"/>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4"/>
    <row r="3" spans="1:22" ht="15" thickBot="1" x14ac:dyDescent="0.4">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Anastrozole-0,032µg/L</v>
      </c>
      <c r="J4" s="35" t="str">
        <f>'Page de garde'!A16</f>
        <v>Anastrozole-0,16µg/L</v>
      </c>
      <c r="K4" s="35" t="str">
        <f>'Page de garde'!A17</f>
        <v>Anastrozole-0,8µg/L</v>
      </c>
      <c r="L4" s="35" t="str">
        <f>'Page de garde'!A18</f>
        <v>Anastrozole-4µg/L</v>
      </c>
      <c r="M4" s="35" t="str">
        <f>'Page de garde'!A19</f>
        <v>Anastrozole-20µg/L</v>
      </c>
      <c r="N4" s="3"/>
      <c r="O4" s="36" t="str">
        <f>'Page de garde'!A36</f>
        <v>Testo -30µg/L</v>
      </c>
      <c r="P4" s="36" t="str">
        <f>'Page de garde'!A37</f>
        <v>Testo 30µg/L + EE2 -64ng/L</v>
      </c>
      <c r="Q4" s="36" t="str">
        <f>'Page de garde'!A38</f>
        <v>Testo 30µg/L + FAD-10µg/L</v>
      </c>
      <c r="R4" s="36" t="str">
        <f>'Page de garde'!A39</f>
        <v>Anastrozole-0,032µg/L + Testostérone</v>
      </c>
      <c r="S4" s="36" t="str">
        <f>'Page de garde'!A40</f>
        <v>Anastrozole-0,16µg/L + Testostérone</v>
      </c>
      <c r="T4" s="36" t="str">
        <f>'Page de garde'!A41</f>
        <v>Anastrozole-0,8µg/L + Testostérone</v>
      </c>
      <c r="U4" s="36" t="str">
        <f>'Page de garde'!A42</f>
        <v>Anastrozole-4µg/L + Testostérone</v>
      </c>
      <c r="V4" s="36" t="str">
        <f>'Page de garde'!A43</f>
        <v>Anastrozole-20µg/L + Testostérone</v>
      </c>
    </row>
    <row r="5" spans="1:22" x14ac:dyDescent="0.35">
      <c r="A5" s="223" t="s">
        <v>33</v>
      </c>
      <c r="B5" s="1">
        <v>159658</v>
      </c>
      <c r="C5" s="1">
        <v>196651</v>
      </c>
      <c r="D5" s="1">
        <v>20598</v>
      </c>
      <c r="E5" s="1">
        <v>1668799</v>
      </c>
      <c r="F5" s="1">
        <v>5274069</v>
      </c>
      <c r="G5" s="1">
        <v>3539833</v>
      </c>
      <c r="H5" s="1">
        <v>5469762</v>
      </c>
      <c r="I5" s="1">
        <v>49647</v>
      </c>
      <c r="J5" s="1">
        <v>128276</v>
      </c>
      <c r="K5" s="1">
        <v>341411</v>
      </c>
      <c r="L5" s="1">
        <v>184664</v>
      </c>
      <c r="M5" s="1">
        <v>43041</v>
      </c>
      <c r="N5" s="3"/>
      <c r="O5" s="1">
        <v>43041</v>
      </c>
      <c r="P5" s="1">
        <v>3629260</v>
      </c>
      <c r="Q5" s="1">
        <v>181856</v>
      </c>
      <c r="R5" s="1">
        <v>335867</v>
      </c>
      <c r="S5" s="1">
        <v>24895</v>
      </c>
      <c r="T5" s="1">
        <v>288758</v>
      </c>
      <c r="U5" s="1">
        <v>124831</v>
      </c>
      <c r="V5" s="1">
        <v>42976</v>
      </c>
    </row>
    <row r="6" spans="1:22" x14ac:dyDescent="0.35">
      <c r="A6" s="223"/>
      <c r="B6" s="1">
        <v>27391</v>
      </c>
      <c r="C6" s="1">
        <v>11437</v>
      </c>
      <c r="D6" s="1">
        <v>33607</v>
      </c>
      <c r="E6" s="1">
        <v>2288834</v>
      </c>
      <c r="F6" s="1">
        <v>1847405</v>
      </c>
      <c r="G6" s="1">
        <v>16522</v>
      </c>
      <c r="H6" s="1">
        <v>9507527</v>
      </c>
      <c r="I6" s="1">
        <v>103952</v>
      </c>
      <c r="J6" s="1">
        <v>366374</v>
      </c>
      <c r="K6" s="1">
        <v>161589</v>
      </c>
      <c r="L6" s="1">
        <v>14371</v>
      </c>
      <c r="M6" s="1">
        <v>105922</v>
      </c>
      <c r="N6" s="3"/>
      <c r="O6" s="1">
        <v>105922</v>
      </c>
      <c r="P6" s="1">
        <v>4509855</v>
      </c>
      <c r="Q6" s="1">
        <v>235794</v>
      </c>
      <c r="R6" s="1">
        <v>1045863</v>
      </c>
      <c r="S6" s="1">
        <v>209092</v>
      </c>
      <c r="T6" s="1">
        <v>193446</v>
      </c>
      <c r="U6" s="1">
        <v>3765</v>
      </c>
      <c r="V6" s="1">
        <v>46564</v>
      </c>
    </row>
    <row r="7" spans="1:22" x14ac:dyDescent="0.35">
      <c r="A7" s="223"/>
      <c r="B7" s="1">
        <v>23382</v>
      </c>
      <c r="C7" s="1">
        <v>184229</v>
      </c>
      <c r="D7" s="1">
        <v>94041</v>
      </c>
      <c r="E7" s="1">
        <v>836927</v>
      </c>
      <c r="F7" s="1">
        <v>6147693</v>
      </c>
      <c r="G7" s="1">
        <v>4043252</v>
      </c>
      <c r="H7" s="1">
        <v>5916868</v>
      </c>
      <c r="I7" s="1">
        <v>332251</v>
      </c>
      <c r="J7" s="1">
        <v>140676</v>
      </c>
      <c r="K7" s="1">
        <v>44287</v>
      </c>
      <c r="L7" s="1">
        <v>59177</v>
      </c>
      <c r="M7" s="1">
        <v>43574</v>
      </c>
      <c r="N7" s="3"/>
      <c r="O7" s="1">
        <v>43574</v>
      </c>
      <c r="P7" s="1">
        <v>3962071</v>
      </c>
      <c r="Q7" s="1">
        <v>70221</v>
      </c>
      <c r="R7" s="1">
        <v>294982</v>
      </c>
      <c r="S7" s="1">
        <v>133711</v>
      </c>
      <c r="T7" s="1">
        <v>27119</v>
      </c>
      <c r="U7" s="1">
        <v>36536</v>
      </c>
      <c r="V7" s="1">
        <v>170669</v>
      </c>
    </row>
    <row r="8" spans="1:22" x14ac:dyDescent="0.35">
      <c r="A8" s="223"/>
      <c r="B8" s="1">
        <v>48567</v>
      </c>
      <c r="C8" s="1">
        <v>25465</v>
      </c>
      <c r="D8" s="1">
        <v>121710</v>
      </c>
      <c r="E8" s="1">
        <v>1351056</v>
      </c>
      <c r="F8" s="1">
        <v>12216613</v>
      </c>
      <c r="G8" s="1">
        <v>1872360</v>
      </c>
      <c r="H8" s="1">
        <v>3423557</v>
      </c>
      <c r="I8" s="1">
        <v>23124</v>
      </c>
      <c r="J8" s="1">
        <v>53879</v>
      </c>
      <c r="K8" s="1">
        <v>97088</v>
      </c>
      <c r="L8" s="1">
        <v>155847</v>
      </c>
      <c r="M8" s="1">
        <v>78295</v>
      </c>
      <c r="N8" s="3"/>
      <c r="O8" s="1">
        <v>78295</v>
      </c>
      <c r="P8" s="1">
        <v>3324441</v>
      </c>
      <c r="Q8" s="1">
        <v>64403</v>
      </c>
      <c r="R8" s="1">
        <v>2871167</v>
      </c>
      <c r="S8" s="1">
        <v>162419</v>
      </c>
      <c r="T8" s="1">
        <v>416702</v>
      </c>
      <c r="U8" s="1">
        <v>88858</v>
      </c>
      <c r="V8" s="1">
        <v>82896</v>
      </c>
    </row>
    <row r="9" spans="1:22" x14ac:dyDescent="0.35">
      <c r="A9" s="223"/>
      <c r="B9" s="1">
        <v>16229</v>
      </c>
      <c r="C9" s="1">
        <v>114428</v>
      </c>
      <c r="D9" s="1">
        <v>161101</v>
      </c>
      <c r="E9" s="1">
        <v>76827</v>
      </c>
      <c r="F9" s="1">
        <v>3796807</v>
      </c>
      <c r="G9" s="1">
        <v>5256696</v>
      </c>
      <c r="H9" s="1">
        <v>8877349</v>
      </c>
      <c r="I9" s="1">
        <v>46722</v>
      </c>
      <c r="J9" s="1">
        <v>7000</v>
      </c>
      <c r="K9" s="1">
        <v>64713</v>
      </c>
      <c r="L9" s="1">
        <v>145952</v>
      </c>
      <c r="M9" s="1">
        <v>407124</v>
      </c>
      <c r="N9" s="3"/>
      <c r="O9" s="1">
        <v>407124</v>
      </c>
      <c r="P9" s="1">
        <v>5057332</v>
      </c>
      <c r="Q9" s="1">
        <v>75668</v>
      </c>
      <c r="R9" s="1">
        <v>1040764</v>
      </c>
      <c r="S9" s="1">
        <v>3418</v>
      </c>
      <c r="T9" s="1">
        <v>311379</v>
      </c>
      <c r="U9" s="1">
        <v>14937067</v>
      </c>
      <c r="V9" s="1">
        <v>171135</v>
      </c>
    </row>
    <row r="10" spans="1:22" x14ac:dyDescent="0.35">
      <c r="A10" s="223"/>
      <c r="B10" s="1">
        <v>167432</v>
      </c>
      <c r="C10" s="1">
        <v>45076</v>
      </c>
      <c r="D10" s="1">
        <v>31392</v>
      </c>
      <c r="E10" s="1">
        <v>851945</v>
      </c>
      <c r="F10" s="1">
        <v>5364612</v>
      </c>
      <c r="G10" s="1">
        <v>3579006</v>
      </c>
      <c r="H10" s="1">
        <v>8875309</v>
      </c>
      <c r="I10" s="1">
        <v>105804</v>
      </c>
      <c r="J10" s="1">
        <v>43335</v>
      </c>
      <c r="K10" s="1">
        <v>100034</v>
      </c>
      <c r="L10" s="1">
        <v>124555</v>
      </c>
      <c r="M10" s="1">
        <v>109697</v>
      </c>
      <c r="N10" s="3"/>
      <c r="O10" s="1">
        <v>109697</v>
      </c>
      <c r="P10" s="1">
        <v>3231449</v>
      </c>
      <c r="Q10" s="1">
        <v>97035</v>
      </c>
      <c r="R10" s="1">
        <v>682929</v>
      </c>
      <c r="S10" s="1">
        <v>430271</v>
      </c>
      <c r="T10" s="1">
        <v>9471</v>
      </c>
      <c r="U10" s="1">
        <v>121486</v>
      </c>
      <c r="V10" s="1">
        <v>111364</v>
      </c>
    </row>
    <row r="11" spans="1:22" x14ac:dyDescent="0.35">
      <c r="A11" s="223"/>
      <c r="B11" s="1">
        <v>52819</v>
      </c>
      <c r="C11" s="1">
        <v>47754</v>
      </c>
      <c r="D11" s="1">
        <v>18306</v>
      </c>
      <c r="E11" s="1">
        <v>2345634</v>
      </c>
      <c r="F11" s="1">
        <v>2104110</v>
      </c>
      <c r="G11" s="1">
        <v>5882922</v>
      </c>
      <c r="H11" s="1">
        <v>11346019</v>
      </c>
      <c r="I11" s="1">
        <v>278540</v>
      </c>
      <c r="J11" s="1">
        <v>29733</v>
      </c>
      <c r="K11" s="1">
        <v>88502</v>
      </c>
      <c r="L11" s="1">
        <v>45726</v>
      </c>
      <c r="M11" s="1">
        <v>63241</v>
      </c>
      <c r="N11" s="3"/>
      <c r="O11" s="1">
        <v>63241</v>
      </c>
      <c r="P11" s="1">
        <v>1303516</v>
      </c>
      <c r="Q11" s="1">
        <v>26371</v>
      </c>
      <c r="R11" s="1">
        <v>162807</v>
      </c>
      <c r="S11" s="1">
        <v>385337</v>
      </c>
      <c r="T11" s="1">
        <v>32756</v>
      </c>
      <c r="U11" s="1">
        <v>10570</v>
      </c>
      <c r="V11" s="1">
        <v>41851</v>
      </c>
    </row>
    <row r="12" spans="1:22" ht="16.5" x14ac:dyDescent="0.35">
      <c r="A12" s="223"/>
      <c r="B12" s="14">
        <v>3086</v>
      </c>
      <c r="C12" s="1">
        <v>52985</v>
      </c>
      <c r="E12" s="32">
        <v>58713</v>
      </c>
      <c r="F12" s="1">
        <v>5036117</v>
      </c>
      <c r="G12" s="1">
        <v>5058128</v>
      </c>
      <c r="H12" s="1">
        <v>11206823</v>
      </c>
      <c r="I12" s="1">
        <v>44536</v>
      </c>
      <c r="K12" s="1">
        <v>176186</v>
      </c>
      <c r="L12" s="1">
        <v>60492</v>
      </c>
      <c r="M12" s="1">
        <v>69721</v>
      </c>
      <c r="N12" s="3"/>
      <c r="O12" s="1">
        <v>69721</v>
      </c>
      <c r="P12" s="1">
        <v>5120439</v>
      </c>
      <c r="Q12" s="13">
        <v>57830</v>
      </c>
      <c r="R12" s="1">
        <v>223719</v>
      </c>
      <c r="S12" s="1">
        <v>29886</v>
      </c>
      <c r="T12" s="1">
        <v>25972</v>
      </c>
      <c r="U12" s="1">
        <v>15523</v>
      </c>
      <c r="V12" s="1">
        <v>124430</v>
      </c>
    </row>
    <row r="13" spans="1:22" ht="16.5" x14ac:dyDescent="0.35">
      <c r="A13" s="223"/>
      <c r="B13" s="14"/>
      <c r="C13" s="13"/>
      <c r="D13" s="32"/>
      <c r="E13" s="32"/>
      <c r="F13" s="32"/>
      <c r="G13" s="32"/>
      <c r="H13" s="32"/>
      <c r="I13" s="32"/>
      <c r="J13" s="32"/>
      <c r="K13" s="13"/>
      <c r="L13" s="13"/>
      <c r="M13" s="13"/>
      <c r="N13" s="3"/>
      <c r="O13" s="1">
        <v>393230</v>
      </c>
      <c r="P13" s="13"/>
      <c r="Q13" s="13"/>
      <c r="R13" s="32"/>
      <c r="S13" s="32"/>
      <c r="T13" s="32"/>
      <c r="U13" s="32"/>
      <c r="V13" s="32"/>
    </row>
    <row r="14" spans="1:22" ht="16.5" x14ac:dyDescent="0.35">
      <c r="A14" s="223"/>
      <c r="B14" s="14"/>
      <c r="C14" s="32"/>
      <c r="D14" s="32"/>
      <c r="E14" s="32"/>
      <c r="F14" s="32"/>
      <c r="G14" s="32"/>
      <c r="H14" s="32"/>
      <c r="I14" s="32"/>
      <c r="J14" s="32"/>
      <c r="K14" s="13"/>
      <c r="L14" s="13"/>
      <c r="M14" s="13"/>
      <c r="N14" s="3"/>
      <c r="O14" s="1">
        <v>1784047</v>
      </c>
      <c r="P14" s="13"/>
      <c r="Q14" s="13"/>
      <c r="R14" s="32"/>
      <c r="S14" s="32"/>
      <c r="T14" s="32"/>
      <c r="U14" s="32"/>
      <c r="V14" s="32"/>
    </row>
    <row r="15" spans="1:22" ht="16.5" x14ac:dyDescent="0.35">
      <c r="A15" s="223"/>
      <c r="B15" s="14"/>
      <c r="C15" s="32"/>
      <c r="D15" s="32"/>
      <c r="E15" s="32"/>
      <c r="F15" s="32"/>
      <c r="G15" s="32"/>
      <c r="H15" s="32"/>
      <c r="I15" s="32"/>
      <c r="J15" s="32"/>
      <c r="K15" s="13"/>
      <c r="L15" s="13"/>
      <c r="M15" s="13"/>
      <c r="N15" s="3"/>
      <c r="O15" s="1">
        <v>875177</v>
      </c>
      <c r="P15" s="13"/>
      <c r="Q15" s="13"/>
      <c r="R15" s="32"/>
      <c r="S15" s="32"/>
      <c r="T15" s="32"/>
      <c r="U15" s="32"/>
      <c r="V15" s="32"/>
    </row>
    <row r="16" spans="1:22" ht="16.5" x14ac:dyDescent="0.35">
      <c r="A16" s="223"/>
      <c r="B16" s="14"/>
      <c r="C16" s="32"/>
      <c r="D16" s="32"/>
      <c r="E16" s="32"/>
      <c r="F16" s="32"/>
      <c r="G16" s="32"/>
      <c r="H16" s="32"/>
      <c r="I16" s="32"/>
      <c r="J16" s="32"/>
      <c r="K16" s="13"/>
      <c r="L16" s="13"/>
      <c r="M16" s="13"/>
      <c r="N16" s="3"/>
      <c r="O16" s="1">
        <v>640206</v>
      </c>
      <c r="P16" s="13"/>
      <c r="Q16" s="13"/>
      <c r="R16" s="32"/>
      <c r="S16" s="32"/>
      <c r="T16" s="32"/>
      <c r="U16" s="32"/>
      <c r="V16" s="32"/>
    </row>
    <row r="17" spans="1:22" ht="16.5" x14ac:dyDescent="0.35">
      <c r="A17" s="223"/>
      <c r="B17" s="14"/>
      <c r="C17" s="32"/>
      <c r="D17" s="32"/>
      <c r="E17" s="32"/>
      <c r="F17" s="32"/>
      <c r="G17" s="32"/>
      <c r="H17" s="32"/>
      <c r="I17" s="32"/>
      <c r="J17" s="32"/>
      <c r="K17" s="13"/>
      <c r="L17" s="13"/>
      <c r="M17" s="13"/>
      <c r="N17" s="3"/>
      <c r="O17" s="1">
        <v>570866</v>
      </c>
      <c r="P17" s="13"/>
      <c r="Q17" s="13"/>
      <c r="R17" s="32"/>
      <c r="S17" s="32"/>
      <c r="T17" s="32"/>
      <c r="U17" s="32"/>
      <c r="V17" s="32"/>
    </row>
    <row r="18" spans="1:22" ht="16.5" x14ac:dyDescent="0.35">
      <c r="A18" s="223"/>
      <c r="B18" s="14"/>
      <c r="C18" s="32"/>
      <c r="D18" s="32"/>
      <c r="E18" s="32"/>
      <c r="F18" s="32"/>
      <c r="G18" s="32"/>
      <c r="H18" s="32"/>
      <c r="I18" s="32"/>
      <c r="J18" s="32"/>
      <c r="K18" s="13"/>
      <c r="L18" s="13"/>
      <c r="M18" s="13"/>
      <c r="N18" s="3"/>
      <c r="O18" s="1">
        <v>1851504</v>
      </c>
      <c r="P18" s="13"/>
      <c r="Q18" s="13"/>
      <c r="R18" s="32"/>
      <c r="S18" s="32"/>
      <c r="T18" s="32"/>
      <c r="U18" s="32"/>
      <c r="V18" s="32"/>
    </row>
    <row r="19" spans="1:22" ht="16.5" x14ac:dyDescent="0.35">
      <c r="A19" s="223"/>
      <c r="B19" s="14"/>
      <c r="C19" s="32"/>
      <c r="D19" s="32"/>
      <c r="E19" s="32"/>
      <c r="F19" s="32"/>
      <c r="G19" s="32"/>
      <c r="H19" s="32"/>
      <c r="I19" s="32"/>
      <c r="J19" s="32"/>
      <c r="K19" s="13"/>
      <c r="L19" s="13"/>
      <c r="M19" s="13"/>
      <c r="N19" s="3"/>
      <c r="O19" s="1">
        <v>3892149</v>
      </c>
      <c r="P19" s="13"/>
      <c r="Q19" s="13"/>
      <c r="R19" s="32"/>
      <c r="S19" s="32"/>
      <c r="T19" s="32"/>
      <c r="U19" s="32"/>
      <c r="V19" s="32"/>
    </row>
    <row r="20" spans="1:22" ht="16.5" x14ac:dyDescent="0.35">
      <c r="A20" s="223"/>
      <c r="B20" s="14"/>
      <c r="C20" s="32"/>
      <c r="D20" s="32"/>
      <c r="E20" s="32"/>
      <c r="F20" s="32"/>
      <c r="G20" s="32"/>
      <c r="H20" s="32"/>
      <c r="I20" s="32"/>
      <c r="J20" s="32"/>
      <c r="K20" s="13"/>
      <c r="L20" s="13"/>
      <c r="M20" s="13"/>
      <c r="N20" s="3"/>
      <c r="O20" s="32">
        <v>167832</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Anastrozole-0,032µg/L</v>
      </c>
      <c r="J22" s="3" t="str">
        <f t="shared" si="0"/>
        <v>Anastrozole-0,16µg/L</v>
      </c>
      <c r="K22" s="3" t="str">
        <f t="shared" si="0"/>
        <v>Anastrozole-0,8µg/L</v>
      </c>
      <c r="L22" s="3" t="str">
        <f t="shared" si="0"/>
        <v>Anastrozole-4µg/L</v>
      </c>
      <c r="M22" s="3" t="str">
        <f t="shared" si="0"/>
        <v>Anastrozole-20µg/L</v>
      </c>
      <c r="N22" s="3" t="s">
        <v>41</v>
      </c>
      <c r="O22" s="3" t="str">
        <f t="shared" si="0"/>
        <v>Testo -30µg/L</v>
      </c>
      <c r="P22" s="3" t="str">
        <f t="shared" si="0"/>
        <v>Testo 30µg/L + EE2 -64ng/L</v>
      </c>
      <c r="Q22" s="3" t="str">
        <f t="shared" si="0"/>
        <v>Testo 30µg/L + FAD-10µg/L</v>
      </c>
      <c r="R22" s="3" t="str">
        <f t="shared" si="0"/>
        <v>Anastrozole-0,032µg/L + Testostérone</v>
      </c>
      <c r="S22" s="3" t="str">
        <f t="shared" si="0"/>
        <v>Anastrozole-0,16µg/L + Testostérone</v>
      </c>
      <c r="T22" s="3" t="str">
        <f t="shared" si="0"/>
        <v>Anastrozole-0,8µg/L + Testostérone</v>
      </c>
      <c r="U22" s="3" t="str">
        <f t="shared" si="0"/>
        <v>Anastrozole-4µg/L + Testostérone</v>
      </c>
      <c r="V22" s="3" t="str">
        <f t="shared" si="0"/>
        <v>Anastrozole-20µg/L + Testostérone</v>
      </c>
    </row>
    <row r="23" spans="1:22" x14ac:dyDescent="0.35">
      <c r="A23" s="5" t="s">
        <v>0</v>
      </c>
      <c r="B23" s="5">
        <f t="shared" ref="B23:J23" si="1">AVERAGE(B5:B20)</f>
        <v>62320.5</v>
      </c>
      <c r="C23" s="5">
        <f t="shared" si="1"/>
        <v>84753.125</v>
      </c>
      <c r="D23" s="5">
        <f t="shared" si="1"/>
        <v>68679.28571428571</v>
      </c>
      <c r="E23" s="5">
        <f t="shared" si="1"/>
        <v>1184841.875</v>
      </c>
      <c r="F23" s="5">
        <f t="shared" si="1"/>
        <v>5223428.25</v>
      </c>
      <c r="G23" s="5">
        <f t="shared" si="1"/>
        <v>3656089.875</v>
      </c>
      <c r="H23" s="5">
        <f t="shared" si="1"/>
        <v>8077901.75</v>
      </c>
      <c r="I23" s="5">
        <f t="shared" si="1"/>
        <v>123072</v>
      </c>
      <c r="J23" s="5">
        <f t="shared" si="1"/>
        <v>109896.14285714286</v>
      </c>
      <c r="K23" s="5"/>
      <c r="L23" s="5">
        <f>AVERAGE(L5:L20)</f>
        <v>98848</v>
      </c>
      <c r="M23" s="5"/>
      <c r="N23" s="5" t="s">
        <v>0</v>
      </c>
      <c r="O23" s="5">
        <f>AVERAGE(O5:O20)</f>
        <v>693476.625</v>
      </c>
      <c r="P23" s="5">
        <f>AVERAGE(P5:P20)</f>
        <v>3767295.375</v>
      </c>
      <c r="Q23" s="5">
        <f>AVERAGE(Q5:Q20)</f>
        <v>101147.25</v>
      </c>
      <c r="R23" s="5">
        <f>AVERAGE(R5:R20)</f>
        <v>832262.25</v>
      </c>
      <c r="S23" s="5">
        <f>AVERAGE(S5:S20)</f>
        <v>172378.625</v>
      </c>
      <c r="T23" s="5">
        <f t="shared" ref="T23:V23" si="2">AVERAGE(T5:T20)</f>
        <v>163200.375</v>
      </c>
      <c r="U23" s="5">
        <f t="shared" si="2"/>
        <v>1917329.5</v>
      </c>
      <c r="V23" s="5">
        <f t="shared" si="2"/>
        <v>98985.625</v>
      </c>
    </row>
    <row r="24" spans="1:22" x14ac:dyDescent="0.35">
      <c r="A24" s="3" t="s">
        <v>1</v>
      </c>
      <c r="B24" s="3">
        <f t="shared" ref="B24:J24" si="3">STDEV(B5:B20)</f>
        <v>64555.494087313302</v>
      </c>
      <c r="C24" s="3">
        <f t="shared" si="3"/>
        <v>71852.966494954118</v>
      </c>
      <c r="D24" s="3">
        <f t="shared" si="3"/>
        <v>56960.41217580939</v>
      </c>
      <c r="E24" s="3">
        <f t="shared" si="3"/>
        <v>890890.9585091027</v>
      </c>
      <c r="F24" s="3">
        <f t="shared" si="3"/>
        <v>3228874.3867351823</v>
      </c>
      <c r="G24" s="3">
        <f t="shared" si="3"/>
        <v>1930356.4017254459</v>
      </c>
      <c r="H24" s="3">
        <f t="shared" si="3"/>
        <v>2851689.3741828972</v>
      </c>
      <c r="I24" s="3">
        <f t="shared" si="3"/>
        <v>117088.47107697178</v>
      </c>
      <c r="J24" s="3">
        <f t="shared" si="3"/>
        <v>123590.83142831776</v>
      </c>
      <c r="K24" s="3"/>
      <c r="L24" s="3">
        <f>STDEV(L5:L20)</f>
        <v>61523.735155048664</v>
      </c>
      <c r="M24" s="3"/>
      <c r="N24" s="3" t="s">
        <v>1</v>
      </c>
      <c r="O24" s="3">
        <f>STDEV(O5:O20)</f>
        <v>1031419.2764633191</v>
      </c>
      <c r="P24" s="3">
        <f>STDEV(P5:P20)</f>
        <v>1233869.5469930519</v>
      </c>
      <c r="Q24" s="3">
        <f>STDEV(Q5:Q20)</f>
        <v>70795.678794179039</v>
      </c>
      <c r="R24" s="3">
        <f>STDEV(R5:R20)</f>
        <v>896190.73140690476</v>
      </c>
      <c r="S24" s="3">
        <f>STDEV(S5:S20)</f>
        <v>162746.62974165656</v>
      </c>
      <c r="T24" s="3">
        <f t="shared" ref="T24:V24" si="4">STDEV(T5:T20)</f>
        <v>160756.12276536645</v>
      </c>
      <c r="U24" s="3">
        <f t="shared" si="4"/>
        <v>5260997.8736221567</v>
      </c>
      <c r="V24" s="3">
        <f t="shared" si="4"/>
        <v>54186.220201232238</v>
      </c>
    </row>
    <row r="25" spans="1:22" ht="15" thickBot="1" x14ac:dyDescent="0.4"/>
    <row r="26" spans="1:22" ht="15" thickBot="1" x14ac:dyDescent="0.4">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Anastrozole-0,032µg/L</v>
      </c>
      <c r="J27" s="35" t="str">
        <f t="shared" si="5"/>
        <v>Anastrozole-0,16µg/L</v>
      </c>
      <c r="K27" s="35" t="str">
        <f t="shared" si="5"/>
        <v>Anastrozole-0,8µg/L</v>
      </c>
      <c r="L27" s="35" t="str">
        <f t="shared" si="5"/>
        <v>Anastrozole-4µg/L</v>
      </c>
      <c r="M27" s="35" t="str">
        <f t="shared" si="5"/>
        <v>Anastrozole-20µg/L</v>
      </c>
      <c r="N27" s="3"/>
      <c r="O27" s="36" t="str">
        <f>O4</f>
        <v>Testo -30µg/L</v>
      </c>
      <c r="P27" s="36" t="str">
        <f t="shared" ref="P27:V27" si="6">P4</f>
        <v>Testo 30µg/L + EE2 -64ng/L</v>
      </c>
      <c r="Q27" s="36" t="str">
        <f t="shared" si="6"/>
        <v>Testo 30µg/L + FAD-10µg/L</v>
      </c>
      <c r="R27" s="36" t="str">
        <f t="shared" si="6"/>
        <v>Anastrozole-0,032µg/L + Testostérone</v>
      </c>
      <c r="S27" s="36" t="str">
        <f t="shared" si="6"/>
        <v>Anastrozole-0,16µg/L + Testostérone</v>
      </c>
      <c r="T27" s="36" t="str">
        <f t="shared" si="6"/>
        <v>Anastrozole-0,8µg/L + Testostérone</v>
      </c>
      <c r="U27" s="36" t="str">
        <f t="shared" si="6"/>
        <v>Anastrozole-4µg/L + Testostérone</v>
      </c>
      <c r="V27" s="36" t="str">
        <f t="shared" si="6"/>
        <v>Anastrozole-20µg/L + Testostérone</v>
      </c>
    </row>
    <row r="28" spans="1:22" x14ac:dyDescent="0.35">
      <c r="A28" s="224" t="s">
        <v>34</v>
      </c>
      <c r="B28" s="11">
        <f t="shared" ref="B28:M28" si="7">IF(B5="","",(B5/$O$23))</f>
        <v>0.23022838008418814</v>
      </c>
      <c r="C28" s="11">
        <f t="shared" si="7"/>
        <v>0.28357264385082914</v>
      </c>
      <c r="D28" s="11">
        <f t="shared" si="7"/>
        <v>2.9702515207343867E-2</v>
      </c>
      <c r="E28" s="11">
        <f t="shared" si="7"/>
        <v>2.406424297286156</v>
      </c>
      <c r="F28" s="11">
        <f t="shared" si="7"/>
        <v>7.6052585045674759</v>
      </c>
      <c r="G28" s="11">
        <f t="shared" si="7"/>
        <v>5.1044734204271123</v>
      </c>
      <c r="H28" s="11">
        <f t="shared" si="7"/>
        <v>7.8874497031532966</v>
      </c>
      <c r="I28" s="11">
        <f t="shared" si="7"/>
        <v>7.1591454145985098E-2</v>
      </c>
      <c r="J28" s="11">
        <f t="shared" si="7"/>
        <v>0.18497523258264112</v>
      </c>
      <c r="K28" s="11">
        <f t="shared" si="7"/>
        <v>0.49231796385350407</v>
      </c>
      <c r="L28" s="11">
        <f t="shared" si="7"/>
        <v>0.26628727392217438</v>
      </c>
      <c r="M28" s="11">
        <f t="shared" si="7"/>
        <v>6.2065538258048711E-2</v>
      </c>
      <c r="N28" s="6"/>
      <c r="O28" s="11">
        <f t="shared" ref="O28:V39" si="8">IF(O5="","",(O5/$O$23))</f>
        <v>6.2065538258048711E-2</v>
      </c>
      <c r="P28" s="11">
        <f t="shared" si="8"/>
        <v>5.2334280192933686</v>
      </c>
      <c r="Q28" s="11">
        <f t="shared" si="8"/>
        <v>0.26223811076544939</v>
      </c>
      <c r="R28" s="11">
        <f t="shared" si="8"/>
        <v>0.48432346223638034</v>
      </c>
      <c r="S28" s="11">
        <f t="shared" si="8"/>
        <v>3.5898830764483226E-2</v>
      </c>
      <c r="T28" s="11">
        <f t="shared" si="8"/>
        <v>0.41639182863589669</v>
      </c>
      <c r="U28" s="11">
        <f t="shared" si="8"/>
        <v>0.18000750926536277</v>
      </c>
      <c r="V28" s="11">
        <f t="shared" si="8"/>
        <v>6.1971807629420818E-2</v>
      </c>
    </row>
    <row r="29" spans="1:22" x14ac:dyDescent="0.35">
      <c r="A29" s="224"/>
      <c r="B29" s="11">
        <f t="shared" ref="B29:M29" si="9">IF(B6="","",(B6/$O$23))</f>
        <v>3.949808690379434E-2</v>
      </c>
      <c r="C29" s="11">
        <f t="shared" si="9"/>
        <v>1.6492264609495669E-2</v>
      </c>
      <c r="D29" s="11">
        <f t="shared" si="9"/>
        <v>4.8461619019963362E-2</v>
      </c>
      <c r="E29" s="11">
        <f t="shared" si="9"/>
        <v>3.3005207637676324</v>
      </c>
      <c r="F29" s="11">
        <f t="shared" si="9"/>
        <v>2.6639758766202104</v>
      </c>
      <c r="G29" s="11">
        <f t="shared" si="9"/>
        <v>2.3824883787539341E-2</v>
      </c>
      <c r="H29" s="11">
        <f t="shared" si="9"/>
        <v>13.709945883179552</v>
      </c>
      <c r="I29" s="11">
        <f t="shared" si="9"/>
        <v>0.14989978934041215</v>
      </c>
      <c r="J29" s="11">
        <f t="shared" si="9"/>
        <v>0.52831485127562883</v>
      </c>
      <c r="K29" s="11">
        <f t="shared" si="9"/>
        <v>0.23301290075927217</v>
      </c>
      <c r="L29" s="11">
        <f t="shared" si="9"/>
        <v>2.0723120984791666E-2</v>
      </c>
      <c r="M29" s="11">
        <f t="shared" si="9"/>
        <v>0.15274054839267293</v>
      </c>
      <c r="N29" s="6"/>
      <c r="O29" s="11">
        <f t="shared" si="8"/>
        <v>0.15274054839267293</v>
      </c>
      <c r="P29" s="11">
        <f t="shared" si="8"/>
        <v>6.5032545257022907</v>
      </c>
      <c r="Q29" s="11">
        <f t="shared" si="8"/>
        <v>0.34001722841054666</v>
      </c>
      <c r="R29" s="11">
        <f t="shared" si="8"/>
        <v>1.5081445607485329</v>
      </c>
      <c r="S29" s="11">
        <f t="shared" si="8"/>
        <v>0.30151268617020799</v>
      </c>
      <c r="T29" s="11">
        <f t="shared" si="8"/>
        <v>0.27895100285463842</v>
      </c>
      <c r="U29" s="11">
        <f t="shared" si="8"/>
        <v>5.4291664120618343E-3</v>
      </c>
      <c r="V29" s="11">
        <f t="shared" si="8"/>
        <v>6.7145738329680543E-2</v>
      </c>
    </row>
    <row r="30" spans="1:22" x14ac:dyDescent="0.35">
      <c r="A30" s="224"/>
      <c r="B30" s="11">
        <f t="shared" ref="B30:M30" si="10">IF(B7="","",(B7/$O$23))</f>
        <v>3.3717070131960104E-2</v>
      </c>
      <c r="C30" s="11">
        <f t="shared" si="10"/>
        <v>0.2656599997152031</v>
      </c>
      <c r="D30" s="11">
        <f t="shared" si="10"/>
        <v>0.1356080314891652</v>
      </c>
      <c r="E30" s="11">
        <f t="shared" si="10"/>
        <v>1.2068568280870318</v>
      </c>
      <c r="F30" s="11">
        <f t="shared" si="10"/>
        <v>8.8650327615584743</v>
      </c>
      <c r="G30" s="11">
        <f t="shared" si="10"/>
        <v>5.8304084870921207</v>
      </c>
      <c r="H30" s="11">
        <f t="shared" si="10"/>
        <v>8.5321808792041107</v>
      </c>
      <c r="I30" s="11">
        <f t="shared" si="10"/>
        <v>0.4791091552653271</v>
      </c>
      <c r="J30" s="11">
        <f t="shared" si="10"/>
        <v>0.20285615250550082</v>
      </c>
      <c r="K30" s="11">
        <f t="shared" si="10"/>
        <v>6.386228230836187E-2</v>
      </c>
      <c r="L30" s="11">
        <f t="shared" si="10"/>
        <v>8.5333806312505492E-2</v>
      </c>
      <c r="M30" s="11">
        <f t="shared" si="10"/>
        <v>6.2834129412797438E-2</v>
      </c>
      <c r="N30" s="6"/>
      <c r="O30" s="11">
        <f t="shared" si="8"/>
        <v>6.2834129412797438E-2</v>
      </c>
      <c r="P30" s="11">
        <f t="shared" si="8"/>
        <v>5.7133446999745665</v>
      </c>
      <c r="Q30" s="11">
        <f t="shared" si="8"/>
        <v>0.10125936112122021</v>
      </c>
      <c r="R30" s="11">
        <f t="shared" si="8"/>
        <v>0.42536689682943529</v>
      </c>
      <c r="S30" s="11">
        <f t="shared" si="8"/>
        <v>0.19281255514560422</v>
      </c>
      <c r="T30" s="11">
        <f t="shared" si="8"/>
        <v>3.9105860273228391E-2</v>
      </c>
      <c r="U30" s="11">
        <f t="shared" si="8"/>
        <v>5.2685265346903362E-2</v>
      </c>
      <c r="V30" s="11">
        <f t="shared" si="8"/>
        <v>0.2461063485737533</v>
      </c>
    </row>
    <row r="31" spans="1:22" x14ac:dyDescent="0.35">
      <c r="A31" s="224"/>
      <c r="B31" s="11">
        <f t="shared" ref="B31:M31" si="11">IF(B8="","",(B8/$O$23))</f>
        <v>7.0034083701090863E-2</v>
      </c>
      <c r="C31" s="11">
        <f t="shared" si="11"/>
        <v>3.6720776277066297E-2</v>
      </c>
      <c r="D31" s="11">
        <f t="shared" si="11"/>
        <v>0.17550699708155268</v>
      </c>
      <c r="E31" s="11">
        <f t="shared" si="11"/>
        <v>1.9482358183305746</v>
      </c>
      <c r="F31" s="11">
        <f t="shared" si="11"/>
        <v>17.616474095287639</v>
      </c>
      <c r="G31" s="11">
        <f t="shared" si="11"/>
        <v>2.6999612279649656</v>
      </c>
      <c r="H31" s="11">
        <f t="shared" si="11"/>
        <v>4.936802303898852</v>
      </c>
      <c r="I31" s="11">
        <f t="shared" si="11"/>
        <v>3.334503163679093E-2</v>
      </c>
      <c r="J31" s="11">
        <f t="shared" si="11"/>
        <v>7.7694039074496568E-2</v>
      </c>
      <c r="K31" s="11">
        <f t="shared" si="11"/>
        <v>0.14000183495730659</v>
      </c>
      <c r="L31" s="11">
        <f t="shared" si="11"/>
        <v>0.22473288122725116</v>
      </c>
      <c r="M31" s="11">
        <f t="shared" si="11"/>
        <v>0.11290214720647578</v>
      </c>
      <c r="N31" s="6"/>
      <c r="O31" s="11">
        <f t="shared" si="8"/>
        <v>0.11290214720647578</v>
      </c>
      <c r="P31" s="11">
        <f t="shared" si="8"/>
        <v>4.793876073328355</v>
      </c>
      <c r="Q31" s="11">
        <f t="shared" si="8"/>
        <v>9.2869748854188125E-2</v>
      </c>
      <c r="R31" s="11">
        <f t="shared" si="8"/>
        <v>4.1402505816255886</v>
      </c>
      <c r="S31" s="11">
        <f t="shared" si="8"/>
        <v>0.23420976878636682</v>
      </c>
      <c r="T31" s="11">
        <f t="shared" si="8"/>
        <v>0.60088831400769993</v>
      </c>
      <c r="U31" s="11">
        <f t="shared" si="8"/>
        <v>0.12813409536334408</v>
      </c>
      <c r="V31" s="11">
        <f t="shared" si="8"/>
        <v>0.11953683370365945</v>
      </c>
    </row>
    <row r="32" spans="1:22" x14ac:dyDescent="0.35">
      <c r="A32" s="224"/>
      <c r="B32" s="11">
        <f t="shared" ref="B32:M32" si="12">IF(B9="","",(B9/$O$23))</f>
        <v>2.3402374953878223E-2</v>
      </c>
      <c r="C32" s="11">
        <f t="shared" si="12"/>
        <v>0.16500628265588621</v>
      </c>
      <c r="D32" s="11">
        <f t="shared" si="12"/>
        <v>0.23230920003972735</v>
      </c>
      <c r="E32" s="11">
        <f t="shared" si="12"/>
        <v>0.11078527700915658</v>
      </c>
      <c r="F32" s="11">
        <f t="shared" si="12"/>
        <v>5.4750324136736408</v>
      </c>
      <c r="G32" s="11">
        <f t="shared" si="12"/>
        <v>7.5802064705497463</v>
      </c>
      <c r="H32" s="11">
        <f t="shared" si="12"/>
        <v>12.801223112603111</v>
      </c>
      <c r="I32" s="11">
        <f t="shared" si="12"/>
        <v>6.7373575857729878E-2</v>
      </c>
      <c r="J32" s="11">
        <f t="shared" si="12"/>
        <v>1.0094067698388536E-2</v>
      </c>
      <c r="K32" s="11">
        <f t="shared" si="12"/>
        <v>9.3316771852259617E-2</v>
      </c>
      <c r="L32" s="11">
        <f t="shared" si="12"/>
        <v>0.21046419553074339</v>
      </c>
      <c r="M32" s="11">
        <f t="shared" si="12"/>
        <v>0.58707674537696208</v>
      </c>
      <c r="N32" s="6"/>
      <c r="O32" s="11">
        <f t="shared" si="8"/>
        <v>0.58707674537696208</v>
      </c>
      <c r="P32" s="11">
        <f t="shared" si="8"/>
        <v>7.2927216544609559</v>
      </c>
      <c r="Q32" s="11">
        <f t="shared" si="8"/>
        <v>0.10911398780023768</v>
      </c>
      <c r="R32" s="11">
        <f t="shared" si="8"/>
        <v>1.5007917534350923</v>
      </c>
      <c r="S32" s="11">
        <f t="shared" si="8"/>
        <v>4.928789056156002E-3</v>
      </c>
      <c r="T32" s="11">
        <f t="shared" si="8"/>
        <v>0.44901152940807487</v>
      </c>
      <c r="U32" s="11"/>
      <c r="V32" s="11">
        <f t="shared" si="8"/>
        <v>0.24677832508053174</v>
      </c>
    </row>
    <row r="33" spans="1:22" x14ac:dyDescent="0.35">
      <c r="A33" s="224"/>
      <c r="B33" s="11">
        <f t="shared" ref="B33:M33" si="13">IF(B10="","",(B10/$O$23))</f>
        <v>0.24143856326808419</v>
      </c>
      <c r="C33" s="11">
        <f t="shared" si="13"/>
        <v>6.5000027938937374E-2</v>
      </c>
      <c r="D33" s="11">
        <f t="shared" si="13"/>
        <v>4.5267567598258993E-2</v>
      </c>
      <c r="E33" s="11">
        <f t="shared" si="13"/>
        <v>1.2285129293290888</v>
      </c>
      <c r="F33" s="11">
        <f t="shared" si="13"/>
        <v>7.735822386226789</v>
      </c>
      <c r="G33" s="11">
        <f t="shared" si="13"/>
        <v>5.1609612652769661</v>
      </c>
      <c r="H33" s="11">
        <f t="shared" si="13"/>
        <v>12.798281412873866</v>
      </c>
      <c r="I33" s="11">
        <f t="shared" si="13"/>
        <v>0.15257039125147154</v>
      </c>
      <c r="J33" s="11">
        <f t="shared" si="13"/>
        <v>6.2489489101381031E-2</v>
      </c>
      <c r="K33" s="11">
        <f t="shared" si="13"/>
        <v>0.14424999544865696</v>
      </c>
      <c r="L33" s="11">
        <f t="shared" si="13"/>
        <v>0.17960951459611202</v>
      </c>
      <c r="M33" s="11">
        <f t="shared" si="13"/>
        <v>0.15818413490144675</v>
      </c>
      <c r="N33" s="6"/>
      <c r="O33" s="11">
        <f t="shared" si="8"/>
        <v>0.15818413490144675</v>
      </c>
      <c r="P33" s="11">
        <f t="shared" si="8"/>
        <v>4.6597807099842763</v>
      </c>
      <c r="Q33" s="11">
        <f t="shared" si="8"/>
        <v>0.13992540844473308</v>
      </c>
      <c r="R33" s="11">
        <f t="shared" si="8"/>
        <v>0.98479022274182637</v>
      </c>
      <c r="S33" s="11">
        <f t="shared" si="8"/>
        <v>0.62045494323619055</v>
      </c>
      <c r="T33" s="11">
        <f t="shared" si="8"/>
        <v>1.365727359591969E-2</v>
      </c>
      <c r="U33" s="11">
        <f t="shared" si="8"/>
        <v>0.17518398691520423</v>
      </c>
      <c r="V33" s="11">
        <f t="shared" si="8"/>
        <v>0.16058796502333442</v>
      </c>
    </row>
    <row r="34" spans="1:22" x14ac:dyDescent="0.35">
      <c r="A34" s="224"/>
      <c r="B34" s="11">
        <f t="shared" ref="B34:M34" si="14">IF(B11="","",(B11/$O$23))</f>
        <v>7.6165508823026293E-2</v>
      </c>
      <c r="C34" s="11">
        <f t="shared" si="14"/>
        <v>6.8861729838406591E-2</v>
      </c>
      <c r="D34" s="11">
        <f t="shared" si="14"/>
        <v>2.639742904095722E-2</v>
      </c>
      <c r="E34" s="11">
        <f t="shared" si="14"/>
        <v>3.3824269130916993</v>
      </c>
      <c r="F34" s="11">
        <f t="shared" si="14"/>
        <v>3.0341469692651861</v>
      </c>
      <c r="G34" s="11">
        <f t="shared" si="14"/>
        <v>8.4832304189056114</v>
      </c>
      <c r="H34" s="11">
        <f t="shared" si="14"/>
        <v>16.36106912760037</v>
      </c>
      <c r="I34" s="11">
        <f t="shared" si="14"/>
        <v>0.40165737381559186</v>
      </c>
      <c r="J34" s="11">
        <f t="shared" si="14"/>
        <v>4.2875273553740906E-2</v>
      </c>
      <c r="K34" s="11">
        <f t="shared" si="14"/>
        <v>0.12762073992039746</v>
      </c>
      <c r="L34" s="11">
        <f t="shared" si="14"/>
        <v>6.5937334225216318E-2</v>
      </c>
      <c r="M34" s="11">
        <f t="shared" si="14"/>
        <v>9.1194133616255627E-2</v>
      </c>
      <c r="N34" s="6"/>
      <c r="O34" s="11">
        <f t="shared" si="8"/>
        <v>9.1194133616255627E-2</v>
      </c>
      <c r="P34" s="11">
        <f t="shared" si="8"/>
        <v>1.8796826785618044</v>
      </c>
      <c r="Q34" s="11">
        <f t="shared" si="8"/>
        <v>3.8027237039172011E-2</v>
      </c>
      <c r="R34" s="11">
        <f t="shared" si="8"/>
        <v>0.23476926853879176</v>
      </c>
      <c r="S34" s="11">
        <f t="shared" si="8"/>
        <v>0.55565968067056337</v>
      </c>
      <c r="T34" s="11">
        <f t="shared" si="8"/>
        <v>4.7234468789773554E-2</v>
      </c>
      <c r="U34" s="11">
        <f t="shared" si="8"/>
        <v>1.5242042224566689E-2</v>
      </c>
      <c r="V34" s="11">
        <f t="shared" si="8"/>
        <v>6.0349546749322663E-2</v>
      </c>
    </row>
    <row r="35" spans="1:22" x14ac:dyDescent="0.35">
      <c r="A35" s="224"/>
      <c r="B35" s="11">
        <f t="shared" ref="B35:M35" si="15">IF(B12="","",(B12/$O$23))</f>
        <v>4.4500418453181463E-3</v>
      </c>
      <c r="C35" s="11">
        <f t="shared" si="15"/>
        <v>7.6404882428445231E-2</v>
      </c>
      <c r="D35" s="11" t="str">
        <f t="shared" si="15"/>
        <v/>
      </c>
      <c r="E35" s="11">
        <f t="shared" si="15"/>
        <v>8.4664713825069446E-2</v>
      </c>
      <c r="F35" s="11">
        <f t="shared" si="15"/>
        <v>7.2621294192864827</v>
      </c>
      <c r="G35" s="11">
        <f t="shared" si="15"/>
        <v>7.2938694941592299</v>
      </c>
      <c r="H35" s="11">
        <f t="shared" si="15"/>
        <v>16.160347149408246</v>
      </c>
      <c r="I35" s="11">
        <f t="shared" si="15"/>
        <v>6.4221342716490271E-2</v>
      </c>
      <c r="J35" s="11" t="str">
        <f t="shared" si="15"/>
        <v/>
      </c>
      <c r="K35" s="11">
        <f t="shared" si="15"/>
        <v>0.25406191592975469</v>
      </c>
      <c r="L35" s="11">
        <f t="shared" si="15"/>
        <v>8.7230049030131332E-2</v>
      </c>
      <c r="M35" s="11">
        <f t="shared" si="15"/>
        <v>0.10053835628562102</v>
      </c>
      <c r="N35" s="6"/>
      <c r="O35" s="11">
        <f t="shared" si="8"/>
        <v>0.10053835628562102</v>
      </c>
      <c r="P35" s="11">
        <f t="shared" si="8"/>
        <v>7.3837225587812707</v>
      </c>
      <c r="Q35" s="11">
        <f t="shared" si="8"/>
        <v>8.3391419285401294E-2</v>
      </c>
      <c r="R35" s="11">
        <f t="shared" si="8"/>
        <v>0.32260496163082641</v>
      </c>
      <c r="S35" s="11">
        <f t="shared" si="8"/>
        <v>4.3095901033434254E-2</v>
      </c>
      <c r="T35" s="11">
        <f t="shared" si="8"/>
        <v>3.7451875180363865E-2</v>
      </c>
      <c r="U35" s="11">
        <f t="shared" si="8"/>
        <v>2.2384316126012178E-2</v>
      </c>
      <c r="V35" s="11">
        <f t="shared" si="8"/>
        <v>0.17942926338721221</v>
      </c>
    </row>
    <row r="36" spans="1:22" x14ac:dyDescent="0.35">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0.56704146300533198</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2.5726130278724249</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1.2620136980103691</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0.92318324355921877</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0.82319429295832425</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2.6698866742624525</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5.612516499745035</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0.24201536713656355</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Anastrozole-0,032µg/L</v>
      </c>
      <c r="J45" s="7" t="str">
        <f t="shared" si="26"/>
        <v>Anastrozole-0,16µg/L</v>
      </c>
      <c r="K45" s="7" t="str">
        <f t="shared" si="26"/>
        <v>Anastrozole-0,8µg/L</v>
      </c>
      <c r="L45" s="7" t="str">
        <f t="shared" si="26"/>
        <v>Anastrozole-4µg/L</v>
      </c>
      <c r="M45" s="7" t="str">
        <f t="shared" si="26"/>
        <v>Anastrozole-20µg/L</v>
      </c>
      <c r="N45" s="7"/>
      <c r="O45" s="7" t="str">
        <f t="shared" si="26"/>
        <v>Testo -30µg/L</v>
      </c>
      <c r="P45" s="7" t="str">
        <f t="shared" si="26"/>
        <v>Testo 30µg/L + EE2 -64ng/L</v>
      </c>
      <c r="Q45" s="7" t="str">
        <f t="shared" si="26"/>
        <v>Testo 30µg/L + FAD-10µg/L</v>
      </c>
      <c r="R45" s="7" t="str">
        <f t="shared" si="26"/>
        <v>Anastrozole-0,032µg/L + Testostérone</v>
      </c>
      <c r="S45" s="7" t="str">
        <f t="shared" si="26"/>
        <v>Anastrozole-0,16µg/L + Testostérone</v>
      </c>
      <c r="T45" s="7" t="str">
        <f t="shared" si="26"/>
        <v>Anastrozole-0,8µg/L + Testostérone</v>
      </c>
      <c r="U45" s="7" t="str">
        <f t="shared" si="26"/>
        <v>Anastrozole-4µg/L + Testostérone</v>
      </c>
      <c r="V45" s="7" t="str">
        <f t="shared" si="26"/>
        <v>Anastrozole-20µg/L + Testostérone</v>
      </c>
    </row>
    <row r="46" spans="1:22" x14ac:dyDescent="0.35">
      <c r="A46" s="8" t="s">
        <v>0</v>
      </c>
      <c r="B46" s="10">
        <f t="shared" ref="B46:H46" si="27">AVERAGE(B28:B43)</f>
        <v>8.9866763713917538E-2</v>
      </c>
      <c r="C46" s="10">
        <f t="shared" si="27"/>
        <v>0.12221482591428369</v>
      </c>
      <c r="D46" s="10">
        <f t="shared" si="27"/>
        <v>9.9036194210995521E-2</v>
      </c>
      <c r="E46" s="10">
        <f t="shared" si="27"/>
        <v>1.7085534425908013</v>
      </c>
      <c r="F46" s="10">
        <f t="shared" si="27"/>
        <v>7.5322340533107361</v>
      </c>
      <c r="G46" s="10">
        <f t="shared" si="27"/>
        <v>5.272116958520412</v>
      </c>
      <c r="H46" s="10">
        <f t="shared" si="27"/>
        <v>11.648412446490177</v>
      </c>
      <c r="I46" s="10">
        <f>AVERAGE(I28:I43)</f>
        <v>0.17747101425372486</v>
      </c>
      <c r="J46" s="9">
        <f>AVERAGE(J28:J43)</f>
        <v>0.15847130082739683</v>
      </c>
      <c r="K46" s="9">
        <f t="shared" ref="K46:M46" si="28">AVERAGE(K28:K43)</f>
        <v>0.19355555062868918</v>
      </c>
      <c r="L46" s="9">
        <f t="shared" si="28"/>
        <v>0.14253977197861573</v>
      </c>
      <c r="M46" s="9">
        <f t="shared" si="28"/>
        <v>0.16594196668128505</v>
      </c>
      <c r="N46" s="8" t="s">
        <v>0</v>
      </c>
      <c r="O46" s="10">
        <f t="shared" ref="O46:V46" si="29">AVERAGE(O28:O43)</f>
        <v>1</v>
      </c>
      <c r="P46" s="10">
        <f t="shared" si="29"/>
        <v>5.4324763650108618</v>
      </c>
      <c r="Q46" s="10">
        <f t="shared" si="29"/>
        <v>0.14585531271511856</v>
      </c>
      <c r="R46" s="10">
        <f t="shared" si="29"/>
        <v>1.2001302134733092</v>
      </c>
      <c r="S46" s="10">
        <f t="shared" si="29"/>
        <v>0.24857164435787579</v>
      </c>
      <c r="T46" s="10">
        <f t="shared" si="29"/>
        <v>0.23533651909319939</v>
      </c>
      <c r="U46" s="10">
        <f t="shared" si="29"/>
        <v>8.2723768807636461E-2</v>
      </c>
      <c r="V46" s="10">
        <f t="shared" si="29"/>
        <v>0.14273822855961438</v>
      </c>
    </row>
    <row r="47" spans="1:22" x14ac:dyDescent="0.35">
      <c r="A47" s="8" t="s">
        <v>1</v>
      </c>
      <c r="B47" s="8">
        <f t="shared" ref="B47:M47" si="30">STDEV(B28:B43)</f>
        <v>9.3089646802894499E-2</v>
      </c>
      <c r="C47" s="8">
        <f t="shared" si="30"/>
        <v>0.10361267259001576</v>
      </c>
      <c r="D47" s="8">
        <f t="shared" si="30"/>
        <v>8.2137465232962115E-2</v>
      </c>
      <c r="E47" s="8">
        <f t="shared" si="30"/>
        <v>1.2846733781533048</v>
      </c>
      <c r="F47" s="8">
        <f t="shared" si="30"/>
        <v>4.6560680927568159</v>
      </c>
      <c r="G47" s="8">
        <f t="shared" si="30"/>
        <v>2.7835926001477627</v>
      </c>
      <c r="H47" s="8">
        <f t="shared" si="30"/>
        <v>4.1121636568253397</v>
      </c>
      <c r="I47" s="8">
        <f t="shared" si="30"/>
        <v>0.16884270767882306</v>
      </c>
      <c r="J47" s="8">
        <f t="shared" si="30"/>
        <v>0.17821917419108071</v>
      </c>
      <c r="K47" s="8">
        <f t="shared" si="30"/>
        <v>0.13679571651206648</v>
      </c>
      <c r="L47" s="8">
        <f t="shared" si="30"/>
        <v>8.8717821101826869E-2</v>
      </c>
      <c r="M47" s="8">
        <f t="shared" si="30"/>
        <v>0.17390005132858455</v>
      </c>
      <c r="N47" s="8" t="s">
        <v>1</v>
      </c>
      <c r="O47" s="8">
        <f t="shared" ref="O47:V47" si="31">STDEV(O28:O43)</f>
        <v>1.4873165717205237</v>
      </c>
      <c r="P47" s="8">
        <f t="shared" si="31"/>
        <v>1.7792518197611185</v>
      </c>
      <c r="Q47" s="8">
        <f t="shared" si="31"/>
        <v>0.10208805350025896</v>
      </c>
      <c r="R47" s="8">
        <f t="shared" si="31"/>
        <v>1.2923157019270906</v>
      </c>
      <c r="S47" s="8">
        <f t="shared" si="31"/>
        <v>0.2346822140424078</v>
      </c>
      <c r="T47" s="8">
        <f t="shared" si="31"/>
        <v>0.23181188373200967</v>
      </c>
      <c r="U47" s="8">
        <f t="shared" si="31"/>
        <v>7.6535956767654692E-2</v>
      </c>
      <c r="V47" s="8">
        <f t="shared" si="31"/>
        <v>7.8137053575860996E-2</v>
      </c>
    </row>
    <row r="48" spans="1:22" x14ac:dyDescent="0.35">
      <c r="A48" s="8" t="s">
        <v>2</v>
      </c>
      <c r="B48" s="8">
        <f t="shared" ref="B48:M48" si="32" xml:space="preserve"> B47/SQRT(COUNT(B28:B43))</f>
        <v>3.2912160256293656E-2</v>
      </c>
      <c r="C48" s="8">
        <f t="shared" si="32"/>
        <v>3.6632611702630831E-2</v>
      </c>
      <c r="D48" s="8">
        <f t="shared" si="32"/>
        <v>3.1045043761090248E-2</v>
      </c>
      <c r="E48" s="8">
        <f t="shared" si="32"/>
        <v>0.45420062865101585</v>
      </c>
      <c r="F48" s="8">
        <f t="shared" si="32"/>
        <v>1.6461686610273296</v>
      </c>
      <c r="G48" s="8">
        <f t="shared" si="32"/>
        <v>0.98414860181258834</v>
      </c>
      <c r="H48" s="8">
        <f t="shared" si="32"/>
        <v>1.4538694035450341</v>
      </c>
      <c r="I48" s="8">
        <f t="shared" si="32"/>
        <v>5.9694911776796866E-2</v>
      </c>
      <c r="J48" s="8">
        <f t="shared" si="32"/>
        <v>6.7360516253271482E-2</v>
      </c>
      <c r="K48" s="8">
        <f t="shared" si="32"/>
        <v>4.8364589391477385E-2</v>
      </c>
      <c r="L48" s="8">
        <f t="shared" si="32"/>
        <v>3.1366486456598376E-2</v>
      </c>
      <c r="M48" s="8">
        <f t="shared" si="32"/>
        <v>6.1482952771565402E-2</v>
      </c>
      <c r="N48" s="8" t="s">
        <v>2</v>
      </c>
      <c r="O48" s="8">
        <f t="shared" ref="O48:V48" si="33" xml:space="preserve"> O47/SQRT(COUNT(O28:O43))</f>
        <v>0.37182914293013092</v>
      </c>
      <c r="P48" s="8">
        <f t="shared" si="33"/>
        <v>0.62906051359579584</v>
      </c>
      <c r="Q48" s="8">
        <f t="shared" si="33"/>
        <v>3.6093577454084085E-2</v>
      </c>
      <c r="R48" s="8">
        <f t="shared" si="33"/>
        <v>0.45690259813324935</v>
      </c>
      <c r="S48" s="8">
        <f t="shared" si="33"/>
        <v>8.2972692486629682E-2</v>
      </c>
      <c r="T48" s="8">
        <f t="shared" si="33"/>
        <v>8.1957877473265772E-2</v>
      </c>
      <c r="U48" s="8">
        <f t="shared" si="33"/>
        <v>2.8927872565943601E-2</v>
      </c>
      <c r="V48" s="8">
        <f t="shared" si="33"/>
        <v>2.7625620222713938E-2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Anastrozole-0,032µg/L</v>
      </c>
      <c r="J52" s="46" t="str">
        <f>J4</f>
        <v>Anastrozole-0,16µg/L</v>
      </c>
      <c r="K52" s="46" t="str">
        <f t="shared" ref="K52:M52" si="35">K4</f>
        <v>Anastrozole-0,8µg/L</v>
      </c>
      <c r="L52" s="46" t="str">
        <f t="shared" si="35"/>
        <v>Anastrozole-4µg/L</v>
      </c>
      <c r="M52" s="46" t="str">
        <f t="shared" si="35"/>
        <v>Anastrozole-20µg/L</v>
      </c>
      <c r="N52" s="47"/>
      <c r="O52" s="46" t="str">
        <f>O27</f>
        <v>Testo -30µg/L</v>
      </c>
      <c r="P52" s="46" t="str">
        <f>P27</f>
        <v>Testo 30µg/L + EE2 -64ng/L</v>
      </c>
      <c r="Q52" s="46" t="str">
        <f>Q27</f>
        <v>Testo 30µg/L + FAD-10µg/L</v>
      </c>
      <c r="R52" s="46" t="str">
        <f>R27</f>
        <v>Anastrozole-0,032µg/L + Testostérone</v>
      </c>
      <c r="S52" s="46" t="str">
        <f t="shared" ref="S52:V52" si="36">S27</f>
        <v>Anastrozole-0,16µg/L + Testostérone</v>
      </c>
      <c r="T52" s="46" t="str">
        <f t="shared" si="36"/>
        <v>Anastrozole-0,8µg/L + Testostérone</v>
      </c>
      <c r="U52" s="46" t="str">
        <f t="shared" si="36"/>
        <v>Anastrozole-4µg/L + Testostérone</v>
      </c>
      <c r="V52" s="46" t="str">
        <f t="shared" si="36"/>
        <v>Anastrozole-20µg/L + Testostérone</v>
      </c>
    </row>
    <row r="53" spans="1:22" s="3" customFormat="1" x14ac:dyDescent="0.35">
      <c r="A53" s="61" t="s">
        <v>32</v>
      </c>
      <c r="B53" s="141">
        <f t="shared" ref="B53:V53" si="37">B46</f>
        <v>8.9866763713917538E-2</v>
      </c>
      <c r="C53" s="141">
        <f t="shared" si="37"/>
        <v>0.12221482591428369</v>
      </c>
      <c r="D53" s="141">
        <f t="shared" si="37"/>
        <v>9.9036194210995521E-2</v>
      </c>
      <c r="E53" s="141">
        <f t="shared" si="37"/>
        <v>1.7085534425908013</v>
      </c>
      <c r="F53" s="141">
        <f t="shared" si="37"/>
        <v>7.5322340533107361</v>
      </c>
      <c r="G53" s="141">
        <f t="shared" si="37"/>
        <v>5.272116958520412</v>
      </c>
      <c r="H53" s="141">
        <f t="shared" si="37"/>
        <v>11.648412446490177</v>
      </c>
      <c r="I53" s="141">
        <f t="shared" si="37"/>
        <v>0.17747101425372486</v>
      </c>
      <c r="J53" s="141">
        <f t="shared" si="37"/>
        <v>0.15847130082739683</v>
      </c>
      <c r="K53" s="141">
        <f t="shared" si="37"/>
        <v>0.19355555062868918</v>
      </c>
      <c r="L53" s="141">
        <f t="shared" si="37"/>
        <v>0.14253977197861573</v>
      </c>
      <c r="M53" s="141">
        <f t="shared" si="37"/>
        <v>0.16594196668128505</v>
      </c>
      <c r="N53" s="141"/>
      <c r="O53" s="141">
        <f t="shared" si="37"/>
        <v>1</v>
      </c>
      <c r="P53" s="141">
        <f t="shared" si="37"/>
        <v>5.4324763650108618</v>
      </c>
      <c r="Q53" s="141">
        <f t="shared" si="37"/>
        <v>0.14585531271511856</v>
      </c>
      <c r="R53" s="141">
        <f t="shared" si="37"/>
        <v>1.2001302134733092</v>
      </c>
      <c r="S53" s="141">
        <f t="shared" si="37"/>
        <v>0.24857164435787579</v>
      </c>
      <c r="T53" s="141">
        <f t="shared" si="37"/>
        <v>0.23533651909319939</v>
      </c>
      <c r="U53" s="141">
        <f t="shared" si="37"/>
        <v>8.2723768807636461E-2</v>
      </c>
      <c r="V53" s="141">
        <f t="shared" si="37"/>
        <v>0.14273822855961438</v>
      </c>
    </row>
    <row r="54" spans="1:22" s="3" customFormat="1" x14ac:dyDescent="0.35">
      <c r="A54" s="61" t="s">
        <v>2</v>
      </c>
      <c r="B54" s="141">
        <f t="shared" ref="B54:V54" si="38">B48</f>
        <v>3.2912160256293656E-2</v>
      </c>
      <c r="C54" s="141">
        <f t="shared" si="38"/>
        <v>3.6632611702630831E-2</v>
      </c>
      <c r="D54" s="141">
        <f t="shared" si="38"/>
        <v>3.1045043761090248E-2</v>
      </c>
      <c r="E54" s="141">
        <f t="shared" si="38"/>
        <v>0.45420062865101585</v>
      </c>
      <c r="F54" s="141">
        <f t="shared" si="38"/>
        <v>1.6461686610273296</v>
      </c>
      <c r="G54" s="141">
        <f t="shared" si="38"/>
        <v>0.98414860181258834</v>
      </c>
      <c r="H54" s="141">
        <f t="shared" si="38"/>
        <v>1.4538694035450341</v>
      </c>
      <c r="I54" s="141">
        <f t="shared" si="38"/>
        <v>5.9694911776796866E-2</v>
      </c>
      <c r="J54" s="141">
        <f t="shared" si="38"/>
        <v>6.7360516253271482E-2</v>
      </c>
      <c r="K54" s="141">
        <f t="shared" si="38"/>
        <v>4.8364589391477385E-2</v>
      </c>
      <c r="L54" s="141">
        <f t="shared" si="38"/>
        <v>3.1366486456598376E-2</v>
      </c>
      <c r="M54" s="141">
        <f t="shared" si="38"/>
        <v>6.1482952771565402E-2</v>
      </c>
      <c r="N54" s="141"/>
      <c r="O54" s="141">
        <f t="shared" si="38"/>
        <v>0.37182914293013092</v>
      </c>
      <c r="P54" s="141">
        <f t="shared" si="38"/>
        <v>0.62906051359579584</v>
      </c>
      <c r="Q54" s="141">
        <f t="shared" si="38"/>
        <v>3.6093577454084085E-2</v>
      </c>
      <c r="R54" s="141">
        <f t="shared" si="38"/>
        <v>0.45690259813324935</v>
      </c>
      <c r="S54" s="141">
        <f t="shared" si="38"/>
        <v>8.2972692486629682E-2</v>
      </c>
      <c r="T54" s="141">
        <f t="shared" si="38"/>
        <v>8.1957877473265772E-2</v>
      </c>
      <c r="U54" s="141">
        <f t="shared" si="38"/>
        <v>2.8927872565943601E-2</v>
      </c>
      <c r="V54" s="141">
        <f t="shared" si="38"/>
        <v>2.7625620222713938E-2</v>
      </c>
    </row>
    <row r="55" spans="1:22" s="3" customFormat="1" x14ac:dyDescent="0.35">
      <c r="A55" s="61" t="s">
        <v>79</v>
      </c>
      <c r="B55" s="141">
        <f>(B53*100/$B53)-100</f>
        <v>0</v>
      </c>
      <c r="C55" s="141">
        <f t="shared" ref="C55:M55" si="39">(C53*100/$B53)-100</f>
        <v>35.995579303760394</v>
      </c>
      <c r="D55" s="141">
        <f t="shared" si="39"/>
        <v>10.203361196212668</v>
      </c>
      <c r="E55" s="141">
        <f t="shared" si="39"/>
        <v>1801.2072672716045</v>
      </c>
      <c r="F55" s="141">
        <f t="shared" si="39"/>
        <v>8281.5570317953152</v>
      </c>
      <c r="G55" s="141">
        <f t="shared" si="39"/>
        <v>5766.5926541025829</v>
      </c>
      <c r="H55" s="141">
        <f t="shared" si="39"/>
        <v>12861.869288596852</v>
      </c>
      <c r="I55" s="141">
        <f t="shared" si="39"/>
        <v>97.482369364815753</v>
      </c>
      <c r="J55" s="141">
        <f t="shared" si="39"/>
        <v>76.340277849412104</v>
      </c>
      <c r="K55" s="141">
        <f t="shared" si="39"/>
        <v>115.38057300567226</v>
      </c>
      <c r="L55" s="141">
        <f t="shared" si="39"/>
        <v>58.612334625043133</v>
      </c>
      <c r="M55" s="141">
        <f t="shared" si="39"/>
        <v>84.65332434752608</v>
      </c>
      <c r="N55" s="141"/>
      <c r="O55" s="141">
        <f>(O53*100/$O53)-100</f>
        <v>0</v>
      </c>
      <c r="P55" s="141">
        <f t="shared" ref="P55:V55" si="40">(P53*100/$O53)-100</f>
        <v>443.24763650108616</v>
      </c>
      <c r="Q55" s="141">
        <f t="shared" si="40"/>
        <v>-85.414468728488146</v>
      </c>
      <c r="R55" s="141">
        <f t="shared" si="40"/>
        <v>20.01302134733092</v>
      </c>
      <c r="S55" s="141">
        <f t="shared" si="40"/>
        <v>-75.142835564212419</v>
      </c>
      <c r="T55" s="141">
        <f t="shared" si="40"/>
        <v>-76.466348090680057</v>
      </c>
      <c r="U55" s="141">
        <f t="shared" si="40"/>
        <v>-91.727623119236355</v>
      </c>
      <c r="V55" s="141">
        <f t="shared" si="40"/>
        <v>-85.726177144038559</v>
      </c>
    </row>
    <row r="56" spans="1:22" s="3" customFormat="1" x14ac:dyDescent="0.35">
      <c r="A56" s="61" t="s">
        <v>81</v>
      </c>
      <c r="B56" s="141">
        <f>[1]!SWTEST(B28:B43)</f>
        <v>1.8886812910933415E-2</v>
      </c>
      <c r="C56" s="141">
        <f>[1]!SWTEST(C28:C43)</f>
        <v>8.4187834302743902E-2</v>
      </c>
      <c r="D56" s="141">
        <f>[1]!SWTEST(D28:D43)</f>
        <v>0.11696017757292854</v>
      </c>
      <c r="E56" s="141">
        <f>[1]!SWTEST(E28:E43)</f>
        <v>0.40671074699084742</v>
      </c>
      <c r="F56" s="141">
        <f>[1]!SWTEST(F28:F43)</f>
        <v>7.9793812370355766E-2</v>
      </c>
      <c r="G56" s="141">
        <f>[1]!SWTEST(G28:G43)</f>
        <v>0.47207417902597648</v>
      </c>
      <c r="H56" s="141">
        <f>[1]!SWTEST(H28:H43)</f>
        <v>0.43052009648121126</v>
      </c>
      <c r="I56" s="141">
        <f>[1]!SWTEST(I28:I43)</f>
        <v>1.9730562732989232E-2</v>
      </c>
      <c r="J56" s="141">
        <f>[1]!SWTEST(J28:J43)</f>
        <v>3.4652912786385381E-2</v>
      </c>
      <c r="K56" s="141">
        <f>[1]!SWTEST(K28:K43)</f>
        <v>5.2932171896896474E-2</v>
      </c>
      <c r="L56" s="141">
        <f>[1]!SWTEST(L28:L43)</f>
        <v>0.4850533278234942</v>
      </c>
      <c r="M56" s="141">
        <f>[1]!SWTEST(M28:M43)</f>
        <v>2.071723241015011E-4</v>
      </c>
      <c r="N56" s="141"/>
      <c r="O56" s="141">
        <f>[1]!SWTEST(O28:O43)</f>
        <v>8.9660997364071626E-5</v>
      </c>
      <c r="P56" s="141">
        <f>[1]!SWTEST(P28:P43)</f>
        <v>0.35091737793854394</v>
      </c>
      <c r="Q56" s="141">
        <f>[1]!SWTEST(Q28:Q43)</f>
        <v>8.0637568343928434E-2</v>
      </c>
      <c r="R56" s="141">
        <f>[1]!SWTEST(R28:R43)</f>
        <v>7.517666149505664E-3</v>
      </c>
      <c r="S56" s="141">
        <f>[1]!SWTEST(S28:S43)</f>
        <v>0.21433557056425467</v>
      </c>
      <c r="T56" s="141">
        <f>[1]!SWTEST(T28:T43)</f>
        <v>9.0020993915210124E-2</v>
      </c>
      <c r="U56" s="141">
        <f>[1]!SWTEST(U28:U43)</f>
        <v>0.10687013110002386</v>
      </c>
      <c r="V56" s="141">
        <f>[1]!SWTEST(V28:V43)</f>
        <v>0.15689791644333828</v>
      </c>
    </row>
    <row r="57" spans="1:22" s="3" customFormat="1" x14ac:dyDescent="0.35">
      <c r="A57" s="61" t="s">
        <v>85</v>
      </c>
      <c r="B57" s="141" t="str">
        <f>IF(B56&gt;0.05,"Oui","Non")</f>
        <v>Non</v>
      </c>
      <c r="C57" s="141" t="str">
        <f t="shared" ref="C57:V57" si="41">IF(C56&gt;0.05,"Oui","Non")</f>
        <v>Oui</v>
      </c>
      <c r="D57" s="141" t="str">
        <f t="shared" si="41"/>
        <v>Oui</v>
      </c>
      <c r="E57" s="141" t="str">
        <f t="shared" si="41"/>
        <v>Oui</v>
      </c>
      <c r="F57" s="141" t="str">
        <f t="shared" si="41"/>
        <v>Oui</v>
      </c>
      <c r="G57" s="141" t="str">
        <f t="shared" si="41"/>
        <v>Oui</v>
      </c>
      <c r="H57" s="141" t="str">
        <f t="shared" si="41"/>
        <v>Oui</v>
      </c>
      <c r="I57" s="141" t="str">
        <f t="shared" si="41"/>
        <v>Non</v>
      </c>
      <c r="J57" s="141" t="str">
        <f t="shared" si="41"/>
        <v>Non</v>
      </c>
      <c r="K57" s="141" t="str">
        <f t="shared" si="41"/>
        <v>Oui</v>
      </c>
      <c r="L57" s="141" t="str">
        <f t="shared" si="41"/>
        <v>Oui</v>
      </c>
      <c r="M57" s="141" t="str">
        <f t="shared" si="41"/>
        <v>Non</v>
      </c>
      <c r="N57" s="141"/>
      <c r="O57" s="141" t="str">
        <f t="shared" si="41"/>
        <v>Non</v>
      </c>
      <c r="P57" s="141" t="str">
        <f t="shared" si="41"/>
        <v>Oui</v>
      </c>
      <c r="Q57" s="141" t="str">
        <f t="shared" si="41"/>
        <v>Oui</v>
      </c>
      <c r="R57" s="141" t="str">
        <f t="shared" si="41"/>
        <v>Non</v>
      </c>
      <c r="S57" s="141" t="str">
        <f t="shared" si="41"/>
        <v>Oui</v>
      </c>
      <c r="T57" s="141" t="str">
        <f t="shared" si="41"/>
        <v>Oui</v>
      </c>
      <c r="U57" s="141" t="str">
        <f t="shared" si="41"/>
        <v>Oui</v>
      </c>
      <c r="V57" s="141" t="str">
        <f t="shared" si="4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42">IF($B57="Non",IF(C57="Non","MW",IF(C57="Oui","MW","")),IF($B57="Oui",IF(C57="Oui","T-Test Welch",IF(C57="Non","MW",""))))</f>
        <v>MW</v>
      </c>
      <c r="D59" s="150" t="str">
        <f t="shared" si="42"/>
        <v>MW</v>
      </c>
      <c r="E59" s="150" t="str">
        <f t="shared" si="42"/>
        <v>MW</v>
      </c>
      <c r="F59" s="150" t="str">
        <f t="shared" si="42"/>
        <v>MW</v>
      </c>
      <c r="G59" s="150" t="str">
        <f t="shared" si="42"/>
        <v>MW</v>
      </c>
      <c r="H59" s="150" t="str">
        <f t="shared" si="42"/>
        <v>MW</v>
      </c>
      <c r="I59" s="150" t="str">
        <f t="shared" si="42"/>
        <v>MW</v>
      </c>
      <c r="J59" s="150" t="str">
        <f t="shared" si="42"/>
        <v>MW</v>
      </c>
      <c r="K59" s="150" t="str">
        <f t="shared" si="42"/>
        <v>MW</v>
      </c>
      <c r="L59" s="150" t="str">
        <f t="shared" si="42"/>
        <v>MW</v>
      </c>
      <c r="M59" s="150" t="str">
        <f t="shared" si="42"/>
        <v>MW</v>
      </c>
      <c r="N59" s="150"/>
      <c r="O59" s="150" t="str">
        <f t="shared" si="42"/>
        <v>MW</v>
      </c>
      <c r="P59" s="150" t="str">
        <f>IF($O57="Non",IF(P57="Non","MW",IF(P57="Oui","MW","")),IF($O57="Oui",IF(P57="Oui","T-Test Welch",IF(P57="Non","MW",""))))</f>
        <v>MW</v>
      </c>
      <c r="Q59" s="150" t="str">
        <f t="shared" ref="Q59:V59" si="43">IF($O57="Non",IF(Q57="Non","MW",IF(Q57="Oui","MW","")),IF($O57="Oui",IF(Q57="Oui","T-Test Welch",IF(Q57="Non","MW",""))))</f>
        <v>MW</v>
      </c>
      <c r="R59" s="150" t="str">
        <f t="shared" si="43"/>
        <v>MW</v>
      </c>
      <c r="S59" s="150" t="str">
        <f t="shared" si="43"/>
        <v>MW</v>
      </c>
      <c r="T59" s="150" t="str">
        <f t="shared" si="43"/>
        <v>MW</v>
      </c>
      <c r="U59" s="150" t="str">
        <f t="shared" si="43"/>
        <v>MW</v>
      </c>
      <c r="V59" s="150" t="str">
        <f t="shared" si="43"/>
        <v>MW</v>
      </c>
    </row>
    <row r="60" spans="1:22" s="3" customFormat="1" x14ac:dyDescent="0.35">
      <c r="A60" s="61" t="s">
        <v>83</v>
      </c>
      <c r="B60" s="151"/>
      <c r="C60" s="151">
        <f>IF(C59="MW",[1]!MTEST($B28:$B43,C28:C43,2), IF(C59="T-Test Welch",_xlfn.T.TEST($B28:$B43,C28:C43,2,3),""))</f>
        <v>0.40081416938293457</v>
      </c>
      <c r="D60" s="151">
        <f>IF(D59="MW",[1]!MTEST($B28:$B43,D28:D43,2), IF(D59="T-Test Welch",_xlfn.T.TEST($B28:$B43,D28:D43,2,3),""))</f>
        <v>0.72845418901066461</v>
      </c>
      <c r="E60" s="151">
        <f>IF(E59="MW",[1]!MTEST($B28:$B43,E28:E43,2), IF(E59="T-Test Welch",_xlfn.T.TEST($B28:$B43,E28:E43,2,3),""))</f>
        <v>3.2758974829085741E-3</v>
      </c>
      <c r="F60" s="151">
        <f>IF(F59="MW",[1]!MTEST($B28:$B43,F28:F43,2), IF(F59="T-Test Welch",_xlfn.T.TEST($B28:$B43,F28:F43,2,3),""))</f>
        <v>7.7753044694039986E-4</v>
      </c>
      <c r="G60" s="151">
        <f>IF(G59="MW",[1]!MTEST($B28:$B43,G28:G43,2), IF(G59="T-Test Welch",_xlfn.T.TEST($B28:$B43,G28:G43,2,3),""))</f>
        <v>6.3229476958108766E-3</v>
      </c>
      <c r="H60" s="151">
        <f>IF(H59="MW",[1]!MTEST($B28:$B43,H28:H43,2), IF(H59="T-Test Welch",_xlfn.T.TEST($B28:$B43,H28:H43,2,3),""))</f>
        <v>7.7753044694039986E-4</v>
      </c>
      <c r="I60" s="151">
        <f>IF(I59="MW",[1]!MTEST($B28:$B43,I28:I43,2), IF(I59="T-Test Welch",_xlfn.T.TEST($B28:$B43,I28:I43,2,3),""))</f>
        <v>0.24799581483148536</v>
      </c>
      <c r="J60" s="151">
        <f>IF(J59="MW",[1]!MTEST($B28:$B43,J28:J43,2), IF(J59="T-Test Welch",_xlfn.T.TEST($B28:$B43,J28:J43,2,3),""))</f>
        <v>0.41788696431750072</v>
      </c>
      <c r="K60" s="151">
        <f>IF(K59="MW",[1]!MTEST($B28:$B43,K28:K43,2), IF(K59="T-Test Welch",_xlfn.T.TEST($B28:$B43,K28:K43,2,3),""))</f>
        <v>4.599936687503714E-2</v>
      </c>
      <c r="L60" s="151">
        <f>IF(L59="MW",[1]!MTEST($B28:$B43,L28:L43,2), IF(L59="T-Test Welch",_xlfn.T.TEST($B28:$B43,L28:L43,2,3),""))</f>
        <v>0.24799581483148536</v>
      </c>
      <c r="M60" s="151">
        <f>IF(M59="MW",[1]!MTEST($B28:$B43,M28:M43,2), IF(M59="T-Test Welch",_xlfn.T.TEST($B28:$B43,M28:M43,2,3),""))</f>
        <v>0.14148212148279327</v>
      </c>
      <c r="N60" s="151"/>
      <c r="O60" s="151">
        <f>IF(O59="MW",[1]!MTEST($B28:$B43,O28:O43,2), IF(O59="T-Test Welch",_xlfn.T.TEST($B28:$B43,O28:O43,2,3),""))</f>
        <v>4.8487627216788898E-3</v>
      </c>
      <c r="P60" s="151">
        <f>IF(P59="MW",[1]!MTEST($O28:$O43,P28:P43,2), IF(P59="T-Test Welch",_xlfn.T.TEST($O28:$O43,P28:P43,2,3),""))</f>
        <v>3.8266353795202157E-4</v>
      </c>
      <c r="Q60" s="151">
        <f>IF(Q59="MW",[1]!MTEST($O28:$O43,Q28:Q43,2), IF(Q59="T-Test Welch",_xlfn.T.TEST($O28:$O43,Q28:Q43,2,3),""))</f>
        <v>6.619257972219339E-2</v>
      </c>
      <c r="R60" s="151">
        <f>IF(R59="MW",[1]!MTEST($O28:$O43,R28:R43,2), IF(R59="T-Test Welch",_xlfn.T.TEST($O28:$O43,R28:R43,2,3),""))</f>
        <v>0.22067136191984682</v>
      </c>
      <c r="S60" s="151">
        <f>IF(S59="MW",[1]!MTEST($O28:$O43,S28:S43,2), IF(S59="T-Test Welch",_xlfn.T.TEST($O28:$O43,S28:S43,2,3),""))</f>
        <v>0.14164469029513671</v>
      </c>
      <c r="T60" s="151">
        <f>IF(T59="MW",[1]!MTEST($O28:$O43,T28:T43,2), IF(T59="T-Test Welch",_xlfn.T.TEST($O28:$O43,T28:T43,2,3),""))</f>
        <v>6.619257972219339E-2</v>
      </c>
      <c r="U60" s="151">
        <f>IF(U59="MW",[1]!MTEST($O28:$O43,U28:U43,2), IF(U59="T-Test Welch",_xlfn.T.TEST($O28:$O43,U28:U43,2,3),""))</f>
        <v>1.3429695687401821E-2</v>
      </c>
      <c r="V60" s="151">
        <f>IF(V59="MW",[1]!MTEST($O28:$O43,V28:V43,2), IF(V59="T-Test Welch",_xlfn.T.TEST($O28:$O43,V28:V43,2,3),""))</f>
        <v>9.8248348729491175E-2</v>
      </c>
    </row>
    <row r="61" spans="1:22" s="3" customFormat="1" ht="15" thickBot="1" x14ac:dyDescent="0.4">
      <c r="A61" s="62" t="s">
        <v>84</v>
      </c>
      <c r="B61" s="142"/>
      <c r="C61" s="142" t="str">
        <f t="shared" ref="C61:O61" si="44">IF(C60&gt;0.05,"NS",IF(C60&gt;0.01,"*",IF(C60&gt;0.001,"**","***")))</f>
        <v>NS</v>
      </c>
      <c r="D61" s="142" t="str">
        <f t="shared" si="44"/>
        <v>NS</v>
      </c>
      <c r="E61" s="142" t="str">
        <f t="shared" si="44"/>
        <v>**</v>
      </c>
      <c r="F61" s="142" t="str">
        <f t="shared" si="44"/>
        <v>***</v>
      </c>
      <c r="G61" s="142" t="str">
        <f t="shared" si="44"/>
        <v>**</v>
      </c>
      <c r="H61" s="142" t="str">
        <f t="shared" si="44"/>
        <v>***</v>
      </c>
      <c r="I61" s="142" t="str">
        <f t="shared" si="44"/>
        <v>NS</v>
      </c>
      <c r="J61" s="142" t="str">
        <f t="shared" si="44"/>
        <v>NS</v>
      </c>
      <c r="K61" s="142" t="str">
        <f t="shared" si="44"/>
        <v>*</v>
      </c>
      <c r="L61" s="142" t="str">
        <f t="shared" si="44"/>
        <v>NS</v>
      </c>
      <c r="M61" s="142" t="str">
        <f t="shared" si="44"/>
        <v>NS</v>
      </c>
      <c r="N61" s="142"/>
      <c r="O61" s="142" t="str">
        <f t="shared" si="44"/>
        <v>**</v>
      </c>
      <c r="P61" s="142" t="str">
        <f>IF(P60&gt;0.05,"NS",IF(P60&gt;0.01,"*",IF(P60&gt;0.001,"**","***")))</f>
        <v>***</v>
      </c>
      <c r="Q61" s="142" t="str">
        <f t="shared" ref="Q61:V61" si="45">IF(Q60&gt;0.05,"NS",IF(Q60&gt;0.01,"*",IF(Q60&gt;0.001,"**","***")))</f>
        <v>NS</v>
      </c>
      <c r="R61" s="142" t="str">
        <f t="shared" si="45"/>
        <v>NS</v>
      </c>
      <c r="S61" s="142" t="str">
        <f t="shared" si="45"/>
        <v>NS</v>
      </c>
      <c r="T61" s="142" t="str">
        <f t="shared" si="45"/>
        <v>NS</v>
      </c>
      <c r="U61" s="142" t="str">
        <f t="shared" si="45"/>
        <v>*</v>
      </c>
      <c r="V61" s="142" t="str">
        <f t="shared" si="45"/>
        <v>NS</v>
      </c>
    </row>
    <row r="63" spans="1:22" x14ac:dyDescent="0.35">
      <c r="A63" s="2" t="s">
        <v>39</v>
      </c>
    </row>
    <row r="64" spans="1:22" x14ac:dyDescent="0.35">
      <c r="A64" s="1" t="s">
        <v>23</v>
      </c>
      <c r="B64" s="1">
        <f>B46+(3*B47)</f>
        <v>0.36913570412260105</v>
      </c>
    </row>
    <row r="65" spans="1:22" x14ac:dyDescent="0.35">
      <c r="A65" s="1" t="s">
        <v>24</v>
      </c>
      <c r="B65" s="1">
        <f>B46+(10*B47)</f>
        <v>1.0207632317428625</v>
      </c>
    </row>
    <row r="66" spans="1:22" ht="15" thickBot="1" x14ac:dyDescent="0.4"/>
    <row r="67" spans="1:22" ht="26.5" thickBot="1" x14ac:dyDescent="0.65">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5" x14ac:dyDescent="0.35">
      <c r="A68" s="12"/>
      <c r="B68" s="12"/>
      <c r="C68" s="12"/>
      <c r="D68" s="12"/>
      <c r="E68" s="12"/>
      <c r="F68" s="12"/>
      <c r="H68" s="1">
        <f>H53/B53</f>
        <v>129.61869288596853</v>
      </c>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22"/>
  <sheetViews>
    <sheetView showGridLines="0" tabSelected="1" topLeftCell="K73" zoomScale="70" zoomScaleNormal="70" workbookViewId="0">
      <selection activeCell="U94" sqref="U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Anastrozole-0,032µg/L</v>
      </c>
      <c r="J4" s="35" t="str">
        <f>'R1'!J4</f>
        <v>Anastrozole-0,16µg/L</v>
      </c>
      <c r="K4" s="35" t="str">
        <f>'R1'!K4</f>
        <v>Anastrozole-0,8µg/L</v>
      </c>
      <c r="L4" s="35" t="str">
        <f>'R1'!L4</f>
        <v>Anastrozole-4µg/L</v>
      </c>
      <c r="M4" s="35" t="str">
        <f>'R1'!M4</f>
        <v>Anastrozole-20µg/L</v>
      </c>
      <c r="O4" s="35" t="str">
        <f>'R1'!O4</f>
        <v>Testo -30µg/L</v>
      </c>
      <c r="P4" s="35" t="str">
        <f>'R1'!P4</f>
        <v>Testo 30µg/L + EE2 -64ng/L</v>
      </c>
      <c r="Q4" s="35" t="str">
        <f>'R1'!Q4</f>
        <v>Testo 30µg/L + FAD-10µg/L</v>
      </c>
      <c r="R4" s="35" t="str">
        <f>'R1'!R4</f>
        <v>Anastrozole-0,032µg/L + Testostérone</v>
      </c>
      <c r="S4" s="35" t="str">
        <f>'R1'!S4</f>
        <v>Anastrozole-0,16µg/L + Testostérone</v>
      </c>
      <c r="T4" s="35" t="str">
        <f>'R1'!T4</f>
        <v>Anastrozole-0,8µg/L + Testostérone</v>
      </c>
      <c r="U4" s="35" t="str">
        <f>'R1'!U4</f>
        <v>Anastrozole-4µg/L + Testostérone</v>
      </c>
      <c r="V4" s="35" t="str">
        <f>'R1'!V4</f>
        <v>Anastrozole-20µg/L + Testostérone</v>
      </c>
    </row>
    <row r="5" spans="1:22" s="1" customFormat="1" x14ac:dyDescent="0.35">
      <c r="A5" s="34"/>
      <c r="B5" s="35"/>
      <c r="C5" s="194"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0.1789822687522222</v>
      </c>
      <c r="C6" s="53">
        <f>'R1'!C28</f>
        <v>0.27466780915157479</v>
      </c>
      <c r="D6" s="53">
        <f>'R1'!D28</f>
        <v>2.631159124166627</v>
      </c>
      <c r="E6" s="53">
        <f>'R1'!E28</f>
        <v>1.506345944916055</v>
      </c>
      <c r="F6" s="53">
        <f>'R1'!F28</f>
        <v>7.011256356850927</v>
      </c>
      <c r="G6" s="53">
        <f>'R1'!G28</f>
        <v>5.6056117803659529</v>
      </c>
      <c r="H6" s="53">
        <f>'R1'!H28</f>
        <v>12.380782723629187</v>
      </c>
      <c r="I6" s="53">
        <f>'R1'!I28</f>
        <v>0.63731167609511707</v>
      </c>
      <c r="J6" s="53">
        <f>'R1'!J28</f>
        <v>0.23324183389650691</v>
      </c>
      <c r="K6" s="53">
        <f>'R1'!K28</f>
        <v>0.12553063339717296</v>
      </c>
      <c r="L6" s="53">
        <f>'R1'!L28</f>
        <v>0.50018350209452678</v>
      </c>
      <c r="M6" s="53">
        <f>'R1'!M28</f>
        <v>0.30243394054740369</v>
      </c>
      <c r="N6"/>
      <c r="O6" s="53">
        <f>'R1'!O28</f>
        <v>1.2416464901124906</v>
      </c>
      <c r="P6" s="53">
        <f>'R1'!P28</f>
        <v>7.6252396849698512</v>
      </c>
      <c r="Q6" s="53">
        <f>'R1'!Q28</f>
        <v>4.965519826295095E-2</v>
      </c>
      <c r="R6" s="53">
        <f>'R1'!R28</f>
        <v>0.35799618836216701</v>
      </c>
      <c r="S6" s="53">
        <f>'R1'!S28</f>
        <v>0.98234600530255978</v>
      </c>
      <c r="T6" s="53">
        <f>'R1'!T28</f>
        <v>0.54887751378348004</v>
      </c>
      <c r="U6" s="53">
        <f>'R1'!U28</f>
        <v>8.4501126780946387E-2</v>
      </c>
      <c r="V6" s="53">
        <f>'R1'!V28</f>
        <v>0.2555823419448307</v>
      </c>
    </row>
    <row r="7" spans="1:22" s="1" customFormat="1" x14ac:dyDescent="0.35">
      <c r="A7" s="225" t="s">
        <v>34</v>
      </c>
      <c r="B7" s="53">
        <f>'R1'!B29</f>
        <v>0.22900894813475978</v>
      </c>
      <c r="C7" s="53">
        <f>'R1'!C29</f>
        <v>3.7749478255392231E-2</v>
      </c>
      <c r="D7" s="53">
        <f>'R1'!D29</f>
        <v>0.34727154509804736</v>
      </c>
      <c r="E7" s="53">
        <f>'R1'!E29</f>
        <v>6.0546908080807551</v>
      </c>
      <c r="F7" s="53">
        <f>'R1'!F29</f>
        <v>4.5194892759293666</v>
      </c>
      <c r="G7" s="53">
        <f>'R1'!G29</f>
        <v>6.6201766929955301</v>
      </c>
      <c r="H7" s="53">
        <f>'R1'!H29</f>
        <v>15.28406092998341</v>
      </c>
      <c r="I7" s="53">
        <f>'R1'!I29</f>
        <v>2.3509923949444001E-2</v>
      </c>
      <c r="J7" s="53">
        <f>'R1'!J29</f>
        <v>0.11877400819070058</v>
      </c>
      <c r="K7" s="53">
        <f>'R1'!K29</f>
        <v>0.18022997888034051</v>
      </c>
      <c r="L7" s="53">
        <f>'R1'!L29</f>
        <v>1.1507585534100416E-2</v>
      </c>
      <c r="M7" s="53">
        <f>'R1'!M29</f>
        <v>2.0941206970060265E-2</v>
      </c>
      <c r="N7"/>
      <c r="O7" s="53">
        <f>'R1'!O29</f>
        <v>1.1730874006160465</v>
      </c>
      <c r="P7" s="53">
        <f>'R1'!P29</f>
        <v>14.241641596723303</v>
      </c>
      <c r="Q7" s="53">
        <f>'R1'!Q29</f>
        <v>4.3206752460619932E-2</v>
      </c>
      <c r="R7" s="53">
        <f>'R1'!R29</f>
        <v>3.0273395736192183</v>
      </c>
      <c r="S7" s="53">
        <f>'R1'!S29</f>
        <v>6.1690853370634145E-2</v>
      </c>
      <c r="T7" s="53">
        <f>'R1'!T29</f>
        <v>6.9798470451477618E-4</v>
      </c>
      <c r="U7" s="53">
        <f>'R1'!U29</f>
        <v>0.13863075682510662</v>
      </c>
      <c r="V7" s="53">
        <f>'R1'!V29</f>
        <v>2.707314419516502E-2</v>
      </c>
    </row>
    <row r="8" spans="1:22" s="1" customFormat="1" x14ac:dyDescent="0.35">
      <c r="A8" s="226"/>
      <c r="B8" s="53">
        <f>'R1'!B30</f>
        <v>0.19120949484085814</v>
      </c>
      <c r="C8" s="53">
        <f>'R1'!C30</f>
        <v>0.16038322525363632</v>
      </c>
      <c r="D8" s="53">
        <f>'R1'!D30</f>
        <v>1.1212099789740437</v>
      </c>
      <c r="E8" s="53">
        <f>'R1'!E30</f>
        <v>1.0495557687592498</v>
      </c>
      <c r="F8" s="53">
        <f>'R1'!F30</f>
        <v>3.6232019527746298</v>
      </c>
      <c r="G8" s="53">
        <f>'R1'!G30</f>
        <v>12.024184170510667</v>
      </c>
      <c r="H8" s="53">
        <f>'R1'!H30</f>
        <v>12.852215586069249</v>
      </c>
      <c r="I8" s="53">
        <f>'R1'!I30</f>
        <v>0.27682506498056442</v>
      </c>
      <c r="J8" s="53">
        <f>'R1'!J30</f>
        <v>3.4499434917663524E-2</v>
      </c>
      <c r="K8" s="53">
        <f>'R1'!K30</f>
        <v>5.6648371985034557E-2</v>
      </c>
      <c r="L8" s="53">
        <f>'R1'!L30</f>
        <v>0.17651849935370822</v>
      </c>
      <c r="M8" s="53">
        <f>'R1'!M30</f>
        <v>8.3413336776058208E-2</v>
      </c>
      <c r="N8"/>
      <c r="O8" s="53">
        <f>'R1'!O30</f>
        <v>0.3123090081568633</v>
      </c>
      <c r="P8" s="53">
        <f>'R1'!P30</f>
        <v>11.120976970356994</v>
      </c>
      <c r="Q8" s="53">
        <f>'R1'!Q30</f>
        <v>1.2015665092279429E-2</v>
      </c>
      <c r="R8" s="53">
        <f>'R1'!R30</f>
        <v>0.86490799647467753</v>
      </c>
      <c r="S8" s="53">
        <f>'R1'!S30</f>
        <v>3.2892470896047237</v>
      </c>
      <c r="T8" s="53">
        <f>'R1'!T30</f>
        <v>0.30043493900702722</v>
      </c>
      <c r="U8" s="53">
        <f>'R1'!U30</f>
        <v>0.21412138416280618</v>
      </c>
      <c r="V8" s="53">
        <f>'R1'!V30</f>
        <v>0.21715986650417837</v>
      </c>
    </row>
    <row r="9" spans="1:22" s="1" customFormat="1" x14ac:dyDescent="0.35">
      <c r="A9" s="226"/>
      <c r="B9" s="53">
        <f>'R1'!B31</f>
        <v>0.13081965830608566</v>
      </c>
      <c r="C9" s="53">
        <f>'R1'!C31</f>
        <v>0.8617795590639884</v>
      </c>
      <c r="D9" s="53">
        <f>'R1'!D31</f>
        <v>0.20275706040576608</v>
      </c>
      <c r="E9" s="53">
        <f>'R1'!E31</f>
        <v>12.341855500299589</v>
      </c>
      <c r="F9" s="53">
        <f>'R1'!F31</f>
        <v>19.009145327932558</v>
      </c>
      <c r="G9" s="53">
        <f>'R1'!G31</f>
        <v>12.619926609573655</v>
      </c>
      <c r="H9" s="53">
        <f>'R1'!H31</f>
        <v>12.814877568964251</v>
      </c>
      <c r="I9" s="53">
        <f>'R1'!I31</f>
        <v>0.64377678024361795</v>
      </c>
      <c r="J9" s="53">
        <f>'R1'!J31</f>
        <v>2.3331679645427102E-2</v>
      </c>
      <c r="K9" s="53">
        <f>'R1'!K31</f>
        <v>0.31002015139313227</v>
      </c>
      <c r="L9" s="53">
        <f>'R1'!L31</f>
        <v>0.1472231317794914</v>
      </c>
      <c r="M9" s="53">
        <f>'R1'!M31</f>
        <v>4.772782761110466E-2</v>
      </c>
      <c r="N9"/>
      <c r="O9" s="53">
        <f>'R1'!O31</f>
        <v>0.79453148141110763</v>
      </c>
      <c r="P9" s="53">
        <f>'R1'!P31</f>
        <v>14.134889916963351</v>
      </c>
      <c r="Q9" s="53">
        <f>'R1'!Q31</f>
        <v>2.2060647832671077E-2</v>
      </c>
      <c r="R9" s="53">
        <f>'R1'!R31</f>
        <v>6.918710914704583E-2</v>
      </c>
      <c r="S9" s="53">
        <f>'R1'!S31</f>
        <v>0.74399838830500808</v>
      </c>
      <c r="T9" s="53">
        <f>'R1'!T31</f>
        <v>0.30330184038285046</v>
      </c>
      <c r="U9" s="53">
        <f>'R1'!U31</f>
        <v>0.28247557600136181</v>
      </c>
      <c r="V9" s="53">
        <f>'R1'!V31</f>
        <v>0.65782642940323033</v>
      </c>
    </row>
    <row r="10" spans="1:22" s="1" customFormat="1" x14ac:dyDescent="0.35">
      <c r="A10" s="226"/>
      <c r="B10" s="53">
        <f>'R1'!B32</f>
        <v>0.43532756295162989</v>
      </c>
      <c r="C10" s="53">
        <f>'R1'!C32</f>
        <v>0.11377150683590852</v>
      </c>
      <c r="D10" s="53">
        <f>'R1'!D32</f>
        <v>2.4982205242277424</v>
      </c>
      <c r="E10" s="53">
        <f>'R1'!E32</f>
        <v>9.0011058018416836</v>
      </c>
      <c r="F10" s="53">
        <f>'R1'!F32</f>
        <v>4.7548733731433099</v>
      </c>
      <c r="G10" s="53">
        <f>'R1'!G32</f>
        <v>5.1367559640783584</v>
      </c>
      <c r="H10" s="53">
        <f>'R1'!H32</f>
        <v>16.364816115284086</v>
      </c>
      <c r="I10" s="53">
        <f>'R1'!I32</f>
        <v>4.2160608321156257E-2</v>
      </c>
      <c r="J10" s="53">
        <f>'R1'!J32</f>
        <v>3.5025838656629317E-2</v>
      </c>
      <c r="K10" s="53">
        <f>'R1'!K32</f>
        <v>9.0496465567458759E-2</v>
      </c>
      <c r="L10" s="53">
        <f>'R1'!L32</f>
        <v>0.23576557334123216</v>
      </c>
      <c r="M10" s="53">
        <f>'R1'!M32</f>
        <v>0.15571722249147432</v>
      </c>
      <c r="N10"/>
      <c r="O10" s="53">
        <f>'R1'!O32</f>
        <v>1.2113233025795969</v>
      </c>
      <c r="P10" s="53">
        <f>'R1'!P32</f>
        <v>11.298431668765446</v>
      </c>
      <c r="Q10" s="53">
        <f>'R1'!Q32</f>
        <v>7.7827793305323021E-3</v>
      </c>
      <c r="R10" s="53">
        <f>'R1'!R32</f>
        <v>0.14578385067042035</v>
      </c>
      <c r="S10" s="53">
        <f>'R1'!S32</f>
        <v>0.3055723729657947</v>
      </c>
      <c r="T10" s="53">
        <f>'R1'!T32</f>
        <v>5.1969042545936692E-2</v>
      </c>
      <c r="U10" s="53">
        <f>'R1'!U32</f>
        <v>6.0737995969721376E-2</v>
      </c>
      <c r="V10" s="53">
        <f>'R1'!V32</f>
        <v>0.12012166839583771</v>
      </c>
    </row>
    <row r="11" spans="1:22" s="1" customFormat="1" x14ac:dyDescent="0.35">
      <c r="A11" s="226"/>
      <c r="B11" s="53">
        <f>'R1'!B33</f>
        <v>0.10305519274487378</v>
      </c>
      <c r="C11" s="53">
        <f>'R1'!C33</f>
        <v>2.6165264328910715E-2</v>
      </c>
      <c r="D11" s="53">
        <f>'R1'!D33</f>
        <v>0.37272549804550748</v>
      </c>
      <c r="E11" s="53">
        <f>'R1'!E33</f>
        <v>0.21935043902550758</v>
      </c>
      <c r="F11" s="53">
        <f>'R1'!F33</f>
        <v>6.225094028555529</v>
      </c>
      <c r="G11" s="53">
        <f>'R1'!G33</f>
        <v>10.429239145655893</v>
      </c>
      <c r="H11" s="53">
        <f>'R1'!H33</f>
        <v>17.298078303597318</v>
      </c>
      <c r="I11" s="53">
        <f>'R1'!I33</f>
        <v>0.23150770006023033</v>
      </c>
      <c r="J11" s="53">
        <f>'R1'!J33</f>
        <v>0.25227566023012465</v>
      </c>
      <c r="K11" s="53">
        <f>'R1'!K33</f>
        <v>0.40190259136191869</v>
      </c>
      <c r="L11" s="53">
        <f>'R1'!L33</f>
        <v>6.262538659076014E-2</v>
      </c>
      <c r="M11" s="53">
        <f>'R1'!M33</f>
        <v>9.8079344743953412E-2</v>
      </c>
      <c r="N11"/>
      <c r="O11" s="53">
        <f>'R1'!O33</f>
        <v>0.1628486604867673</v>
      </c>
      <c r="P11" s="53">
        <f>'R1'!P33</f>
        <v>12.006183161639576</v>
      </c>
      <c r="Q11" s="53">
        <f>'R1'!Q33</f>
        <v>0.18032493145350839</v>
      </c>
      <c r="R11" s="53">
        <f>'R1'!R33</f>
        <v>1.2747949331557831</v>
      </c>
      <c r="S11" s="53">
        <f>'R1'!S33</f>
        <v>0.54940391752244577</v>
      </c>
      <c r="T11" s="53">
        <f>'R1'!T33</f>
        <v>8.4519450961733175E-2</v>
      </c>
      <c r="U11" s="53">
        <f>'R1'!U33</f>
        <v>0.11909218260254384</v>
      </c>
      <c r="V11" s="53">
        <f>'R1'!V33</f>
        <v>0.16083466643483801</v>
      </c>
    </row>
    <row r="12" spans="1:22" s="1" customFormat="1" x14ac:dyDescent="0.35">
      <c r="A12" s="226"/>
      <c r="B12" s="53">
        <f>'R1'!B34</f>
        <v>5.9272061506778648E-2</v>
      </c>
      <c r="C12" s="53">
        <f>'R1'!C34</f>
        <v>0.2703333074781919</v>
      </c>
      <c r="D12" s="53">
        <f>'R1'!D34</f>
        <v>0.35877413312829687</v>
      </c>
      <c r="E12" s="53">
        <f>'R1'!E34</f>
        <v>1.6362843767097579</v>
      </c>
      <c r="F12" s="53">
        <f>'R1'!F34</f>
        <v>7.2718312051428482</v>
      </c>
      <c r="G12" s="53">
        <f>'R1'!G34</f>
        <v>11.612511459120158</v>
      </c>
      <c r="H12" s="53">
        <f>'R1'!H34</f>
        <v>25.785997098324327</v>
      </c>
      <c r="I12" s="53">
        <f>'R1'!I34</f>
        <v>0.53298878320672127</v>
      </c>
      <c r="J12" s="53">
        <f>'R1'!J34</f>
        <v>4.6758311864022087E-2</v>
      </c>
      <c r="K12" s="53">
        <f>'R1'!K34</f>
        <v>0.21237725531882773</v>
      </c>
      <c r="L12" s="53">
        <f>'R1'!L34</f>
        <v>8.5089166400740462E-2</v>
      </c>
      <c r="M12" s="53">
        <f>'R1'!M34</f>
        <v>4.8545752408042028E-2</v>
      </c>
      <c r="N12"/>
      <c r="O12" s="53">
        <f>'R1'!O34</f>
        <v>4.6946551175740869E-2</v>
      </c>
      <c r="P12" s="53">
        <f>'R1'!P34</f>
        <v>4.6318814717024157</v>
      </c>
      <c r="Q12" s="53">
        <f>'R1'!Q34</f>
        <v>0.11309184631218053</v>
      </c>
      <c r="R12" s="53">
        <f>'R1'!R34</f>
        <v>0.91521620190748476</v>
      </c>
      <c r="S12" s="53">
        <f>'R1'!S34</f>
        <v>3.2620023644440095</v>
      </c>
      <c r="T12" s="53">
        <f>'R1'!T34</f>
        <v>7.7777818266813606E-3</v>
      </c>
      <c r="U12" s="53">
        <f>'R1'!U34</f>
        <v>4.3511600195527342E-3</v>
      </c>
      <c r="V12" s="53">
        <f>'R1'!V34</f>
        <v>3.3566567532154513E-2</v>
      </c>
    </row>
    <row r="13" spans="1:22" s="1" customFormat="1" x14ac:dyDescent="0.35">
      <c r="A13" s="226"/>
      <c r="B13" s="53">
        <f>'R1'!B35</f>
        <v>0.10799272654960361</v>
      </c>
      <c r="C13" s="53" t="str">
        <f>'R1'!C35</f>
        <v/>
      </c>
      <c r="D13" s="53">
        <f>'R1'!D35</f>
        <v>1.2457111265779228E-2</v>
      </c>
      <c r="E13" s="53" t="str">
        <f>'R1'!E35</f>
        <v/>
      </c>
      <c r="F13" s="53">
        <f>'R1'!F35</f>
        <v>4.8689580568872106</v>
      </c>
      <c r="G13" s="53" t="str">
        <f>'R1'!G35</f>
        <v/>
      </c>
      <c r="H13" s="53">
        <f>'R1'!H35</f>
        <v>29.749668993455874</v>
      </c>
      <c r="I13" s="53">
        <f>'R1'!I35</f>
        <v>0.10763290627233585</v>
      </c>
      <c r="J13" s="53">
        <f>'R1'!J35</f>
        <v>7.8872271610169714E-2</v>
      </c>
      <c r="K13" s="53">
        <f>'R1'!K35</f>
        <v>5.9303712364501271E-2</v>
      </c>
      <c r="L13" s="53">
        <f>'R1'!L35</f>
        <v>0.26818604665690421</v>
      </c>
      <c r="M13" s="53">
        <f>'R1'!M35</f>
        <v>0.18164260663553985</v>
      </c>
      <c r="N13"/>
      <c r="O13" s="53">
        <f>'R1'!O35</f>
        <v>0.49732826156102239</v>
      </c>
      <c r="P13" s="53">
        <f>'R1'!P35</f>
        <v>10.218591026669491</v>
      </c>
      <c r="Q13" s="53">
        <f>'R1'!Q35</f>
        <v>0.3795137741097025</v>
      </c>
      <c r="R13" s="53">
        <f>'R1'!R35</f>
        <v>1.831323625335054</v>
      </c>
      <c r="S13" s="53">
        <f>'R1'!S35</f>
        <v>2.1323099556003018</v>
      </c>
      <c r="T13" s="53">
        <f>'R1'!T35</f>
        <v>0.20651684913629079</v>
      </c>
      <c r="U13" s="53">
        <f>'R1'!U35</f>
        <v>7.9533607953110916E-2</v>
      </c>
      <c r="V13" s="53">
        <f>'R1'!V35</f>
        <v>0.35519425453640602</v>
      </c>
    </row>
    <row r="14" spans="1:22" s="1" customFormat="1" x14ac:dyDescent="0.35">
      <c r="A14" s="226"/>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2.3961398447338023</v>
      </c>
      <c r="P14" s="53" t="str">
        <f>'R1'!P36</f>
        <v/>
      </c>
      <c r="Q14" s="53" t="str">
        <f>'R1'!Q36</f>
        <v/>
      </c>
      <c r="R14" s="53" t="str">
        <f>'R1'!R36</f>
        <v/>
      </c>
      <c r="S14" s="53" t="str">
        <f>'R1'!S36</f>
        <v/>
      </c>
      <c r="T14" s="53" t="str">
        <f>'R1'!T36</f>
        <v/>
      </c>
      <c r="U14" s="53" t="str">
        <f>'R1'!U36</f>
        <v/>
      </c>
      <c r="V14" s="53" t="str">
        <f>'R1'!V36</f>
        <v/>
      </c>
    </row>
    <row r="15" spans="1:22" s="1" customFormat="1" x14ac:dyDescent="0.35">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1.1711666933026681</v>
      </c>
      <c r="P15" s="53" t="str">
        <f>'R1'!P37</f>
        <v/>
      </c>
      <c r="Q15" s="53" t="str">
        <f>'R1'!Q37</f>
        <v/>
      </c>
      <c r="R15" s="53" t="str">
        <f>'R1'!R37</f>
        <v/>
      </c>
      <c r="S15" s="53" t="str">
        <f>'R1'!S37</f>
        <v/>
      </c>
      <c r="T15" s="53" t="str">
        <f>'R1'!T37</f>
        <v/>
      </c>
      <c r="U15" s="53" t="str">
        <f>'R1'!U37</f>
        <v/>
      </c>
      <c r="V15" s="53" t="str">
        <f>'R1'!V37</f>
        <v/>
      </c>
    </row>
    <row r="16" spans="1:22" s="1" customFormat="1" x14ac:dyDescent="0.35">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4.101498053836651</v>
      </c>
      <c r="P16" s="53" t="str">
        <f>'R1'!P38</f>
        <v/>
      </c>
      <c r="Q16" s="53" t="str">
        <f>'R1'!Q38</f>
        <v/>
      </c>
      <c r="R16" s="53" t="str">
        <f>'R1'!R38</f>
        <v/>
      </c>
      <c r="S16" s="53" t="str">
        <f>'R1'!S38</f>
        <v/>
      </c>
      <c r="T16" s="53" t="str">
        <f>'R1'!T38</f>
        <v/>
      </c>
      <c r="U16" s="53" t="str">
        <f>'R1'!U38</f>
        <v/>
      </c>
      <c r="V16" s="53" t="str">
        <f>'R1'!V38</f>
        <v/>
      </c>
    </row>
    <row r="17" spans="1:22" s="1" customFormat="1" x14ac:dyDescent="0.35">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1.8877221221275415</v>
      </c>
      <c r="P17" s="53" t="str">
        <f>'R1'!P39</f>
        <v/>
      </c>
      <c r="Q17" s="53" t="str">
        <f>'R1'!Q39</f>
        <v/>
      </c>
      <c r="R17" s="53" t="str">
        <f>'R1'!R39</f>
        <v/>
      </c>
      <c r="S17" s="53" t="str">
        <f>'R1'!S39</f>
        <v/>
      </c>
      <c r="T17" s="53" t="str">
        <f>'R1'!T39</f>
        <v/>
      </c>
      <c r="U17" s="53" t="str">
        <f>'R1'!U39</f>
        <v/>
      </c>
      <c r="V17" s="53" t="str">
        <f>'R1'!V39</f>
        <v/>
      </c>
    </row>
    <row r="18" spans="1:22" s="1" customFormat="1" x14ac:dyDescent="0.35">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0.62520272426428669</v>
      </c>
      <c r="P18" s="53" t="str">
        <f>'R1'!P40</f>
        <v/>
      </c>
      <c r="Q18" s="53" t="str">
        <f>'R1'!Q40</f>
        <v/>
      </c>
      <c r="R18" s="53" t="str">
        <f>'R1'!R40</f>
        <v/>
      </c>
      <c r="S18" s="53" t="str">
        <f>'R1'!S40</f>
        <v/>
      </c>
      <c r="T18" s="53" t="str">
        <f>'R1'!T40</f>
        <v/>
      </c>
      <c r="U18" s="53" t="str">
        <f>'R1'!U40</f>
        <v/>
      </c>
      <c r="V18" s="53" t="str">
        <f>'R1'!V40</f>
        <v/>
      </c>
    </row>
    <row r="19" spans="1:22" s="1" customFormat="1" x14ac:dyDescent="0.35">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0.19005673728590772</v>
      </c>
      <c r="P19" s="53" t="str">
        <f>'R1'!P41</f>
        <v/>
      </c>
      <c r="Q19" s="53" t="str">
        <f>'R1'!Q41</f>
        <v/>
      </c>
      <c r="R19" s="53" t="str">
        <f>'R1'!R41</f>
        <v/>
      </c>
      <c r="S19" s="53" t="str">
        <f>'R1'!S41</f>
        <v/>
      </c>
      <c r="T19" s="53" t="str">
        <f>'R1'!T41</f>
        <v/>
      </c>
      <c r="U19" s="53" t="str">
        <f>'R1'!U41</f>
        <v/>
      </c>
      <c r="V19" s="53" t="str">
        <f>'R1'!V41</f>
        <v/>
      </c>
    </row>
    <row r="20" spans="1:22" s="1" customFormat="1" x14ac:dyDescent="0.35">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7.90771692680583E-2</v>
      </c>
      <c r="P20" s="53" t="str">
        <f>'R1'!P42</f>
        <v/>
      </c>
      <c r="Q20" s="53" t="str">
        <f>'R1'!Q42</f>
        <v/>
      </c>
      <c r="R20" s="53" t="str">
        <f>'R1'!R42</f>
        <v/>
      </c>
      <c r="S20" s="53" t="str">
        <f>'R1'!S42</f>
        <v/>
      </c>
      <c r="T20" s="53" t="str">
        <f>'R1'!T42</f>
        <v/>
      </c>
      <c r="U20" s="53" t="str">
        <f>'R1'!U42</f>
        <v/>
      </c>
      <c r="V20" s="53" t="str">
        <f>'R1'!V42</f>
        <v/>
      </c>
    </row>
    <row r="21" spans="1:22" s="1" customFormat="1" x14ac:dyDescent="0.35">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0.10911549908144838</v>
      </c>
      <c r="P21" s="53" t="str">
        <f>'R1'!P43</f>
        <v/>
      </c>
      <c r="Q21" s="53" t="str">
        <f>'R1'!Q43</f>
        <v/>
      </c>
      <c r="R21" s="53" t="str">
        <f>'R1'!R43</f>
        <v/>
      </c>
      <c r="S21" s="53" t="str">
        <f>'R1'!S43</f>
        <v/>
      </c>
      <c r="T21" s="53" t="str">
        <f>'R1'!T43</f>
        <v/>
      </c>
      <c r="U21" s="53" t="str">
        <f>'R1'!U43</f>
        <v/>
      </c>
      <c r="V21" s="53" t="str">
        <f>'R1'!V43</f>
        <v/>
      </c>
    </row>
    <row r="22" spans="1:22" x14ac:dyDescent="0.35">
      <c r="A22" s="39" t="s">
        <v>5</v>
      </c>
      <c r="B22" s="54">
        <f>'R2'!B28</f>
        <v>2.8424551045229819E-2</v>
      </c>
      <c r="C22" s="54">
        <f>'R2'!C28</f>
        <v>4.4486885966449473E-2</v>
      </c>
      <c r="D22" s="54">
        <f>'R2'!D28</f>
        <v>0.14150554122661457</v>
      </c>
      <c r="E22" s="54">
        <f>'R2'!E28</f>
        <v>0.67148188102692408</v>
      </c>
      <c r="F22" s="54">
        <f>'R2'!F28</f>
        <v>2.1550891948413704</v>
      </c>
      <c r="G22" s="54">
        <f>'R2'!G28</f>
        <v>2.1550891948413704</v>
      </c>
      <c r="H22" s="54">
        <f>'R2'!H28</f>
        <v>7.3125699950184364</v>
      </c>
      <c r="I22" s="54">
        <f>'R2'!I28</f>
        <v>8.1134626605477631E-4</v>
      </c>
      <c r="J22" s="54">
        <f>'R2'!J28</f>
        <v>7.9564159873328696E-2</v>
      </c>
      <c r="K22" s="54">
        <f>'R2'!K28</f>
        <v>4.9793871295780452E-2</v>
      </c>
      <c r="L22" s="54">
        <f>'R2'!L28</f>
        <v>2.5914547447122779E-2</v>
      </c>
      <c r="M22" s="54">
        <f>'R2'!M28</f>
        <v>0.12621234990481486</v>
      </c>
      <c r="O22" s="54">
        <f>'R2'!O28</f>
        <v>0.78300823047614798</v>
      </c>
      <c r="P22" s="54">
        <f>'R2'!P28</f>
        <v>2.9029399663440327</v>
      </c>
      <c r="Q22" s="54">
        <f>'R2'!Q28</f>
        <v>4.2466433301306568E-2</v>
      </c>
      <c r="R22" s="54">
        <f>'R2'!R28</f>
        <v>0.76629175422208828</v>
      </c>
      <c r="S22" s="54">
        <f>'R2'!S28</f>
        <v>1.2491989323912291E-2</v>
      </c>
      <c r="T22" s="54">
        <f>'R2'!T28</f>
        <v>0.48720710236589798</v>
      </c>
      <c r="U22" s="54">
        <f>'R2'!U28</f>
        <v>0.16663564660766228</v>
      </c>
      <c r="V22" s="54">
        <f>'R2'!V28</f>
        <v>3.0232935310532661E-2</v>
      </c>
    </row>
    <row r="23" spans="1:22" x14ac:dyDescent="0.35">
      <c r="A23" s="225" t="s">
        <v>34</v>
      </c>
      <c r="B23" s="54">
        <f>'R2'!B29</f>
        <v>2.936250531118911E-2</v>
      </c>
      <c r="C23" s="54">
        <f>'R2'!C29</f>
        <v>5.1715147694331491E-2</v>
      </c>
      <c r="D23" s="54">
        <f>'R2'!D29</f>
        <v>2.9871395616138656</v>
      </c>
      <c r="E23" s="54">
        <f>'R2'!E29</f>
        <v>1.1968322810307224</v>
      </c>
      <c r="F23" s="54">
        <f>'R2'!F29</f>
        <v>1.9063814948956039</v>
      </c>
      <c r="G23" s="54">
        <f>'R2'!G29</f>
        <v>1.9063814948956039</v>
      </c>
      <c r="H23" s="54">
        <f>'R2'!H29</f>
        <v>5.90565705974615</v>
      </c>
      <c r="I23" s="54">
        <f>'R2'!I29</f>
        <v>2.1992337116747446E-2</v>
      </c>
      <c r="J23" s="54">
        <f>'R2'!J29</f>
        <v>6.8326117281804058E-2</v>
      </c>
      <c r="K23" s="54">
        <f>'R2'!K29</f>
        <v>1.8477910052731243E-2</v>
      </c>
      <c r="L23" s="54">
        <f>'R2'!L29</f>
        <v>4.6314261431737995E-2</v>
      </c>
      <c r="M23" s="54">
        <f>'R2'!M29</f>
        <v>6.7304812749240953E-2</v>
      </c>
      <c r="O23" s="54">
        <f>'R2'!O29</f>
        <v>1.0267159694923518</v>
      </c>
      <c r="P23" s="54">
        <f>'R2'!P29</f>
        <v>3.0369809109096102</v>
      </c>
      <c r="Q23" s="54">
        <f>'R2'!Q29</f>
        <v>1.360455712307323E-2</v>
      </c>
      <c r="R23" s="54">
        <f>'R2'!R29</f>
        <v>1.0699109263264421</v>
      </c>
      <c r="S23" s="54">
        <f>'R2'!S29</f>
        <v>1.016345719233506E-2</v>
      </c>
      <c r="T23" s="54">
        <f>'R2'!T29</f>
        <v>0.66817055429608807</v>
      </c>
      <c r="U23" s="54">
        <f>'R2'!U29</f>
        <v>3.0219514862542782</v>
      </c>
      <c r="V23" s="54">
        <f>'R2'!V29</f>
        <v>3.0050408777336984E-2</v>
      </c>
    </row>
    <row r="24" spans="1:22" x14ac:dyDescent="0.35">
      <c r="A24" s="226"/>
      <c r="B24" s="54">
        <f>'R2'!B30</f>
        <v>4.8715593163260323E-2</v>
      </c>
      <c r="C24" s="54">
        <f>'R2'!C30</f>
        <v>2.0035715984889732E-3</v>
      </c>
      <c r="D24" s="54">
        <f>'R2'!D30</f>
        <v>0.59846229968199305</v>
      </c>
      <c r="E24" s="54">
        <f>'R2'!E30</f>
        <v>0.32768999055286713</v>
      </c>
      <c r="F24" s="54">
        <f>'R2'!F30</f>
        <v>2.7290454610751782</v>
      </c>
      <c r="G24" s="54">
        <f>'R2'!G30</f>
        <v>2.7290454610751782</v>
      </c>
      <c r="H24" s="54">
        <f>'R2'!H30</f>
        <v>2.5126913804383451</v>
      </c>
      <c r="I24" s="54">
        <f>'R2'!I30</f>
        <v>0.12124720617522607</v>
      </c>
      <c r="J24" s="54">
        <f>'R2'!J30</f>
        <v>5.1229817028030845E-2</v>
      </c>
      <c r="K24" s="54">
        <f>'R2'!K30</f>
        <v>1.7346351053584626E-2</v>
      </c>
      <c r="L24" s="54">
        <f>'R2'!L30</f>
        <v>1.7854893186534434E-2</v>
      </c>
      <c r="M24" s="54">
        <f>'R2'!M30</f>
        <v>1.2179162057481549E-2</v>
      </c>
      <c r="O24" s="54">
        <f>'R2'!O30</f>
        <v>1.4506064111060011</v>
      </c>
      <c r="P24" s="54">
        <f>'R2'!P30</f>
        <v>2.6049094823687975</v>
      </c>
      <c r="Q24" s="54">
        <f>'R2'!Q30</f>
        <v>3.2836839841902214E-2</v>
      </c>
      <c r="R24" s="54">
        <f>'R2'!R30</f>
        <v>0.80495308959293121</v>
      </c>
      <c r="S24" s="54">
        <f>'R2'!S30</f>
        <v>1.5911154418667004</v>
      </c>
      <c r="T24" s="54">
        <f>'R2'!T30</f>
        <v>0.32576554895431847</v>
      </c>
      <c r="U24" s="54">
        <f>'R2'!U30</f>
        <v>2.1885775383494479E-2</v>
      </c>
      <c r="V24" s="54">
        <f>'R2'!V30</f>
        <v>6.3731301951935979E-2</v>
      </c>
    </row>
    <row r="25" spans="1:22" x14ac:dyDescent="0.35">
      <c r="A25" s="226"/>
      <c r="B25" s="54">
        <f>'R2'!B31</f>
        <v>5.9702002354974741E-2</v>
      </c>
      <c r="C25" s="54">
        <f>'R2'!C31</f>
        <v>1.0814433325177448E-4</v>
      </c>
      <c r="D25" s="54">
        <f>'R2'!D31</f>
        <v>0.44227867099978152</v>
      </c>
      <c r="E25" s="54">
        <f>'R2'!E31</f>
        <v>1.9081307954276181</v>
      </c>
      <c r="F25" s="54">
        <f>'R2'!F31</f>
        <v>2.2726573835527044</v>
      </c>
      <c r="G25" s="54">
        <f>'R2'!G31</f>
        <v>2.2726573835527044</v>
      </c>
      <c r="H25" s="54">
        <f>'R2'!H31</f>
        <v>4.2298461412766581</v>
      </c>
      <c r="I25" s="54">
        <f>'R2'!I31</f>
        <v>3.1393508642990731E-2</v>
      </c>
      <c r="J25" s="54">
        <f>'R2'!J31</f>
        <v>3.5447074773267001E-2</v>
      </c>
      <c r="K25" s="54">
        <f>'R2'!K31</f>
        <v>9.4826226728485216E-2</v>
      </c>
      <c r="L25" s="54">
        <f>'R2'!L31</f>
        <v>3.6297458505959002E-2</v>
      </c>
      <c r="M25" s="54">
        <f>'R2'!M31</f>
        <v>1.98078215850616E-2</v>
      </c>
      <c r="O25" s="54">
        <f>'R2'!O31</f>
        <v>0.48509907916748779</v>
      </c>
      <c r="P25" s="54">
        <f>'R2'!P31</f>
        <v>2.9776423790210282</v>
      </c>
      <c r="Q25" s="54">
        <f>'R2'!Q31</f>
        <v>1.4751414588874974E-2</v>
      </c>
      <c r="R25" s="54">
        <f>'R2'!R31</f>
        <v>6.5894188616971465E-3</v>
      </c>
      <c r="S25" s="54">
        <f>'R2'!S31</f>
        <v>0.46210073598483237</v>
      </c>
      <c r="T25" s="54">
        <f>'R2'!T31</f>
        <v>5.4719977558732015E-2</v>
      </c>
      <c r="U25" s="54">
        <f>'R2'!U31</f>
        <v>5.4459376092261889E-2</v>
      </c>
      <c r="V25" s="54">
        <f>'R2'!V31</f>
        <v>3.2064003509151728E-2</v>
      </c>
    </row>
    <row r="26" spans="1:22" x14ac:dyDescent="0.35">
      <c r="A26" s="226"/>
      <c r="B26" s="54">
        <f>'R2'!B32</f>
        <v>0.25329935007563675</v>
      </c>
      <c r="C26" s="54">
        <f>'R2'!C32</f>
        <v>0.11181016238234318</v>
      </c>
      <c r="D26" s="54">
        <f>'R2'!D32</f>
        <v>0.14798417808839526</v>
      </c>
      <c r="E26" s="54">
        <f>'R2'!E32</f>
        <v>0.4268266921447682</v>
      </c>
      <c r="F26" s="54">
        <f>'R2'!F32</f>
        <v>1.2891353158277772</v>
      </c>
      <c r="G26" s="54">
        <f>'R2'!G32</f>
        <v>1.2891353158277772</v>
      </c>
      <c r="H26" s="54">
        <f>'R2'!H32</f>
        <v>7.3852356014969684</v>
      </c>
      <c r="I26" s="54">
        <f>'R2'!I32</f>
        <v>0.13508282289812504</v>
      </c>
      <c r="J26" s="54">
        <f>'R2'!J32</f>
        <v>2.1866784183508799E-2</v>
      </c>
      <c r="K26" s="54">
        <f>'R2'!K32</f>
        <v>2.0760546784343088E-2</v>
      </c>
      <c r="L26" s="54">
        <f>'R2'!L32</f>
        <v>0.12573704237183997</v>
      </c>
      <c r="M26" s="54">
        <f>'R2'!M32</f>
        <v>3.0827465376750952E-2</v>
      </c>
      <c r="O26" s="54">
        <f>'R2'!O32</f>
        <v>1.2735366827062078</v>
      </c>
      <c r="P26" s="54">
        <f>'R2'!P32</f>
        <v>3.1371389170340742</v>
      </c>
      <c r="Q26" s="54">
        <f>'R2'!Q32</f>
        <v>5.7383493356723284E-2</v>
      </c>
      <c r="R26" s="54">
        <f>'R2'!R32</f>
        <v>3.9670506636748493E-4</v>
      </c>
      <c r="S26" s="54">
        <f>'R2'!S32</f>
        <v>0.17552511080095815</v>
      </c>
      <c r="T26" s="54">
        <f>'R2'!T32</f>
        <v>0.378829599380966</v>
      </c>
      <c r="U26" s="54">
        <f>'R2'!U32</f>
        <v>1.6117198387844946E-2</v>
      </c>
      <c r="V26" s="54">
        <f>'R2'!V32</f>
        <v>4.8193862696987132E-2</v>
      </c>
    </row>
    <row r="27" spans="1:22" x14ac:dyDescent="0.35">
      <c r="A27" s="226"/>
      <c r="B27" s="54">
        <f>'R2'!B33</f>
        <v>2.9979719310723629E-2</v>
      </c>
      <c r="C27" s="54">
        <f>'R2'!C33</f>
        <v>4.3487737833869666E-2</v>
      </c>
      <c r="D27" s="54">
        <f>'R2'!D33</f>
        <v>7.1216999946290514E-5</v>
      </c>
      <c r="E27" s="54">
        <f>'R2'!E33</f>
        <v>1.1012115891028362</v>
      </c>
      <c r="F27" s="54">
        <f>'R2'!F33</f>
        <v>3.340797380480482</v>
      </c>
      <c r="G27" s="54">
        <f>'R2'!G33</f>
        <v>3.340797380480482</v>
      </c>
      <c r="H27" s="54">
        <f>'R2'!H33</f>
        <v>6.3284233278273136</v>
      </c>
      <c r="I27" s="54">
        <f>'R2'!I33</f>
        <v>6.2452561152900363E-2</v>
      </c>
      <c r="J27" s="54">
        <f>'R2'!J33</f>
        <v>6.0730692354198937E-2</v>
      </c>
      <c r="K27" s="54">
        <f>'R2'!K33</f>
        <v>4.8040350497102903E-2</v>
      </c>
      <c r="L27" s="54">
        <f>'R2'!L33</f>
        <v>4.8400655763497842E-2</v>
      </c>
      <c r="M27" s="54">
        <f>'R2'!M33</f>
        <v>8.9506580599163794E-3</v>
      </c>
      <c r="O27" s="54">
        <f>'R2'!O33</f>
        <v>0.46957693837919406</v>
      </c>
      <c r="P27" s="54">
        <f>'R2'!P33</f>
        <v>2.329881561842881</v>
      </c>
      <c r="Q27" s="54">
        <f>'R2'!Q33</f>
        <v>3.0260367043845306E-2</v>
      </c>
      <c r="R27" s="54">
        <f>'R2'!R33</f>
        <v>1.0509566536740702</v>
      </c>
      <c r="S27" s="54">
        <f>'R2'!S33</f>
        <v>0.23628059722180506</v>
      </c>
      <c r="T27" s="54">
        <f>'R2'!T33</f>
        <v>0.2297418215600697</v>
      </c>
      <c r="U27" s="54">
        <f>'R2'!U33</f>
        <v>1.145222112469645E-2</v>
      </c>
      <c r="V27" s="54">
        <f>'R2'!V33</f>
        <v>1.0587066458682255E-2</v>
      </c>
    </row>
    <row r="28" spans="1:22" x14ac:dyDescent="0.35">
      <c r="A28" s="226"/>
      <c r="B28" s="54">
        <f>'R2'!B34</f>
        <v>8.0717875272458602E-3</v>
      </c>
      <c r="C28" s="54">
        <f>'R2'!C34</f>
        <v>4.7607245630762872E-2</v>
      </c>
      <c r="D28" s="54">
        <f>'R2'!D34</f>
        <v>2.1154086650712958E-2</v>
      </c>
      <c r="E28" s="54">
        <f>'R2'!E34</f>
        <v>1.5821373520734714</v>
      </c>
      <c r="F28" s="54">
        <f>'R2'!F34</f>
        <v>2.8392049716587664</v>
      </c>
      <c r="G28" s="54">
        <f>'R2'!G34</f>
        <v>2.8392049716587664</v>
      </c>
      <c r="H28" s="54">
        <f>'R2'!H34</f>
        <v>5.2952229186065196</v>
      </c>
      <c r="I28" s="54">
        <f>'R2'!I34</f>
        <v>5.0810955561680068E-2</v>
      </c>
      <c r="J28" s="54">
        <f>'R2'!J34</f>
        <v>0.18445941532755353</v>
      </c>
      <c r="K28" s="54">
        <f>'R2'!K34</f>
        <v>3.3459329174766086E-2</v>
      </c>
      <c r="L28" s="54">
        <f>'R2'!L34</f>
        <v>0.1949473055196439</v>
      </c>
      <c r="M28" s="54">
        <f>'R2'!M34</f>
        <v>2.8180303112080689E-2</v>
      </c>
      <c r="O28" s="54">
        <f>'R2'!O34</f>
        <v>1.9875546314343859</v>
      </c>
      <c r="P28" s="54">
        <f>'R2'!P34</f>
        <v>3.2788992568604969</v>
      </c>
      <c r="Q28" s="54">
        <f>'R2'!Q34</f>
        <v>8.9881129265547977E-2</v>
      </c>
      <c r="R28" s="54">
        <f>'R2'!R34</f>
        <v>9.2803663930010577E-2</v>
      </c>
      <c r="S28" s="54">
        <f>'R2'!S34</f>
        <v>0.219632700301027</v>
      </c>
      <c r="T28" s="54">
        <f>'R2'!T34</f>
        <v>0.4096143345577492</v>
      </c>
      <c r="U28" s="54">
        <f>'R2'!U34</f>
        <v>8.7375345934104426E-2</v>
      </c>
      <c r="V28" s="54">
        <f>'R2'!V34</f>
        <v>1.8163500186301692E-2</v>
      </c>
    </row>
    <row r="29" spans="1:22" x14ac:dyDescent="0.35">
      <c r="A29" s="226"/>
      <c r="B29" s="54">
        <f>'R2'!B35</f>
        <v>0.16452076547592392</v>
      </c>
      <c r="C29" s="54">
        <f>'R2'!C35</f>
        <v>4.0092533303096882E-5</v>
      </c>
      <c r="D29" s="54">
        <f>'R2'!D35</f>
        <v>0.17613757700049623</v>
      </c>
      <c r="E29" s="54">
        <f>'R2'!E35</f>
        <v>2.3914072469298135</v>
      </c>
      <c r="F29" s="54">
        <f>'R2'!F35</f>
        <v>0.3053769131696949</v>
      </c>
      <c r="G29" s="54">
        <f>'R2'!G35</f>
        <v>0.3053769131696949</v>
      </c>
      <c r="H29" s="54">
        <f>'R2'!H35</f>
        <v>4.1635631605933128</v>
      </c>
      <c r="I29" s="54">
        <f>'R2'!I35</f>
        <v>4.8641738496649357E-2</v>
      </c>
      <c r="J29" s="54" t="str">
        <f>'R2'!J35</f>
        <v/>
      </c>
      <c r="K29" s="54">
        <f>'R2'!K35</f>
        <v>8.3315449403832925E-2</v>
      </c>
      <c r="L29" s="54">
        <f>'R2'!L35</f>
        <v>3.8257244837814328E-2</v>
      </c>
      <c r="M29" s="54">
        <f>'R2'!M35</f>
        <v>1.5263121921822395E-2</v>
      </c>
      <c r="O29" s="54">
        <f>'R2'!O35</f>
        <v>1.179172047644041</v>
      </c>
      <c r="P29" s="54">
        <f>'R2'!P35</f>
        <v>3.3531849182044731</v>
      </c>
      <c r="Q29" s="54">
        <f>'R2'!Q35</f>
        <v>2.5766310580567907E-2</v>
      </c>
      <c r="R29" s="54">
        <f>'R2'!R35</f>
        <v>0.37001979272094343</v>
      </c>
      <c r="S29" s="54">
        <f>'R2'!S35</f>
        <v>5.9057356622127574E-3</v>
      </c>
      <c r="T29" s="54">
        <f>'R2'!T35</f>
        <v>0.13317473483289738</v>
      </c>
      <c r="U29" s="54">
        <f>'R2'!U35</f>
        <v>8.7296743467497037E-2</v>
      </c>
      <c r="V29" s="54">
        <f>'R2'!V35</f>
        <v>4.6120656698550672E-2</v>
      </c>
    </row>
    <row r="30" spans="1:22" x14ac:dyDescent="0.35">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1.7628180461372081</v>
      </c>
      <c r="P30" s="54" t="str">
        <f>'R2'!P36</f>
        <v/>
      </c>
      <c r="Q30" s="54" t="str">
        <f>'R2'!Q36</f>
        <v/>
      </c>
      <c r="R30" s="54" t="str">
        <f>'R2'!R36</f>
        <v/>
      </c>
      <c r="S30" s="54" t="str">
        <f>'R2'!S36</f>
        <v/>
      </c>
      <c r="T30" s="54" t="str">
        <f>'R2'!T36</f>
        <v/>
      </c>
      <c r="U30" s="54" t="str">
        <f>'R2'!U36</f>
        <v/>
      </c>
      <c r="V30" s="54" t="str">
        <f>'R2'!V36</f>
        <v/>
      </c>
    </row>
    <row r="31" spans="1:22" s="1" customFormat="1" x14ac:dyDescent="0.35">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1.391421918950636E-2</v>
      </c>
      <c r="P31" s="54" t="str">
        <f>'R2'!P37</f>
        <v/>
      </c>
      <c r="Q31" s="54" t="str">
        <f>'R2'!Q37</f>
        <v/>
      </c>
      <c r="R31" s="54" t="str">
        <f>'R2'!R37</f>
        <v/>
      </c>
      <c r="S31" s="54" t="str">
        <f>'R2'!S37</f>
        <v/>
      </c>
      <c r="T31" s="54" t="str">
        <f>'R2'!T37</f>
        <v/>
      </c>
      <c r="U31" s="54" t="str">
        <f>'R2'!U37</f>
        <v/>
      </c>
      <c r="V31" s="54" t="str">
        <f>'R2'!V37</f>
        <v/>
      </c>
    </row>
    <row r="32" spans="1:22" s="1" customFormat="1" x14ac:dyDescent="0.35">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0.9980445328473081</v>
      </c>
      <c r="P32" s="54" t="str">
        <f>'R2'!P38</f>
        <v/>
      </c>
      <c r="Q32" s="54" t="str">
        <f>'R2'!Q38</f>
        <v/>
      </c>
      <c r="R32" s="54" t="str">
        <f>'R2'!R38</f>
        <v/>
      </c>
      <c r="S32" s="54" t="str">
        <f>'R2'!S38</f>
        <v/>
      </c>
      <c r="T32" s="54" t="str">
        <f>'R2'!T38</f>
        <v/>
      </c>
      <c r="U32" s="54" t="str">
        <f>'R2'!U38</f>
        <v/>
      </c>
      <c r="V32" s="54" t="str">
        <f>'R2'!V38</f>
        <v/>
      </c>
    </row>
    <row r="33" spans="1:22" s="1" customFormat="1" x14ac:dyDescent="0.35">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3.3342797061520639</v>
      </c>
      <c r="P33" s="54" t="str">
        <f>'R2'!P39</f>
        <v/>
      </c>
      <c r="Q33" s="54" t="str">
        <f>'R2'!Q39</f>
        <v/>
      </c>
      <c r="R33" s="54" t="str">
        <f>'R2'!R39</f>
        <v/>
      </c>
      <c r="S33" s="54" t="str">
        <f>'R2'!S39</f>
        <v/>
      </c>
      <c r="T33" s="54" t="str">
        <f>'R2'!T39</f>
        <v/>
      </c>
      <c r="U33" s="54" t="str">
        <f>'R2'!U39</f>
        <v/>
      </c>
      <c r="V33" s="54" t="str">
        <f>'R2'!V39</f>
        <v/>
      </c>
    </row>
    <row r="34" spans="1:22" s="1" customFormat="1" x14ac:dyDescent="0.35">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8.4293496203095328E-2</v>
      </c>
      <c r="P34" s="54" t="str">
        <f>'R2'!P40</f>
        <v/>
      </c>
      <c r="Q34" s="54" t="str">
        <f>'R2'!Q40</f>
        <v/>
      </c>
      <c r="R34" s="54" t="str">
        <f>'R2'!R40</f>
        <v/>
      </c>
      <c r="S34" s="54" t="str">
        <f>'R2'!S40</f>
        <v/>
      </c>
      <c r="T34" s="54" t="str">
        <f>'R2'!T40</f>
        <v/>
      </c>
      <c r="U34" s="54" t="str">
        <f>'R2'!U40</f>
        <v/>
      </c>
      <c r="V34" s="54" t="str">
        <f>'R2'!V40</f>
        <v/>
      </c>
    </row>
    <row r="35" spans="1:22" s="1" customFormat="1" x14ac:dyDescent="0.35">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0.90624845758320427</v>
      </c>
      <c r="P35" s="54" t="str">
        <f>'R2'!P41</f>
        <v/>
      </c>
      <c r="Q35" s="54" t="str">
        <f>'R2'!Q41</f>
        <v/>
      </c>
      <c r="R35" s="54" t="str">
        <f>'R2'!R41</f>
        <v/>
      </c>
      <c r="S35" s="54" t="str">
        <f>'R2'!S41</f>
        <v/>
      </c>
      <c r="T35" s="54" t="str">
        <f>'R2'!T41</f>
        <v/>
      </c>
      <c r="U35" s="54" t="str">
        <f>'R2'!U41</f>
        <v/>
      </c>
      <c r="V35" s="54" t="str">
        <f>'R2'!V41</f>
        <v/>
      </c>
    </row>
    <row r="36" spans="1:22" x14ac:dyDescent="0.35">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0.19604299225215091</v>
      </c>
      <c r="P36" s="54" t="str">
        <f>'R2'!P42</f>
        <v/>
      </c>
      <c r="Q36" s="54" t="str">
        <f>'R2'!Q42</f>
        <v/>
      </c>
      <c r="R36" s="54" t="str">
        <f>'R2'!R42</f>
        <v/>
      </c>
      <c r="S36" s="54" t="str">
        <f>'R2'!S42</f>
        <v/>
      </c>
      <c r="T36" s="54" t="str">
        <f>'R2'!T42</f>
        <v/>
      </c>
      <c r="U36" s="54" t="str">
        <f>'R2'!U42</f>
        <v/>
      </c>
      <c r="V36" s="54" t="str">
        <f>'R2'!V42</f>
        <v/>
      </c>
    </row>
    <row r="37" spans="1:22" x14ac:dyDescent="0.35">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4.9088559229645709E-2</v>
      </c>
      <c r="P37" s="54" t="str">
        <f>'R2'!P43</f>
        <v/>
      </c>
      <c r="Q37" s="54" t="str">
        <f>'R2'!Q43</f>
        <v/>
      </c>
      <c r="R37" s="54" t="str">
        <f>'R2'!R43</f>
        <v/>
      </c>
      <c r="S37" s="54" t="str">
        <f>'R2'!S43</f>
        <v/>
      </c>
      <c r="T37" s="54" t="str">
        <f>'R2'!T43</f>
        <v/>
      </c>
      <c r="U37" s="54" t="str">
        <f>'R2'!U43</f>
        <v/>
      </c>
      <c r="V37" s="54" t="str">
        <f>'R2'!V43</f>
        <v/>
      </c>
    </row>
    <row r="38" spans="1:22" s="1" customFormat="1" x14ac:dyDescent="0.35">
      <c r="A38" s="154" t="s">
        <v>116</v>
      </c>
      <c r="B38" s="155">
        <f>'R3'!B28</f>
        <v>0.23022838008418814</v>
      </c>
      <c r="C38" s="155">
        <f>'R3'!C28</f>
        <v>0.28357264385082914</v>
      </c>
      <c r="D38" s="155">
        <f>'R3'!D28</f>
        <v>2.9702515207343867E-2</v>
      </c>
      <c r="E38" s="155">
        <f>'R3'!E28</f>
        <v>2.406424297286156</v>
      </c>
      <c r="F38" s="155">
        <f>'R3'!F28</f>
        <v>7.6052585045674759</v>
      </c>
      <c r="G38" s="155">
        <f>'R3'!G28</f>
        <v>5.1044734204271123</v>
      </c>
      <c r="H38" s="155">
        <f>'R3'!H28</f>
        <v>7.8874497031532966</v>
      </c>
      <c r="I38" s="155">
        <f>'R3'!I28</f>
        <v>7.1591454145985098E-2</v>
      </c>
      <c r="J38" s="155">
        <f>'R3'!J28</f>
        <v>0.18497523258264112</v>
      </c>
      <c r="K38" s="155">
        <f>'R3'!K28</f>
        <v>0.49231796385350407</v>
      </c>
      <c r="L38" s="155">
        <f>'R3'!L28</f>
        <v>0.26628727392217438</v>
      </c>
      <c r="M38" s="155">
        <f>'R3'!M28</f>
        <v>6.2065538258048711E-2</v>
      </c>
      <c r="N38"/>
      <c r="O38" s="155">
        <f>'R3'!O28</f>
        <v>6.2065538258048711E-2</v>
      </c>
      <c r="P38" s="155">
        <f>'R3'!P28</f>
        <v>5.2334280192933686</v>
      </c>
      <c r="Q38" s="155">
        <f>'R3'!Q28</f>
        <v>0.26223811076544939</v>
      </c>
      <c r="R38" s="155">
        <f>'R3'!R28</f>
        <v>0.48432346223638034</v>
      </c>
      <c r="S38" s="155">
        <f>'R3'!S28</f>
        <v>3.5898830764483226E-2</v>
      </c>
      <c r="T38" s="155">
        <f>'R3'!T28</f>
        <v>0.41639182863589669</v>
      </c>
      <c r="U38" s="155">
        <f>'R3'!U28</f>
        <v>0.18000750926536277</v>
      </c>
      <c r="V38" s="155">
        <f>'R3'!V28</f>
        <v>6.1971807629420818E-2</v>
      </c>
    </row>
    <row r="39" spans="1:22" s="1" customFormat="1" x14ac:dyDescent="0.35">
      <c r="A39" s="225" t="s">
        <v>34</v>
      </c>
      <c r="B39" s="155">
        <f>'R3'!B29</f>
        <v>3.949808690379434E-2</v>
      </c>
      <c r="C39" s="155">
        <f>'R3'!C29</f>
        <v>1.6492264609495669E-2</v>
      </c>
      <c r="D39" s="155">
        <f>'R3'!D29</f>
        <v>4.8461619019963362E-2</v>
      </c>
      <c r="E39" s="155">
        <f>'R3'!E29</f>
        <v>3.3005207637676324</v>
      </c>
      <c r="F39" s="155">
        <f>'R3'!F29</f>
        <v>2.6639758766202104</v>
      </c>
      <c r="G39" s="155">
        <f>'R3'!G29</f>
        <v>2.3824883787539341E-2</v>
      </c>
      <c r="H39" s="155">
        <f>'R3'!H29</f>
        <v>13.709945883179552</v>
      </c>
      <c r="I39" s="155">
        <f>'R3'!I29</f>
        <v>0.14989978934041215</v>
      </c>
      <c r="J39" s="155">
        <f>'R3'!J29</f>
        <v>0.52831485127562883</v>
      </c>
      <c r="K39" s="155">
        <f>'R3'!K29</f>
        <v>0.23301290075927217</v>
      </c>
      <c r="L39" s="155">
        <f>'R3'!L29</f>
        <v>2.0723120984791666E-2</v>
      </c>
      <c r="M39" s="155">
        <f>'R3'!M29</f>
        <v>0.15274054839267293</v>
      </c>
      <c r="N39"/>
      <c r="O39" s="155">
        <f>'R3'!O29</f>
        <v>0.15274054839267293</v>
      </c>
      <c r="P39" s="155">
        <f>'R3'!P29</f>
        <v>6.5032545257022907</v>
      </c>
      <c r="Q39" s="155">
        <f>'R3'!Q29</f>
        <v>0.34001722841054666</v>
      </c>
      <c r="R39" s="155">
        <f>'R3'!R29</f>
        <v>1.5081445607485329</v>
      </c>
      <c r="S39" s="155">
        <f>'R3'!S29</f>
        <v>0.30151268617020799</v>
      </c>
      <c r="T39" s="155">
        <f>'R3'!T29</f>
        <v>0.27895100285463842</v>
      </c>
      <c r="U39" s="155">
        <f>'R3'!U29</f>
        <v>5.4291664120618343E-3</v>
      </c>
      <c r="V39" s="155">
        <f>'R3'!V29</f>
        <v>6.7145738329680543E-2</v>
      </c>
    </row>
    <row r="40" spans="1:22" s="1" customFormat="1" x14ac:dyDescent="0.35">
      <c r="A40" s="226"/>
      <c r="B40" s="155">
        <f>'R3'!B30</f>
        <v>3.3717070131960104E-2</v>
      </c>
      <c r="C40" s="155">
        <f>'R3'!C30</f>
        <v>0.2656599997152031</v>
      </c>
      <c r="D40" s="155">
        <f>'R3'!D30</f>
        <v>0.1356080314891652</v>
      </c>
      <c r="E40" s="155">
        <f>'R3'!E30</f>
        <v>1.2068568280870318</v>
      </c>
      <c r="F40" s="155">
        <f>'R3'!F30</f>
        <v>8.8650327615584743</v>
      </c>
      <c r="G40" s="155">
        <f>'R3'!G30</f>
        <v>5.8304084870921207</v>
      </c>
      <c r="H40" s="155">
        <f>'R3'!H30</f>
        <v>8.5321808792041107</v>
      </c>
      <c r="I40" s="155">
        <f>'R3'!I30</f>
        <v>0.4791091552653271</v>
      </c>
      <c r="J40" s="155">
        <f>'R3'!J30</f>
        <v>0.20285615250550082</v>
      </c>
      <c r="K40" s="155">
        <f>'R3'!K30</f>
        <v>6.386228230836187E-2</v>
      </c>
      <c r="L40" s="155">
        <f>'R3'!L30</f>
        <v>8.5333806312505492E-2</v>
      </c>
      <c r="M40" s="155">
        <f>'R3'!M30</f>
        <v>6.2834129412797438E-2</v>
      </c>
      <c r="N40"/>
      <c r="O40" s="155">
        <f>'R3'!O30</f>
        <v>6.2834129412797438E-2</v>
      </c>
      <c r="P40" s="155">
        <f>'R3'!P30</f>
        <v>5.7133446999745665</v>
      </c>
      <c r="Q40" s="155">
        <f>'R3'!Q30</f>
        <v>0.10125936112122021</v>
      </c>
      <c r="R40" s="155">
        <f>'R3'!R30</f>
        <v>0.42536689682943529</v>
      </c>
      <c r="S40" s="155">
        <f>'R3'!S30</f>
        <v>0.19281255514560422</v>
      </c>
      <c r="T40" s="155">
        <f>'R3'!T30</f>
        <v>3.9105860273228391E-2</v>
      </c>
      <c r="U40" s="155">
        <f>'R3'!U30</f>
        <v>5.2685265346903362E-2</v>
      </c>
      <c r="V40" s="155">
        <f>'R3'!V30</f>
        <v>0.2461063485737533</v>
      </c>
    </row>
    <row r="41" spans="1:22" s="1" customFormat="1" x14ac:dyDescent="0.35">
      <c r="A41" s="226"/>
      <c r="B41" s="155">
        <f>'R3'!B31</f>
        <v>7.0034083701090863E-2</v>
      </c>
      <c r="C41" s="155">
        <f>'R3'!C31</f>
        <v>3.6720776277066297E-2</v>
      </c>
      <c r="D41" s="155">
        <f>'R3'!D31</f>
        <v>0.17550699708155268</v>
      </c>
      <c r="E41" s="155">
        <f>'R3'!E31</f>
        <v>1.9482358183305746</v>
      </c>
      <c r="F41" s="155">
        <f>'R3'!F31</f>
        <v>17.616474095287639</v>
      </c>
      <c r="G41" s="155">
        <f>'R3'!G31</f>
        <v>2.6999612279649656</v>
      </c>
      <c r="H41" s="155">
        <f>'R3'!H31</f>
        <v>4.936802303898852</v>
      </c>
      <c r="I41" s="155">
        <f>'R3'!I31</f>
        <v>3.334503163679093E-2</v>
      </c>
      <c r="J41" s="155">
        <f>'R3'!J31</f>
        <v>7.7694039074496568E-2</v>
      </c>
      <c r="K41" s="155">
        <f>'R3'!K31</f>
        <v>0.14000183495730659</v>
      </c>
      <c r="L41" s="155">
        <f>'R3'!L31</f>
        <v>0.22473288122725116</v>
      </c>
      <c r="M41" s="155">
        <f>'R3'!M31</f>
        <v>0.11290214720647578</v>
      </c>
      <c r="N41"/>
      <c r="O41" s="155">
        <f>'R3'!O31</f>
        <v>0.11290214720647578</v>
      </c>
      <c r="P41" s="155">
        <f>'R3'!P31</f>
        <v>4.793876073328355</v>
      </c>
      <c r="Q41" s="155">
        <f>'R3'!Q31</f>
        <v>9.2869748854188125E-2</v>
      </c>
      <c r="R41" s="155">
        <f>'R3'!R31</f>
        <v>4.1402505816255886</v>
      </c>
      <c r="S41" s="155">
        <f>'R3'!S31</f>
        <v>0.23420976878636682</v>
      </c>
      <c r="T41" s="155">
        <f>'R3'!T31</f>
        <v>0.60088831400769993</v>
      </c>
      <c r="U41" s="155">
        <f>'R3'!U31</f>
        <v>0.12813409536334408</v>
      </c>
      <c r="V41" s="155">
        <f>'R3'!V31</f>
        <v>0.11953683370365945</v>
      </c>
    </row>
    <row r="42" spans="1:22" s="1" customFormat="1" x14ac:dyDescent="0.35">
      <c r="A42" s="226"/>
      <c r="B42" s="155">
        <f>'R3'!B32</f>
        <v>2.3402374953878223E-2</v>
      </c>
      <c r="C42" s="155">
        <f>'R3'!C32</f>
        <v>0.16500628265588621</v>
      </c>
      <c r="D42" s="155">
        <f>'R3'!D32</f>
        <v>0.23230920003972735</v>
      </c>
      <c r="E42" s="155">
        <f>'R3'!E32</f>
        <v>0.11078527700915658</v>
      </c>
      <c r="F42" s="155">
        <f>'R3'!F32</f>
        <v>5.4750324136736408</v>
      </c>
      <c r="G42" s="155">
        <f>'R3'!G32</f>
        <v>7.5802064705497463</v>
      </c>
      <c r="H42" s="155">
        <f>'R3'!H32</f>
        <v>12.801223112603111</v>
      </c>
      <c r="I42" s="155">
        <f>'R3'!I32</f>
        <v>6.7373575857729878E-2</v>
      </c>
      <c r="J42" s="155">
        <f>'R3'!J32</f>
        <v>1.0094067698388536E-2</v>
      </c>
      <c r="K42" s="155">
        <f>'R3'!K32</f>
        <v>9.3316771852259617E-2</v>
      </c>
      <c r="L42" s="155">
        <f>'R3'!L32</f>
        <v>0.21046419553074339</v>
      </c>
      <c r="M42" s="155">
        <f>'R3'!M32</f>
        <v>0.58707674537696208</v>
      </c>
      <c r="N42"/>
      <c r="O42" s="155">
        <f>'R3'!O32</f>
        <v>0.58707674537696208</v>
      </c>
      <c r="P42" s="155">
        <f>'R3'!P32</f>
        <v>7.2927216544609559</v>
      </c>
      <c r="Q42" s="155">
        <f>'R3'!Q32</f>
        <v>0.10911398780023768</v>
      </c>
      <c r="R42" s="155">
        <f>'R3'!R32</f>
        <v>1.5007917534350923</v>
      </c>
      <c r="S42" s="155">
        <f>'R3'!S32</f>
        <v>4.928789056156002E-3</v>
      </c>
      <c r="T42" s="155">
        <f>'R3'!T32</f>
        <v>0.44901152940807487</v>
      </c>
      <c r="U42" s="155">
        <f>'R3'!U32</f>
        <v>0</v>
      </c>
      <c r="V42" s="155">
        <f>'R3'!V32</f>
        <v>0.24677832508053174</v>
      </c>
    </row>
    <row r="43" spans="1:22" s="1" customFormat="1" x14ac:dyDescent="0.35">
      <c r="A43" s="226"/>
      <c r="B43" s="155">
        <f>'R3'!B33</f>
        <v>0.24143856326808419</v>
      </c>
      <c r="C43" s="155">
        <f>'R3'!C33</f>
        <v>6.5000027938937374E-2</v>
      </c>
      <c r="D43" s="155">
        <f>'R3'!D33</f>
        <v>4.5267567598258993E-2</v>
      </c>
      <c r="E43" s="155">
        <f>'R3'!E33</f>
        <v>1.2285129293290888</v>
      </c>
      <c r="F43" s="155">
        <f>'R3'!F33</f>
        <v>7.735822386226789</v>
      </c>
      <c r="G43" s="155">
        <f>'R3'!G33</f>
        <v>5.1609612652769661</v>
      </c>
      <c r="H43" s="155">
        <f>'R3'!H33</f>
        <v>12.798281412873866</v>
      </c>
      <c r="I43" s="155">
        <f>'R3'!I33</f>
        <v>0.15257039125147154</v>
      </c>
      <c r="J43" s="155">
        <f>'R3'!J33</f>
        <v>6.2489489101381031E-2</v>
      </c>
      <c r="K43" s="155">
        <f>'R3'!K33</f>
        <v>0.14424999544865696</v>
      </c>
      <c r="L43" s="155">
        <f>'R3'!L33</f>
        <v>0.17960951459611202</v>
      </c>
      <c r="M43" s="155">
        <f>'R3'!M33</f>
        <v>0.15818413490144675</v>
      </c>
      <c r="N43"/>
      <c r="O43" s="155">
        <f>'R3'!O33</f>
        <v>0.15818413490144675</v>
      </c>
      <c r="P43" s="155">
        <f>'R3'!P33</f>
        <v>4.6597807099842763</v>
      </c>
      <c r="Q43" s="155">
        <f>'R3'!Q33</f>
        <v>0.13992540844473308</v>
      </c>
      <c r="R43" s="155">
        <f>'R3'!R33</f>
        <v>0.98479022274182637</v>
      </c>
      <c r="S43" s="155">
        <f>'R3'!S33</f>
        <v>0.62045494323619055</v>
      </c>
      <c r="T43" s="155">
        <f>'R3'!T33</f>
        <v>1.365727359591969E-2</v>
      </c>
      <c r="U43" s="155">
        <f>'R3'!U33</f>
        <v>0.17518398691520423</v>
      </c>
      <c r="V43" s="155">
        <f>'R3'!V33</f>
        <v>0.16058796502333442</v>
      </c>
    </row>
    <row r="44" spans="1:22" s="1" customFormat="1" x14ac:dyDescent="0.35">
      <c r="A44" s="226"/>
      <c r="B44" s="155">
        <f>'R3'!B34</f>
        <v>7.6165508823026293E-2</v>
      </c>
      <c r="C44" s="155">
        <f>'R3'!C34</f>
        <v>6.8861729838406591E-2</v>
      </c>
      <c r="D44" s="155">
        <f>'R3'!D34</f>
        <v>2.639742904095722E-2</v>
      </c>
      <c r="E44" s="155">
        <f>'R3'!E34</f>
        <v>3.3824269130916993</v>
      </c>
      <c r="F44" s="155">
        <f>'R3'!F34</f>
        <v>3.0341469692651861</v>
      </c>
      <c r="G44" s="155">
        <f>'R3'!G34</f>
        <v>8.4832304189056114</v>
      </c>
      <c r="H44" s="155">
        <f>'R3'!H34</f>
        <v>16.36106912760037</v>
      </c>
      <c r="I44" s="155">
        <f>'R3'!I34</f>
        <v>0.40165737381559186</v>
      </c>
      <c r="J44" s="155">
        <f>'R3'!J34</f>
        <v>4.2875273553740906E-2</v>
      </c>
      <c r="K44" s="155">
        <f>'R3'!K34</f>
        <v>0.12762073992039746</v>
      </c>
      <c r="L44" s="155">
        <f>'R3'!L34</f>
        <v>6.5937334225216318E-2</v>
      </c>
      <c r="M44" s="155">
        <f>'R3'!M34</f>
        <v>9.1194133616255627E-2</v>
      </c>
      <c r="N44"/>
      <c r="O44" s="155">
        <f>'R3'!O34</f>
        <v>9.1194133616255627E-2</v>
      </c>
      <c r="P44" s="155">
        <f>'R3'!P34</f>
        <v>1.8796826785618044</v>
      </c>
      <c r="Q44" s="155">
        <f>'R3'!Q34</f>
        <v>3.8027237039172011E-2</v>
      </c>
      <c r="R44" s="155">
        <f>'R3'!R34</f>
        <v>0.23476926853879176</v>
      </c>
      <c r="S44" s="155">
        <f>'R3'!S34</f>
        <v>0.55565968067056337</v>
      </c>
      <c r="T44" s="155">
        <f>'R3'!T34</f>
        <v>4.7234468789773554E-2</v>
      </c>
      <c r="U44" s="155">
        <f>'R3'!U34</f>
        <v>1.5242042224566689E-2</v>
      </c>
      <c r="V44" s="155">
        <f>'R3'!V34</f>
        <v>6.0349546749322663E-2</v>
      </c>
    </row>
    <row r="45" spans="1:22" s="1" customFormat="1" x14ac:dyDescent="0.35">
      <c r="A45" s="226"/>
      <c r="B45" s="155">
        <f>'R3'!B35</f>
        <v>4.4500418453181463E-3</v>
      </c>
      <c r="C45" s="155">
        <f>'R3'!C35</f>
        <v>7.6404882428445231E-2</v>
      </c>
      <c r="D45" s="155" t="str">
        <f>'R3'!D35</f>
        <v/>
      </c>
      <c r="E45" s="155">
        <f>'R3'!E35</f>
        <v>8.4664713825069446E-2</v>
      </c>
      <c r="F45" s="155">
        <f>'R3'!F35</f>
        <v>7.2621294192864827</v>
      </c>
      <c r="G45" s="155">
        <f>'R3'!G35</f>
        <v>7.2938694941592299</v>
      </c>
      <c r="H45" s="155">
        <f>'R3'!H35</f>
        <v>16.160347149408246</v>
      </c>
      <c r="I45" s="155">
        <f>'R3'!I35</f>
        <v>6.4221342716490271E-2</v>
      </c>
      <c r="J45" s="155" t="str">
        <f>'R3'!J35</f>
        <v/>
      </c>
      <c r="K45" s="155">
        <f>'R3'!K35</f>
        <v>0.25406191592975469</v>
      </c>
      <c r="L45" s="155">
        <f>'R3'!L35</f>
        <v>8.7230049030131332E-2</v>
      </c>
      <c r="M45" s="155">
        <f>'R3'!M35</f>
        <v>0.10053835628562102</v>
      </c>
      <c r="N45"/>
      <c r="O45" s="155">
        <f>'R3'!O35</f>
        <v>0.10053835628562102</v>
      </c>
      <c r="P45" s="155">
        <f>'R3'!P35</f>
        <v>7.3837225587812707</v>
      </c>
      <c r="Q45" s="155">
        <f>'R3'!Q35</f>
        <v>8.3391419285401294E-2</v>
      </c>
      <c r="R45" s="155">
        <f>'R3'!R35</f>
        <v>0.32260496163082641</v>
      </c>
      <c r="S45" s="155">
        <f>'R3'!S35</f>
        <v>4.3095901033434254E-2</v>
      </c>
      <c r="T45" s="155">
        <f>'R3'!T35</f>
        <v>3.7451875180363865E-2</v>
      </c>
      <c r="U45" s="155">
        <f>'R3'!U35</f>
        <v>2.2384316126012178E-2</v>
      </c>
      <c r="V45" s="155">
        <f>'R3'!V35</f>
        <v>0.17942926338721221</v>
      </c>
    </row>
    <row r="46" spans="1:22" s="1" customFormat="1" x14ac:dyDescent="0.35">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0.56704146300533198</v>
      </c>
      <c r="P46" s="155" t="str">
        <f>'R3'!P36</f>
        <v/>
      </c>
      <c r="Q46" s="155" t="str">
        <f>'R3'!Q36</f>
        <v/>
      </c>
      <c r="R46" s="155" t="str">
        <f>'R3'!R36</f>
        <v/>
      </c>
      <c r="S46" s="155" t="str">
        <f>'R3'!S36</f>
        <v/>
      </c>
      <c r="T46" s="155" t="str">
        <f>'R3'!T36</f>
        <v/>
      </c>
      <c r="U46" s="155" t="str">
        <f>'R3'!U36</f>
        <v/>
      </c>
      <c r="V46" s="155" t="str">
        <f>'R3'!V36</f>
        <v/>
      </c>
    </row>
    <row r="47" spans="1:22" s="1" customFormat="1" x14ac:dyDescent="0.35">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2.5726130278724249</v>
      </c>
      <c r="P47" s="155" t="str">
        <f>'R3'!P37</f>
        <v/>
      </c>
      <c r="Q47" s="155" t="str">
        <f>'R3'!Q37</f>
        <v/>
      </c>
      <c r="R47" s="155" t="str">
        <f>'R3'!R37</f>
        <v/>
      </c>
      <c r="S47" s="155" t="str">
        <f>'R3'!S37</f>
        <v/>
      </c>
      <c r="T47" s="155" t="str">
        <f>'R3'!T37</f>
        <v/>
      </c>
      <c r="U47" s="155" t="str">
        <f>'R3'!U37</f>
        <v/>
      </c>
      <c r="V47" s="155" t="str">
        <f>'R3'!V37</f>
        <v/>
      </c>
    </row>
    <row r="48" spans="1:22" s="1" customFormat="1" x14ac:dyDescent="0.35">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1.2620136980103691</v>
      </c>
      <c r="P48" s="155" t="str">
        <f>'R3'!P38</f>
        <v/>
      </c>
      <c r="Q48" s="155" t="str">
        <f>'R3'!Q38</f>
        <v/>
      </c>
      <c r="R48" s="155" t="str">
        <f>'R3'!R38</f>
        <v/>
      </c>
      <c r="S48" s="155" t="str">
        <f>'R3'!S38</f>
        <v/>
      </c>
      <c r="T48" s="155" t="str">
        <f>'R3'!T38</f>
        <v/>
      </c>
      <c r="U48" s="155" t="str">
        <f>'R3'!U38</f>
        <v/>
      </c>
      <c r="V48" s="155" t="str">
        <f>'R3'!V38</f>
        <v/>
      </c>
    </row>
    <row r="49" spans="1:24" s="1" customFormat="1" x14ac:dyDescent="0.35">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0.92318324355921877</v>
      </c>
      <c r="P49" s="155" t="str">
        <f>'R3'!P39</f>
        <v/>
      </c>
      <c r="Q49" s="155" t="str">
        <f>'R3'!Q39</f>
        <v/>
      </c>
      <c r="R49" s="155" t="str">
        <f>'R3'!R39</f>
        <v/>
      </c>
      <c r="S49" s="155" t="str">
        <f>'R3'!S39</f>
        <v/>
      </c>
      <c r="T49" s="155" t="str">
        <f>'R3'!T39</f>
        <v/>
      </c>
      <c r="U49" s="155" t="str">
        <f>'R3'!U39</f>
        <v/>
      </c>
      <c r="V49" s="155" t="str">
        <f>'R3'!V39</f>
        <v/>
      </c>
    </row>
    <row r="50" spans="1:24" s="1" customFormat="1" x14ac:dyDescent="0.35">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0.82319429295832425</v>
      </c>
      <c r="P50" s="155" t="str">
        <f>'R3'!P40</f>
        <v/>
      </c>
      <c r="Q50" s="155" t="str">
        <f>'R3'!Q40</f>
        <v/>
      </c>
      <c r="R50" s="155" t="str">
        <f>'R3'!R40</f>
        <v/>
      </c>
      <c r="S50" s="155" t="str">
        <f>'R3'!S40</f>
        <v/>
      </c>
      <c r="T50" s="155" t="str">
        <f>'R3'!T40</f>
        <v/>
      </c>
      <c r="U50" s="155" t="str">
        <f>'R3'!U40</f>
        <v/>
      </c>
      <c r="V50" s="155" t="str">
        <f>'R3'!V40</f>
        <v/>
      </c>
    </row>
    <row r="51" spans="1:24" s="1" customFormat="1" x14ac:dyDescent="0.35">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2.6698866742624525</v>
      </c>
      <c r="P51" s="155" t="str">
        <f>'R3'!P41</f>
        <v/>
      </c>
      <c r="Q51" s="155" t="str">
        <f>'R3'!Q41</f>
        <v/>
      </c>
      <c r="R51" s="155" t="str">
        <f>'R3'!R41</f>
        <v/>
      </c>
      <c r="S51" s="155" t="str">
        <f>'R3'!S41</f>
        <v/>
      </c>
      <c r="T51" s="155" t="str">
        <f>'R3'!T41</f>
        <v/>
      </c>
      <c r="U51" s="155" t="str">
        <f>'R3'!U41</f>
        <v/>
      </c>
      <c r="V51" s="155" t="str">
        <f>'R3'!V41</f>
        <v/>
      </c>
    </row>
    <row r="52" spans="1:24" s="1" customFormat="1" x14ac:dyDescent="0.35">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5.612516499745035</v>
      </c>
      <c r="P52" s="155" t="str">
        <f>'R3'!P42</f>
        <v/>
      </c>
      <c r="Q52" s="155" t="str">
        <f>'R3'!Q42</f>
        <v/>
      </c>
      <c r="R52" s="155" t="str">
        <f>'R3'!R42</f>
        <v/>
      </c>
      <c r="S52" s="155" t="str">
        <f>'R3'!S42</f>
        <v/>
      </c>
      <c r="T52" s="155" t="str">
        <f>'R3'!T42</f>
        <v/>
      </c>
      <c r="U52" s="155" t="str">
        <f>'R3'!U42</f>
        <v/>
      </c>
      <c r="V52" s="155" t="str">
        <f>'R3'!V42</f>
        <v/>
      </c>
    </row>
    <row r="53" spans="1:24" s="1" customFormat="1" x14ac:dyDescent="0.35">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0.24201536713656355</v>
      </c>
      <c r="P53" s="155" t="str">
        <f>'R3'!P43</f>
        <v/>
      </c>
      <c r="Q53" s="155" t="str">
        <f>'R3'!Q43</f>
        <v/>
      </c>
      <c r="R53" s="155" t="str">
        <f>'R3'!R43</f>
        <v/>
      </c>
      <c r="S53" s="155" t="str">
        <f>'R3'!S43</f>
        <v/>
      </c>
      <c r="T53" s="155" t="str">
        <f>'R3'!T43</f>
        <v/>
      </c>
      <c r="U53" s="155" t="str">
        <f>'R3'!U43</f>
        <v/>
      </c>
      <c r="V53" s="155"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Anastrozole-0,032µg/L</v>
      </c>
      <c r="J55" s="15" t="str">
        <f t="shared" si="0"/>
        <v>Anastrozole-0,16µg/L</v>
      </c>
      <c r="K55" s="15" t="str">
        <f t="shared" si="0"/>
        <v>Anastrozole-0,8µg/L</v>
      </c>
      <c r="L55" s="15" t="str">
        <f t="shared" si="0"/>
        <v>Anastrozole-4µg/L</v>
      </c>
      <c r="M55" s="15" t="str">
        <f t="shared" si="0"/>
        <v>Anastrozole-20µg/L</v>
      </c>
      <c r="O55" s="15" t="str">
        <f t="shared" ref="O55:V55" si="1">O4</f>
        <v>Testo -30µg/L</v>
      </c>
      <c r="P55" s="15" t="str">
        <f t="shared" si="1"/>
        <v>Testo 30µg/L + EE2 -64ng/L</v>
      </c>
      <c r="Q55" s="15" t="str">
        <f t="shared" si="1"/>
        <v>Testo 30µg/L + FAD-10µg/L</v>
      </c>
      <c r="R55" s="15" t="str">
        <f t="shared" si="1"/>
        <v>Anastrozole-0,032µg/L + Testostérone</v>
      </c>
      <c r="S55" s="15" t="str">
        <f t="shared" si="1"/>
        <v>Anastrozole-0,16µg/L + Testostérone</v>
      </c>
      <c r="T55" s="15" t="str">
        <f t="shared" si="1"/>
        <v>Anastrozole-0,8µg/L + Testostérone</v>
      </c>
      <c r="U55" s="15" t="str">
        <f t="shared" si="1"/>
        <v>Anastrozole-4µg/L + Testostérone</v>
      </c>
      <c r="V55" s="15" t="str">
        <f t="shared" si="1"/>
        <v>Anastrozole-20µg/L + Testostérone</v>
      </c>
    </row>
    <row r="56" spans="1:24" x14ac:dyDescent="0.35">
      <c r="A56" t="s">
        <v>48</v>
      </c>
      <c r="B56" s="9">
        <f t="shared" ref="B56:V56" si="2">AVERAGE(B6:B53)</f>
        <v>0.11569492907343065</v>
      </c>
      <c r="C56" s="9">
        <f t="shared" si="2"/>
        <v>0.13147077155020315</v>
      </c>
      <c r="D56" s="9">
        <f t="shared" si="2"/>
        <v>0.55445919421959056</v>
      </c>
      <c r="E56" s="9">
        <f t="shared" si="2"/>
        <v>2.3949275655933926</v>
      </c>
      <c r="F56" s="9">
        <f t="shared" si="2"/>
        <v>5.5991420883001615</v>
      </c>
      <c r="G56" s="9">
        <f t="shared" si="2"/>
        <v>5.3505665046071753</v>
      </c>
      <c r="H56" s="9">
        <f t="shared" si="2"/>
        <v>11.618791936509702</v>
      </c>
      <c r="I56" s="9">
        <f t="shared" si="2"/>
        <v>0.18282975139455668</v>
      </c>
      <c r="J56" s="9">
        <f t="shared" si="2"/>
        <v>0.11062282752839607</v>
      </c>
      <c r="K56" s="9">
        <f t="shared" si="2"/>
        <v>0.13962390001202193</v>
      </c>
      <c r="L56" s="9">
        <f t="shared" si="2"/>
        <v>0.13171418652685585</v>
      </c>
      <c r="M56" s="9">
        <f t="shared" si="2"/>
        <v>0.10728177776671192</v>
      </c>
      <c r="N56" s="9"/>
      <c r="O56" s="9">
        <f t="shared" si="2"/>
        <v>1</v>
      </c>
      <c r="P56" s="9">
        <f t="shared" si="2"/>
        <v>6.3483009921026143</v>
      </c>
      <c r="Q56" s="9">
        <f t="shared" si="2"/>
        <v>9.5060193403218127E-2</v>
      </c>
      <c r="R56" s="9">
        <f t="shared" si="2"/>
        <v>0.92706304961886987</v>
      </c>
      <c r="S56" s="9">
        <f t="shared" si="2"/>
        <v>0.66784832793051097</v>
      </c>
      <c r="T56" s="9">
        <f t="shared" si="2"/>
        <v>0.25308380119170121</v>
      </c>
      <c r="U56" s="9">
        <f t="shared" si="2"/>
        <v>0.20957016521751851</v>
      </c>
      <c r="V56" s="9">
        <f t="shared" si="2"/>
        <v>0.13535035429220982</v>
      </c>
    </row>
    <row r="57" spans="1:24" x14ac:dyDescent="0.35">
      <c r="A57" t="s">
        <v>1</v>
      </c>
      <c r="B57" s="3">
        <f>STDEV(B6:B53)</f>
        <v>0.105764373173766</v>
      </c>
      <c r="C57" s="3">
        <f t="shared" ref="C57:V57" si="3">STDEV(C6:C53)</f>
        <v>0.18468344496954919</v>
      </c>
      <c r="D57" s="3">
        <f t="shared" si="3"/>
        <v>0.89033316632882098</v>
      </c>
      <c r="E57" s="3">
        <f t="shared" si="3"/>
        <v>2.9720714267641846</v>
      </c>
      <c r="F57" s="3">
        <f t="shared" si="3"/>
        <v>4.5544716266176568</v>
      </c>
      <c r="G57" s="3">
        <f t="shared" si="3"/>
        <v>3.7483991389910285</v>
      </c>
      <c r="H57" s="3">
        <f t="shared" si="3"/>
        <v>6.7558042017493767</v>
      </c>
      <c r="I57" s="3">
        <f t="shared" si="3"/>
        <v>0.20231083089260429</v>
      </c>
      <c r="J57" s="3">
        <f t="shared" si="3"/>
        <v>0.11826798442918129</v>
      </c>
      <c r="K57" s="3">
        <f t="shared" si="3"/>
        <v>0.12364707329457912</v>
      </c>
      <c r="L57" s="3">
        <f t="shared" si="3"/>
        <v>0.11518673687080805</v>
      </c>
      <c r="M57" s="3">
        <f t="shared" si="3"/>
        <v>0.12321310208331199</v>
      </c>
      <c r="N57" s="3"/>
      <c r="O57" s="3">
        <f t="shared" si="3"/>
        <v>1.1466531555573491</v>
      </c>
      <c r="P57" s="3">
        <f t="shared" si="3"/>
        <v>3.8657716513625711</v>
      </c>
      <c r="Q57" s="3">
        <f t="shared" si="3"/>
        <v>0.10148173038259027</v>
      </c>
      <c r="R57" s="3">
        <f t="shared" si="3"/>
        <v>0.9802355790998758</v>
      </c>
      <c r="S57" s="3">
        <f t="shared" si="3"/>
        <v>0.95507316560783506</v>
      </c>
      <c r="T57" s="3">
        <f t="shared" si="3"/>
        <v>0.20776413349046163</v>
      </c>
      <c r="U57" s="3">
        <f t="shared" si="3"/>
        <v>0.60376508603268608</v>
      </c>
      <c r="V57" s="3">
        <f t="shared" si="3"/>
        <v>0.14616737749634426</v>
      </c>
      <c r="W57" s="3"/>
      <c r="X57" s="3"/>
    </row>
    <row r="58" spans="1:24" x14ac:dyDescent="0.35">
      <c r="A58" t="s">
        <v>2</v>
      </c>
      <c r="B58" s="3">
        <f xml:space="preserve"> B57/SQRT(COUNT(B6:B53))</f>
        <v>2.1589062270086012E-2</v>
      </c>
      <c r="C58" s="3">
        <f t="shared" ref="C58:V58" si="4" xml:space="preserve"> C57/SQRT(COUNT(C6:C53))</f>
        <v>3.8509160313867564E-2</v>
      </c>
      <c r="D58" s="3">
        <f t="shared" si="4"/>
        <v>0.1856472984926342</v>
      </c>
      <c r="E58" s="3">
        <f t="shared" si="4"/>
        <v>0.61971973208750819</v>
      </c>
      <c r="F58" s="3">
        <f t="shared" si="4"/>
        <v>0.92967762776641394</v>
      </c>
      <c r="G58" s="3">
        <f t="shared" si="4"/>
        <v>0.78159525011875797</v>
      </c>
      <c r="H58" s="3">
        <f t="shared" si="4"/>
        <v>1.379022758036383</v>
      </c>
      <c r="I58" s="3">
        <f t="shared" si="4"/>
        <v>4.1296525427114698E-2</v>
      </c>
      <c r="J58" s="3">
        <f t="shared" si="4"/>
        <v>2.5214819002235631E-2</v>
      </c>
      <c r="K58" s="3">
        <f t="shared" si="4"/>
        <v>2.5239353146685951E-2</v>
      </c>
      <c r="L58" s="3">
        <f t="shared" si="4"/>
        <v>2.3512394205809105E-2</v>
      </c>
      <c r="M58" s="3">
        <f t="shared" si="4"/>
        <v>2.515076914413078E-2</v>
      </c>
      <c r="N58" s="3"/>
      <c r="O58" s="3">
        <f t="shared" si="4"/>
        <v>0.16550512700704234</v>
      </c>
      <c r="P58" s="3">
        <f t="shared" si="4"/>
        <v>0.78909733399621718</v>
      </c>
      <c r="Q58" s="3">
        <f t="shared" si="4"/>
        <v>2.0714871471003576E-2</v>
      </c>
      <c r="R58" s="3">
        <f t="shared" si="4"/>
        <v>0.20008974970968954</v>
      </c>
      <c r="S58" s="3">
        <f t="shared" si="4"/>
        <v>0.19495349356365432</v>
      </c>
      <c r="T58" s="3">
        <f t="shared" si="4"/>
        <v>4.2409676158593396E-2</v>
      </c>
      <c r="U58" s="3">
        <f t="shared" si="4"/>
        <v>0.12324303210730565</v>
      </c>
      <c r="V58" s="3">
        <f t="shared" si="4"/>
        <v>2.9836290992234334E-2</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Anastrozole-0,032µg/L</v>
      </c>
      <c r="J62" s="3" t="str">
        <f t="shared" si="6"/>
        <v>Anastrozole-0,16µg/L</v>
      </c>
      <c r="K62" s="3" t="str">
        <f t="shared" si="6"/>
        <v>Anastrozole-0,8µg/L</v>
      </c>
      <c r="L62" s="3" t="str">
        <f t="shared" si="6"/>
        <v>Anastrozole-4µg/L</v>
      </c>
      <c r="M62" s="3" t="str">
        <f t="shared" si="6"/>
        <v>Anastrozole-20µg/L</v>
      </c>
      <c r="N62" s="3"/>
      <c r="O62" s="3" t="str">
        <f t="shared" si="6"/>
        <v>Testo -30µg/L</v>
      </c>
      <c r="P62" s="3" t="str">
        <f t="shared" si="6"/>
        <v>Testo 30µg/L + EE2 -64ng/L</v>
      </c>
      <c r="Q62" s="3" t="str">
        <f t="shared" si="6"/>
        <v>Testo 30µg/L + FAD-10µg/L</v>
      </c>
      <c r="R62" s="3" t="str">
        <f t="shared" si="6"/>
        <v>Anastrozole-0,032µg/L + Testostérone</v>
      </c>
      <c r="S62" s="3" t="str">
        <f t="shared" si="6"/>
        <v>Anastrozole-0,16µg/L + Testostérone</v>
      </c>
      <c r="T62" s="3" t="str">
        <f t="shared" si="6"/>
        <v>Anastrozole-0,8µg/L + Testostérone</v>
      </c>
      <c r="U62" s="3" t="str">
        <f t="shared" si="6"/>
        <v>Anastrozole-4µg/L + Testostérone</v>
      </c>
      <c r="V62" s="3" t="str">
        <f t="shared" si="6"/>
        <v>Anastrozole-20µg/L + Testostérone</v>
      </c>
    </row>
    <row r="63" spans="1:24" s="1" customFormat="1" x14ac:dyDescent="0.35">
      <c r="A63" s="1" t="s">
        <v>49</v>
      </c>
      <c r="B63" s="3">
        <f>COUNT(B6:B53)</f>
        <v>24</v>
      </c>
      <c r="C63" s="3">
        <f t="shared" ref="C63:V63" si="7">COUNT(C6:C53)</f>
        <v>23</v>
      </c>
      <c r="D63" s="3">
        <f t="shared" si="7"/>
        <v>23</v>
      </c>
      <c r="E63" s="3">
        <f t="shared" si="7"/>
        <v>23</v>
      </c>
      <c r="F63" s="3">
        <f t="shared" si="7"/>
        <v>24</v>
      </c>
      <c r="G63" s="3">
        <f t="shared" si="7"/>
        <v>23</v>
      </c>
      <c r="H63" s="3">
        <f t="shared" si="7"/>
        <v>24</v>
      </c>
      <c r="I63" s="3">
        <f t="shared" si="7"/>
        <v>24</v>
      </c>
      <c r="J63" s="3">
        <f t="shared" si="7"/>
        <v>22</v>
      </c>
      <c r="K63" s="3">
        <f t="shared" si="7"/>
        <v>24</v>
      </c>
      <c r="L63" s="3">
        <f t="shared" si="7"/>
        <v>24</v>
      </c>
      <c r="M63" s="3">
        <f t="shared" si="7"/>
        <v>24</v>
      </c>
      <c r="N63" s="3"/>
      <c r="O63" s="3">
        <f t="shared" si="7"/>
        <v>48</v>
      </c>
      <c r="P63" s="3">
        <f t="shared" si="7"/>
        <v>24</v>
      </c>
      <c r="Q63" s="3">
        <f t="shared" si="7"/>
        <v>24</v>
      </c>
      <c r="R63" s="3">
        <f t="shared" si="7"/>
        <v>24</v>
      </c>
      <c r="S63" s="3">
        <f t="shared" si="7"/>
        <v>24</v>
      </c>
      <c r="T63" s="3">
        <f t="shared" si="7"/>
        <v>24</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4"/>
    <row r="72" spans="1:22" s="48" customFormat="1" ht="26.5" thickBot="1" x14ac:dyDescent="0.4">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Anastrozole-0,032µg/L</v>
      </c>
      <c r="J74" s="46" t="str">
        <f t="shared" si="9"/>
        <v>Anastrozole-0,16µg/L</v>
      </c>
      <c r="K74" s="46" t="str">
        <f t="shared" si="9"/>
        <v>Anastrozole-0,8µg/L</v>
      </c>
      <c r="L74" s="46" t="str">
        <f t="shared" si="9"/>
        <v>Anastrozole-4µg/L</v>
      </c>
      <c r="M74" s="46" t="str">
        <f t="shared" si="9"/>
        <v>Anastrozole-20µg/L</v>
      </c>
      <c r="N74" s="46"/>
      <c r="O74" s="46" t="str">
        <f t="shared" ref="O74:V74" si="10">O4</f>
        <v>Testo -30µg/L</v>
      </c>
      <c r="P74" s="46" t="str">
        <f t="shared" si="10"/>
        <v>Testo 30µg/L + EE2 -64ng/L</v>
      </c>
      <c r="Q74" s="46" t="str">
        <f t="shared" si="10"/>
        <v>Testo 30µg/L + FAD-10µg/L</v>
      </c>
      <c r="R74" s="46" t="str">
        <f t="shared" si="10"/>
        <v>Anastrozole-0,032µg/L + Testostérone</v>
      </c>
      <c r="S74" s="46" t="str">
        <f t="shared" si="10"/>
        <v>Anastrozole-0,16µg/L + Testostérone</v>
      </c>
      <c r="T74" s="46" t="str">
        <f t="shared" si="10"/>
        <v>Anastrozole-0,8µg/L + Testostérone</v>
      </c>
      <c r="U74" s="46" t="str">
        <f t="shared" si="10"/>
        <v>Anastrozole-4µg/L + Testostérone</v>
      </c>
      <c r="V74" s="46" t="str">
        <f t="shared" si="10"/>
        <v>Anastrozole-20µg/L + Testostérone</v>
      </c>
    </row>
    <row r="75" spans="1:22" s="3" customFormat="1" x14ac:dyDescent="0.35">
      <c r="A75" s="61" t="s">
        <v>32</v>
      </c>
      <c r="B75" s="141">
        <f>B56</f>
        <v>0.11569492907343065</v>
      </c>
      <c r="C75" s="141">
        <f t="shared" ref="C75:V75" si="11">C56</f>
        <v>0.13147077155020315</v>
      </c>
      <c r="D75" s="141">
        <f t="shared" si="11"/>
        <v>0.55445919421959056</v>
      </c>
      <c r="E75" s="141">
        <f t="shared" si="11"/>
        <v>2.3949275655933926</v>
      </c>
      <c r="F75" s="141">
        <f t="shared" si="11"/>
        <v>5.5991420883001615</v>
      </c>
      <c r="G75" s="141">
        <f t="shared" si="11"/>
        <v>5.3505665046071753</v>
      </c>
      <c r="H75" s="141">
        <f t="shared" si="11"/>
        <v>11.618791936509702</v>
      </c>
      <c r="I75" s="141">
        <f t="shared" si="11"/>
        <v>0.18282975139455668</v>
      </c>
      <c r="J75" s="141">
        <f t="shared" si="11"/>
        <v>0.11062282752839607</v>
      </c>
      <c r="K75" s="141">
        <f t="shared" si="11"/>
        <v>0.13962390001202193</v>
      </c>
      <c r="L75" s="141">
        <f t="shared" si="11"/>
        <v>0.13171418652685585</v>
      </c>
      <c r="M75" s="141">
        <f t="shared" si="11"/>
        <v>0.10728177776671192</v>
      </c>
      <c r="N75" s="141"/>
      <c r="O75" s="141">
        <f t="shared" si="11"/>
        <v>1</v>
      </c>
      <c r="P75" s="141">
        <f t="shared" si="11"/>
        <v>6.3483009921026143</v>
      </c>
      <c r="Q75" s="141">
        <f t="shared" si="11"/>
        <v>9.5060193403218127E-2</v>
      </c>
      <c r="R75" s="141">
        <f t="shared" si="11"/>
        <v>0.92706304961886987</v>
      </c>
      <c r="S75" s="141">
        <f t="shared" si="11"/>
        <v>0.66784832793051097</v>
      </c>
      <c r="T75" s="141">
        <f t="shared" si="11"/>
        <v>0.25308380119170121</v>
      </c>
      <c r="U75" s="141">
        <f t="shared" si="11"/>
        <v>0.20957016521751851</v>
      </c>
      <c r="V75" s="141">
        <f t="shared" si="11"/>
        <v>0.13535035429220982</v>
      </c>
    </row>
    <row r="76" spans="1:22" s="3" customFormat="1" x14ac:dyDescent="0.35">
      <c r="A76" s="61" t="s">
        <v>2</v>
      </c>
      <c r="B76" s="141">
        <f>B58</f>
        <v>2.1589062270086012E-2</v>
      </c>
      <c r="C76" s="141">
        <f t="shared" ref="C76:V76" si="12">C58</f>
        <v>3.8509160313867564E-2</v>
      </c>
      <c r="D76" s="141">
        <f t="shared" si="12"/>
        <v>0.1856472984926342</v>
      </c>
      <c r="E76" s="141">
        <f t="shared" si="12"/>
        <v>0.61971973208750819</v>
      </c>
      <c r="F76" s="141">
        <f t="shared" si="12"/>
        <v>0.92967762776641394</v>
      </c>
      <c r="G76" s="141">
        <f t="shared" si="12"/>
        <v>0.78159525011875797</v>
      </c>
      <c r="H76" s="141">
        <f t="shared" si="12"/>
        <v>1.379022758036383</v>
      </c>
      <c r="I76" s="141">
        <f t="shared" si="12"/>
        <v>4.1296525427114698E-2</v>
      </c>
      <c r="J76" s="141">
        <f t="shared" si="12"/>
        <v>2.5214819002235631E-2</v>
      </c>
      <c r="K76" s="141">
        <f t="shared" si="12"/>
        <v>2.5239353146685951E-2</v>
      </c>
      <c r="L76" s="141">
        <f t="shared" si="12"/>
        <v>2.3512394205809105E-2</v>
      </c>
      <c r="M76" s="141">
        <f t="shared" si="12"/>
        <v>2.515076914413078E-2</v>
      </c>
      <c r="N76" s="141"/>
      <c r="O76" s="141">
        <f t="shared" si="12"/>
        <v>0.16550512700704234</v>
      </c>
      <c r="P76" s="141">
        <f t="shared" si="12"/>
        <v>0.78909733399621718</v>
      </c>
      <c r="Q76" s="141">
        <f t="shared" si="12"/>
        <v>2.0714871471003576E-2</v>
      </c>
      <c r="R76" s="141">
        <f t="shared" si="12"/>
        <v>0.20008974970968954</v>
      </c>
      <c r="S76" s="141">
        <f t="shared" si="12"/>
        <v>0.19495349356365432</v>
      </c>
      <c r="T76" s="141">
        <f t="shared" si="12"/>
        <v>4.2409676158593396E-2</v>
      </c>
      <c r="U76" s="141">
        <f t="shared" si="12"/>
        <v>0.12324303210730565</v>
      </c>
      <c r="V76" s="141">
        <f t="shared" si="12"/>
        <v>2.9836290992234334E-2</v>
      </c>
    </row>
    <row r="77" spans="1:22" s="3" customFormat="1" x14ac:dyDescent="0.35">
      <c r="A77" s="61" t="s">
        <v>79</v>
      </c>
      <c r="B77" s="141">
        <f>(B75*100/$B$75)-100</f>
        <v>0</v>
      </c>
      <c r="C77" s="141">
        <f t="shared" ref="C77:M77" si="13">(C75*100/$B$75)-100</f>
        <v>13.635725094536937</v>
      </c>
      <c r="D77" s="141">
        <f t="shared" si="13"/>
        <v>379.24243409810958</v>
      </c>
      <c r="E77" s="141">
        <f t="shared" si="13"/>
        <v>1970.0367637317545</v>
      </c>
      <c r="F77" s="141">
        <f t="shared" si="13"/>
        <v>4739.5743297845238</v>
      </c>
      <c r="G77" s="141">
        <f t="shared" si="13"/>
        <v>4524.7199833721434</v>
      </c>
      <c r="H77" s="141">
        <f t="shared" si="13"/>
        <v>9942.6112272693881</v>
      </c>
      <c r="I77" s="141">
        <f t="shared" si="13"/>
        <v>58.02745449501603</v>
      </c>
      <c r="J77" s="141">
        <f t="shared" si="13"/>
        <v>-4.3840309905158961</v>
      </c>
      <c r="K77" s="141">
        <f t="shared" si="13"/>
        <v>20.682817414930739</v>
      </c>
      <c r="L77" s="141">
        <f t="shared" si="13"/>
        <v>13.846118910931608</v>
      </c>
      <c r="M77" s="141">
        <f t="shared" si="13"/>
        <v>-7.2718410167994278</v>
      </c>
      <c r="N77" s="141"/>
      <c r="O77" s="141">
        <f>(O75*100/$O$75)-100</f>
        <v>0</v>
      </c>
      <c r="P77" s="141">
        <f t="shared" ref="P77:V77" si="14">(P75*100/$O$75)-100</f>
        <v>534.83009921026144</v>
      </c>
      <c r="Q77" s="141">
        <f t="shared" si="14"/>
        <v>-90.493980659678186</v>
      </c>
      <c r="R77" s="141">
        <f t="shared" si="14"/>
        <v>-7.2936950381130146</v>
      </c>
      <c r="S77" s="141">
        <f t="shared" si="14"/>
        <v>-33.215167206948905</v>
      </c>
      <c r="T77" s="141">
        <f t="shared" si="14"/>
        <v>-74.691619880829876</v>
      </c>
      <c r="U77" s="141">
        <f t="shared" si="14"/>
        <v>-79.042983478248146</v>
      </c>
      <c r="V77" s="141">
        <f t="shared" si="14"/>
        <v>-86.464964570779017</v>
      </c>
    </row>
    <row r="78" spans="1:22" s="3" customFormat="1" x14ac:dyDescent="0.35">
      <c r="A78" s="61" t="s">
        <v>81</v>
      </c>
      <c r="B78" s="141">
        <f>[1]!DPTEST(B6:B53)</f>
        <v>5.5523988076089381E-3</v>
      </c>
      <c r="C78" s="141">
        <f>[1]!DPTEST(C6:C53)</f>
        <v>8.8172708023748214E-9</v>
      </c>
      <c r="D78" s="141">
        <f>[1]!DPTEST(D6:D53)</f>
        <v>1.1991945962019912E-4</v>
      </c>
      <c r="E78" s="141">
        <f>[1]!DPTEST(E6:E53)</f>
        <v>3.7424492098647733E-6</v>
      </c>
      <c r="F78" s="141">
        <f>[1]!DPTEST(F6:F53)</f>
        <v>1.1411298807839643E-4</v>
      </c>
      <c r="G78" s="141">
        <f>[1]!DPTEST(G6:G53)</f>
        <v>0.3838783155991119</v>
      </c>
      <c r="H78" s="141">
        <f>[1]!DPTEST(H6:H53)</f>
        <v>4.5609674160733582E-2</v>
      </c>
      <c r="I78" s="141">
        <f>[1]!DPTEST(I6:I53)</f>
        <v>2.1241700167549116E-2</v>
      </c>
      <c r="J78" s="141">
        <f>[1]!DPTEST(J6:J53)</f>
        <v>2.7221719157699553E-6</v>
      </c>
      <c r="K78" s="141">
        <f>[1]!DPTEST(K6:K53)</f>
        <v>3.2695690477240191E-3</v>
      </c>
      <c r="L78" s="141">
        <f>[1]!DPTEST(L6:L53)</f>
        <v>1.1156410947530393E-3</v>
      </c>
      <c r="M78" s="141">
        <f>[1]!DPTEST(M6:M53)</f>
        <v>2.5863227448574833E-8</v>
      </c>
      <c r="N78" s="141"/>
      <c r="O78" s="141">
        <f>[1]!DPTEST(O6:O53)</f>
        <v>5.6234451206726987E-8</v>
      </c>
      <c r="P78" s="141">
        <f>[1]!DPTEST(P6:P53)</f>
        <v>0.18739675432585445</v>
      </c>
      <c r="Q78" s="141">
        <f>[1]!DPTEST(Q6:Q53)</f>
        <v>5.7448550608540927E-4</v>
      </c>
      <c r="R78" s="141">
        <f>[1]!DPTEST(R6:R53)</f>
        <v>4.104488155609598E-5</v>
      </c>
      <c r="S78" s="141">
        <f>[1]!DPTEST(S6:S53)</f>
        <v>1.017544991631647E-4</v>
      </c>
      <c r="T78" s="141">
        <f>[1]!DPTEST(T6:T53)</f>
        <v>0.21618403405362741</v>
      </c>
      <c r="U78" s="141">
        <f>[1]!DPTEST(U6:U53)</f>
        <v>1.7452705947107461E-13</v>
      </c>
      <c r="V78" s="141">
        <f>[1]!DPTEST(V6:V53)</f>
        <v>3.7678950034480962E-6</v>
      </c>
    </row>
    <row r="79" spans="1:22" s="3" customFormat="1" x14ac:dyDescent="0.35">
      <c r="A79" s="61" t="s">
        <v>85</v>
      </c>
      <c r="B79" s="141" t="str">
        <f>IF(B78&gt;0.05,"Oui","Non")</f>
        <v>Non</v>
      </c>
      <c r="C79" s="141" t="str">
        <f t="shared" ref="C79:V79" si="15">IF(C78&gt;0.05,"Oui","Non")</f>
        <v>Non</v>
      </c>
      <c r="D79" s="141" t="str">
        <f t="shared" si="15"/>
        <v>Non</v>
      </c>
      <c r="E79" s="141" t="str">
        <f t="shared" si="15"/>
        <v>Non</v>
      </c>
      <c r="F79" s="141" t="str">
        <f t="shared" si="15"/>
        <v>Non</v>
      </c>
      <c r="G79" s="141" t="str">
        <f t="shared" si="15"/>
        <v>Oui</v>
      </c>
      <c r="H79" s="141" t="str">
        <f t="shared" si="15"/>
        <v>Non</v>
      </c>
      <c r="I79" s="141" t="str">
        <f t="shared" si="15"/>
        <v>Non</v>
      </c>
      <c r="J79" s="141" t="str">
        <f t="shared" si="15"/>
        <v>Non</v>
      </c>
      <c r="K79" s="141" t="str">
        <f t="shared" si="15"/>
        <v>Non</v>
      </c>
      <c r="L79" s="141" t="str">
        <f t="shared" si="15"/>
        <v>Non</v>
      </c>
      <c r="M79" s="141" t="str">
        <f t="shared" si="15"/>
        <v>Non</v>
      </c>
      <c r="N79" s="141"/>
      <c r="O79" s="141" t="str">
        <f t="shared" si="15"/>
        <v>Non</v>
      </c>
      <c r="P79" s="141" t="str">
        <f t="shared" si="15"/>
        <v>Oui</v>
      </c>
      <c r="Q79" s="141" t="str">
        <f t="shared" si="15"/>
        <v>Non</v>
      </c>
      <c r="R79" s="141" t="str">
        <f t="shared" si="15"/>
        <v>Non</v>
      </c>
      <c r="S79" s="141" t="str">
        <f t="shared" si="15"/>
        <v>Non</v>
      </c>
      <c r="T79" s="141" t="str">
        <f t="shared" si="15"/>
        <v>Oui</v>
      </c>
      <c r="U79" s="141" t="str">
        <f t="shared" si="15"/>
        <v>Non</v>
      </c>
      <c r="V79" s="141" t="str">
        <f t="shared" si="15"/>
        <v>Non</v>
      </c>
    </row>
    <row r="80" spans="1:22" s="3" customFormat="1" x14ac:dyDescent="0.35">
      <c r="A80" s="61" t="s">
        <v>122</v>
      </c>
      <c r="B80" s="141"/>
      <c r="C80" s="141"/>
      <c r="D80" s="141"/>
      <c r="E80" s="141"/>
      <c r="F80" s="141"/>
      <c r="G80" s="141"/>
      <c r="H80" s="141"/>
      <c r="I80" s="141"/>
      <c r="J80" s="141" t="str">
        <f>IF(COUNTIF(J79:M79, "Non")&gt;0, "Oui","Non")</f>
        <v>Oui</v>
      </c>
      <c r="K80" s="141"/>
      <c r="L80" s="141"/>
      <c r="M80" s="141"/>
      <c r="N80" s="141"/>
      <c r="O80" s="141"/>
      <c r="P80" s="141"/>
      <c r="Q80" s="141"/>
      <c r="R80" s="141"/>
      <c r="S80" s="141"/>
      <c r="T80" s="141"/>
      <c r="U80" s="141"/>
      <c r="V80" s="141"/>
    </row>
    <row r="81" spans="1:22" s="3" customFormat="1" x14ac:dyDescent="0.35">
      <c r="A81" s="61" t="s">
        <v>82</v>
      </c>
      <c r="B81" s="141"/>
      <c r="C81" s="141" t="s">
        <v>173</v>
      </c>
      <c r="D81" s="141" t="s">
        <v>173</v>
      </c>
      <c r="E81" s="141" t="s">
        <v>173</v>
      </c>
      <c r="F81" s="141" t="s">
        <v>173</v>
      </c>
      <c r="G81" s="141" t="s">
        <v>173</v>
      </c>
      <c r="H81" s="141" t="s">
        <v>173</v>
      </c>
      <c r="I81" s="141" t="s">
        <v>173</v>
      </c>
      <c r="J81" s="141" t="s">
        <v>173</v>
      </c>
      <c r="K81" s="141" t="s">
        <v>173</v>
      </c>
      <c r="L81" s="141" t="s">
        <v>173</v>
      </c>
      <c r="M81" s="141" t="s">
        <v>173</v>
      </c>
      <c r="N81" s="141"/>
      <c r="O81" s="141" t="str">
        <f>IF($B79="Non",IF(O79="Non","Mann Withney",IF(O79="Oui","Mann Withney","")),IF($B79="Oui",IF(O79="Oui","T-Test Welch",IF(O79="Non","Mann Withney",""))))</f>
        <v>Mann Withney</v>
      </c>
      <c r="P81" s="141" t="str">
        <f t="shared" ref="P81:Q81" si="16">IF($O79="Non",IF(P79="Non","Mann Withney",IF(P$79="Oui","Mann Withney","")),IF($O79="Oui",IF(P79="Oui","T-Test Welch",IF(P79="Non","Mann Withney",""))))</f>
        <v>Mann Withney</v>
      </c>
      <c r="Q81" s="141" t="str">
        <f t="shared" si="16"/>
        <v>Mann Withney</v>
      </c>
      <c r="R81" s="141" t="s">
        <v>173</v>
      </c>
      <c r="S81" s="141" t="s">
        <v>173</v>
      </c>
      <c r="T81" s="141" t="s">
        <v>173</v>
      </c>
      <c r="U81" s="141" t="s">
        <v>173</v>
      </c>
      <c r="V81" s="141" t="s">
        <v>173</v>
      </c>
    </row>
    <row r="82" spans="1:22" s="3" customFormat="1" x14ac:dyDescent="0.35">
      <c r="A82" s="61" t="s">
        <v>83</v>
      </c>
      <c r="B82" s="141"/>
      <c r="C82" s="141" t="s">
        <v>169</v>
      </c>
      <c r="D82" s="141" t="s">
        <v>169</v>
      </c>
      <c r="E82" s="141" t="s">
        <v>171</v>
      </c>
      <c r="F82" s="141" t="s">
        <v>171</v>
      </c>
      <c r="G82" s="141" t="s">
        <v>171</v>
      </c>
      <c r="H82" s="141" t="s">
        <v>171</v>
      </c>
      <c r="I82" s="141" t="s">
        <v>169</v>
      </c>
      <c r="J82" s="141" t="s">
        <v>169</v>
      </c>
      <c r="K82" s="141" t="s">
        <v>169</v>
      </c>
      <c r="L82" s="141" t="s">
        <v>169</v>
      </c>
      <c r="M82" s="141" t="s">
        <v>169</v>
      </c>
      <c r="N82" s="141"/>
      <c r="O82" s="141">
        <f>IF(O81="Mann Withney",[1]!MTEST($B6:$B53,O6:O53,2), IF(O81="T-Test Welch",_xlfn.T.TEST($B6:$B53,O6:O53,2,3),""))</f>
        <v>2.1125486544537608E-6</v>
      </c>
      <c r="P82" s="141">
        <f>IF(P81="Mann Withney",[1]!MTEST($O6:$O53,P6:P53,2), IF(P81="T-Test Welch",_xlfn.T.TEST($O6:$O53,P6:P53,2,3),""))</f>
        <v>1.4108825219238952E-10</v>
      </c>
      <c r="Q82" s="141">
        <f>IF(Q81="Mann Withney",[1]!MTEST($O6:$O53,Q6:Q53,2), IF(Q81="T-Test Welch",_xlfn.T.TEST($O6:$O53,Q6:Q53,2,3),""))</f>
        <v>2.1679216066772256E-7</v>
      </c>
      <c r="R82" s="141" t="s">
        <v>169</v>
      </c>
      <c r="S82" s="141">
        <v>0.32</v>
      </c>
      <c r="T82" s="141">
        <v>0.01</v>
      </c>
      <c r="U82" s="141" t="s">
        <v>171</v>
      </c>
      <c r="V82" s="141" t="s">
        <v>171</v>
      </c>
    </row>
    <row r="83" spans="1:22" s="3" customFormat="1" ht="15" thickBot="1" x14ac:dyDescent="0.4">
      <c r="A83" s="62" t="s">
        <v>84</v>
      </c>
      <c r="B83" s="142"/>
      <c r="C83" s="142" t="s">
        <v>168</v>
      </c>
      <c r="D83" s="142" t="s">
        <v>168</v>
      </c>
      <c r="E83" s="142" t="s">
        <v>170</v>
      </c>
      <c r="F83" s="142" t="s">
        <v>170</v>
      </c>
      <c r="G83" s="142" t="s">
        <v>170</v>
      </c>
      <c r="H83" s="142" t="s">
        <v>170</v>
      </c>
      <c r="I83" s="142" t="s">
        <v>168</v>
      </c>
      <c r="J83" s="142" t="s">
        <v>168</v>
      </c>
      <c r="K83" s="142" t="s">
        <v>168</v>
      </c>
      <c r="L83" s="142" t="s">
        <v>168</v>
      </c>
      <c r="M83" s="142" t="s">
        <v>168</v>
      </c>
      <c r="N83" s="142"/>
      <c r="O83" s="142" t="str">
        <f t="shared" ref="O83" si="17">IF(O82&gt;0.05,"NS",IF(O82&gt;0.01,"*",IF(O82&gt;0.001,"**","***")))</f>
        <v>***</v>
      </c>
      <c r="P83" s="142" t="str">
        <f t="shared" ref="P83" si="18">IF(P82&gt;0.05,"NS",IF(P82&gt;0.01,"*",IF(P82&gt;0.001,"**","***")))</f>
        <v>***</v>
      </c>
      <c r="Q83" s="142" t="str">
        <f t="shared" ref="Q83" si="19">IF(Q82&gt;0.05,"NS",IF(Q82&gt;0.01,"*",IF(Q82&gt;0.001,"**","***")))</f>
        <v>***</v>
      </c>
      <c r="R83" s="142" t="s">
        <v>168</v>
      </c>
      <c r="S83" s="142" t="s">
        <v>168</v>
      </c>
      <c r="T83" s="142" t="s">
        <v>172</v>
      </c>
      <c r="U83" s="142" t="s">
        <v>170</v>
      </c>
      <c r="V83" s="142" t="s">
        <v>170</v>
      </c>
    </row>
    <row r="84" spans="1:22" s="1" customFormat="1" x14ac:dyDescent="0.35"/>
    <row r="85" spans="1:22" s="1" customFormat="1" x14ac:dyDescent="0.35">
      <c r="A85" s="2" t="s">
        <v>39</v>
      </c>
    </row>
    <row r="86" spans="1:22" x14ac:dyDescent="0.35">
      <c r="A86" s="1" t="s">
        <v>23</v>
      </c>
      <c r="B86" s="1">
        <f>B56+(3*B57)</f>
        <v>0.43298804859472867</v>
      </c>
    </row>
    <row r="87" spans="1:22" x14ac:dyDescent="0.35">
      <c r="A87" s="1" t="s">
        <v>24</v>
      </c>
      <c r="B87" s="1">
        <f>B56+(10*B57)</f>
        <v>1.1733386608110905</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5">
      <c r="B94" s="1">
        <f t="shared" ref="B94:V94" si="20">B75/$B$75</f>
        <v>1</v>
      </c>
      <c r="C94" s="1">
        <f t="shared" si="20"/>
        <v>1.1363572509453694</v>
      </c>
      <c r="D94" s="1">
        <f t="shared" si="20"/>
        <v>4.7924243409810963</v>
      </c>
      <c r="E94" s="1">
        <f t="shared" si="20"/>
        <v>20.700367637317544</v>
      </c>
      <c r="F94" s="1">
        <f t="shared" si="20"/>
        <v>48.395743297845236</v>
      </c>
      <c r="G94" s="1">
        <f t="shared" si="20"/>
        <v>46.247199833721439</v>
      </c>
      <c r="H94" s="1">
        <f>H75/$B$75</f>
        <v>100.42611227269387</v>
      </c>
      <c r="I94" s="1">
        <f t="shared" si="20"/>
        <v>1.5802745449501601</v>
      </c>
      <c r="J94" s="1">
        <f t="shared" si="20"/>
        <v>0.95615969009484103</v>
      </c>
      <c r="K94" s="1">
        <f t="shared" si="20"/>
        <v>1.2068281741493074</v>
      </c>
      <c r="L94" s="1">
        <f t="shared" si="20"/>
        <v>1.1384611891093162</v>
      </c>
      <c r="M94" s="1">
        <f t="shared" si="20"/>
        <v>0.92728158983200581</v>
      </c>
      <c r="N94" s="1">
        <f t="shared" si="20"/>
        <v>0</v>
      </c>
      <c r="O94" s="1">
        <f t="shared" si="20"/>
        <v>8.6434211767856137</v>
      </c>
      <c r="P94" s="1">
        <f t="shared" si="20"/>
        <v>54.871039231748853</v>
      </c>
      <c r="Q94" s="1">
        <f t="shared" si="20"/>
        <v>0.82164528873071163</v>
      </c>
      <c r="R94" s="1">
        <f t="shared" si="20"/>
        <v>8.0129963952911911</v>
      </c>
      <c r="S94" s="1">
        <f t="shared" si="20"/>
        <v>5.7724943805154414</v>
      </c>
      <c r="T94" s="1">
        <f t="shared" si="20"/>
        <v>2.1875098867217502</v>
      </c>
      <c r="U94" s="1">
        <f t="shared" si="20"/>
        <v>1.811403204063559</v>
      </c>
      <c r="V94" s="1">
        <f t="shared" si="20"/>
        <v>1.1698901185747219</v>
      </c>
    </row>
    <row r="104" spans="6:27" x14ac:dyDescent="0.35">
      <c r="F104" s="1"/>
      <c r="G104" s="1"/>
    </row>
    <row r="105" spans="6:27" x14ac:dyDescent="0.35">
      <c r="F105" s="1"/>
      <c r="G105" s="1"/>
    </row>
    <row r="106" spans="6:27" x14ac:dyDescent="0.35">
      <c r="F106" s="1"/>
      <c r="G106" s="1"/>
      <c r="I106" s="1"/>
      <c r="J106" s="1"/>
      <c r="K106" s="1"/>
      <c r="L106" s="1"/>
      <c r="M106" s="1"/>
      <c r="N106" s="1"/>
      <c r="O106" s="1"/>
      <c r="P106" s="1"/>
      <c r="Q106" s="1"/>
      <c r="R106" s="1"/>
      <c r="S106" s="1"/>
      <c r="T106" s="1"/>
      <c r="U106" s="1"/>
      <c r="V106" s="1"/>
      <c r="W106" s="1"/>
      <c r="X106" s="1"/>
      <c r="Y106" s="1"/>
      <c r="Z106" s="1"/>
      <c r="AA106" s="1"/>
    </row>
    <row r="107" spans="6:27" x14ac:dyDescent="0.35">
      <c r="F107" s="1"/>
      <c r="G107" s="1"/>
      <c r="I107" s="1"/>
      <c r="J107" s="1"/>
      <c r="K107" s="1"/>
      <c r="L107" s="1"/>
      <c r="M107" s="1"/>
      <c r="N107" s="1"/>
      <c r="O107" s="1"/>
      <c r="P107" s="1"/>
      <c r="Q107" s="1"/>
      <c r="R107" s="1"/>
      <c r="S107" s="1"/>
      <c r="T107" s="1"/>
      <c r="U107" s="1"/>
      <c r="V107" s="1"/>
      <c r="W107" s="1"/>
      <c r="X107" s="1"/>
      <c r="Y107" s="1"/>
      <c r="Z107" s="1"/>
      <c r="AA107" s="1"/>
    </row>
    <row r="108" spans="6:27" x14ac:dyDescent="0.35">
      <c r="F108" s="1"/>
      <c r="G108" s="1"/>
    </row>
    <row r="109" spans="6:27" x14ac:dyDescent="0.35">
      <c r="F109" s="1"/>
      <c r="G109" s="1"/>
    </row>
    <row r="110" spans="6:27" x14ac:dyDescent="0.35">
      <c r="F110" s="1"/>
      <c r="G110" s="1"/>
    </row>
    <row r="111" spans="6:27" x14ac:dyDescent="0.35">
      <c r="F111" s="1"/>
      <c r="G111" s="1"/>
    </row>
    <row r="112" spans="6:27" x14ac:dyDescent="0.35">
      <c r="F112" s="1"/>
      <c r="G112" s="1"/>
    </row>
    <row r="113" spans="6:7" x14ac:dyDescent="0.35">
      <c r="F113" s="1"/>
      <c r="G113" s="1"/>
    </row>
    <row r="114" spans="6:7" x14ac:dyDescent="0.35">
      <c r="F114" s="1"/>
      <c r="G114" s="1"/>
    </row>
    <row r="118" spans="6:7" x14ac:dyDescent="0.35">
      <c r="F118" s="1"/>
      <c r="G118" s="1"/>
    </row>
    <row r="119" spans="6:7" x14ac:dyDescent="0.35">
      <c r="F119" s="1"/>
      <c r="G119" s="1"/>
    </row>
    <row r="120" spans="6:7" x14ac:dyDescent="0.35">
      <c r="F120" s="1"/>
      <c r="G120" s="1"/>
    </row>
    <row r="121" spans="6:7" x14ac:dyDescent="0.35">
      <c r="F121" s="1"/>
      <c r="G121" s="1"/>
    </row>
    <row r="122" spans="6:7" x14ac:dyDescent="0.35">
      <c r="F122" s="1"/>
      <c r="G122"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28" t="s">
        <v>104</v>
      </c>
      <c r="B1" s="229"/>
      <c r="C1" s="229"/>
      <c r="D1" s="229"/>
      <c r="E1" s="229"/>
      <c r="F1" s="229"/>
      <c r="G1" s="229"/>
      <c r="H1" s="229"/>
      <c r="I1" s="229"/>
      <c r="J1" s="229"/>
      <c r="K1" s="229"/>
      <c r="L1" s="229"/>
      <c r="M1" s="229"/>
      <c r="N1" s="229"/>
      <c r="O1" s="230"/>
    </row>
    <row r="2" spans="1:15" s="48" customFormat="1" ht="26.5" thickBot="1" x14ac:dyDescent="0.4">
      <c r="A2" s="228" t="s">
        <v>105</v>
      </c>
      <c r="B2" s="229"/>
      <c r="C2" s="229"/>
      <c r="D2" s="229"/>
      <c r="E2" s="229"/>
      <c r="F2" s="229"/>
      <c r="G2" s="229"/>
      <c r="H2" s="229"/>
      <c r="I2" s="229"/>
      <c r="J2" s="229"/>
      <c r="K2" s="229"/>
      <c r="L2" s="229"/>
      <c r="M2" s="229"/>
      <c r="N2" s="229"/>
      <c r="O2" s="230"/>
    </row>
    <row r="3" spans="1:15" s="76" customFormat="1" ht="15.5" x14ac:dyDescent="0.35">
      <c r="H3" s="77"/>
      <c r="I3" s="77"/>
      <c r="J3" s="77"/>
      <c r="K3" s="77"/>
      <c r="L3" s="77"/>
      <c r="M3" s="77"/>
      <c r="N3" s="77"/>
    </row>
    <row r="4" spans="1:15" s="76" customFormat="1" ht="15.5" x14ac:dyDescent="0.35">
      <c r="O4"/>
    </row>
    <row r="5" spans="1:15" s="76" customFormat="1" ht="45.75" customHeight="1" thickBot="1" x14ac:dyDescent="0.4">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5" x14ac:dyDescent="0.35">
      <c r="A6" s="79" t="s">
        <v>28</v>
      </c>
      <c r="B6" s="99">
        <v>64</v>
      </c>
      <c r="C6" s="79"/>
      <c r="D6" s="79"/>
      <c r="E6" s="89"/>
      <c r="F6" s="90"/>
      <c r="G6" s="128">
        <f>IF(F6="NS","NC",ROUND(B6,2-(1+INT(LOG10(ABS(B6))))))</f>
        <v>64</v>
      </c>
      <c r="H6" s="120"/>
      <c r="I6" s="120"/>
      <c r="J6" s="121"/>
      <c r="K6" s="122"/>
      <c r="L6" s="124"/>
      <c r="M6" s="121"/>
      <c r="N6" s="91"/>
      <c r="O6"/>
    </row>
    <row r="7" spans="1:15" s="76" customFormat="1" ht="15.5" x14ac:dyDescent="0.35">
      <c r="A7" s="79" t="str">
        <f>'Page de garde'!A15</f>
        <v>Anastrozole-0,032µg/L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Anastrozole-0,032µg/L : 0%</v>
      </c>
      <c r="O7"/>
    </row>
    <row r="8" spans="1:15" s="76" customFormat="1" ht="15.5" x14ac:dyDescent="0.35">
      <c r="A8" s="79" t="str">
        <f>'Page de garde'!A16</f>
        <v>Anastrozole-0,16µg/L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Anastrozole-0,16µg/L : 0%</v>
      </c>
      <c r="O8"/>
    </row>
    <row r="9" spans="1:15" s="76" customFormat="1" ht="15.5" x14ac:dyDescent="0.35">
      <c r="A9" s="79" t="str">
        <f>'Page de garde'!A17</f>
        <v>Anastrozole-0,8µg/L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Anastrozole-0,8µg/L : 0%</v>
      </c>
      <c r="O9"/>
    </row>
    <row r="10" spans="1:15" s="76" customFormat="1" ht="15.5" x14ac:dyDescent="0.35">
      <c r="A10" s="79" t="str">
        <f>'Page de garde'!A18</f>
        <v>Anastrozole-4µg/L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Anastrozole-4µg/L : 0%</v>
      </c>
      <c r="O10"/>
    </row>
    <row r="11" spans="1:15" s="76" customFormat="1" ht="15.5" x14ac:dyDescent="0.35">
      <c r="A11" s="79" t="str">
        <f>'Page de garde'!A19</f>
        <v>Anastrozole-20µg/L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Anastrozole-20µg/L : 0%</v>
      </c>
      <c r="O11"/>
    </row>
    <row r="12" spans="1:15" s="76" customFormat="1" ht="15.5" x14ac:dyDescent="0.3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5" x14ac:dyDescent="0.3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5" x14ac:dyDescent="0.3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5" x14ac:dyDescent="0.3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5" x14ac:dyDescent="0.3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5" x14ac:dyDescent="0.3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5" x14ac:dyDescent="0.3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5" x14ac:dyDescent="0.3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5" x14ac:dyDescent="0.3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5" x14ac:dyDescent="0.3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5" x14ac:dyDescent="0.3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5" x14ac:dyDescent="0.3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5" x14ac:dyDescent="0.3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5" x14ac:dyDescent="0.3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5" x14ac:dyDescent="0.3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5" x14ac:dyDescent="0.35">
      <c r="A27"/>
      <c r="B27"/>
      <c r="C27"/>
      <c r="D27"/>
      <c r="E27"/>
      <c r="F27"/>
      <c r="G27"/>
      <c r="H27"/>
      <c r="I27"/>
      <c r="J27"/>
      <c r="K27"/>
      <c r="L27"/>
      <c r="M27"/>
      <c r="N27"/>
      <c r="O27" s="1"/>
    </row>
    <row r="28" spans="1:15" s="76" customFormat="1" ht="31.5" thickBot="1" x14ac:dyDescent="0.4">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5" x14ac:dyDescent="0.35">
      <c r="A29" s="83" t="s">
        <v>29</v>
      </c>
      <c r="B29" s="99"/>
      <c r="C29" s="79"/>
      <c r="D29" s="79"/>
      <c r="E29" s="81"/>
      <c r="F29" s="90"/>
      <c r="G29" s="133"/>
      <c r="H29" s="120"/>
      <c r="I29" s="120"/>
      <c r="J29" s="121"/>
      <c r="K29" s="122"/>
      <c r="L29" s="124"/>
      <c r="M29" s="121"/>
      <c r="N29" s="91"/>
      <c r="O29"/>
    </row>
    <row r="30" spans="1:15" s="76" customFormat="1" ht="15.5" x14ac:dyDescent="0.35">
      <c r="A30" s="83" t="s">
        <v>31</v>
      </c>
      <c r="B30" s="99"/>
      <c r="C30" s="79"/>
      <c r="D30" s="79"/>
      <c r="E30" s="81"/>
      <c r="F30" s="90"/>
      <c r="G30" s="132" t="e">
        <f>IF(F30="NS","NC",ROUND(B30-$B$29,2-(1+INT(LOG10(ABS(B30-$B$29))))))</f>
        <v>#NUM!</v>
      </c>
      <c r="H30" s="120"/>
      <c r="I30" s="133"/>
      <c r="J30" s="134"/>
      <c r="K30" s="135"/>
      <c r="L30" s="134"/>
      <c r="M30" s="134"/>
      <c r="N30" s="136"/>
      <c r="O30"/>
    </row>
    <row r="31" spans="1:15" s="76" customFormat="1" ht="15.5" x14ac:dyDescent="0.3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5" x14ac:dyDescent="0.35">
      <c r="A32" s="127" t="str">
        <f>'Page de garde'!A39</f>
        <v>Anastrozole-0,032µg/L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Anastrozole-0,032µg/L : 0%</v>
      </c>
    </row>
    <row r="33" spans="1:14" s="76" customFormat="1" ht="15.5" x14ac:dyDescent="0.35">
      <c r="A33" s="127" t="str">
        <f>'Page de garde'!A40</f>
        <v>Anastrozole-0,16µg/L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Anastrozole-0,16µg/L : 0%</v>
      </c>
    </row>
    <row r="34" spans="1:14" s="76" customFormat="1" ht="15.5" x14ac:dyDescent="0.35">
      <c r="A34" s="127" t="str">
        <f>'Page de garde'!A41</f>
        <v>Anastrozole-0,8µg/L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5" x14ac:dyDescent="0.35">
      <c r="A35" s="127" t="str">
        <f>'Page de garde'!A42</f>
        <v>Anastrozole-4µg/L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5" x14ac:dyDescent="0.35">
      <c r="A36" s="127" t="str">
        <f>'Page de garde'!A43</f>
        <v>Anastrozole-20µg/L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5" x14ac:dyDescent="0.3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5" x14ac:dyDescent="0.3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5" x14ac:dyDescent="0.3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5" x14ac:dyDescent="0.3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5" x14ac:dyDescent="0.3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5" x14ac:dyDescent="0.3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5" x14ac:dyDescent="0.3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5" x14ac:dyDescent="0.3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5" x14ac:dyDescent="0.3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5" x14ac:dyDescent="0.3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5" x14ac:dyDescent="0.3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5" x14ac:dyDescent="0.3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5" x14ac:dyDescent="0.3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5" x14ac:dyDescent="0.3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5" x14ac:dyDescent="0.3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 thickBot="1" x14ac:dyDescent="0.4">
      <c r="E52" s="77"/>
      <c r="F52" s="77"/>
      <c r="G52" s="77"/>
      <c r="H52" s="77"/>
      <c r="I52" s="77"/>
      <c r="J52" s="77"/>
      <c r="K52" s="77"/>
      <c r="L52" s="77"/>
      <c r="M52" s="77"/>
      <c r="N52" s="77"/>
    </row>
    <row r="53" spans="1:15" s="48" customFormat="1" ht="26.5" thickBot="1" x14ac:dyDescent="0.4">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79" customWidth="1"/>
    <col min="2" max="2" width="46.26953125" style="179" customWidth="1"/>
    <col min="3" max="3" width="15.26953125" style="179" customWidth="1"/>
    <col min="4" max="4" width="24.7265625" style="179" customWidth="1"/>
    <col min="5" max="5" width="24.453125" style="179" customWidth="1"/>
    <col min="6" max="6" width="23.1796875" style="179" customWidth="1"/>
    <col min="7" max="7" width="21.26953125" style="179" customWidth="1"/>
    <col min="8" max="16384" width="11.453125" style="179"/>
  </cols>
  <sheetData>
    <row r="1" spans="1:7" ht="29.5" thickBot="1" x14ac:dyDescent="0.4">
      <c r="A1" s="184" t="s">
        <v>131</v>
      </c>
      <c r="B1" s="185" t="s">
        <v>132</v>
      </c>
      <c r="C1" s="185" t="s">
        <v>138</v>
      </c>
      <c r="D1" s="185" t="s">
        <v>137</v>
      </c>
      <c r="E1" s="185" t="s">
        <v>139</v>
      </c>
      <c r="F1" s="186" t="s">
        <v>140</v>
      </c>
      <c r="G1" s="187" t="s">
        <v>141</v>
      </c>
    </row>
    <row r="2" spans="1:7" ht="58" x14ac:dyDescent="0.3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0.11569492907343065</v>
      </c>
      <c r="D2" s="17" t="s">
        <v>9</v>
      </c>
      <c r="E2" s="18"/>
      <c r="F2" s="19" t="str">
        <f>'pooled normalised values'!J74</f>
        <v>Anastrozole-0,16µg/L</v>
      </c>
      <c r="G2" s="19" t="str">
        <f>'pooled normalised values'!K74</f>
        <v>Anastrozole-0,8µg/L</v>
      </c>
      <c r="H2" s="19" t="str">
        <f>'pooled normalised values'!L74</f>
        <v>Anastrozole-4µg/L</v>
      </c>
      <c r="I2" s="19" t="str">
        <f>'pooled normalised values'!M74</f>
        <v>Anastrozole-20µg/L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Anastrozole-0,032µg/L + Testostérone</v>
      </c>
      <c r="W2" s="19" t="str">
        <f>'pooled normalised values'!S74</f>
        <v>Anastrozole-0,16µg/L + Testostérone</v>
      </c>
      <c r="X2" s="19" t="str">
        <f>'pooled normalised values'!T74</f>
        <v>Anastrozole-0,8µg/L + Testostérone</v>
      </c>
      <c r="Y2" s="19" t="str">
        <f>'pooled normalised values'!U74</f>
        <v>Anastrozole-4µg/L + Testostérone</v>
      </c>
      <c r="Z2" s="19" t="str">
        <f>'pooled normalised values'!V74</f>
        <v>Anastrozole-20µg/L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0.11062282752839607</v>
      </c>
      <c r="G3" s="19">
        <f>HLOOKUP(G2,'pooled normalised values'!C74:W83,2,FALSE)</f>
        <v>0.13962390001202193</v>
      </c>
      <c r="H3" s="19">
        <f>HLOOKUP(H2,'pooled normalised values'!C74:X83,2,FALSE)</f>
        <v>0.13171418652685585</v>
      </c>
      <c r="I3" s="19">
        <f>HLOOKUP(I2,'pooled normalised values'!D74:Y83,2,FALSE)</f>
        <v>0.10728177776671192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0.92706304961886987</v>
      </c>
      <c r="W3" s="19">
        <f>HLOOKUP(W2,'pooled normalised values'!N74:AM83,2,FALSE)</f>
        <v>0.66784832793051097</v>
      </c>
      <c r="X3" s="19">
        <f>HLOOKUP(X2,'pooled normalised values'!N74:AN83,2,FALSE)</f>
        <v>0.25308380119170121</v>
      </c>
      <c r="Y3" s="19">
        <f>HLOOKUP(Y2,'pooled normalised values'!N74:AO83,2,FALSE)</f>
        <v>0.20957016521751851</v>
      </c>
      <c r="Z3" s="19">
        <f>HLOOKUP(Z2,'pooled normalised values'!N74:AP83,2,FALSE)</f>
        <v>0.13535035429220982</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2.5214819002235631E-2</v>
      </c>
      <c r="G4" s="19">
        <f>HLOOKUP(G2,'pooled normalised values'!C74:W83,3,FALSE)</f>
        <v>2.5239353146685951E-2</v>
      </c>
      <c r="H4" s="19">
        <f>HLOOKUP(H2,'pooled normalised values'!C74:X83,3,FALSE)</f>
        <v>2.3512394205809105E-2</v>
      </c>
      <c r="I4" s="19">
        <f>HLOOKUP(I2,'pooled normalised values'!D74:Y83,3,FALSE)</f>
        <v>2.515076914413078E-2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0.20008974970968954</v>
      </c>
      <c r="W4" s="19">
        <f>HLOOKUP(W2,'pooled normalised values'!N74:AM83,3,FALSE)</f>
        <v>0.19495349356365432</v>
      </c>
      <c r="X4" s="19">
        <f>HLOOKUP(X2,'pooled normalised values'!N74:AN83,3,FALSE)</f>
        <v>4.2409676158593396E-2</v>
      </c>
      <c r="Y4" s="19">
        <f>HLOOKUP(Y2,'pooled normalised values'!N74:AO83,3,FALSE)</f>
        <v>0.12324303210730565</v>
      </c>
      <c r="Z4" s="19">
        <f>HLOOKUP(Z2,'pooled normalised values'!N74:AP83,3,FALSE)</f>
        <v>2.9836290992234334E-2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6.3483009921026143</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9.5060193403218127E-2</v>
      </c>
      <c r="D6" s="21" t="s">
        <v>12</v>
      </c>
      <c r="E6" s="24">
        <f>$B$2</f>
        <v>0.11569492907343065</v>
      </c>
      <c r="F6" s="24">
        <f>$B$2</f>
        <v>0.11569492907343065</v>
      </c>
      <c r="G6" s="24">
        <f t="shared" ref="G6:R6" si="0">$B$2</f>
        <v>0.11569492907343065</v>
      </c>
      <c r="H6" s="24">
        <f t="shared" si="0"/>
        <v>0.11569492907343065</v>
      </c>
      <c r="I6" s="24">
        <f t="shared" si="0"/>
        <v>0.11569492907343065</v>
      </c>
      <c r="J6" s="24">
        <f t="shared" si="0"/>
        <v>0.11569492907343065</v>
      </c>
      <c r="K6" s="24">
        <f t="shared" si="0"/>
        <v>0.11569492907343065</v>
      </c>
      <c r="L6" s="24">
        <f t="shared" si="0"/>
        <v>0.11569492907343065</v>
      </c>
      <c r="M6" s="24">
        <f t="shared" si="0"/>
        <v>0.11569492907343065</v>
      </c>
      <c r="N6" s="24">
        <f t="shared" si="0"/>
        <v>0.11569492907343065</v>
      </c>
      <c r="O6" s="24">
        <f t="shared" si="0"/>
        <v>0.11569492907343065</v>
      </c>
      <c r="P6" s="24">
        <f t="shared" si="0"/>
        <v>0.11569492907343065</v>
      </c>
      <c r="Q6" s="24">
        <f t="shared" si="0"/>
        <v>0.11569492907343065</v>
      </c>
      <c r="R6" s="24">
        <f t="shared" si="0"/>
        <v>0.11569492907343065</v>
      </c>
      <c r="S6" s="24">
        <f>$B$2</f>
        <v>0.11569492907343065</v>
      </c>
      <c r="T6" s="24">
        <f>$B$2</f>
        <v>0.11569492907343065</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9.5060193403218127E-2</v>
      </c>
      <c r="V8" s="25">
        <f t="shared" ref="V8:AJ8" si="2">$B$6</f>
        <v>9.5060193403218127E-2</v>
      </c>
      <c r="W8" s="25">
        <f t="shared" si="2"/>
        <v>9.5060193403218127E-2</v>
      </c>
      <c r="X8" s="25">
        <f t="shared" si="2"/>
        <v>9.5060193403218127E-2</v>
      </c>
      <c r="Y8" s="25">
        <f t="shared" si="2"/>
        <v>9.5060193403218127E-2</v>
      </c>
      <c r="Z8" s="25">
        <f t="shared" si="2"/>
        <v>9.5060193403218127E-2</v>
      </c>
      <c r="AA8" s="25">
        <f t="shared" si="2"/>
        <v>9.5060193403218127E-2</v>
      </c>
      <c r="AB8" s="25">
        <f t="shared" si="2"/>
        <v>9.5060193403218127E-2</v>
      </c>
      <c r="AC8" s="25">
        <f t="shared" si="2"/>
        <v>9.5060193403218127E-2</v>
      </c>
      <c r="AD8" s="25">
        <f t="shared" si="2"/>
        <v>9.5060193403218127E-2</v>
      </c>
      <c r="AE8" s="25">
        <f t="shared" si="2"/>
        <v>9.5060193403218127E-2</v>
      </c>
      <c r="AF8" s="25">
        <f t="shared" si="2"/>
        <v>9.5060193403218127E-2</v>
      </c>
      <c r="AG8" s="25">
        <f t="shared" si="2"/>
        <v>9.5060193403218127E-2</v>
      </c>
      <c r="AH8" s="25">
        <f t="shared" si="2"/>
        <v>9.5060193403218127E-2</v>
      </c>
      <c r="AI8" s="25">
        <f t="shared" si="2"/>
        <v>9.5060193403218127E-2</v>
      </c>
      <c r="AJ8" s="25">
        <f t="shared" si="2"/>
        <v>9.5060193403218127E-2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6.2532407986993963</v>
      </c>
      <c r="V9" s="25">
        <f>$B$5-V8</f>
        <v>6.2532407986993963</v>
      </c>
      <c r="W9" s="25">
        <f t="shared" ref="W9:AH9" si="4">$B$5-W8</f>
        <v>6.2532407986993963</v>
      </c>
      <c r="X9" s="25">
        <f t="shared" si="4"/>
        <v>6.2532407986993963</v>
      </c>
      <c r="Y9" s="25">
        <f t="shared" si="4"/>
        <v>6.2532407986993963</v>
      </c>
      <c r="Z9" s="25">
        <f t="shared" si="4"/>
        <v>6.2532407986993963</v>
      </c>
      <c r="AA9" s="25">
        <f t="shared" si="4"/>
        <v>6.2532407986993963</v>
      </c>
      <c r="AB9" s="25">
        <f t="shared" si="4"/>
        <v>6.2532407986993963</v>
      </c>
      <c r="AC9" s="25">
        <f t="shared" si="4"/>
        <v>6.2532407986993963</v>
      </c>
      <c r="AD9" s="25">
        <f t="shared" si="4"/>
        <v>6.2532407986993963</v>
      </c>
      <c r="AE9" s="25">
        <f t="shared" si="4"/>
        <v>6.2532407986993963</v>
      </c>
      <c r="AF9" s="25">
        <f t="shared" si="4"/>
        <v>6.2532407986993963</v>
      </c>
      <c r="AG9" s="25">
        <f t="shared" si="4"/>
        <v>6.2532407986993963</v>
      </c>
      <c r="AH9" s="25">
        <f t="shared" si="4"/>
        <v>6.2532407986993963</v>
      </c>
      <c r="AI9" s="25">
        <f>$B$5-AI8</f>
        <v>6.2532407986993963</v>
      </c>
      <c r="AJ9" s="25">
        <f>$B$5-AJ8</f>
        <v>6.2532407986993963</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-3.7532407986993963</v>
      </c>
      <c r="V10" s="25">
        <f>2.5-V9</f>
        <v>-3.7532407986993963</v>
      </c>
      <c r="W10" s="25">
        <f t="shared" ref="W10:AH10" si="6">2.5-W9</f>
        <v>-3.7532407986993963</v>
      </c>
      <c r="X10" s="25">
        <f t="shared" si="6"/>
        <v>-3.7532407986993963</v>
      </c>
      <c r="Y10" s="25">
        <f t="shared" si="6"/>
        <v>-3.7532407986993963</v>
      </c>
      <c r="Z10" s="25">
        <f t="shared" si="6"/>
        <v>-3.7532407986993963</v>
      </c>
      <c r="AA10" s="25">
        <f t="shared" si="6"/>
        <v>-3.7532407986993963</v>
      </c>
      <c r="AB10" s="25">
        <f t="shared" si="6"/>
        <v>-3.7532407986993963</v>
      </c>
      <c r="AC10" s="25">
        <f t="shared" si="6"/>
        <v>-3.7532407986993963</v>
      </c>
      <c r="AD10" s="25">
        <f t="shared" si="6"/>
        <v>-3.7532407986993963</v>
      </c>
      <c r="AE10" s="25">
        <f t="shared" si="6"/>
        <v>-3.7532407986993963</v>
      </c>
      <c r="AF10" s="25">
        <f t="shared" si="6"/>
        <v>-3.7532407986993963</v>
      </c>
      <c r="AG10" s="25">
        <f t="shared" si="6"/>
        <v>-3.7532407986993963</v>
      </c>
      <c r="AH10" s="25">
        <f t="shared" si="6"/>
        <v>-3.7532407986993963</v>
      </c>
      <c r="AI10" s="25">
        <f>2.5-AI9</f>
        <v>-3.7532407986993963</v>
      </c>
      <c r="AJ10" s="25">
        <f>2.5-AJ9</f>
        <v>-3.7532407986993963</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0.11569492907343065</v>
      </c>
      <c r="D2" s="17" t="s">
        <v>9</v>
      </c>
      <c r="E2" s="18"/>
      <c r="F2" s="19" t="str">
        <f>'pooled normalised values'!J74</f>
        <v>Anastrozole-0,16µg/L</v>
      </c>
      <c r="G2" s="18"/>
      <c r="H2" s="20"/>
      <c r="I2" s="19" t="str">
        <f>'pooled normalised values'!R74</f>
        <v>Anastrozole-0,032µg/L + Testostérone</v>
      </c>
      <c r="J2" s="20"/>
      <c r="K2" s="17" t="s">
        <v>9</v>
      </c>
    </row>
    <row r="3" spans="1:11" x14ac:dyDescent="0.25">
      <c r="A3" s="17" t="s">
        <v>71</v>
      </c>
      <c r="B3" s="63">
        <f>'summary results'!E6</f>
        <v>0</v>
      </c>
      <c r="D3" s="21" t="s">
        <v>10</v>
      </c>
      <c r="E3" s="22"/>
      <c r="F3" s="19">
        <f>HLOOKUP(F2,'pooled normalised values'!B74:V83,2,FALSE)</f>
        <v>0.11062282752839607</v>
      </c>
      <c r="G3" s="22"/>
      <c r="H3" s="20"/>
      <c r="I3" s="19">
        <f>HLOOKUP(I2,'pooled normalised values'!N74:AL83,2,FALSE)</f>
        <v>0.92706304961886987</v>
      </c>
      <c r="J3" s="20"/>
      <c r="K3" s="21" t="s">
        <v>10</v>
      </c>
    </row>
    <row r="4" spans="1:11" x14ac:dyDescent="0.25">
      <c r="A4" s="17" t="s">
        <v>72</v>
      </c>
      <c r="B4" s="63">
        <f>'pooled normalised values'!O75</f>
        <v>1</v>
      </c>
      <c r="D4" s="21" t="s">
        <v>2</v>
      </c>
      <c r="E4" s="22"/>
      <c r="F4" s="19">
        <f>HLOOKUP(F2,'pooled normalised values'!B74:V83,3,FALSE)</f>
        <v>2.5214819002235631E-2</v>
      </c>
      <c r="G4" s="22"/>
      <c r="H4" s="20"/>
      <c r="I4" s="19">
        <f>HLOOKUP(I2,'pooled normalised values'!N74:AL83,3,FALSE)</f>
        <v>0.20008974970968954</v>
      </c>
      <c r="J4" s="20"/>
      <c r="K4" s="21" t="s">
        <v>2</v>
      </c>
    </row>
    <row r="5" spans="1:11" x14ac:dyDescent="0.25">
      <c r="A5" s="17" t="s">
        <v>73</v>
      </c>
      <c r="B5" s="63">
        <f>'pooled normalised values'!P75</f>
        <v>6.3483009921026143</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9.5060193403218127E-2</v>
      </c>
      <c r="D6" s="21" t="s">
        <v>12</v>
      </c>
      <c r="E6" s="24">
        <f>$B$2</f>
        <v>0.11569492907343065</v>
      </c>
      <c r="F6" s="24">
        <f>$B$2</f>
        <v>0.11569492907343065</v>
      </c>
      <c r="G6" s="24">
        <f>$B$2</f>
        <v>0.11569492907343065</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9.5060193403218127E-2</v>
      </c>
      <c r="I8" s="25">
        <f t="shared" ref="I8:J8" si="1">$B$6</f>
        <v>9.5060193403218127E-2</v>
      </c>
      <c r="J8" s="25">
        <f t="shared" si="1"/>
        <v>9.5060193403218127E-2</v>
      </c>
      <c r="K8" s="28" t="s">
        <v>14</v>
      </c>
    </row>
    <row r="9" spans="1:11" x14ac:dyDescent="0.25">
      <c r="D9" s="28" t="s">
        <v>15</v>
      </c>
      <c r="E9" s="29">
        <f>$B$3-E8</f>
        <v>0</v>
      </c>
      <c r="F9" s="29">
        <f>$B$3-F8</f>
        <v>0</v>
      </c>
      <c r="G9" s="29">
        <f>$B$3-G8</f>
        <v>0</v>
      </c>
      <c r="H9" s="25">
        <f>$B$5-H8</f>
        <v>6.2532407986993963</v>
      </c>
      <c r="I9" s="25">
        <f>$B$5-I8</f>
        <v>6.2532407986993963</v>
      </c>
      <c r="J9" s="25">
        <f>$B$5-J8</f>
        <v>6.2532407986993963</v>
      </c>
      <c r="K9" s="28" t="s">
        <v>15</v>
      </c>
    </row>
    <row r="10" spans="1:11" x14ac:dyDescent="0.25">
      <c r="D10" s="28" t="s">
        <v>16</v>
      </c>
      <c r="E10" s="27">
        <f t="shared" ref="E10:J10" si="2">2.5-E9</f>
        <v>2.5</v>
      </c>
      <c r="F10" s="27">
        <f t="shared" si="2"/>
        <v>2.5</v>
      </c>
      <c r="G10" s="27">
        <f t="shared" si="2"/>
        <v>2.5</v>
      </c>
      <c r="H10" s="25">
        <f t="shared" si="2"/>
        <v>-3.7532407986993963</v>
      </c>
      <c r="I10" s="25">
        <f t="shared" si="2"/>
        <v>-3.7532407986993963</v>
      </c>
      <c r="J10" s="25">
        <f t="shared" si="2"/>
        <v>-3.7532407986993963</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9B0EDB-97A0-4ED7-9F34-5CE3C2DFFDCD}"/>
</file>

<file path=customXml/itemProps2.xml><?xml version="1.0" encoding="utf-8"?>
<ds:datastoreItem xmlns:ds="http://schemas.openxmlformats.org/officeDocument/2006/customXml" ds:itemID="{8477A44D-8608-4772-BF4B-4496DE5795B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2022-10-05T13:22:57Z</dcterms:modified>
</cp:coreProperties>
</file>