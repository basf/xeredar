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tables/table4.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tables/table5.xml" ContentType="application/vnd.openxmlformats-officedocument.spreadsheetml.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6.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drawings/drawing12.xml" ContentType="application/vnd.openxmlformats-officedocument.drawingml.chartshapes+xml"/>
  <Override PartName="/xl/charts/chart12.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defaultThemeVersion="124226"/>
  <xr:revisionPtr revIDLastSave="21" documentId="13_ncr:1_{0AB4BB13-381F-4AC3-9C12-8E794CA4AAA1}" xr6:coauthVersionLast="47" xr6:coauthVersionMax="47" xr10:uidLastSave="{B2BAB32B-8A03-433D-B1E5-8C1215EA0763}"/>
  <bookViews>
    <workbookView xWindow="-108" yWindow="-108" windowWidth="23256" windowHeight="12576" activeTab="3" xr2:uid="{00000000-000D-0000-FFFF-FFFF00000000}"/>
  </bookViews>
  <sheets>
    <sheet name="Page de garde" sheetId="10" r:id="rId1"/>
    <sheet name="Feuil1" sheetId="39" r:id="rId2"/>
    <sheet name="Raw data R1" sheetId="35" r:id="rId3"/>
    <sheet name="R1" sheetId="1" r:id="rId4"/>
    <sheet name="Graph R4"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pivotCaches>
    <pivotCache cacheId="0" r:id="rId20"/>
    <pivotCache cacheId="1" r:id="rId21"/>
    <pivotCache cacheId="2" r:id="rId22"/>
    <pivotCache cacheId="3"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15" i="10"/>
  <c r="A7" i="22" s="1"/>
  <c r="A16" i="10"/>
  <c r="A8" i="22" s="1"/>
  <c r="A17" i="10"/>
  <c r="A9" i="22" s="1"/>
  <c r="A18" i="10"/>
  <c r="A10" i="22" s="1"/>
  <c r="A19" i="10"/>
  <c r="A11" i="22" s="1"/>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Q35" i="33"/>
  <c r="Q45" i="4" s="1"/>
  <c r="P33" i="33"/>
  <c r="P43" i="4" s="1"/>
  <c r="Q29" i="33"/>
  <c r="Q39" i="4" s="1"/>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T35" i="33" s="1"/>
  <c r="T45" i="4" s="1"/>
  <c r="L23" i="33"/>
  <c r="J23" i="33"/>
  <c r="I23" i="33"/>
  <c r="H23" i="33"/>
  <c r="G23" i="33"/>
  <c r="F23" i="33"/>
  <c r="E23" i="33"/>
  <c r="D23" i="33"/>
  <c r="C23" i="33"/>
  <c r="B23" i="33"/>
  <c r="A22" i="33"/>
  <c r="H22" i="33"/>
  <c r="G45" i="33"/>
  <c r="F27" i="33"/>
  <c r="F52" i="33" s="1"/>
  <c r="E45" i="33"/>
  <c r="D22" i="33"/>
  <c r="C45" i="33"/>
  <c r="B45" i="33"/>
  <c r="L29" i="33" l="1"/>
  <c r="L39" i="4" s="1"/>
  <c r="Q32" i="33"/>
  <c r="Q42" i="4" s="1"/>
  <c r="C30" i="33"/>
  <c r="C40" i="4" s="1"/>
  <c r="P34" i="33"/>
  <c r="P44" i="4" s="1"/>
  <c r="P30" i="33"/>
  <c r="P40" i="4" s="1"/>
  <c r="Q34" i="33"/>
  <c r="Q44" i="4" s="1"/>
  <c r="C28" i="33"/>
  <c r="L31" i="33"/>
  <c r="L41" i="4" s="1"/>
  <c r="D35" i="33"/>
  <c r="D45" i="4" s="1"/>
  <c r="H28" i="33"/>
  <c r="P31" i="33"/>
  <c r="P41" i="4" s="1"/>
  <c r="Q28" i="33"/>
  <c r="Q31" i="33"/>
  <c r="Q41" i="4" s="1"/>
  <c r="T28" i="33"/>
  <c r="T38" i="4" s="1"/>
  <c r="P32" i="33"/>
  <c r="P42" i="4" s="1"/>
  <c r="P28" i="33"/>
  <c r="P29" i="33"/>
  <c r="P39" i="4" s="1"/>
  <c r="Q30" i="33"/>
  <c r="C32" i="33"/>
  <c r="C42" i="4" s="1"/>
  <c r="Q33" i="33"/>
  <c r="Q43" i="4" s="1"/>
  <c r="P35" i="33"/>
  <c r="P45" i="4" s="1"/>
  <c r="O42" i="33"/>
  <c r="O52" i="4" s="1"/>
  <c r="O43" i="33"/>
  <c r="O53" i="4" s="1"/>
  <c r="H30" i="33"/>
  <c r="H40" i="4" s="1"/>
  <c r="T30" i="33"/>
  <c r="T40" i="4" s="1"/>
  <c r="H32" i="33"/>
  <c r="H42" i="4" s="1"/>
  <c r="T32" i="33"/>
  <c r="T42" i="4" s="1"/>
  <c r="K28" i="33"/>
  <c r="D29" i="33"/>
  <c r="D39" i="4" s="1"/>
  <c r="K30" i="33"/>
  <c r="K40" i="4" s="1"/>
  <c r="D31" i="33"/>
  <c r="D41" i="4" s="1"/>
  <c r="K32" i="33"/>
  <c r="K42" i="4" s="1"/>
  <c r="G33" i="33"/>
  <c r="G43" i="4" s="1"/>
  <c r="T33" i="33"/>
  <c r="T43" i="4" s="1"/>
  <c r="O36" i="33"/>
  <c r="O46" i="4" s="1"/>
  <c r="O37" i="33"/>
  <c r="O47" i="4" s="1"/>
  <c r="O38" i="33"/>
  <c r="O48" i="4" s="1"/>
  <c r="O39" i="33"/>
  <c r="O49" i="4" s="1"/>
  <c r="O40" i="33"/>
  <c r="O50" i="4" s="1"/>
  <c r="O41" i="33"/>
  <c r="O51" i="4" s="1"/>
  <c r="G29" i="33"/>
  <c r="G39" i="4" s="1"/>
  <c r="U29" i="33"/>
  <c r="U39" i="4" s="1"/>
  <c r="G31" i="33"/>
  <c r="G41" i="4" s="1"/>
  <c r="U31" i="33"/>
  <c r="U41" i="4" s="1"/>
  <c r="K33" i="33"/>
  <c r="K43" i="4" s="1"/>
  <c r="C34" i="33"/>
  <c r="C44" i="4" s="1"/>
  <c r="O35" i="33"/>
  <c r="O45" i="4" s="1"/>
  <c r="G35" i="33"/>
  <c r="G45" i="4" s="1"/>
  <c r="D28" i="33"/>
  <c r="L28" i="33"/>
  <c r="L38" i="4" s="1"/>
  <c r="U28" i="33"/>
  <c r="H29" i="33"/>
  <c r="D30" i="33"/>
  <c r="D40" i="4" s="1"/>
  <c r="L30" i="33"/>
  <c r="L40" i="4" s="1"/>
  <c r="U30" i="33"/>
  <c r="U40" i="4" s="1"/>
  <c r="H31" i="33"/>
  <c r="H41" i="4" s="1"/>
  <c r="D32" i="33"/>
  <c r="D42" i="4" s="1"/>
  <c r="L32" i="33"/>
  <c r="L42" i="4" s="1"/>
  <c r="U32" i="33"/>
  <c r="U42" i="4" s="1"/>
  <c r="G34" i="33"/>
  <c r="G44" i="4" s="1"/>
  <c r="T34" i="33"/>
  <c r="T44" i="4" s="1"/>
  <c r="K35" i="33"/>
  <c r="K45" i="4" s="1"/>
  <c r="S35" i="33"/>
  <c r="S45" i="4" s="1"/>
  <c r="J35" i="33"/>
  <c r="J45" i="4" s="1"/>
  <c r="F35" i="33"/>
  <c r="F45" i="4" s="1"/>
  <c r="B35" i="33"/>
  <c r="B45" i="4" s="1"/>
  <c r="S34" i="33"/>
  <c r="S44" i="4" s="1"/>
  <c r="O34" i="33"/>
  <c r="O44" i="4" s="1"/>
  <c r="J34" i="33"/>
  <c r="J44" i="4" s="1"/>
  <c r="F34" i="33"/>
  <c r="F44" i="4" s="1"/>
  <c r="B34" i="33"/>
  <c r="B44" i="4" s="1"/>
  <c r="S33" i="33"/>
  <c r="S43" i="4" s="1"/>
  <c r="O33" i="33"/>
  <c r="O43" i="4" s="1"/>
  <c r="J33" i="33"/>
  <c r="J43" i="4" s="1"/>
  <c r="F33" i="33"/>
  <c r="F43" i="4" s="1"/>
  <c r="B33" i="33"/>
  <c r="B43" i="4" s="1"/>
  <c r="S32" i="33"/>
  <c r="S42" i="4" s="1"/>
  <c r="O32" i="33"/>
  <c r="O42" i="4" s="1"/>
  <c r="J32" i="33"/>
  <c r="J42" i="4" s="1"/>
  <c r="F32" i="33"/>
  <c r="F42" i="4" s="1"/>
  <c r="B32" i="33"/>
  <c r="B42" i="4" s="1"/>
  <c r="S31" i="33"/>
  <c r="S41" i="4" s="1"/>
  <c r="O31" i="33"/>
  <c r="O41" i="4" s="1"/>
  <c r="J31" i="33"/>
  <c r="J41" i="4" s="1"/>
  <c r="F31" i="33"/>
  <c r="F41" i="4" s="1"/>
  <c r="B31" i="33"/>
  <c r="B41" i="4" s="1"/>
  <c r="S30" i="33"/>
  <c r="S40" i="4" s="1"/>
  <c r="O30" i="33"/>
  <c r="O40" i="4" s="1"/>
  <c r="J30" i="33"/>
  <c r="J40" i="4" s="1"/>
  <c r="F30" i="33"/>
  <c r="F40" i="4" s="1"/>
  <c r="B30" i="33"/>
  <c r="B40" i="4" s="1"/>
  <c r="S29" i="33"/>
  <c r="S39" i="4" s="1"/>
  <c r="O29" i="33"/>
  <c r="O39" i="4" s="1"/>
  <c r="J29" i="33"/>
  <c r="J39" i="4" s="1"/>
  <c r="F29" i="33"/>
  <c r="F39" i="4" s="1"/>
  <c r="B29" i="33"/>
  <c r="B39" i="4" s="1"/>
  <c r="S28" i="33"/>
  <c r="O28" i="33"/>
  <c r="J28" i="33"/>
  <c r="J38" i="4" s="1"/>
  <c r="F28" i="33"/>
  <c r="B28" i="33"/>
  <c r="R35" i="33"/>
  <c r="R45" i="4" s="1"/>
  <c r="M35" i="33"/>
  <c r="M45" i="4" s="1"/>
  <c r="I35" i="33"/>
  <c r="I45" i="4" s="1"/>
  <c r="E35" i="33"/>
  <c r="E45" i="4" s="1"/>
  <c r="V34" i="33"/>
  <c r="V44" i="4" s="1"/>
  <c r="R34" i="33"/>
  <c r="R44" i="4" s="1"/>
  <c r="M34" i="33"/>
  <c r="M44" i="4" s="1"/>
  <c r="I34" i="33"/>
  <c r="I44" i="4" s="1"/>
  <c r="E34" i="33"/>
  <c r="E44" i="4" s="1"/>
  <c r="V33" i="33"/>
  <c r="V43" i="4" s="1"/>
  <c r="R33" i="33"/>
  <c r="R43" i="4" s="1"/>
  <c r="M33" i="33"/>
  <c r="M43" i="4" s="1"/>
  <c r="I33" i="33"/>
  <c r="I43" i="4" s="1"/>
  <c r="E33" i="33"/>
  <c r="E43" i="4" s="1"/>
  <c r="V32" i="33"/>
  <c r="V42" i="4" s="1"/>
  <c r="R32" i="33"/>
  <c r="R42" i="4" s="1"/>
  <c r="M32" i="33"/>
  <c r="M42" i="4" s="1"/>
  <c r="I32" i="33"/>
  <c r="I42" i="4" s="1"/>
  <c r="E32" i="33"/>
  <c r="E42" i="4" s="1"/>
  <c r="V31" i="33"/>
  <c r="V41" i="4" s="1"/>
  <c r="R31" i="33"/>
  <c r="R41" i="4" s="1"/>
  <c r="M31" i="33"/>
  <c r="M41" i="4" s="1"/>
  <c r="I31" i="33"/>
  <c r="I41" i="4" s="1"/>
  <c r="E31" i="33"/>
  <c r="E41" i="4" s="1"/>
  <c r="V30" i="33"/>
  <c r="V40" i="4" s="1"/>
  <c r="R30" i="33"/>
  <c r="R40" i="4" s="1"/>
  <c r="M30" i="33"/>
  <c r="M40" i="4" s="1"/>
  <c r="I30" i="33"/>
  <c r="I40" i="4" s="1"/>
  <c r="E30" i="33"/>
  <c r="E40" i="4" s="1"/>
  <c r="V29" i="33"/>
  <c r="V39" i="4" s="1"/>
  <c r="R29" i="33"/>
  <c r="R39" i="4" s="1"/>
  <c r="M29" i="33"/>
  <c r="M39" i="4" s="1"/>
  <c r="I29" i="33"/>
  <c r="I39" i="4" s="1"/>
  <c r="E29" i="33"/>
  <c r="E39" i="4" s="1"/>
  <c r="V28" i="33"/>
  <c r="V38" i="4" s="1"/>
  <c r="R28" i="33"/>
  <c r="M28" i="33"/>
  <c r="M38" i="4" s="1"/>
  <c r="I28" i="33"/>
  <c r="I38" i="4" s="1"/>
  <c r="E28" i="33"/>
  <c r="U35" i="33"/>
  <c r="U45" i="4" s="1"/>
  <c r="L35" i="33"/>
  <c r="L45" i="4" s="1"/>
  <c r="H35" i="33"/>
  <c r="H45" i="4" s="1"/>
  <c r="U33" i="33"/>
  <c r="U43" i="4" s="1"/>
  <c r="L33" i="33"/>
  <c r="L43" i="4" s="1"/>
  <c r="H33" i="33"/>
  <c r="H43" i="4" s="1"/>
  <c r="D33" i="33"/>
  <c r="D43" i="4" s="1"/>
  <c r="V35" i="33"/>
  <c r="V45" i="4" s="1"/>
  <c r="U34" i="33"/>
  <c r="U44" i="4" s="1"/>
  <c r="L34" i="33"/>
  <c r="L44" i="4" s="1"/>
  <c r="H34" i="33"/>
  <c r="H44" i="4" s="1"/>
  <c r="D34" i="33"/>
  <c r="D44" i="4" s="1"/>
  <c r="G28" i="33"/>
  <c r="C29" i="33"/>
  <c r="K29" i="33"/>
  <c r="T29" i="33"/>
  <c r="G30" i="33"/>
  <c r="G40" i="4" s="1"/>
  <c r="C31" i="33"/>
  <c r="C41" i="4" s="1"/>
  <c r="K31" i="33"/>
  <c r="K41" i="4" s="1"/>
  <c r="T31" i="33"/>
  <c r="T41" i="4" s="1"/>
  <c r="G32" i="33"/>
  <c r="G42" i="4" s="1"/>
  <c r="C33" i="33"/>
  <c r="C43" i="4" s="1"/>
  <c r="K34" i="33"/>
  <c r="K44" i="4" s="1"/>
  <c r="C35" i="33"/>
  <c r="C45" i="4" s="1"/>
  <c r="D38" i="4"/>
  <c r="H38" i="4"/>
  <c r="B38" i="4"/>
  <c r="E38" i="4"/>
  <c r="R38" i="4"/>
  <c r="B22" i="33"/>
  <c r="E22" i="33"/>
  <c r="I45" i="33"/>
  <c r="I52" i="33"/>
  <c r="I27" i="33"/>
  <c r="C38" i="4"/>
  <c r="G38" i="4"/>
  <c r="K38" i="4"/>
  <c r="P38" i="4"/>
  <c r="B27" i="33"/>
  <c r="B52" i="33" s="1"/>
  <c r="L46" i="33"/>
  <c r="L53" i="33" s="1"/>
  <c r="Q38" i="4"/>
  <c r="D27" i="33"/>
  <c r="D52" i="33" s="1"/>
  <c r="I22" i="33"/>
  <c r="E27" i="33"/>
  <c r="E52" i="33" s="1"/>
  <c r="F38" i="4"/>
  <c r="O38" i="4"/>
  <c r="S38" i="4"/>
  <c r="D45" i="33"/>
  <c r="F22" i="33"/>
  <c r="F45" i="33"/>
  <c r="G22" i="33"/>
  <c r="G27" i="33"/>
  <c r="G52" i="33" s="1"/>
  <c r="C22" i="33"/>
  <c r="C27" i="33"/>
  <c r="C52" i="33" s="1"/>
  <c r="H27" i="33"/>
  <c r="H52" i="33" s="1"/>
  <c r="H45" i="33"/>
  <c r="D56" i="33"/>
  <c r="R56" i="33"/>
  <c r="G56" i="33"/>
  <c r="C56" i="33"/>
  <c r="H56" i="33"/>
  <c r="L56" i="33"/>
  <c r="M56" i="33"/>
  <c r="K56" i="33"/>
  <c r="V56" i="33"/>
  <c r="T56" i="33"/>
  <c r="I56" i="33"/>
  <c r="S56" i="33"/>
  <c r="F56" i="33"/>
  <c r="P56" i="33"/>
  <c r="U56" i="33"/>
  <c r="B56" i="33"/>
  <c r="E56" i="33"/>
  <c r="O56" i="33"/>
  <c r="Q56" i="33"/>
  <c r="J56" i="33"/>
  <c r="Q47" i="33" l="1"/>
  <c r="Q48" i="33" s="1"/>
  <c r="Q54" i="33" s="1"/>
  <c r="P47" i="33"/>
  <c r="P48" i="33" s="1"/>
  <c r="P54" i="33" s="1"/>
  <c r="K46" i="33"/>
  <c r="K53" i="33" s="1"/>
  <c r="P46" i="33"/>
  <c r="P53" i="33" s="1"/>
  <c r="C47" i="33"/>
  <c r="C48" i="33" s="1"/>
  <c r="C54" i="33" s="1"/>
  <c r="Q46" i="33"/>
  <c r="Q53" i="33" s="1"/>
  <c r="U46" i="33"/>
  <c r="U53" i="33" s="1"/>
  <c r="Q57" i="33"/>
  <c r="P57" i="33"/>
  <c r="Q40" i="4"/>
  <c r="E46" i="33"/>
  <c r="E53" i="33" s="1"/>
  <c r="G46" i="33"/>
  <c r="G53" i="33" s="1"/>
  <c r="C46" i="33"/>
  <c r="C53" i="33" s="1"/>
  <c r="T47" i="33"/>
  <c r="T48" i="33" s="1"/>
  <c r="T54" i="33" s="1"/>
  <c r="D46" i="33"/>
  <c r="D53" i="33" s="1"/>
  <c r="F46" i="33"/>
  <c r="F53" i="33" s="1"/>
  <c r="V46" i="33"/>
  <c r="V53" i="33" s="1"/>
  <c r="L47" i="33"/>
  <c r="L48" i="33" s="1"/>
  <c r="L54" i="33" s="1"/>
  <c r="G47" i="33"/>
  <c r="G48" i="33" s="1"/>
  <c r="G54" i="33" s="1"/>
  <c r="M46" i="33"/>
  <c r="M53" i="33" s="1"/>
  <c r="J47" i="33"/>
  <c r="J48" i="33" s="1"/>
  <c r="J54" i="33" s="1"/>
  <c r="T46" i="33"/>
  <c r="T53" i="33" s="1"/>
  <c r="C57" i="33"/>
  <c r="M57" i="33"/>
  <c r="O57" i="33"/>
  <c r="P59" i="33" s="1"/>
  <c r="L57" i="33"/>
  <c r="K57" i="33"/>
  <c r="G57" i="33"/>
  <c r="R57" i="33"/>
  <c r="B57" i="33"/>
  <c r="S57" i="33"/>
  <c r="D57" i="33"/>
  <c r="I57" i="33"/>
  <c r="J57" i="33"/>
  <c r="U57" i="33"/>
  <c r="T57" i="33"/>
  <c r="E57" i="33"/>
  <c r="V57" i="33"/>
  <c r="F57" i="33"/>
  <c r="H57" i="33"/>
  <c r="C39" i="4"/>
  <c r="K39" i="4"/>
  <c r="V47" i="33"/>
  <c r="V48" i="33" s="1"/>
  <c r="V54" i="33" s="1"/>
  <c r="M47" i="33"/>
  <c r="M48" i="33" s="1"/>
  <c r="M54" i="33" s="1"/>
  <c r="E47" i="33"/>
  <c r="E48" i="33" s="1"/>
  <c r="E54" i="33" s="1"/>
  <c r="H47" i="33"/>
  <c r="H48" i="33" s="1"/>
  <c r="H54" i="33" s="1"/>
  <c r="O46" i="33"/>
  <c r="O53" i="33" s="1"/>
  <c r="O55" i="33" s="1"/>
  <c r="J46" i="33"/>
  <c r="J53" i="33" s="1"/>
  <c r="R46" i="33"/>
  <c r="R53" i="33" s="1"/>
  <c r="B46" i="33"/>
  <c r="B53" i="33" s="1"/>
  <c r="H46" i="33"/>
  <c r="H53" i="33" s="1"/>
  <c r="S47" i="33"/>
  <c r="S48" i="33" s="1"/>
  <c r="S54" i="33" s="1"/>
  <c r="O47" i="33"/>
  <c r="O48" i="33" s="1"/>
  <c r="O54" i="33" s="1"/>
  <c r="K47" i="33"/>
  <c r="K48" i="33" s="1"/>
  <c r="K54" i="33" s="1"/>
  <c r="I46" i="33"/>
  <c r="I53" i="33" s="1"/>
  <c r="R47" i="33"/>
  <c r="R48" i="33" s="1"/>
  <c r="R54" i="33" s="1"/>
  <c r="I47" i="33"/>
  <c r="I48" i="33" s="1"/>
  <c r="I54" i="33" s="1"/>
  <c r="B47" i="33"/>
  <c r="B48" i="33" s="1"/>
  <c r="B54" i="33" s="1"/>
  <c r="U47" i="33"/>
  <c r="U48" i="33" s="1"/>
  <c r="U54" i="33" s="1"/>
  <c r="D47" i="33"/>
  <c r="D48" i="33" s="1"/>
  <c r="D54" i="33" s="1"/>
  <c r="S46" i="33"/>
  <c r="S53" i="33" s="1"/>
  <c r="F47" i="33"/>
  <c r="F48" i="33" s="1"/>
  <c r="F54" i="33" s="1"/>
  <c r="U38" i="4"/>
  <c r="T39" i="4"/>
  <c r="H39" i="4"/>
  <c r="V55" i="33"/>
  <c r="R59" i="33" l="1"/>
  <c r="R60" i="33" s="1"/>
  <c r="B64" i="33"/>
  <c r="T59" i="33"/>
  <c r="T60" i="33" s="1"/>
  <c r="U59" i="33"/>
  <c r="U60" i="33" s="1"/>
  <c r="S59" i="33"/>
  <c r="S60" i="33" s="1"/>
  <c r="M55" i="33"/>
  <c r="Q55" i="33"/>
  <c r="F59" i="33"/>
  <c r="F60" i="33" s="1"/>
  <c r="F61" i="33" s="1"/>
  <c r="S55" i="33"/>
  <c r="R55" i="33"/>
  <c r="P55" i="33"/>
  <c r="U55" i="33"/>
  <c r="T55" i="33"/>
  <c r="E59" i="33"/>
  <c r="E60" i="33" s="1"/>
  <c r="E61" i="33" s="1"/>
  <c r="H59" i="33"/>
  <c r="H60" i="33" s="1"/>
  <c r="H61" i="33" s="1"/>
  <c r="J59" i="33"/>
  <c r="J60" i="33" s="1"/>
  <c r="J61" i="33" s="1"/>
  <c r="B65" i="33"/>
  <c r="D59" i="33"/>
  <c r="D60" i="33" s="1"/>
  <c r="V59" i="33"/>
  <c r="V60" i="33" s="1"/>
  <c r="C59" i="33"/>
  <c r="C60" i="33" s="1"/>
  <c r="G59" i="33"/>
  <c r="G60" i="33" s="1"/>
  <c r="I59" i="33"/>
  <c r="I60" i="33" s="1"/>
  <c r="L59" i="33"/>
  <c r="L60" i="33" s="1"/>
  <c r="L61" i="33" s="1"/>
  <c r="O59" i="33"/>
  <c r="O60" i="33" s="1"/>
  <c r="Q59" i="33"/>
  <c r="Q60" i="33" s="1"/>
  <c r="K59" i="33"/>
  <c r="K60" i="33" s="1"/>
  <c r="M59" i="33"/>
  <c r="M60" i="33" s="1"/>
  <c r="M61" i="33" s="1"/>
  <c r="D55" i="33"/>
  <c r="B55" i="33"/>
  <c r="K55" i="33"/>
  <c r="L55" i="33"/>
  <c r="G55" i="33"/>
  <c r="F55" i="33"/>
  <c r="C55" i="33"/>
  <c r="J55" i="33"/>
  <c r="H55" i="33"/>
  <c r="I55" i="33"/>
  <c r="E55" i="33"/>
  <c r="P60" i="33"/>
  <c r="V61" i="33" l="1"/>
  <c r="U61" i="33"/>
  <c r="T61" i="33"/>
  <c r="S61" i="33"/>
  <c r="R61" i="33"/>
  <c r="K61" i="33"/>
  <c r="I61" i="33"/>
  <c r="Q61" i="33"/>
  <c r="P61" i="33"/>
  <c r="O61" i="33"/>
  <c r="C61" i="33"/>
  <c r="D61" i="33"/>
  <c r="G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V28" i="23"/>
  <c r="T30" i="23"/>
  <c r="T24" i="4" s="1"/>
  <c r="R32" i="23"/>
  <c r="R26" i="4" s="1"/>
  <c r="U33" i="23"/>
  <c r="U27" i="4" s="1"/>
  <c r="P35" i="23"/>
  <c r="P29" i="4" s="1"/>
  <c r="R35" i="23"/>
  <c r="R29" i="4" s="1"/>
  <c r="P36" i="23"/>
  <c r="P30" i="4" s="1"/>
  <c r="Q36" i="23"/>
  <c r="Q30" i="4" s="1"/>
  <c r="R36" i="23"/>
  <c r="R30" i="4" s="1"/>
  <c r="S36" i="23"/>
  <c r="S30" i="4" s="1"/>
  <c r="T36" i="23"/>
  <c r="T30" i="4" s="1"/>
  <c r="U36" i="23"/>
  <c r="U30" i="4" s="1"/>
  <c r="V36" i="23"/>
  <c r="V30" i="4" s="1"/>
  <c r="P37" i="23"/>
  <c r="P31" i="4" s="1"/>
  <c r="Q37" i="23"/>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T42" i="23"/>
  <c r="T36" i="4" s="1"/>
  <c r="U42" i="23"/>
  <c r="U36" i="4" s="1"/>
  <c r="V42" i="23"/>
  <c r="V36" i="4" s="1"/>
  <c r="P43" i="23"/>
  <c r="Q43" i="23"/>
  <c r="Q37" i="4" s="1"/>
  <c r="R43" i="23"/>
  <c r="S43" i="23"/>
  <c r="T43" i="23"/>
  <c r="U43" i="23"/>
  <c r="U37" i="4" s="1"/>
  <c r="V43" i="23"/>
  <c r="L32" i="23"/>
  <c r="L26"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V35" i="1"/>
  <c r="V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U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Q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F29" i="23"/>
  <c r="F23" i="4" s="1"/>
  <c r="C28" i="23"/>
  <c r="J29" i="23"/>
  <c r="J23" i="4" s="1"/>
  <c r="J40" i="23"/>
  <c r="J34" i="4" s="1"/>
  <c r="J36" i="23"/>
  <c r="J30" i="4" s="1"/>
  <c r="H34" i="23"/>
  <c r="H28" i="4" s="1"/>
  <c r="I33" i="23"/>
  <c r="I27" i="4" s="1"/>
  <c r="J32" i="23"/>
  <c r="J26" i="4" s="1"/>
  <c r="G31" i="23"/>
  <c r="G25" i="4" s="1"/>
  <c r="H30" i="23"/>
  <c r="H24" i="4" s="1"/>
  <c r="I29" i="23"/>
  <c r="I23" i="4" s="1"/>
  <c r="E29" i="23"/>
  <c r="E23" i="4" s="1"/>
  <c r="J28" i="23"/>
  <c r="F28" i="23"/>
  <c r="J42" i="23"/>
  <c r="J36" i="4" s="1"/>
  <c r="J38" i="23"/>
  <c r="J32" i="4" s="1"/>
  <c r="J34" i="23"/>
  <c r="J28" i="4" s="1"/>
  <c r="F34" i="23"/>
  <c r="F28" i="4" s="1"/>
  <c r="H32" i="23"/>
  <c r="H26" i="4" s="1"/>
  <c r="I31" i="23"/>
  <c r="I25" i="4" s="1"/>
  <c r="E31" i="23"/>
  <c r="E25" i="4" s="1"/>
  <c r="J30" i="23"/>
  <c r="J24" i="4" s="1"/>
  <c r="F30" i="23"/>
  <c r="F24" i="4" s="1"/>
  <c r="D28" i="23"/>
  <c r="J41" i="23"/>
  <c r="J35" i="4" s="1"/>
  <c r="J37" i="23"/>
  <c r="J31" i="4" s="1"/>
  <c r="H35" i="23"/>
  <c r="H29" i="4" s="1"/>
  <c r="I34" i="23"/>
  <c r="I28" i="4" s="1"/>
  <c r="E34" i="23"/>
  <c r="E28" i="4" s="1"/>
  <c r="J43" i="23"/>
  <c r="J39" i="23"/>
  <c r="J33" i="4" s="1"/>
  <c r="J35" i="23"/>
  <c r="J29" i="4" s="1"/>
  <c r="G34" i="23"/>
  <c r="G28" i="4" s="1"/>
  <c r="H33" i="23"/>
  <c r="H27" i="4" s="1"/>
  <c r="I32" i="23"/>
  <c r="I26" i="4" s="1"/>
  <c r="J31" i="23"/>
  <c r="J25" i="4" s="1"/>
  <c r="G30" i="23"/>
  <c r="G24" i="4" s="1"/>
  <c r="D29" i="23"/>
  <c r="D23" i="4" s="1"/>
  <c r="I28" i="23"/>
  <c r="E28" i="23"/>
  <c r="I35" i="23"/>
  <c r="I29" i="4" s="1"/>
  <c r="E35" i="23"/>
  <c r="E29" i="4" s="1"/>
  <c r="D32" i="23"/>
  <c r="D26" i="4" s="1"/>
  <c r="H28" i="23"/>
  <c r="J33" i="23"/>
  <c r="J27" i="4" s="1"/>
  <c r="G32" i="23"/>
  <c r="G26" i="4" s="1"/>
  <c r="G28" i="23"/>
  <c r="I30" i="23"/>
  <c r="I24"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H34" i="1"/>
  <c r="H12" i="4" s="1"/>
  <c r="E35" i="1"/>
  <c r="E13" i="4" s="1"/>
  <c r="H35" i="1"/>
  <c r="H13" i="4" s="1"/>
  <c r="E30" i="1"/>
  <c r="E8" i="4" s="1"/>
  <c r="I34" i="1"/>
  <c r="I12" i="4" s="1"/>
  <c r="F35" i="1"/>
  <c r="F13" i="4" s="1"/>
  <c r="F34" i="1"/>
  <c r="F12" i="4" s="1"/>
  <c r="G35" i="1"/>
  <c r="G13" i="4" s="1"/>
  <c r="O39" i="1"/>
  <c r="O17" i="4" s="1"/>
  <c r="O43" i="1"/>
  <c r="Q31" i="1"/>
  <c r="Q9" i="4" s="1"/>
  <c r="Q34" i="1"/>
  <c r="Q12" i="4" s="1"/>
  <c r="O42" i="1"/>
  <c r="O20" i="4" s="1"/>
  <c r="O32" i="1"/>
  <c r="O10" i="4" s="1"/>
  <c r="O40" i="1"/>
  <c r="O18" i="4" s="1"/>
  <c r="P28" i="1"/>
  <c r="P30" i="1"/>
  <c r="P8" i="4" s="1"/>
  <c r="P33" i="1"/>
  <c r="P11" i="4" s="1"/>
  <c r="P34" i="1"/>
  <c r="P12" i="4" s="1"/>
  <c r="O41" i="1"/>
  <c r="O19" i="4" s="1"/>
  <c r="B33" i="1"/>
  <c r="B11" i="4" s="1"/>
  <c r="Q28" i="1"/>
  <c r="Q33" i="1"/>
  <c r="Q11" i="4" s="1"/>
  <c r="Q35" i="1"/>
  <c r="Q13" i="4" s="1"/>
  <c r="O38" i="1"/>
  <c r="O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V56" i="23"/>
  <c r="S56" i="23"/>
  <c r="I56" i="23"/>
  <c r="J56" i="23"/>
  <c r="R56" i="23"/>
  <c r="U56" i="23"/>
  <c r="T56" i="23"/>
  <c r="F30" i="1" l="1"/>
  <c r="M33" i="23"/>
  <c r="M27" i="4" s="1"/>
  <c r="S35" i="23"/>
  <c r="S29" i="4" s="1"/>
  <c r="V33" i="23"/>
  <c r="V27" i="4" s="1"/>
  <c r="S32" i="23"/>
  <c r="S26" i="4" s="1"/>
  <c r="U30" i="23"/>
  <c r="U24" i="4" s="1"/>
  <c r="R29" i="23"/>
  <c r="R23" i="4" s="1"/>
  <c r="K31" i="23"/>
  <c r="K25" i="4" s="1"/>
  <c r="T33" i="23"/>
  <c r="V31" i="23"/>
  <c r="V25" i="4" s="1"/>
  <c r="S30" i="23"/>
  <c r="S24" i="4" s="1"/>
  <c r="U28" i="23"/>
  <c r="U22" i="4" s="1"/>
  <c r="J34" i="1"/>
  <c r="J12" i="4" s="1"/>
  <c r="M29" i="23"/>
  <c r="M23" i="4" s="1"/>
  <c r="V34" i="23"/>
  <c r="V28" i="4" s="1"/>
  <c r="S33" i="23"/>
  <c r="S27" i="4" s="1"/>
  <c r="U31" i="23"/>
  <c r="U25" i="4" s="1"/>
  <c r="R30" i="23"/>
  <c r="R24" i="4" s="1"/>
  <c r="T28" i="23"/>
  <c r="T22" i="4" s="1"/>
  <c r="L28" i="23"/>
  <c r="U34" i="23"/>
  <c r="U28" i="4" s="1"/>
  <c r="R33" i="23"/>
  <c r="R27" i="4" s="1"/>
  <c r="T31" i="23"/>
  <c r="T25" i="4" s="1"/>
  <c r="V29" i="23"/>
  <c r="V23" i="4" s="1"/>
  <c r="S28" i="23"/>
  <c r="S22" i="4" s="1"/>
  <c r="U34" i="1"/>
  <c r="U12" i="4" s="1"/>
  <c r="V35" i="23"/>
  <c r="V29" i="4" s="1"/>
  <c r="T34" i="23"/>
  <c r="T28" i="4" s="1"/>
  <c r="V32" i="23"/>
  <c r="V26" i="4" s="1"/>
  <c r="S31" i="23"/>
  <c r="S25" i="4" s="1"/>
  <c r="U29" i="23"/>
  <c r="U23" i="4" s="1"/>
  <c r="R28" i="23"/>
  <c r="R47" i="23" s="1"/>
  <c r="R48" i="23" s="1"/>
  <c r="R54" i="23" s="1"/>
  <c r="G35" i="23"/>
  <c r="G29" i="4" s="1"/>
  <c r="U30" i="1"/>
  <c r="U8" i="4" s="1"/>
  <c r="U35" i="23"/>
  <c r="S34" i="23"/>
  <c r="S28" i="4" s="1"/>
  <c r="U32" i="23"/>
  <c r="U26" i="4" s="1"/>
  <c r="R31" i="23"/>
  <c r="R25" i="4" s="1"/>
  <c r="T29" i="23"/>
  <c r="T23" i="4" s="1"/>
  <c r="F32" i="1"/>
  <c r="F10" i="4" s="1"/>
  <c r="K35" i="23"/>
  <c r="K29" i="4" s="1"/>
  <c r="T35" i="23"/>
  <c r="T29" i="4" s="1"/>
  <c r="R34" i="23"/>
  <c r="R28" i="4" s="1"/>
  <c r="T32" i="23"/>
  <c r="T26" i="4" s="1"/>
  <c r="V30" i="23"/>
  <c r="V24" i="4" s="1"/>
  <c r="S29" i="23"/>
  <c r="S23" i="4" s="1"/>
  <c r="G30" i="1"/>
  <c r="G8" i="4" s="1"/>
  <c r="H31" i="1"/>
  <c r="H9" i="4" s="1"/>
  <c r="J30" i="1"/>
  <c r="J8" i="4" s="1"/>
  <c r="U33" i="1"/>
  <c r="U11" i="4" s="1"/>
  <c r="U29" i="1"/>
  <c r="U7" i="4" s="1"/>
  <c r="U32" i="1"/>
  <c r="U10" i="4" s="1"/>
  <c r="U28" i="1"/>
  <c r="U35" i="1"/>
  <c r="U13" i="4" s="1"/>
  <c r="U31" i="1"/>
  <c r="U9" i="4" s="1"/>
  <c r="F29" i="1"/>
  <c r="F7" i="4" s="1"/>
  <c r="H33" i="1"/>
  <c r="H11" i="4" s="1"/>
  <c r="J33" i="1"/>
  <c r="J11" i="4" s="1"/>
  <c r="J29" i="1"/>
  <c r="J7" i="4" s="1"/>
  <c r="T35" i="1"/>
  <c r="T13" i="4" s="1"/>
  <c r="T34" i="1"/>
  <c r="T12" i="4" s="1"/>
  <c r="T33" i="1"/>
  <c r="T11" i="4" s="1"/>
  <c r="T32" i="1"/>
  <c r="T10" i="4" s="1"/>
  <c r="T31" i="1"/>
  <c r="T9" i="4" s="1"/>
  <c r="T30" i="1"/>
  <c r="T8" i="4" s="1"/>
  <c r="T29" i="1"/>
  <c r="T7" i="4" s="1"/>
  <c r="T28" i="1"/>
  <c r="I33" i="1"/>
  <c r="I11" i="4" s="1"/>
  <c r="I29" i="1"/>
  <c r="I7" i="4" s="1"/>
  <c r="H30" i="1"/>
  <c r="H8" i="4" s="1"/>
  <c r="G34" i="1"/>
  <c r="G12" i="4" s="1"/>
  <c r="E33" i="1"/>
  <c r="E11" i="4" s="1"/>
  <c r="G29" i="1"/>
  <c r="G7" i="4" s="1"/>
  <c r="J32" i="1"/>
  <c r="J10" i="4" s="1"/>
  <c r="J28" i="1"/>
  <c r="S35" i="1"/>
  <c r="S13" i="4" s="1"/>
  <c r="S34" i="1"/>
  <c r="S12" i="4" s="1"/>
  <c r="S33" i="1"/>
  <c r="S11" i="4" s="1"/>
  <c r="S32" i="1"/>
  <c r="S10" i="4" s="1"/>
  <c r="S31" i="1"/>
  <c r="S9" i="4" s="1"/>
  <c r="S30" i="1"/>
  <c r="S8" i="4" s="1"/>
  <c r="S29" i="1"/>
  <c r="S7" i="4" s="1"/>
  <c r="S28" i="1"/>
  <c r="S6" i="4" s="1"/>
  <c r="R33" i="1"/>
  <c r="R11" i="4" s="1"/>
  <c r="E29" i="1"/>
  <c r="E7" i="4" s="1"/>
  <c r="D33" i="1"/>
  <c r="D11" i="4" s="1"/>
  <c r="D35" i="1"/>
  <c r="D13" i="4" s="1"/>
  <c r="F33" i="1"/>
  <c r="F11" i="4" s="1"/>
  <c r="C35" i="1"/>
  <c r="C13" i="4" s="1"/>
  <c r="H32" i="1"/>
  <c r="H10" i="4" s="1"/>
  <c r="I30" i="1"/>
  <c r="I8" i="4" s="1"/>
  <c r="E32" i="1"/>
  <c r="E10" i="4" s="1"/>
  <c r="C33" i="1"/>
  <c r="C11" i="4" s="1"/>
  <c r="J35" i="1"/>
  <c r="J13" i="4" s="1"/>
  <c r="J31" i="1"/>
  <c r="J9" i="4" s="1"/>
  <c r="V34" i="1"/>
  <c r="V12" i="4" s="1"/>
  <c r="V33" i="1"/>
  <c r="V11" i="4" s="1"/>
  <c r="V32" i="1"/>
  <c r="V10" i="4" s="1"/>
  <c r="V31" i="1"/>
  <c r="V9" i="4" s="1"/>
  <c r="V30" i="1"/>
  <c r="V8" i="4" s="1"/>
  <c r="V29" i="1"/>
  <c r="V7" i="4" s="1"/>
  <c r="V28" i="1"/>
  <c r="V6" i="4" s="1"/>
  <c r="M34" i="23"/>
  <c r="M28" i="4" s="1"/>
  <c r="L33" i="23"/>
  <c r="L27" i="4" s="1"/>
  <c r="K32" i="23"/>
  <c r="K26" i="4" s="1"/>
  <c r="M30" i="23"/>
  <c r="M24" i="4" s="1"/>
  <c r="L29" i="23"/>
  <c r="K28" i="23"/>
  <c r="Q32" i="23"/>
  <c r="Q26" i="4" s="1"/>
  <c r="M35" i="23"/>
  <c r="M29" i="4" s="1"/>
  <c r="L34" i="23"/>
  <c r="L28" i="4" s="1"/>
  <c r="K33" i="23"/>
  <c r="K27" i="4" s="1"/>
  <c r="M31" i="23"/>
  <c r="M25" i="4" s="1"/>
  <c r="L30" i="23"/>
  <c r="L24" i="4" s="1"/>
  <c r="K29" i="23"/>
  <c r="K23" i="4" s="1"/>
  <c r="O40" i="23"/>
  <c r="O34" i="4" s="1"/>
  <c r="L35" i="23"/>
  <c r="L29" i="4" s="1"/>
  <c r="K34" i="23"/>
  <c r="K28" i="4" s="1"/>
  <c r="M32" i="23"/>
  <c r="M26" i="4" s="1"/>
  <c r="L31" i="23"/>
  <c r="L25" i="4" s="1"/>
  <c r="K30" i="23"/>
  <c r="K24" i="4" s="1"/>
  <c r="M28" i="23"/>
  <c r="O33" i="23"/>
  <c r="O27" i="4" s="1"/>
  <c r="P31" i="23"/>
  <c r="P25" i="4" s="1"/>
  <c r="Q28" i="23"/>
  <c r="Q47" i="23" s="1"/>
  <c r="Q48" i="23" s="1"/>
  <c r="Q54" i="23" s="1"/>
  <c r="H31" i="23"/>
  <c r="H25" i="4" s="1"/>
  <c r="D35" i="23"/>
  <c r="D29" i="4" s="1"/>
  <c r="G33" i="23"/>
  <c r="G27" i="4" s="1"/>
  <c r="C30" i="23"/>
  <c r="C24" i="4" s="1"/>
  <c r="E32" i="23"/>
  <c r="E26" i="4" s="1"/>
  <c r="C34" i="23"/>
  <c r="C28" i="4" s="1"/>
  <c r="C33" i="23"/>
  <c r="C27" i="4" s="1"/>
  <c r="C31" i="23"/>
  <c r="C25" i="4" s="1"/>
  <c r="E33" i="23"/>
  <c r="E27" i="4" s="1"/>
  <c r="C35" i="23"/>
  <c r="C29" i="4" s="1"/>
  <c r="E30" i="23"/>
  <c r="O43" i="23"/>
  <c r="O39" i="23"/>
  <c r="O33" i="4" s="1"/>
  <c r="O29" i="23"/>
  <c r="O23" i="4" s="1"/>
  <c r="Q33" i="23"/>
  <c r="Q27" i="4" s="1"/>
  <c r="P32" i="23"/>
  <c r="P26" i="4" s="1"/>
  <c r="Q29" i="23"/>
  <c r="Q23" i="4" s="1"/>
  <c r="P28" i="23"/>
  <c r="O42" i="23"/>
  <c r="O36" i="4" s="1"/>
  <c r="O36" i="23"/>
  <c r="O30" i="4" s="1"/>
  <c r="Q34" i="23"/>
  <c r="Q28" i="4" s="1"/>
  <c r="P33" i="23"/>
  <c r="P27" i="4" s="1"/>
  <c r="Q30" i="23"/>
  <c r="Q24" i="4" s="1"/>
  <c r="P29" i="23"/>
  <c r="P23" i="4" s="1"/>
  <c r="F33" i="23"/>
  <c r="F27" i="4" s="1"/>
  <c r="G29" i="23"/>
  <c r="H29" i="23"/>
  <c r="F31" i="23"/>
  <c r="D33" i="23"/>
  <c r="D27" i="4" s="1"/>
  <c r="F35" i="23"/>
  <c r="F29" i="4" s="1"/>
  <c r="C32" i="23"/>
  <c r="C26" i="4" s="1"/>
  <c r="C29" i="23"/>
  <c r="D30" i="23"/>
  <c r="F32" i="23"/>
  <c r="F26" i="4" s="1"/>
  <c r="D34" i="23"/>
  <c r="D28" i="4" s="1"/>
  <c r="D31" i="23"/>
  <c r="D25" i="4" s="1"/>
  <c r="O41" i="23"/>
  <c r="O35" i="4" s="1"/>
  <c r="O35" i="23"/>
  <c r="O29" i="4" s="1"/>
  <c r="Q35" i="23"/>
  <c r="Q29" i="4" s="1"/>
  <c r="P34" i="23"/>
  <c r="P28" i="4" s="1"/>
  <c r="Q31" i="23"/>
  <c r="Q25" i="4" s="1"/>
  <c r="P30" i="23"/>
  <c r="P24" i="4" s="1"/>
  <c r="M34" i="1"/>
  <c r="M12" i="4" s="1"/>
  <c r="L33" i="1"/>
  <c r="L11" i="4" s="1"/>
  <c r="K32" i="1"/>
  <c r="K10" i="4" s="1"/>
  <c r="M30" i="1"/>
  <c r="M8" i="4" s="1"/>
  <c r="L29" i="1"/>
  <c r="L7" i="4" s="1"/>
  <c r="K28" i="1"/>
  <c r="K6" i="4" s="1"/>
  <c r="M35" i="1"/>
  <c r="M13" i="4" s="1"/>
  <c r="L34" i="1"/>
  <c r="L12" i="4" s="1"/>
  <c r="K33" i="1"/>
  <c r="K11" i="4" s="1"/>
  <c r="M31" i="1"/>
  <c r="M9" i="4" s="1"/>
  <c r="L30" i="1"/>
  <c r="L8" i="4" s="1"/>
  <c r="K29" i="1"/>
  <c r="K7" i="4" s="1"/>
  <c r="L35" i="1"/>
  <c r="L13" i="4" s="1"/>
  <c r="K34" i="1"/>
  <c r="K12" i="4" s="1"/>
  <c r="M32" i="1"/>
  <c r="M10" i="4" s="1"/>
  <c r="L31" i="1"/>
  <c r="L9" i="4" s="1"/>
  <c r="K30" i="1"/>
  <c r="K8" i="4" s="1"/>
  <c r="M28" i="1"/>
  <c r="K35" i="1"/>
  <c r="K13" i="4" s="1"/>
  <c r="M33" i="1"/>
  <c r="M11" i="4" s="1"/>
  <c r="L32" i="1"/>
  <c r="L10" i="4" s="1"/>
  <c r="K31" i="1"/>
  <c r="K9" i="4" s="1"/>
  <c r="M29" i="1"/>
  <c r="M7" i="4" s="1"/>
  <c r="L28" i="1"/>
  <c r="L6" i="4" s="1"/>
  <c r="O9" i="12"/>
  <c r="O10" i="12" s="1"/>
  <c r="E22" i="4"/>
  <c r="F22" i="4"/>
  <c r="T6" i="4"/>
  <c r="P6" i="4"/>
  <c r="Q6" i="4"/>
  <c r="H22" i="4"/>
  <c r="I22" i="4"/>
  <c r="D22" i="4"/>
  <c r="J22" i="4"/>
  <c r="C22" i="4"/>
  <c r="J6" i="4"/>
  <c r="L22" i="4"/>
  <c r="G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B29" i="23"/>
  <c r="B23" i="4" s="1"/>
  <c r="Q32" i="1"/>
  <c r="P32" i="1"/>
  <c r="P10" i="4" s="1"/>
  <c r="D4" i="4"/>
  <c r="O29" i="1"/>
  <c r="O7" i="4" s="1"/>
  <c r="B27" i="23"/>
  <c r="B52" i="23" s="1"/>
  <c r="K45" i="23"/>
  <c r="E27" i="23"/>
  <c r="E52" i="23" s="1"/>
  <c r="Q30" i="1"/>
  <c r="Q8" i="4" s="1"/>
  <c r="B29" i="1"/>
  <c r="B7" i="4" s="1"/>
  <c r="P35" i="1"/>
  <c r="P13" i="4" s="1"/>
  <c r="P31" i="1"/>
  <c r="P9" i="4" s="1"/>
  <c r="H22" i="23"/>
  <c r="V47" i="23"/>
  <c r="V48" i="23" s="1"/>
  <c r="V54" i="23" s="1"/>
  <c r="P37" i="1"/>
  <c r="F22" i="23"/>
  <c r="O36" i="1"/>
  <c r="H45" i="23"/>
  <c r="T46" i="23"/>
  <c r="T53" i="23" s="1"/>
  <c r="R31" i="1"/>
  <c r="R9" i="4" s="1"/>
  <c r="V22" i="4"/>
  <c r="U29" i="4"/>
  <c r="T47" i="23"/>
  <c r="T48" i="23" s="1"/>
  <c r="T54" i="23" s="1"/>
  <c r="T27" i="4"/>
  <c r="U57" i="23"/>
  <c r="J57" i="23"/>
  <c r="T57" i="23"/>
  <c r="I57" i="23"/>
  <c r="S57" i="23"/>
  <c r="V57" i="23"/>
  <c r="R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O28" i="1"/>
  <c r="C30" i="1"/>
  <c r="C8" i="4" s="1"/>
  <c r="C31" i="1"/>
  <c r="C9" i="4" s="1"/>
  <c r="D29" i="1"/>
  <c r="D7" i="4" s="1"/>
  <c r="D30" i="1"/>
  <c r="G21" i="4"/>
  <c r="I21" i="4"/>
  <c r="F21" i="4"/>
  <c r="H21" i="4"/>
  <c r="E21" i="4"/>
  <c r="L52" i="23"/>
  <c r="D17" i="4"/>
  <c r="F8" i="4"/>
  <c r="C4" i="4"/>
  <c r="J47" i="23"/>
  <c r="J48" i="23" s="1"/>
  <c r="J54" i="23" s="1"/>
  <c r="I46" i="23"/>
  <c r="I53" i="23" s="1"/>
  <c r="A47" i="22"/>
  <c r="J46" i="23"/>
  <c r="J53" i="23" s="1"/>
  <c r="I47" i="23"/>
  <c r="I48" i="23" s="1"/>
  <c r="I54" i="23" s="1"/>
  <c r="G27" i="23"/>
  <c r="G52" i="23" s="1"/>
  <c r="A50" i="22"/>
  <c r="H50" i="22" s="1"/>
  <c r="K27" i="23"/>
  <c r="L22" i="1"/>
  <c r="D27" i="1"/>
  <c r="D52" i="1" s="1"/>
  <c r="D45" i="1"/>
  <c r="D22" i="23"/>
  <c r="D45" i="23"/>
  <c r="D27" i="23"/>
  <c r="D52" i="23" s="1"/>
  <c r="V46" i="23"/>
  <c r="V53"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V56" i="1"/>
  <c r="L56" i="23"/>
  <c r="D56" i="1"/>
  <c r="K56" i="1"/>
  <c r="D56" i="23"/>
  <c r="B56" i="1"/>
  <c r="E56" i="1"/>
  <c r="T78" i="4"/>
  <c r="S78" i="4"/>
  <c r="U56" i="1"/>
  <c r="P56" i="23"/>
  <c r="L56" i="1"/>
  <c r="S56" i="1"/>
  <c r="K56" i="23"/>
  <c r="R56" i="1"/>
  <c r="O56" i="1"/>
  <c r="F56" i="1"/>
  <c r="F56" i="23"/>
  <c r="G56" i="23"/>
  <c r="P56" i="1"/>
  <c r="Q56" i="23"/>
  <c r="J56" i="1"/>
  <c r="B56" i="23"/>
  <c r="M56" i="1"/>
  <c r="T56" i="1"/>
  <c r="M56" i="23"/>
  <c r="C56" i="1"/>
  <c r="I56" i="1"/>
  <c r="O56" i="23"/>
  <c r="V78" i="4"/>
  <c r="G56" i="1"/>
  <c r="J78" i="4"/>
  <c r="C56" i="23"/>
  <c r="Q56" i="1"/>
  <c r="H56" i="23"/>
  <c r="E56" i="23"/>
  <c r="H56" i="1"/>
  <c r="G47" i="23" l="1"/>
  <c r="G48" i="23" s="1"/>
  <c r="G54" i="23" s="1"/>
  <c r="U47" i="23"/>
  <c r="U48" i="23" s="1"/>
  <c r="U54" i="23" s="1"/>
  <c r="U46" i="23"/>
  <c r="U53" i="23" s="1"/>
  <c r="S47" i="23"/>
  <c r="S48" i="23" s="1"/>
  <c r="S54" i="23" s="1"/>
  <c r="S46" i="23"/>
  <c r="S53" i="23" s="1"/>
  <c r="R46" i="23"/>
  <c r="R53" i="23" s="1"/>
  <c r="R22" i="4"/>
  <c r="U57" i="1"/>
  <c r="U46" i="1"/>
  <c r="U53" i="1" s="1"/>
  <c r="U47" i="1"/>
  <c r="U48" i="1" s="1"/>
  <c r="U54" i="1" s="1"/>
  <c r="T46" i="1"/>
  <c r="T53" i="1" s="1"/>
  <c r="U6" i="4"/>
  <c r="J57" i="1"/>
  <c r="T57" i="1"/>
  <c r="S57" i="1"/>
  <c r="V57" i="1"/>
  <c r="V46" i="1"/>
  <c r="V53" i="1" s="1"/>
  <c r="J46" i="1"/>
  <c r="J53" i="1" s="1"/>
  <c r="S46" i="1"/>
  <c r="S53" i="1" s="1"/>
  <c r="J47" i="1"/>
  <c r="J48" i="1" s="1"/>
  <c r="J54" i="1" s="1"/>
  <c r="M46" i="1"/>
  <c r="M53" i="1" s="1"/>
  <c r="S47" i="1"/>
  <c r="S48" i="1" s="1"/>
  <c r="S54" i="1" s="1"/>
  <c r="V47" i="1"/>
  <c r="V48" i="1" s="1"/>
  <c r="V54" i="1" s="1"/>
  <c r="T47" i="1"/>
  <c r="T48" i="1" s="1"/>
  <c r="T54" i="1" s="1"/>
  <c r="K47" i="1"/>
  <c r="K48" i="1" s="1"/>
  <c r="K54" i="1" s="1"/>
  <c r="M47" i="1"/>
  <c r="M48" i="1" s="1"/>
  <c r="M54" i="1" s="1"/>
  <c r="M6" i="4"/>
  <c r="M47" i="23"/>
  <c r="M48" i="23" s="1"/>
  <c r="M54" i="23" s="1"/>
  <c r="K46" i="23"/>
  <c r="K53" i="23" s="1"/>
  <c r="M57" i="23"/>
  <c r="K57" i="23"/>
  <c r="L57" i="23"/>
  <c r="Q46" i="23"/>
  <c r="Q53" i="23" s="1"/>
  <c r="K47" i="23"/>
  <c r="K48" i="23" s="1"/>
  <c r="K54" i="23" s="1"/>
  <c r="M46" i="23"/>
  <c r="M53" i="23" s="1"/>
  <c r="Q22" i="4"/>
  <c r="M22" i="4"/>
  <c r="K22" i="4"/>
  <c r="K63" i="4" s="1"/>
  <c r="K64" i="4" s="1"/>
  <c r="L47" i="23"/>
  <c r="L48" i="23" s="1"/>
  <c r="L54" i="23" s="1"/>
  <c r="L46" i="23"/>
  <c r="L53" i="23" s="1"/>
  <c r="P47" i="23"/>
  <c r="P48" i="23" s="1"/>
  <c r="P54" i="23" s="1"/>
  <c r="L23" i="4"/>
  <c r="D47" i="23"/>
  <c r="D48" i="23" s="1"/>
  <c r="D54" i="23" s="1"/>
  <c r="C57" i="23"/>
  <c r="F57" i="23"/>
  <c r="Q57" i="23"/>
  <c r="G57" i="23"/>
  <c r="P57" i="23"/>
  <c r="D57" i="23"/>
  <c r="H57" i="23"/>
  <c r="E57" i="23"/>
  <c r="F46" i="23"/>
  <c r="F53" i="23" s="1"/>
  <c r="C47" i="23"/>
  <c r="C48" i="23" s="1"/>
  <c r="C54" i="23" s="1"/>
  <c r="H46" i="23"/>
  <c r="H53" i="23" s="1"/>
  <c r="H47" i="23"/>
  <c r="H48" i="23" s="1"/>
  <c r="H54" i="23" s="1"/>
  <c r="E46" i="23"/>
  <c r="E53" i="23" s="1"/>
  <c r="C23" i="4"/>
  <c r="F25" i="4"/>
  <c r="G23" i="4"/>
  <c r="F47" i="23"/>
  <c r="F48" i="23" s="1"/>
  <c r="F54" i="23" s="1"/>
  <c r="D46" i="23"/>
  <c r="D53" i="23" s="1"/>
  <c r="D24" i="4"/>
  <c r="C46" i="23"/>
  <c r="C53" i="23" s="1"/>
  <c r="E47" i="23"/>
  <c r="E48" i="23" s="1"/>
  <c r="E54" i="23" s="1"/>
  <c r="G46" i="23"/>
  <c r="G53" i="23" s="1"/>
  <c r="P46" i="23"/>
  <c r="P53" i="23" s="1"/>
  <c r="P22" i="4"/>
  <c r="H23" i="4"/>
  <c r="E24" i="4"/>
  <c r="S63" i="4"/>
  <c r="S64" i="4" s="1"/>
  <c r="L57" i="1"/>
  <c r="M57" i="1"/>
  <c r="K57" i="1"/>
  <c r="K46" i="1"/>
  <c r="K53" i="1" s="1"/>
  <c r="L47" i="1"/>
  <c r="L48" i="1" s="1"/>
  <c r="L54" i="1" s="1"/>
  <c r="L46" i="1"/>
  <c r="L53" i="1" s="1"/>
  <c r="F46" i="1"/>
  <c r="F53" i="1" s="1"/>
  <c r="L63" i="4"/>
  <c r="L64" i="4" s="1"/>
  <c r="P47" i="1"/>
  <c r="P48" i="1" s="1"/>
  <c r="P54" i="1" s="1"/>
  <c r="D6" i="4"/>
  <c r="R6" i="4"/>
  <c r="C6" i="4"/>
  <c r="B22" i="4"/>
  <c r="I6" i="4"/>
  <c r="P7" i="4"/>
  <c r="E6" i="4"/>
  <c r="H6" i="4"/>
  <c r="F6" i="4"/>
  <c r="O6" i="4"/>
  <c r="B6" i="4"/>
  <c r="G6" i="4"/>
  <c r="Q7" i="4"/>
  <c r="U63" i="4"/>
  <c r="U64" i="4" s="1"/>
  <c r="J63" i="4"/>
  <c r="J64" i="4" s="1"/>
  <c r="V63" i="4"/>
  <c r="V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U57" i="4"/>
  <c r="U58" i="4" s="1"/>
  <c r="U76" i="4" s="1"/>
  <c r="L56" i="4"/>
  <c r="L75" i="4" s="1"/>
  <c r="S56" i="4"/>
  <c r="S75" i="4" s="1"/>
  <c r="J56" i="4"/>
  <c r="J75" i="4" s="1"/>
  <c r="O55" i="4"/>
  <c r="O62" i="4"/>
  <c r="F55" i="4"/>
  <c r="F62" i="4"/>
  <c r="M55" i="4"/>
  <c r="M62" i="4"/>
  <c r="J55" i="4"/>
  <c r="J62" i="4"/>
  <c r="L57" i="4"/>
  <c r="L58" i="4" s="1"/>
  <c r="L76" i="4" s="1"/>
  <c r="K56" i="4"/>
  <c r="K75" i="4" s="1"/>
  <c r="J57" i="4"/>
  <c r="J58" i="4" s="1"/>
  <c r="J76" i="4" s="1"/>
  <c r="P55" i="4"/>
  <c r="P62" i="4"/>
  <c r="G55" i="4"/>
  <c r="G62" i="4"/>
  <c r="H74" i="4"/>
  <c r="H62" i="4"/>
  <c r="U22" i="33"/>
  <c r="U45" i="33"/>
  <c r="U27" i="33"/>
  <c r="U52" i="33" s="1"/>
  <c r="R45" i="33"/>
  <c r="R27" i="33"/>
  <c r="R52" i="33" s="1"/>
  <c r="R22" i="33"/>
  <c r="U56" i="4"/>
  <c r="U75" i="4" s="1"/>
  <c r="T56" i="4"/>
  <c r="T75" i="4" s="1"/>
  <c r="C74" i="4"/>
  <c r="C62" i="4"/>
  <c r="D55" i="4"/>
  <c r="D62" i="4"/>
  <c r="S27" i="33"/>
  <c r="S52" i="33" s="1"/>
  <c r="S22" i="33"/>
  <c r="S45" i="33"/>
  <c r="A36" i="22"/>
  <c r="H36" i="22" s="1"/>
  <c r="V4" i="33"/>
  <c r="S57" i="4"/>
  <c r="S58" i="4" s="1"/>
  <c r="S76" i="4" s="1"/>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V79" i="4"/>
  <c r="J79" i="4"/>
  <c r="T79" i="4"/>
  <c r="S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U78" i="4"/>
  <c r="B78" i="4"/>
  <c r="D78" i="4"/>
  <c r="I78" i="4"/>
  <c r="P78" i="4"/>
  <c r="K78" i="4"/>
  <c r="Q78" i="4"/>
  <c r="F78" i="4"/>
  <c r="C78" i="4"/>
  <c r="M78" i="4"/>
  <c r="L78" i="4"/>
  <c r="R78" i="4"/>
  <c r="G78" i="4"/>
  <c r="E78" i="4"/>
  <c r="H78" i="4"/>
  <c r="O78" i="4"/>
  <c r="M56" i="4" l="1"/>
  <c r="M75" i="4" s="1"/>
  <c r="U79" i="4"/>
  <c r="K57" i="4"/>
  <c r="K58" i="4" s="1"/>
  <c r="K76" i="4" s="1"/>
  <c r="M79" i="4"/>
  <c r="L79" i="4"/>
  <c r="K79" i="4"/>
  <c r="M63" i="4"/>
  <c r="M64" i="4" s="1"/>
  <c r="F55" i="23"/>
  <c r="C55" i="23"/>
  <c r="C63" i="4"/>
  <c r="C64" i="4" s="1"/>
  <c r="R63" i="4"/>
  <c r="R64" i="4" s="1"/>
  <c r="I57" i="4"/>
  <c r="I58" i="4" s="1"/>
  <c r="I76" i="4" s="1"/>
  <c r="G4" i="12" s="1"/>
  <c r="H56" i="4"/>
  <c r="H75" i="4" s="1"/>
  <c r="G55" i="1"/>
  <c r="V4" i="4"/>
  <c r="V55" i="4" s="1"/>
  <c r="I63" i="4"/>
  <c r="I64" i="4" s="1"/>
  <c r="F63" i="4"/>
  <c r="F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H4" i="12"/>
  <c r="F4" i="12"/>
  <c r="I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O57" i="4"/>
  <c r="O58" i="4" s="1"/>
  <c r="O76" i="4" s="1"/>
  <c r="C57" i="4"/>
  <c r="C58" i="4" s="1"/>
  <c r="C76" i="4" s="1"/>
  <c r="Q2" i="12"/>
  <c r="Q4" i="12" s="1"/>
  <c r="P2" i="12"/>
  <c r="P4" i="12" s="1"/>
  <c r="Q56" i="4"/>
  <c r="Q75" i="4" s="1"/>
  <c r="O56" i="4"/>
  <c r="O75" i="4" s="1"/>
  <c r="C56" i="4"/>
  <c r="C75" i="4" s="1"/>
  <c r="R2" i="12"/>
  <c r="R4" i="12" s="1"/>
  <c r="P56" i="4"/>
  <c r="R57" i="4"/>
  <c r="R58" i="4" s="1"/>
  <c r="R76" i="4" s="1"/>
  <c r="Q57" i="4"/>
  <c r="Q58" i="4" s="1"/>
  <c r="Q76" i="4" s="1"/>
  <c r="Q79" i="4"/>
  <c r="P79" i="4"/>
  <c r="R79" i="4"/>
  <c r="U4" i="4"/>
  <c r="F2" i="27"/>
  <c r="F4" i="27" s="1"/>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R60" i="23" s="1"/>
  <c r="O79" i="4"/>
  <c r="B79" i="4"/>
  <c r="B64" i="23"/>
  <c r="L59" i="23"/>
  <c r="L60" i="23" s="1"/>
  <c r="F59" i="23"/>
  <c r="F60" i="23" s="1"/>
  <c r="Q59" i="23"/>
  <c r="Q60" i="23" s="1"/>
  <c r="V59" i="23"/>
  <c r="V60" i="23" s="1"/>
  <c r="P59" i="23"/>
  <c r="P60" i="23" s="1"/>
  <c r="T59" i="23"/>
  <c r="T60" i="23" s="1"/>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H3" i="12"/>
  <c r="O59" i="1"/>
  <c r="O60" i="1" s="1"/>
  <c r="J59" i="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G3" i="12"/>
  <c r="T27" i="23"/>
  <c r="T52" i="23" s="1"/>
  <c r="T45" i="23"/>
  <c r="T22" i="23"/>
  <c r="F3" i="12"/>
  <c r="J3" i="12"/>
  <c r="T27" i="1"/>
  <c r="T52" i="1" s="1"/>
  <c r="T45" i="1"/>
  <c r="T4" i="4"/>
  <c r="T62" i="4" s="1"/>
  <c r="T22" i="1"/>
  <c r="J60" i="1"/>
  <c r="T77" i="4" l="1"/>
  <c r="H94" i="4"/>
  <c r="F94" i="4"/>
  <c r="I3" i="12"/>
  <c r="V62" i="4"/>
  <c r="V74" i="4"/>
  <c r="Z2" i="12" s="1"/>
  <c r="AA2" i="12"/>
  <c r="P75" i="4"/>
  <c r="O81" i="4"/>
  <c r="O82" i="4" s="1"/>
  <c r="AE2" i="12"/>
  <c r="U74" i="4"/>
  <c r="Y2" i="12" s="1"/>
  <c r="U62" i="4"/>
  <c r="B6" i="12"/>
  <c r="B6" i="27"/>
  <c r="R61" i="23"/>
  <c r="U55" i="4"/>
  <c r="F3" i="27"/>
  <c r="V77" i="4"/>
  <c r="U77" i="4"/>
  <c r="O77" i="4"/>
  <c r="S77" i="4"/>
  <c r="Q77" i="4"/>
  <c r="R77" i="4"/>
  <c r="P81" i="4"/>
  <c r="P82" i="4" s="1"/>
  <c r="Q81" i="4"/>
  <c r="Q82" i="4" s="1"/>
  <c r="B86" i="4"/>
  <c r="B87" i="4"/>
  <c r="B75" i="4"/>
  <c r="E94" i="4" s="1"/>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F2" i="12"/>
  <c r="T55" i="4"/>
  <c r="T74" i="4"/>
  <c r="N94" i="4" l="1"/>
  <c r="B94" i="4"/>
  <c r="T94" i="4"/>
  <c r="U94" i="4"/>
  <c r="K94" i="4"/>
  <c r="J94" i="4"/>
  <c r="S94" i="4"/>
  <c r="L94" i="4"/>
  <c r="V94" i="4"/>
  <c r="R94" i="4"/>
  <c r="Q94" i="4"/>
  <c r="G94" i="4"/>
  <c r="O94" i="4"/>
  <c r="I94" i="4"/>
  <c r="C94" i="4"/>
  <c r="B5" i="27"/>
  <c r="P94" i="4"/>
  <c r="D94" i="4"/>
  <c r="M94" i="4"/>
  <c r="B5" i="12"/>
  <c r="P77" i="4"/>
  <c r="AB4" i="12"/>
  <c r="AD4" i="12"/>
  <c r="AE4" i="12"/>
  <c r="Z4" i="12"/>
  <c r="W4" i="12"/>
  <c r="AG4" i="12"/>
  <c r="AC4" i="12"/>
  <c r="AH4" i="12"/>
  <c r="AF4" i="12"/>
  <c r="Y4" i="12"/>
  <c r="AA4" i="12"/>
  <c r="K77" i="4"/>
  <c r="J77" i="4"/>
  <c r="G77" i="4"/>
  <c r="F77" i="4"/>
  <c r="L77" i="4"/>
  <c r="B77" i="4"/>
  <c r="B2" i="27"/>
  <c r="G6" i="27" s="1"/>
  <c r="M77" i="4"/>
  <c r="I77" i="4"/>
  <c r="B2" i="12"/>
  <c r="E6" i="12" s="1"/>
  <c r="H77" i="4"/>
  <c r="D77" i="4"/>
  <c r="C77" i="4"/>
  <c r="E77" i="4"/>
  <c r="AG8" i="12"/>
  <c r="U8" i="12"/>
  <c r="U9" i="12" s="1"/>
  <c r="U10" i="12" s="1"/>
  <c r="AJ8" i="12"/>
  <c r="AJ9" i="12" s="1"/>
  <c r="AJ10" i="12" s="1"/>
  <c r="AB8" i="12"/>
  <c r="Z8" i="12"/>
  <c r="Z9" i="12" s="1"/>
  <c r="Z10" i="12" s="1"/>
  <c r="AC8" i="12"/>
  <c r="AC9" i="12" s="1"/>
  <c r="AC10" i="12" s="1"/>
  <c r="V8" i="12"/>
  <c r="V9" i="12" s="1"/>
  <c r="V10" i="12" s="1"/>
  <c r="X8" i="12"/>
  <c r="AH8" i="12"/>
  <c r="AH9" i="12" s="1"/>
  <c r="AH10" i="12" s="1"/>
  <c r="AD8" i="12"/>
  <c r="AD9" i="12" s="1"/>
  <c r="AD10" i="12" s="1"/>
  <c r="AI8" i="12"/>
  <c r="AI9" i="12" s="1"/>
  <c r="AI10" i="12" s="1"/>
  <c r="W8" i="12"/>
  <c r="Y8" i="12"/>
  <c r="Y9" i="12" s="1"/>
  <c r="Y10" i="12" s="1"/>
  <c r="AE8" i="12"/>
  <c r="AE9" i="12" s="1"/>
  <c r="AE10" i="12" s="1"/>
  <c r="AA8" i="12"/>
  <c r="AA9" i="12" s="1"/>
  <c r="AA10" i="12" s="1"/>
  <c r="AF8" i="12"/>
  <c r="H8" i="27"/>
  <c r="J8" i="27"/>
  <c r="J9" i="27" s="1"/>
  <c r="J10" i="27" s="1"/>
  <c r="I8" i="27"/>
  <c r="P83" i="4"/>
  <c r="S5" i="12"/>
  <c r="Q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H9" i="27" l="1"/>
  <c r="H10" i="27" s="1"/>
  <c r="I9" i="27"/>
  <c r="I10" i="27" s="1"/>
  <c r="AG9" i="12"/>
  <c r="AG10" i="12" s="1"/>
  <c r="AF9" i="12"/>
  <c r="AF10" i="12" s="1"/>
  <c r="W9" i="12"/>
  <c r="W10" i="12" s="1"/>
  <c r="X9" i="12"/>
  <c r="X10" i="12" s="1"/>
  <c r="AB9" i="12"/>
  <c r="AB10" i="12" s="1"/>
  <c r="R5" i="12"/>
  <c r="Q5" i="12"/>
  <c r="P5" i="12"/>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K12" i="22" s="1"/>
  <c r="M12" i="22" s="1"/>
  <c r="F16" i="22"/>
  <c r="G16" i="22" s="1"/>
  <c r="F22" i="22"/>
  <c r="I22" i="22" s="1"/>
  <c r="J5" i="12"/>
  <c r="F15" i="22"/>
  <c r="K15" i="22" s="1"/>
  <c r="M15" i="22" s="1"/>
  <c r="L5" i="12"/>
  <c r="F21" i="22"/>
  <c r="G21" i="22" s="1"/>
  <c r="F5" i="12"/>
  <c r="F24" i="22"/>
  <c r="K24" i="22" s="1"/>
  <c r="M24" i="22" s="1"/>
  <c r="F10" i="22"/>
  <c r="F11" i="22"/>
  <c r="F13" i="22"/>
  <c r="I13" i="22" s="1"/>
  <c r="F14" i="22"/>
  <c r="K14" i="22" s="1"/>
  <c r="M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I14" i="22"/>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L3" i="28"/>
  <c r="I12" i="22" l="1"/>
  <c r="G12" i="22"/>
  <c r="G13" i="22"/>
  <c r="G24" i="22"/>
  <c r="K25" i="22"/>
  <c r="M25" i="22" s="1"/>
  <c r="G14" i="22"/>
  <c r="I24" i="22"/>
  <c r="I36" i="22"/>
  <c r="I15" i="22"/>
  <c r="G15" i="22"/>
  <c r="I34" i="22"/>
  <c r="K34" i="22" s="1"/>
  <c r="N34" i="22" s="1"/>
  <c r="I25" i="22"/>
  <c r="I32" i="22"/>
  <c r="K32" i="22" s="1"/>
  <c r="N32" i="22" s="1"/>
  <c r="I7" i="22"/>
  <c r="G3" i="28" s="1"/>
  <c r="I33" i="22"/>
  <c r="I9" i="22"/>
  <c r="K26" i="22"/>
  <c r="M26" i="22" s="1"/>
  <c r="I35" i="22"/>
  <c r="M35" i="22" s="1"/>
  <c r="I18" i="22"/>
  <c r="K19" i="22"/>
  <c r="M19" i="22" s="1"/>
  <c r="K16" i="22"/>
  <c r="M16" i="22" s="1"/>
  <c r="I19" i="22"/>
  <c r="K18" i="22"/>
  <c r="M18" i="22" s="1"/>
  <c r="G10" i="22"/>
  <c r="I10" i="22" s="1"/>
  <c r="K10" i="22" s="1"/>
  <c r="G22" i="22"/>
  <c r="K21" i="22"/>
  <c r="M21" i="22" s="1"/>
  <c r="G11" i="22"/>
  <c r="I11" i="22" s="1"/>
  <c r="K11" i="22" s="1"/>
  <c r="M11" i="22" s="1"/>
  <c r="I17" i="22"/>
  <c r="I26" i="22"/>
  <c r="G17" i="22"/>
  <c r="K13" i="22"/>
  <c r="M13" i="22" s="1"/>
  <c r="K9" i="22"/>
  <c r="M9" i="22" s="1"/>
  <c r="I16" i="22"/>
  <c r="G20" i="22"/>
  <c r="K23" i="22"/>
  <c r="M23" i="22" s="1"/>
  <c r="I21" i="22"/>
  <c r="K22" i="22"/>
  <c r="M22" i="22" s="1"/>
  <c r="I8" i="22"/>
  <c r="K8" i="22" s="1"/>
  <c r="M8" i="22" s="1"/>
  <c r="I23" i="22"/>
  <c r="K20" i="22"/>
  <c r="M20" i="22" s="1"/>
  <c r="H3" i="28"/>
  <c r="N15" i="22"/>
  <c r="N12" i="22"/>
  <c r="N24" i="22"/>
  <c r="N25" i="22"/>
  <c r="N17" i="22"/>
  <c r="N14" i="22"/>
  <c r="L2" i="28"/>
  <c r="K3" i="28"/>
  <c r="K2" i="28"/>
  <c r="G2" i="28"/>
  <c r="G13" i="28"/>
  <c r="G14" i="28"/>
  <c r="G4" i="28"/>
  <c r="G8" i="28"/>
  <c r="G11" i="28"/>
  <c r="G12" i="28"/>
  <c r="G9" i="28"/>
  <c r="G6" i="28"/>
  <c r="G15" i="28"/>
  <c r="G7" i="28"/>
  <c r="G5" i="28"/>
  <c r="G10" i="28"/>
  <c r="H6" i="28"/>
  <c r="H15" i="28"/>
  <c r="H12" i="28"/>
  <c r="H9" i="28"/>
  <c r="H14" i="28"/>
  <c r="H10" i="28"/>
  <c r="H13" i="28"/>
  <c r="H11" i="28"/>
  <c r="H8" i="28"/>
  <c r="H5" i="28"/>
  <c r="H4" i="28"/>
  <c r="H7" i="28"/>
  <c r="H2" i="28"/>
  <c r="K7" i="22" l="1"/>
  <c r="M7" i="22" s="1"/>
  <c r="M32" i="22"/>
  <c r="M34" i="22"/>
  <c r="M36" i="22"/>
  <c r="K36" i="22"/>
  <c r="N36" i="22" s="1"/>
  <c r="N20" i="22"/>
  <c r="N26" i="22"/>
  <c r="M10" i="22"/>
  <c r="N10" i="22"/>
  <c r="K33" i="22"/>
  <c r="N33" i="22" s="1"/>
  <c r="K35" i="22"/>
  <c r="N35" i="22" s="1"/>
  <c r="N18" i="22"/>
  <c r="N13" i="22"/>
  <c r="N19" i="22"/>
  <c r="N16" i="22"/>
  <c r="N8" i="22"/>
  <c r="N21" i="22"/>
  <c r="N11" i="22"/>
  <c r="N9" i="22"/>
  <c r="N23" i="22"/>
  <c r="N22" i="22"/>
  <c r="N7" i="22" l="1"/>
  <c r="M33"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<sst xmlns="http://schemas.openxmlformats.org/spreadsheetml/2006/main" count="488" uniqueCount="175">
  <si>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</si>
  <si>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</si>
  <si>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</si>
  <si>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</si>
  <si>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</si>
  <si>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</si>
  <si>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</si>
  <si>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</si>
  <si>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</si>
  <si>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</si>
  <si>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</si>
  <si>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</si>
  <si>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</si>
  <si>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</si>
  <si>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</si>
  <si>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</si>
  <si>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</si>
  <si>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</si>
  <si>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</si>
  <si>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</si>
  <si>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</si>
  <si>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</si>
  <si>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</si>
  <si>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</si>
  <si>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</si>
  <si>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</si>
  <si>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</si>
  <si>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</si>
  <si>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</si>
  <si>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</si>
  <si>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</si>
  <si>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</si>
  <si>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</si>
  <si>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</si>
  <si>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</si>
  <si>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</si>
  <si>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</si>
  <si>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</si>
  <si>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</si>
  <si>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</si>
  <si>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</si>
  <si>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</si>
  <si>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</si>
  <si>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</si>
  <si>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</si>
  <si>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</si>
  <si>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</si>
  <si>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</si>
  <si>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</si>
  <si>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</si>
  <si>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</si>
  <si>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</si>
  <si>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</si>
  <si>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</si>
  <si>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</si>
  <si>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</si>
  <si>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</si>
  <si>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</si>
  <si>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</si>
  <si>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</si>
  <si>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</si>
  <si>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</si>
  <si>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</si>
  <si>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</si>
  <si>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</si>
  <si>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</si>
  <si>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</si>
  <si>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</si>
  <si>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</si>
  <si>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</si>
  <si>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</si>
  <si>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</si>
  <si>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</si>
  <si>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</si>
  <si>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</si>
  <si>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</si>
  <si>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</si>
  <si>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</si>
  <si>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</si>
  <si>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</si>
  <si>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</si>
  <si>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</si>
  <si>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</si>
  <si>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</si>
  <si>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</si>
  <si>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</si>
  <si>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</si>
  <si>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</si>
  <si>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</si>
  <si>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</si>
  <si>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</si>
  <si>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</si>
  <si>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</si>
  <si>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</si>
  <si>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</si>
  <si>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</si>
  <si>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</si>
  <si>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</si>
  <si>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</si>
  <si>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</si>
  <si>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</si>
  <si>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</si>
  <si>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</si>
  <si>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</si>
  <si>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</si>
  <si>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</si>
  <si>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</si>
  <si>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</si>
  <si>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</si>
  <si>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</si>
  <si>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</si>
  <si>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</si>
  <si>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</si>
  <si>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</si>
  <si>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</si>
  <si>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</si>
  <si>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</si>
  <si>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</si>
  <si>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</si>
  <si>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</si>
  <si>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</si>
  <si>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</si>
  <si>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</si>
  <si>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</si>
  <si>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</si>
  <si>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</si>
  <si>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</si>
  <si>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</si>
  <si>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</si>
  <si>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</si>
  <si>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</si>
  <si>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</si>
  <si>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</si>
  <si>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</si>
  <si>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</si>
  <si>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</si>
  <si>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</si>
  <si>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</si>
  <si>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</si>
  <si>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</si>
  <si>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</si>
  <si>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</si>
  <si>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</si>
  <si>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</si>
  <si>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</si>
  <si>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</si>
  <si>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</si>
  <si>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</si>
  <si>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</si>
  <si>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</si>
  <si>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</si>
  <si>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</si>
  <si>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</si>
  <si>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</si>
  <si>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</si>
  <si>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</si>
  <si>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</si>
  <si>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</si>
  <si>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</si>
  <si>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</si>
  <si>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</si>
  <si>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</si>
  <si>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</si>
  <si>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</si>
  <si>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#VALEUR!</t>
  </si>
  <si>
    <t>n'utilisez pas cette ligne SVP</t>
  </si>
  <si>
    <t>mg/L</t>
  </si>
  <si>
    <t>Test</t>
  </si>
  <si>
    <t>BPA</t>
  </si>
  <si>
    <t>ns</t>
  </si>
  <si>
    <t>&gt;0,99</t>
  </si>
  <si>
    <t>*</t>
  </si>
  <si>
    <t>***</t>
  </si>
  <si>
    <t>&lt;0,001</t>
  </si>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</sst>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2">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ercent"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0.33792319033312185</c:v>
                  </c:pt>
                  <c:pt idx="2">
                    <c:v>1.0809759285205622</c:v>
                  </c:pt>
                  <c:pt idx="3">
                    <c:v>7.8859467522611193E-3</c:v>
                  </c:pt>
                  <c:pt idx="4">
                    <c:v>0.48587086480732233</c:v>
                  </c:pt>
                  <c:pt idx="5">
                    <c:v>0.66323405446637473</c:v>
                  </c:pt>
                  <c:pt idx="6">
                    <c:v>0.47955155187143089</c:v>
                  </c:pt>
                  <c:pt idx="7">
                    <c:v>0.64463460788870008</c:v>
                  </c:pt>
                  <c:pt idx="8">
                    <c:v>0.93600175568981858</c:v>
                  </c:pt>
                </c:numCache>
              </c:numRef>
            </c:plus>
            <c:minus>
              <c:numRef>
                <c:f>'R1'!$N$48:$V$48</c:f>
                <c:numCache>
                  <c:formatCode>General</c:formatCode>
                  <c:ptCount val="9"/>
                  <c:pt idx="0">
                    <c:v>0</c:v>
                  </c:pt>
                  <c:pt idx="1">
                    <c:v>0.33792319033312185</c:v>
                  </c:pt>
                  <c:pt idx="2">
                    <c:v>1.0809759285205622</c:v>
                  </c:pt>
                  <c:pt idx="3">
                    <c:v>7.8859467522611193E-3</c:v>
                  </c:pt>
                  <c:pt idx="4">
                    <c:v>0.48587086480732233</c:v>
                  </c:pt>
                  <c:pt idx="5">
                    <c:v>0.66323405446637473</c:v>
                  </c:pt>
                  <c:pt idx="6">
                    <c:v>0.47955155187143089</c:v>
                  </c:pt>
                  <c:pt idx="7">
                    <c:v>0.64463460788870008</c:v>
                  </c:pt>
                  <c:pt idx="8">
                    <c:v>0.93600175568981858</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3">
                  <c:v>Testo -30µg/L</c:v>
                </c:pt>
                <c:pt idx="14">
                  <c:v>Testo 30µg/L + EE2 -64ng/L</c:v>
                </c:pt>
                <c:pt idx="15">
                  <c:v>Testo 30µg/L + FAD-10µg/L</c:v>
                </c:pt>
                <c:pt idx="16">
                  <c:v>BPA-1mg/L + Testostérone</c:v>
                </c:pt>
                <c:pt idx="17">
                  <c:v>BPA-2mg/L + Testostérone</c:v>
                </c:pt>
                <c:pt idx="18">
                  <c:v>BPA-3mg/L + Testostérone</c:v>
                </c:pt>
                <c:pt idx="19">
                  <c:v>BPA-4mg/L + Testostérone</c:v>
                </c:pt>
                <c:pt idx="20">
                  <c:v>BPA-5mg/L + Testostérone</c:v>
                </c:pt>
              </c:strCache>
            </c:strRef>
          </c:cat>
          <c:val>
            <c:numRef>
              <c:f>'R1'!$B$53:$V$53</c:f>
              <c:numCache>
                <c:formatCode>0.0000</c:formatCode>
                <c:ptCount val="21"/>
                <c:pt idx="0">
                  <c:v>1.5076724826616279E-2</c:v>
                </c:pt>
                <c:pt idx="1">
                  <c:v>7.1823700845819169E-2</c:v>
                </c:pt>
                <c:pt idx="2">
                  <c:v>0.26956077992484956</c:v>
                </c:pt>
                <c:pt idx="3">
                  <c:v>0.50737083299136554</c:v>
                </c:pt>
                <c:pt idx="4">
                  <c:v>1.1708824281506049</c:v>
                </c:pt>
                <c:pt idx="5">
                  <c:v>2.5302594578403261</c:v>
                </c:pt>
                <c:pt idx="6">
                  <c:v>6.1964008604972269</c:v>
                </c:pt>
                <c:pt idx="7">
                  <c:v>1.1185902357382062E-2</c:v>
                </c:pt>
                <c:pt idx="8">
                  <c:v>1.3350454142766102E-2</c:v>
                </c:pt>
                <c:pt idx="9">
                  <c:v>1.8024353573152883E-2</c:v>
                </c:pt>
                <c:pt idx="10">
                  <c:v>0.32483197163842498</c:v>
                </c:pt>
                <c:pt idx="11">
                  <c:v>1.0495537171815863</c:v>
                </c:pt>
                <c:pt idx="13">
                  <c:v>1</c:v>
                </c:pt>
                <c:pt idx="14">
                  <c:v>6.6283074862089348</c:v>
                </c:pt>
                <c:pt idx="15">
                  <c:v>1.9330377515309641E-2</c:v>
                </c:pt>
                <c:pt idx="16">
                  <c:v>1.1672574558835158</c:v>
                </c:pt>
                <c:pt idx="17">
                  <c:v>2.6787246876604933</c:v>
                </c:pt>
                <c:pt idx="18">
                  <c:v>3.9778762529044553</c:v>
                </c:pt>
                <c:pt idx="19">
                  <c:v>4.6235542729607726</c:v>
                </c:pt>
                <c:pt idx="20">
                  <c:v>5.3305947628570687</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4.5628739940703981E-2</c:v>
                  </c:pt>
                  <c:pt idx="1">
                    <c:v>2.5682731881124576E-2</c:v>
                  </c:pt>
                  <c:pt idx="2">
                    <c:v>2.805932709562475E-2</c:v>
                  </c:pt>
                  <c:pt idx="3">
                    <c:v>0.5940023177384004</c:v>
                  </c:pt>
                  <c:pt idx="4">
                    <c:v>1.2216850726422264</c:v>
                  </c:pt>
                  <c:pt idx="5">
                    <c:v>0.87912435230617247</c:v>
                  </c:pt>
                  <c:pt idx="6">
                    <c:v>1.7675043617146273</c:v>
                  </c:pt>
                  <c:pt idx="7">
                    <c:v>5.7159165993287291E-2</c:v>
                  </c:pt>
                  <c:pt idx="8">
                    <c:v>0.1267241113411644</c:v>
                  </c:pt>
                  <c:pt idx="9">
                    <c:v>1.5043074777845078E-2</c:v>
                  </c:pt>
                  <c:pt idx="10">
                    <c:v>0.40574625835391953</c:v>
                  </c:pt>
                  <c:pt idx="11">
                    <c:v>1.2757776028200432</c:v>
                  </c:pt>
                  <c:pt idx="13">
                    <c:v>0.51853214678322934</c:v>
                  </c:pt>
                  <c:pt idx="14">
                    <c:v>0.64869316663999865</c:v>
                  </c:pt>
                  <c:pt idx="15">
                    <c:v>7.2167103777912439E-2</c:v>
                  </c:pt>
                  <c:pt idx="16">
                    <c:v>0.93000544689462938</c:v>
                  </c:pt>
                  <c:pt idx="17">
                    <c:v>0.46153526163581432</c:v>
                  </c:pt>
                  <c:pt idx="18">
                    <c:v>0.64326099572837037</c:v>
                  </c:pt>
                  <c:pt idx="19">
                    <c:v>1.3320124589184044</c:v>
                  </c:pt>
                  <c:pt idx="20">
                    <c:v>0.77200345380648361</c:v>
                  </c:pt>
                </c:numCache>
              </c:numRef>
            </c:plus>
            <c:minus>
              <c:numRef>
                <c:f>'R1'!$N$48:$V$48</c:f>
                <c:numCache>
                  <c:formatCode>General</c:formatCode>
                  <c:ptCount val="9"/>
                  <c:pt idx="0">
                    <c:v>0</c:v>
                  </c:pt>
                  <c:pt idx="1">
                    <c:v>0.33792319033312185</c:v>
                  </c:pt>
                  <c:pt idx="2">
                    <c:v>1.0809759285205622</c:v>
                  </c:pt>
                  <c:pt idx="3">
                    <c:v>7.8859467522611193E-3</c:v>
                  </c:pt>
                  <c:pt idx="4">
                    <c:v>0.48587086480732233</c:v>
                  </c:pt>
                  <c:pt idx="5">
                    <c:v>0.66323405446637473</c:v>
                  </c:pt>
                  <c:pt idx="6">
                    <c:v>0.47955155187143089</c:v>
                  </c:pt>
                  <c:pt idx="7">
                    <c:v>0.64463460788870008</c:v>
                  </c:pt>
                  <c:pt idx="8">
                    <c:v>0.93600175568981858</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3">
                  <c:v>Testo -30µg/L</c:v>
                </c:pt>
                <c:pt idx="14">
                  <c:v>Testo 30µg/L + EE2 -64ng/L</c:v>
                </c:pt>
                <c:pt idx="15">
                  <c:v>Testo 30µg/L + FAD-10µg/L</c:v>
                </c:pt>
                <c:pt idx="16">
                  <c:v>BPA-1mg/L + Testostérone</c:v>
                </c:pt>
                <c:pt idx="17">
                  <c:v>BPA-2mg/L + Testostérone</c:v>
                </c:pt>
                <c:pt idx="18">
                  <c:v>BPA-3mg/L + Testostérone</c:v>
                </c:pt>
                <c:pt idx="19">
                  <c:v>BPA-4mg/L + Testostérone</c:v>
                </c:pt>
                <c:pt idx="20">
                  <c:v>BPA-5mg/L + Testostérone</c:v>
                </c:pt>
              </c:strCache>
            </c:strRef>
          </c:cat>
          <c:val>
            <c:numRef>
              <c:f>'R2'!$B$53:$V$53</c:f>
              <c:numCache>
                <c:formatCode>0.0000</c:formatCode>
                <c:ptCount val="21"/>
                <c:pt idx="0">
                  <c:v>0.15356910076683486</c:v>
                </c:pt>
                <c:pt idx="1">
                  <c:v>9.0337552348824054E-2</c:v>
                </c:pt>
                <c:pt idx="2">
                  <c:v>0.11864026036586971</c:v>
                </c:pt>
                <c:pt idx="3">
                  <c:v>2.5302354268236407</c:v>
                </c:pt>
                <c:pt idx="4">
                  <c:v>5.5341889740200827</c:v>
                </c:pt>
                <c:pt idx="5">
                  <c:v>7.3898137869139919</c:v>
                </c:pt>
                <c:pt idx="6">
                  <c:v>15.342331815106757</c:v>
                </c:pt>
                <c:pt idx="7">
                  <c:v>0.2287733649789408</c:v>
                </c:pt>
                <c:pt idx="8">
                  <c:v>0.21114812085858889</c:v>
                </c:pt>
                <c:pt idx="9">
                  <c:v>0.12394609366356377</c:v>
                </c:pt>
                <c:pt idx="10">
                  <c:v>0.80400375324945395</c:v>
                </c:pt>
                <c:pt idx="11">
                  <c:v>3.1362617325938187</c:v>
                </c:pt>
                <c:pt idx="13">
                  <c:v>1</c:v>
                </c:pt>
                <c:pt idx="14">
                  <c:v>8.3414430045577568</c:v>
                </c:pt>
                <c:pt idx="15">
                  <c:v>0.28409255430832786</c:v>
                </c:pt>
                <c:pt idx="16">
                  <c:v>1.7796345136541878</c:v>
                </c:pt>
                <c:pt idx="17">
                  <c:v>1.5196665501254472</c:v>
                </c:pt>
                <c:pt idx="18">
                  <c:v>2.7345951213659938</c:v>
                </c:pt>
                <c:pt idx="19">
                  <c:v>6.8553725063389717</c:v>
                </c:pt>
                <c:pt idx="20">
                  <c:v>4.4745315956327598</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6.4995292314682485E-2</c:v>
                  </c:pt>
                  <c:pt idx="1">
                    <c:v>0.20867701236095745</c:v>
                  </c:pt>
                  <c:pt idx="2">
                    <c:v>0.12536691422155172</c:v>
                  </c:pt>
                  <c:pt idx="3">
                    <c:v>0.86098798706557078</c:v>
                  </c:pt>
                  <c:pt idx="4">
                    <c:v>1.3851653486909996</c:v>
                  </c:pt>
                  <c:pt idx="5">
                    <c:v>1.2648092553446288</c:v>
                  </c:pt>
                  <c:pt idx="6">
                    <c:v>2.1145013887247552</c:v>
                  </c:pt>
                  <c:pt idx="7">
                    <c:v>7.4956548513678792E-2</c:v>
                  </c:pt>
                  <c:pt idx="8">
                    <c:v>4.4047245144611599E-2</c:v>
                  </c:pt>
                  <c:pt idx="9">
                    <c:v>2.5106513446133474</c:v>
                  </c:pt>
                  <c:pt idx="10">
                    <c:v>1.0809762180721549</c:v>
                  </c:pt>
                  <c:pt idx="11">
                    <c:v>0.98384358611498712</c:v>
                  </c:pt>
                  <c:pt idx="13">
                    <c:v>0.33236508417828409</c:v>
                  </c:pt>
                  <c:pt idx="14">
                    <c:v>1.3616926254895017</c:v>
                  </c:pt>
                  <c:pt idx="15">
                    <c:v>8.5224183384975907E-2</c:v>
                  </c:pt>
                  <c:pt idx="16">
                    <c:v>0.68978782960760565</c:v>
                  </c:pt>
                  <c:pt idx="17">
                    <c:v>0.39387694920520305</c:v>
                  </c:pt>
                  <c:pt idx="18">
                    <c:v>0.93378773326355979</c:v>
                  </c:pt>
                  <c:pt idx="19">
                    <c:v>1.2517101121100118</c:v>
                  </c:pt>
                  <c:pt idx="20">
                    <c:v>1.9887669157286254</c:v>
                  </c:pt>
                </c:numCache>
              </c:numRef>
            </c:plus>
            <c:minus>
              <c:numRef>
                <c:f>'R1'!$N$48:$V$48</c:f>
                <c:numCache>
                  <c:formatCode>General</c:formatCode>
                  <c:ptCount val="9"/>
                  <c:pt idx="0">
                    <c:v>0</c:v>
                  </c:pt>
                  <c:pt idx="1">
                    <c:v>0.33792319033312185</c:v>
                  </c:pt>
                  <c:pt idx="2">
                    <c:v>1.0809759285205622</c:v>
                  </c:pt>
                  <c:pt idx="3">
                    <c:v>7.8859467522611193E-3</c:v>
                  </c:pt>
                  <c:pt idx="4">
                    <c:v>0.48587086480732233</c:v>
                  </c:pt>
                  <c:pt idx="5">
                    <c:v>0.66323405446637473</c:v>
                  </c:pt>
                  <c:pt idx="6">
                    <c:v>0.47955155187143089</c:v>
                  </c:pt>
                  <c:pt idx="7">
                    <c:v>0.64463460788870008</c:v>
                  </c:pt>
                  <c:pt idx="8">
                    <c:v>0.93600175568981858</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3">
                  <c:v>Testo -30µg/L</c:v>
                </c:pt>
                <c:pt idx="14">
                  <c:v>Testo 30µg/L + EE2 -64ng/L</c:v>
                </c:pt>
                <c:pt idx="15">
                  <c:v>Testo 30µg/L + FAD-10µg/L</c:v>
                </c:pt>
                <c:pt idx="16">
                  <c:v>BPA-1mg/L + Testostérone</c:v>
                </c:pt>
                <c:pt idx="17">
                  <c:v>BPA-2mg/L + Testostérone</c:v>
                </c:pt>
                <c:pt idx="18">
                  <c:v>BPA-3mg/L + Testostérone</c:v>
                </c:pt>
                <c:pt idx="19">
                  <c:v>BPA-4mg/L + Testostérone</c:v>
                </c:pt>
                <c:pt idx="20">
                  <c:v>BPA-5mg/L + Testostérone</c:v>
                </c:pt>
              </c:strCache>
            </c:strRef>
          </c:cat>
          <c:val>
            <c:numRef>
              <c:f>'R3'!$B$53:$V$53</c:f>
              <c:numCache>
                <c:formatCode>0.0000</c:formatCode>
                <c:ptCount val="21"/>
                <c:pt idx="0">
                  <c:v>0.25491650849424052</c:v>
                </c:pt>
                <c:pt idx="1">
                  <c:v>0.49008297893101854</c:v>
                </c:pt>
                <c:pt idx="2">
                  <c:v>0.44359690135126695</c:v>
                </c:pt>
                <c:pt idx="3">
                  <c:v>3.7762959877165407</c:v>
                </c:pt>
                <c:pt idx="4">
                  <c:v>9.7714621831347142</c:v>
                </c:pt>
                <c:pt idx="5">
                  <c:v>12.627117345767232</c:v>
                </c:pt>
                <c:pt idx="6">
                  <c:v>18.111757159981583</c:v>
                </c:pt>
                <c:pt idx="7">
                  <c:v>0.27120025435695139</c:v>
                </c:pt>
                <c:pt idx="8">
                  <c:v>0.16816400487734917</c:v>
                </c:pt>
                <c:pt idx="9">
                  <c:v>2.8321114544632215</c:v>
                </c:pt>
                <c:pt idx="10">
                  <c:v>3.8493867658049972</c:v>
                </c:pt>
                <c:pt idx="11">
                  <c:v>4.8225533994144456</c:v>
                </c:pt>
                <c:pt idx="13">
                  <c:v>0.99999999999999989</c:v>
                </c:pt>
                <c:pt idx="14">
                  <c:v>8.9069757499700088</c:v>
                </c:pt>
                <c:pt idx="15">
                  <c:v>0.28475245095536161</c:v>
                </c:pt>
                <c:pt idx="16">
                  <c:v>1.7402800094881417</c:v>
                </c:pt>
                <c:pt idx="17">
                  <c:v>1.318136498609437</c:v>
                </c:pt>
                <c:pt idx="18">
                  <c:v>4.0234016152230554</c:v>
                </c:pt>
                <c:pt idx="19">
                  <c:v>5.1262362725388551</c:v>
                </c:pt>
                <c:pt idx="20">
                  <c:v>7.4697974479154858</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4E113422-1F98-4AF5-A139-F8D28F9B09F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F7C5E677-12FB-4A20-A87B-3312535E9E3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57DCBBC0-265D-4513-B11E-C39E8E30365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487C5070-9FE1-4C80-92E1-F7612AAA3E8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24CED427-C678-411B-BF53-110FFCAB8BC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42D61ABD-8640-47B2-B13C-784A888BF68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8ACDD264-83A2-45FA-9D9B-76F18D98EA3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1A7D63DC-9C3B-49FC-9530-5B5ED01464F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3F8B240A-18C5-4248-822B-F5AE795C537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A6EDCEDC-510C-4D20-922D-DA79F96AC95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1C08FD32-62FC-47EF-932A-050DC21E0CB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3F142DB6-AAA6-40B0-BDB2-6CECC37216F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7DC83C76-F1E9-4977-A500-5608B8128BC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D2F74459-9B7F-4A28-8821-E1C7C42A30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16520A33-76EB-404C-8FA9-E93EA5CFAAC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AD49CF51-B3D5-4A43-A946-9C55B39479E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207DC70C-AE08-4AC2-8FB9-C9F8AD1E575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013A8F42-5F55-420C-BCC9-64A28E6C724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9814BCEF-0B7F-4637-9E1E-65A41776291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17146457-4280-4C8E-AE22-AA4929095C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3.3544894575351175E-2</c:v>
                  </c:pt>
                  <c:pt idx="1">
                    <c:v>8.0935306273757904E-2</c:v>
                  </c:pt>
                  <c:pt idx="2">
                    <c:v>9.1876945247351779E-2</c:v>
                  </c:pt>
                  <c:pt idx="3">
                    <c:v>0.45458259611181118</c:v>
                  </c:pt>
                  <c:pt idx="4">
                    <c:v>0.96465470300049294</c:v>
                  </c:pt>
                  <c:pt idx="5">
                    <c:v>1.0123201213077917</c:v>
                  </c:pt>
                  <c:pt idx="6">
                    <c:v>1.452723783580337</c:v>
                  </c:pt>
                  <c:pt idx="7">
                    <c:v>3.8296466191606239E-2</c:v>
                  </c:pt>
                  <c:pt idx="8">
                    <c:v>4.6297894850398855E-2</c:v>
                  </c:pt>
                  <c:pt idx="9">
                    <c:v>0.84453751865563276</c:v>
                  </c:pt>
                  <c:pt idx="10">
                    <c:v>0.49273804704730456</c:v>
                  </c:pt>
                  <c:pt idx="11">
                    <c:v>0.63899366466314356</c:v>
                  </c:pt>
                  <c:pt idx="13">
                    <c:v>0.23065531275731424</c:v>
                  </c:pt>
                  <c:pt idx="14">
                    <c:v>0.64317396698704743</c:v>
                  </c:pt>
                  <c:pt idx="15">
                    <c:v>4.371067474848038E-2</c:v>
                  </c:pt>
                  <c:pt idx="16">
                    <c:v>0.40418974074974101</c:v>
                  </c:pt>
                  <c:pt idx="17">
                    <c:v>0.31241562188339134</c:v>
                  </c:pt>
                  <c:pt idx="18">
                    <c:v>0.41142403367810426</c:v>
                  </c:pt>
                  <c:pt idx="19">
                    <c:v>0.64871477014148671</c:v>
                  </c:pt>
                  <c:pt idx="20">
                    <c:v>0.8070260492962692</c:v>
                  </c:pt>
                </c:numCache>
              </c:numRef>
            </c:plus>
            <c:minus>
              <c:numRef>
                <c:f>'pooled normalised values'!$B$76:$V$76</c:f>
                <c:numCache>
                  <c:formatCode>General</c:formatCode>
                  <c:ptCount val="21"/>
                  <c:pt idx="0">
                    <c:v>3.3544894575351175E-2</c:v>
                  </c:pt>
                  <c:pt idx="1">
                    <c:v>8.0935306273757904E-2</c:v>
                  </c:pt>
                  <c:pt idx="2">
                    <c:v>9.1876945247351779E-2</c:v>
                  </c:pt>
                  <c:pt idx="3">
                    <c:v>0.45458259611181118</c:v>
                  </c:pt>
                  <c:pt idx="4">
                    <c:v>0.96465470300049294</c:v>
                  </c:pt>
                  <c:pt idx="5">
                    <c:v>1.0123201213077917</c:v>
                  </c:pt>
                  <c:pt idx="6">
                    <c:v>1.452723783580337</c:v>
                  </c:pt>
                  <c:pt idx="7">
                    <c:v>3.8296466191606239E-2</c:v>
                  </c:pt>
                  <c:pt idx="8">
                    <c:v>4.6297894850398855E-2</c:v>
                  </c:pt>
                  <c:pt idx="9">
                    <c:v>0.84453751865563276</c:v>
                  </c:pt>
                  <c:pt idx="10">
                    <c:v>0.49273804704730456</c:v>
                  </c:pt>
                  <c:pt idx="11">
                    <c:v>0.63899366466314356</c:v>
                  </c:pt>
                  <c:pt idx="13">
                    <c:v>0.23065531275731424</c:v>
                  </c:pt>
                  <c:pt idx="14">
                    <c:v>0.64317396698704743</c:v>
                  </c:pt>
                  <c:pt idx="15">
                    <c:v>4.371067474848038E-2</c:v>
                  </c:pt>
                  <c:pt idx="16">
                    <c:v>0.40418974074974101</c:v>
                  </c:pt>
                  <c:pt idx="17">
                    <c:v>0.31241562188339134</c:v>
                  </c:pt>
                  <c:pt idx="18">
                    <c:v>0.41142403367810426</c:v>
                  </c:pt>
                  <c:pt idx="19">
                    <c:v>0.64871477014148671</c:v>
                  </c:pt>
                  <c:pt idx="20">
                    <c:v>0.8070260492962692</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3">
                  <c:v>Testo -30µg/L</c:v>
                </c:pt>
                <c:pt idx="14">
                  <c:v>Testo 30µg/L + EE2 -64ng/L</c:v>
                </c:pt>
                <c:pt idx="15">
                  <c:v>Testo 30µg/L + FAD-10µg/L</c:v>
                </c:pt>
                <c:pt idx="16">
                  <c:v>BPA-1mg/L + Testostérone</c:v>
                </c:pt>
                <c:pt idx="17">
                  <c:v>BPA-2mg/L + Testostérone</c:v>
                </c:pt>
                <c:pt idx="18">
                  <c:v>BPA-3mg/L + Testostérone</c:v>
                </c:pt>
                <c:pt idx="19">
                  <c:v>BPA-4mg/L + Testostérone</c:v>
                </c:pt>
                <c:pt idx="20">
                  <c:v>BPA-5mg/L + Testostérone</c:v>
                </c:pt>
              </c:strCache>
            </c:strRef>
          </c:cat>
          <c:val>
            <c:numRef>
              <c:f>'pooled normalised values'!$B$75:$V$75</c:f>
              <c:numCache>
                <c:formatCode>0.0000</c:formatCode>
                <c:ptCount val="21"/>
                <c:pt idx="0">
                  <c:v>0.14667051947282247</c:v>
                </c:pt>
                <c:pt idx="1">
                  <c:v>0.21741474404188724</c:v>
                </c:pt>
                <c:pt idx="2">
                  <c:v>0.28416275099000088</c:v>
                </c:pt>
                <c:pt idx="3">
                  <c:v>2.2830705072520212</c:v>
                </c:pt>
                <c:pt idx="4">
                  <c:v>5.6800602719257656</c:v>
                </c:pt>
                <c:pt idx="5">
                  <c:v>7.7324897941883499</c:v>
                </c:pt>
                <c:pt idx="6">
                  <c:v>13.855050771076822</c:v>
                </c:pt>
                <c:pt idx="7">
                  <c:v>0.17038650723109142</c:v>
                </c:pt>
                <c:pt idx="8">
                  <c:v>0.13088752662623473</c:v>
                </c:pt>
                <c:pt idx="9">
                  <c:v>0.99136063389997942</c:v>
                </c:pt>
                <c:pt idx="10">
                  <c:v>1.6594074968976251</c:v>
                </c:pt>
                <c:pt idx="11">
                  <c:v>3.0088565307692163</c:v>
                </c:pt>
                <c:pt idx="13">
                  <c:v>1.0000000000000002</c:v>
                </c:pt>
                <c:pt idx="14">
                  <c:v>7.9422768226667761</c:v>
                </c:pt>
                <c:pt idx="15">
                  <c:v>0.19220220049028836</c:v>
                </c:pt>
                <c:pt idx="16">
                  <c:v>1.5623906596752819</c:v>
                </c:pt>
                <c:pt idx="17">
                  <c:v>1.8388425787984588</c:v>
                </c:pt>
                <c:pt idx="18">
                  <c:v>3.5786243298311695</c:v>
                </c:pt>
                <c:pt idx="19">
                  <c:v>5.5350543506128664</c:v>
                </c:pt>
                <c:pt idx="20">
                  <c:v>5.7769041603645839</c:v>
                </c:pt>
              </c:numCache>
            </c:numRef>
          </c:val>
          <c:extLst>
            <c:ext xmlns:c15="http://schemas.microsoft.com/office/drawing/2012/chart" uri="{02D57815-91ED-43cb-92C2-25804820EDAC}">
              <c15:datalabelsRange>
                <c15:f>'pooled normalised values'!$B$83:$V$83</c15:f>
                <c15:dlblRangeCache>
                  <c:ptCount val="21"/>
                  <c:pt idx="1">
                    <c:v>ns</c:v>
                  </c:pt>
                  <c:pt idx="2">
                    <c:v>ns</c:v>
                  </c:pt>
                  <c:pt idx="3">
                    <c:v>*</c:v>
                  </c:pt>
                  <c:pt idx="4">
                    <c:v>***</c:v>
                  </c:pt>
                  <c:pt idx="5">
                    <c:v>***</c:v>
                  </c:pt>
                  <c:pt idx="6">
                    <c:v>***</c:v>
                  </c:pt>
                  <c:pt idx="7">
                    <c:v>ns</c:v>
                  </c:pt>
                  <c:pt idx="8">
                    <c:v>ns</c:v>
                  </c:pt>
                  <c:pt idx="9">
                    <c:v>ns</c:v>
                  </c:pt>
                  <c:pt idx="10">
                    <c:v>*</c:v>
                  </c:pt>
                  <c:pt idx="11">
                    <c:v>***</c:v>
                  </c:pt>
                  <c:pt idx="13">
                    <c:v>#NAME?</c:v>
                  </c:pt>
                  <c:pt idx="14">
                    <c:v>#NAME?</c:v>
                  </c:pt>
                  <c:pt idx="15">
                    <c:v>#NAME?</c:v>
                  </c:pt>
                  <c:pt idx="16">
                    <c:v>ns</c:v>
                  </c:pt>
                  <c:pt idx="17">
                    <c:v>ns</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BPA-1mg/L : 0%</c:v>
                  </c:pt>
                  <c:pt idx="1">
                    <c:v>BPA-2mg/L : 0%</c:v>
                  </c:pt>
                  <c:pt idx="2">
                    <c:v>BPA-3mg/L : 0%</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BPA-1mg/L : 0%</c:v>
                  </c:pt>
                  <c:pt idx="1">
                    <c:v>BPA-2mg/L : 0%</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BPA-1mg/L : 0%</c:v>
                  </c:pt>
                  <c:pt idx="1">
                    <c:v>BPA-2mg/L : 0%</c:v>
                  </c:pt>
                  <c:pt idx="2">
                    <c:v>BPA-3mg/L : 0%</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BPA-1mg/L : 0%</c:v>
                  </c:pt>
                  <c:pt idx="1">
                    <c:v>BPA-2mg/L : 0%</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2455BC6A-D040-465A-8F18-B4BCA9A11EC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388F287A-CF85-4CB0-AE0B-0BF6BDD9661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7FE9C342-281F-4745-B6DF-7DC4AADB429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85F5E1AE-C6CF-402B-8864-CA138B46B1F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692DE184-FBC5-4C64-8B75-1C658161921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DDAADD48-3B9F-401C-8C12-25B68F3CA39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39C04297-E892-4E2D-84EB-B39AA1B38C7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D6D27515-5D9B-4F44-9A33-AB7481F3287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F2DB7520-5319-47EA-89F9-955CDB2E8C7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FB19C091-9F82-42EF-BCD4-850A8183095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7C119306-0E87-4AB6-A5E3-7CE3131E069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A3A2B4FE-A901-46B0-B6A6-28F3F24877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96450329-E601-437C-AD08-D4A2A7A042C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75095223-9F4E-421C-8BB6-C461DC75E08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4.6297894850398855E-2</c:v>
                  </c:pt>
                  <c:pt idx="2">
                    <c:v>0.84453751865563276</c:v>
                  </c:pt>
                  <c:pt idx="3">
                    <c:v>0.49273804704730456</c:v>
                  </c:pt>
                  <c:pt idx="4">
                    <c:v>0.63899366466314356</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4.6297894850398855E-2</c:v>
                  </c:pt>
                  <c:pt idx="2">
                    <c:v>0.84453751865563276</c:v>
                  </c:pt>
                  <c:pt idx="3">
                    <c:v>0.49273804704730456</c:v>
                  </c:pt>
                  <c:pt idx="4">
                    <c:v>0.63899366466314356</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0.13088752662623473</c:v>
                </c:pt>
                <c:pt idx="2">
                  <c:v>0.99136063389997942</c:v>
                </c:pt>
                <c:pt idx="3">
                  <c:v>1.6594074968976251</c:v>
                </c:pt>
                <c:pt idx="4">
                  <c:v>3.0088565307692163</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0.14667051947282247</c:v>
                </c:pt>
                <c:pt idx="1">
                  <c:v>0.14667051947282247</c:v>
                </c:pt>
                <c:pt idx="2">
                  <c:v>0.14667051947282247</c:v>
                </c:pt>
                <c:pt idx="3">
                  <c:v>0.14667051947282247</c:v>
                </c:pt>
                <c:pt idx="4">
                  <c:v>0.14667051947282247</c:v>
                </c:pt>
                <c:pt idx="5">
                  <c:v>0.14667051947282247</c:v>
                </c:pt>
                <c:pt idx="6">
                  <c:v>0.14667051947282247</c:v>
                </c:pt>
                <c:pt idx="7">
                  <c:v>0.14667051947282247</c:v>
                </c:pt>
                <c:pt idx="8">
                  <c:v>0.14667051947282247</c:v>
                </c:pt>
                <c:pt idx="9">
                  <c:v>0.14667051947282247</c:v>
                </c:pt>
                <c:pt idx="10">
                  <c:v>0.14667051947282247</c:v>
                </c:pt>
                <c:pt idx="11">
                  <c:v>0.14667051947282247</c:v>
                </c:pt>
                <c:pt idx="12">
                  <c:v>0.14667051947282247</c:v>
                </c:pt>
                <c:pt idx="13">
                  <c:v>0.14667051947282247</c:v>
                </c:pt>
                <c:pt idx="14">
                  <c:v>0.14667051947282247</c:v>
                </c:pt>
                <c:pt idx="15">
                  <c:v>0.14667051947282247</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7976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0.19220220049028836</c:v>
                </c:pt>
                <c:pt idx="1">
                  <c:v>0.19220220049028836</c:v>
                </c:pt>
                <c:pt idx="2">
                  <c:v>0.19220220049028836</c:v>
                </c:pt>
                <c:pt idx="3">
                  <c:v>0.19220220049028836</c:v>
                </c:pt>
                <c:pt idx="4">
                  <c:v>0.19220220049028836</c:v>
                </c:pt>
                <c:pt idx="5">
                  <c:v>0.19220220049028836</c:v>
                </c:pt>
                <c:pt idx="6">
                  <c:v>0.19220220049028836</c:v>
                </c:pt>
                <c:pt idx="7">
                  <c:v>0.19220220049028836</c:v>
                </c:pt>
                <c:pt idx="8">
                  <c:v>0.19220220049028836</c:v>
                </c:pt>
                <c:pt idx="9">
                  <c:v>0.19220220049028836</c:v>
                </c:pt>
                <c:pt idx="10">
                  <c:v>0.19220220049028836</c:v>
                </c:pt>
                <c:pt idx="11">
                  <c:v>0.19220220049028836</c:v>
                </c:pt>
                <c:pt idx="12">
                  <c:v>0.19220220049028836</c:v>
                </c:pt>
                <c:pt idx="13">
                  <c:v>0.19220220049028836</c:v>
                </c:pt>
                <c:pt idx="14">
                  <c:v>0.19220220049028836</c:v>
                </c:pt>
                <c:pt idx="15">
                  <c:v>0.19220220049028836</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7.7500746221764878</c:v>
                </c:pt>
                <c:pt idx="1">
                  <c:v>7.7500746221764878</c:v>
                </c:pt>
                <c:pt idx="2">
                  <c:v>7.7500746221764878</c:v>
                </c:pt>
                <c:pt idx="3">
                  <c:v>7.7500746221764878</c:v>
                </c:pt>
                <c:pt idx="4">
                  <c:v>7.7500746221764878</c:v>
                </c:pt>
                <c:pt idx="5">
                  <c:v>7.7500746221764878</c:v>
                </c:pt>
                <c:pt idx="6">
                  <c:v>7.7500746221764878</c:v>
                </c:pt>
                <c:pt idx="7">
                  <c:v>7.7500746221764878</c:v>
                </c:pt>
                <c:pt idx="8">
                  <c:v>7.7500746221764878</c:v>
                </c:pt>
                <c:pt idx="9">
                  <c:v>7.7500746221764878</c:v>
                </c:pt>
                <c:pt idx="10">
                  <c:v>7.7500746221764878</c:v>
                </c:pt>
                <c:pt idx="11">
                  <c:v>7.7500746221764878</c:v>
                </c:pt>
                <c:pt idx="12">
                  <c:v>7.7500746221764878</c:v>
                </c:pt>
                <c:pt idx="13">
                  <c:v>7.7500746221764878</c:v>
                </c:pt>
                <c:pt idx="14">
                  <c:v>7.7500746221764878</c:v>
                </c:pt>
                <c:pt idx="15">
                  <c:v>7.7500746221764878</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-5.2500746221764878</c:v>
                </c:pt>
                <c:pt idx="1">
                  <c:v>-5.2500746221764878</c:v>
                </c:pt>
                <c:pt idx="2">
                  <c:v>-5.2500746221764878</c:v>
                </c:pt>
                <c:pt idx="3">
                  <c:v>-5.2500746221764878</c:v>
                </c:pt>
                <c:pt idx="4">
                  <c:v>-5.2500746221764878</c:v>
                </c:pt>
                <c:pt idx="5">
                  <c:v>-5.2500746221764878</c:v>
                </c:pt>
                <c:pt idx="6">
                  <c:v>-5.2500746221764878</c:v>
                </c:pt>
                <c:pt idx="7">
                  <c:v>-5.2500746221764878</c:v>
                </c:pt>
                <c:pt idx="8">
                  <c:v>-5.2500746221764878</c:v>
                </c:pt>
                <c:pt idx="9">
                  <c:v>-5.2500746221764878</c:v>
                </c:pt>
                <c:pt idx="10">
                  <c:v>-5.2500746221764878</c:v>
                </c:pt>
                <c:pt idx="11">
                  <c:v>-5.2500746221764878</c:v>
                </c:pt>
                <c:pt idx="12">
                  <c:v>-5.2500746221764878</c:v>
                </c:pt>
                <c:pt idx="13">
                  <c:v>-5.2500746221764878</c:v>
                </c:pt>
                <c:pt idx="14">
                  <c:v>-5.2500746221764878</c:v>
                </c:pt>
                <c:pt idx="15">
                  <c:v>-5.2500746221764878</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4FF68674-FB6E-4B36-A01D-82ED3B3F663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071A1552-E21D-40AE-85BB-B7453F3D3F6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C9325237-3F75-421E-B30F-1936D4BA70D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3C33FAD9-C72E-4E8A-8226-9C8CCF798D8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EF03C870-A4E7-4EB4-AC3A-406BF472783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B2526204-06B0-4007-AB62-03ECDA01DEE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E4184981-66AC-405B-94ED-317D8044C58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07F75C03-0483-445F-8240-EE68CF5B7EF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63B1C7A0-9573-4FBE-B0C0-E4256F4F20E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B1B4F73A-1C92-4823-A5E8-7CD3E282C86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1C22F4C2-6F2C-4176-922E-36CC447E43C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47F56B05-922D-494A-988B-1E06E598B56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61676381-2C85-4DA2-B7B3-666E2D6755A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0AFD0DB3-F44A-4860-9B98-C70A4ABAFAD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0.40418974074974101</c:v>
                  </c:pt>
                  <c:pt idx="2">
                    <c:v>0.31241562188339134</c:v>
                  </c:pt>
                  <c:pt idx="3">
                    <c:v>0.41142403367810426</c:v>
                  </c:pt>
                  <c:pt idx="4">
                    <c:v>0.64871477014148671</c:v>
                  </c:pt>
                  <c:pt idx="5">
                    <c:v>0.8070260492962692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0.40418974074974101</c:v>
                  </c:pt>
                  <c:pt idx="2">
                    <c:v>0.31241562188339134</c:v>
                  </c:pt>
                  <c:pt idx="3">
                    <c:v>0.41142403367810426</c:v>
                  </c:pt>
                  <c:pt idx="4">
                    <c:v>0.64871477014148671</c:v>
                  </c:pt>
                  <c:pt idx="5">
                    <c:v>0.8070260492962692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1.5623906596752819</c:v>
                </c:pt>
                <c:pt idx="2">
                  <c:v>1.8388425787984588</c:v>
                </c:pt>
                <c:pt idx="3">
                  <c:v>3.5786243298311695</c:v>
                </c:pt>
                <c:pt idx="4">
                  <c:v>5.5350543506128664</c:v>
                </c:pt>
                <c:pt idx="5">
                  <c:v>5.7769041603645839</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093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A73F31CD-98EB-4B27-A10A-0A36D0F4C86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9D254319-ED4B-46C5-8DD7-E30B1C98F0F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A9BF7751-2BD1-4729-AC18-52EED66753A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3E1B7E4A-DB3F-4C60-A91D-AC0CBBACCD6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E134A696-0AE1-43E7-AEE5-17A5A9269A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A3175F35-3457-4BE5-A690-E91BD5B7B15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7456A238-D4DF-4298-A561-2C22101BBFC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C179BDC7-D853-4F4B-BC27-65AE6D2EA5D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3D9CF212-E622-4853-B676-FB84A127BEE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E24B131E-9ADF-436C-A7B7-D9D8E5C4F31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08CD8206-80CE-41C3-BD7E-161B99ECC88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0F33EDF1-499D-4CA3-8F4F-78F75D98F5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9F891B7F-3916-4149-8BD3-5B85E5F30EF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53135B15-E7A7-4844-B7DD-577C8122E7E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4.6297894850398855E-2</c:v>
                  </c:pt>
                  <c:pt idx="2">
                    <c:v>0.84453751865563276</c:v>
                  </c:pt>
                  <c:pt idx="3">
                    <c:v>0.49273804704730456</c:v>
                  </c:pt>
                  <c:pt idx="4">
                    <c:v>0.63899366466314356</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4.6297894850398855E-2</c:v>
                  </c:pt>
                  <c:pt idx="2">
                    <c:v>0.84453751865563276</c:v>
                  </c:pt>
                  <c:pt idx="3">
                    <c:v>0.49273804704730456</c:v>
                  </c:pt>
                  <c:pt idx="4">
                    <c:v>0.63899366466314356</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0.13088752662623473</c:v>
                </c:pt>
                <c:pt idx="2">
                  <c:v>0.99136063389997942</c:v>
                </c:pt>
                <c:pt idx="3">
                  <c:v>1.6594074968976251</c:v>
                </c:pt>
                <c:pt idx="4">
                  <c:v>3.0088565307692163</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0.14667051947282247</c:v>
                </c:pt>
                <c:pt idx="1">
                  <c:v>0.14667051947282247</c:v>
                </c:pt>
                <c:pt idx="2">
                  <c:v>0.14667051947282247</c:v>
                </c:pt>
                <c:pt idx="3">
                  <c:v>0.14667051947282247</c:v>
                </c:pt>
                <c:pt idx="4">
                  <c:v>0.14667051947282247</c:v>
                </c:pt>
                <c:pt idx="5">
                  <c:v>0.14667051947282247</c:v>
                </c:pt>
                <c:pt idx="6">
                  <c:v>0.14667051947282247</c:v>
                </c:pt>
                <c:pt idx="7">
                  <c:v>0.14667051947282247</c:v>
                </c:pt>
                <c:pt idx="8">
                  <c:v>0.14667051947282247</c:v>
                </c:pt>
                <c:pt idx="9">
                  <c:v>0.14667051947282247</c:v>
                </c:pt>
                <c:pt idx="10">
                  <c:v>0.14667051947282247</c:v>
                </c:pt>
                <c:pt idx="11">
                  <c:v>0.14667051947282247</c:v>
                </c:pt>
                <c:pt idx="12">
                  <c:v>0.14667051947282247</c:v>
                </c:pt>
                <c:pt idx="13">
                  <c:v>0.14667051947282247</c:v>
                </c:pt>
                <c:pt idx="14">
                  <c:v>0.14667051947282247</c:v>
                </c:pt>
                <c:pt idx="15">
                  <c:v>0.14667051947282247</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211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0.19220220049028836</c:v>
                </c:pt>
                <c:pt idx="1">
                  <c:v>0.19220220049028836</c:v>
                </c:pt>
                <c:pt idx="2">
                  <c:v>0.19220220049028836</c:v>
                </c:pt>
                <c:pt idx="3">
                  <c:v>0.19220220049028836</c:v>
                </c:pt>
                <c:pt idx="4">
                  <c:v>0.19220220049028836</c:v>
                </c:pt>
                <c:pt idx="5">
                  <c:v>0.19220220049028836</c:v>
                </c:pt>
                <c:pt idx="6">
                  <c:v>0.19220220049028836</c:v>
                </c:pt>
                <c:pt idx="7">
                  <c:v>0.19220220049028836</c:v>
                </c:pt>
                <c:pt idx="8">
                  <c:v>0.19220220049028836</c:v>
                </c:pt>
                <c:pt idx="9">
                  <c:v>0.19220220049028836</c:v>
                </c:pt>
                <c:pt idx="10">
                  <c:v>0.19220220049028836</c:v>
                </c:pt>
                <c:pt idx="11">
                  <c:v>0.19220220049028836</c:v>
                </c:pt>
                <c:pt idx="12">
                  <c:v>0.19220220049028836</c:v>
                </c:pt>
                <c:pt idx="13">
                  <c:v>0.19220220049028836</c:v>
                </c:pt>
                <c:pt idx="14">
                  <c:v>0.19220220049028836</c:v>
                </c:pt>
                <c:pt idx="15">
                  <c:v>0.19220220049028836</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7.7500746221764878</c:v>
                </c:pt>
                <c:pt idx="1">
                  <c:v>7.7500746221764878</c:v>
                </c:pt>
                <c:pt idx="2">
                  <c:v>7.7500746221764878</c:v>
                </c:pt>
                <c:pt idx="3">
                  <c:v>7.7500746221764878</c:v>
                </c:pt>
                <c:pt idx="4">
                  <c:v>7.7500746221764878</c:v>
                </c:pt>
                <c:pt idx="5">
                  <c:v>7.7500746221764878</c:v>
                </c:pt>
                <c:pt idx="6">
                  <c:v>7.7500746221764878</c:v>
                </c:pt>
                <c:pt idx="7">
                  <c:v>7.7500746221764878</c:v>
                </c:pt>
                <c:pt idx="8">
                  <c:v>7.7500746221764878</c:v>
                </c:pt>
                <c:pt idx="9">
                  <c:v>7.7500746221764878</c:v>
                </c:pt>
                <c:pt idx="10">
                  <c:v>7.7500746221764878</c:v>
                </c:pt>
                <c:pt idx="11">
                  <c:v>7.7500746221764878</c:v>
                </c:pt>
                <c:pt idx="12">
                  <c:v>7.7500746221764878</c:v>
                </c:pt>
                <c:pt idx="13">
                  <c:v>7.7500746221764878</c:v>
                </c:pt>
                <c:pt idx="14">
                  <c:v>7.7500746221764878</c:v>
                </c:pt>
                <c:pt idx="15">
                  <c:v>7.7500746221764878</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-5.2500746221764878</c:v>
                </c:pt>
                <c:pt idx="1">
                  <c:v>-5.2500746221764878</c:v>
                </c:pt>
                <c:pt idx="2">
                  <c:v>-5.2500746221764878</c:v>
                </c:pt>
                <c:pt idx="3">
                  <c:v>-5.2500746221764878</c:v>
                </c:pt>
                <c:pt idx="4">
                  <c:v>-5.2500746221764878</c:v>
                </c:pt>
                <c:pt idx="5">
                  <c:v>-5.2500746221764878</c:v>
                </c:pt>
                <c:pt idx="6">
                  <c:v>-5.2500746221764878</c:v>
                </c:pt>
                <c:pt idx="7">
                  <c:v>-5.2500746221764878</c:v>
                </c:pt>
                <c:pt idx="8">
                  <c:v>-5.2500746221764878</c:v>
                </c:pt>
                <c:pt idx="9">
                  <c:v>-5.2500746221764878</c:v>
                </c:pt>
                <c:pt idx="10">
                  <c:v>-5.2500746221764878</c:v>
                </c:pt>
                <c:pt idx="11">
                  <c:v>-5.2500746221764878</c:v>
                </c:pt>
                <c:pt idx="12">
                  <c:v>-5.2500746221764878</c:v>
                </c:pt>
                <c:pt idx="13">
                  <c:v>-5.2500746221764878</c:v>
                </c:pt>
                <c:pt idx="14">
                  <c:v>-5.2500746221764878</c:v>
                </c:pt>
                <c:pt idx="15">
                  <c:v>-5.2500746221764878</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EF706175-07F5-46CA-8B1D-D061A9912B7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BB837C04-2A6E-48DE-B967-A4C61075263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7742183E-4DF8-4969-BEA9-E04AE9C7B53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9D7653F1-BC30-4D65-8336-20D41E2BC6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4EE95864-06E9-469C-BC04-6E521AA9D14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C1A9F01A-BD67-40AA-97D0-E4E6B0E44D4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F507DC5E-F0A1-4747-A681-DC7A60088EF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87A63CF7-21DC-4774-972F-D0E1DBD57F6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43677E4F-8D3A-42C9-9DB3-896FCA82262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4FC16051-0E75-4AA1-A143-0C3FD1411D6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AEE732A8-1116-4B8C-9DD3-536D99EFD6C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4C9E8AB4-66C7-48EA-BE0E-ED9D06DE116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866D3288-DC81-4F6E-A3E5-16AD7AE1E97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1C76AA8C-E820-4E62-9E46-EE6ABE1697B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0.40418974074974101</c:v>
                  </c:pt>
                  <c:pt idx="2">
                    <c:v>0.31241562188339134</c:v>
                  </c:pt>
                  <c:pt idx="3">
                    <c:v>0.41142403367810426</c:v>
                  </c:pt>
                  <c:pt idx="4">
                    <c:v>0.64871477014148671</c:v>
                  </c:pt>
                  <c:pt idx="5">
                    <c:v>0.8070260492962692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0.40418974074974101</c:v>
                  </c:pt>
                  <c:pt idx="2">
                    <c:v>0.31241562188339134</c:v>
                  </c:pt>
                  <c:pt idx="3">
                    <c:v>0.41142403367810426</c:v>
                  </c:pt>
                  <c:pt idx="4">
                    <c:v>0.64871477014148671</c:v>
                  </c:pt>
                  <c:pt idx="5">
                    <c:v>0.8070260492962692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1.5623906596752819</c:v>
                </c:pt>
                <c:pt idx="2">
                  <c:v>1.8388425787984588</c:v>
                </c:pt>
                <c:pt idx="3">
                  <c:v>3.5786243298311695</c:v>
                </c:pt>
                <c:pt idx="4">
                  <c:v>5.5350543506128664</c:v>
                </c:pt>
                <c:pt idx="5">
                  <c:v>5.7769041603645839</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3288"/>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BPA-2mg/L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BPA-2mg/L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BPA-2mg/L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943F2E31-C691-4C3C-AA2D-EDDF0D0AFB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AFB103E7-C894-45C7-8155-02B435A69F9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4.6297894850398855E-2</c:v>
                  </c:pt>
                </c:numCache>
              </c:numRef>
            </c:plus>
            <c:minus>
              <c:numRef>
                <c:f>'Graph format rapport CHG 1éch'!$E$4:$G$4</c:f>
                <c:numCache>
                  <c:formatCode>General</c:formatCode>
                  <c:ptCount val="3"/>
                  <c:pt idx="1">
                    <c:v>4.6297894850398855E-2</c:v>
                  </c:pt>
                </c:numCache>
              </c:numRef>
            </c:minus>
          </c:errBars>
          <c:cat>
            <c:strRef>
              <c:f>'Graph format rapport CHG 1éch'!$E$2:$G$2</c:f>
              <c:strCache>
                <c:ptCount val="2"/>
                <c:pt idx="1">
                  <c:v>BPA-2mg/L</c:v>
                </c:pt>
              </c:strCache>
            </c:strRef>
          </c:cat>
          <c:val>
            <c:numRef>
              <c:f>'Graph format rapport CHG 1éch'!$E$3:$G$3</c:f>
              <c:numCache>
                <c:formatCode>General</c:formatCode>
                <c:ptCount val="3"/>
                <c:pt idx="1">
                  <c:v>0.13088752662623473</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0.14667051947282247</c:v>
                </c:pt>
                <c:pt idx="1">
                  <c:v>0.14667051947282247</c:v>
                </c:pt>
                <c:pt idx="2">
                  <c:v>0.14667051947282247</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4464"/>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BPA-1mg/L + Testostérone</c:v>
                </c:pt>
              </c:strCache>
            </c:strRef>
          </c:cat>
          <c:val>
            <c:numRef>
              <c:f>'Graph format rapport CHG 1éch'!$H$8:$J$8</c:f>
              <c:numCache>
                <c:formatCode>General</c:formatCode>
                <c:ptCount val="3"/>
                <c:pt idx="0">
                  <c:v>0.19220220049028836</c:v>
                </c:pt>
                <c:pt idx="1">
                  <c:v>0.19220220049028836</c:v>
                </c:pt>
                <c:pt idx="2">
                  <c:v>0.19220220049028836</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BPA-1mg/L + Testostérone</c:v>
                </c:pt>
              </c:strCache>
            </c:strRef>
          </c:cat>
          <c:val>
            <c:numRef>
              <c:f>'Graph format rapport CHG 1éch'!$H$9:$J$9</c:f>
              <c:numCache>
                <c:formatCode>General</c:formatCode>
                <c:ptCount val="3"/>
                <c:pt idx="0">
                  <c:v>7.7500746221764878</c:v>
                </c:pt>
                <c:pt idx="1">
                  <c:v>7.7500746221764878</c:v>
                </c:pt>
                <c:pt idx="2">
                  <c:v>7.7500746221764878</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BPA-1mg/L + Testostérone</c:v>
                </c:pt>
              </c:strCache>
            </c:strRef>
          </c:cat>
          <c:val>
            <c:numRef>
              <c:f>'Graph format rapport CHG 1éch'!$H$10:$J$10</c:f>
              <c:numCache>
                <c:formatCode>General</c:formatCode>
                <c:ptCount val="3"/>
                <c:pt idx="0">
                  <c:v>-5.2500746221764878</c:v>
                </c:pt>
                <c:pt idx="1">
                  <c:v>-5.2500746221764878</c:v>
                </c:pt>
                <c:pt idx="2">
                  <c:v>-5.2500746221764878</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9288A544-DA62-409F-BE84-8EDBE78FFFF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047E091A-4C21-4376-90B7-08B02F39A69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0.40418974074974101</c:v>
                  </c:pt>
                </c:numCache>
              </c:numRef>
            </c:plus>
            <c:minus>
              <c:numRef>
                <c:f>'Graph format rapport CHG 1éch'!$H$4:$J$4</c:f>
                <c:numCache>
                  <c:formatCode>General</c:formatCode>
                  <c:ptCount val="3"/>
                  <c:pt idx="1">
                    <c:v>0.40418974074974101</c:v>
                  </c:pt>
                </c:numCache>
              </c:numRef>
            </c:minus>
          </c:errBars>
          <c:cat>
            <c:strRef>
              <c:f>'Graph format rapport CHG 1éch'!$H$2:$J$2</c:f>
              <c:strCache>
                <c:ptCount val="2"/>
                <c:pt idx="1">
                  <c:v>BPA-1mg/L + Testostérone</c:v>
                </c:pt>
              </c:strCache>
            </c:strRef>
          </c:cat>
          <c:val>
            <c:numRef>
              <c:f>'Graph format rapport CHG 1éch'!$H$3:$J$3</c:f>
              <c:numCache>
                <c:formatCode>General</c:formatCode>
                <c:ptCount val="3"/>
                <c:pt idx="1">
                  <c:v>1.5623906596752819</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BPA-1mg/L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564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BPA-2mg/L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BPA-2mg/L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BPA-2mg/L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EEFC737A-824E-4691-A621-97BFAE55C80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82CB73C3-1173-4683-A241-41244B0B28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4.6297894850398855E-2</c:v>
                  </c:pt>
                </c:numCache>
              </c:numRef>
            </c:plus>
            <c:minus>
              <c:numRef>
                <c:f>'Graph format rapport CHG 1éch'!$E$4:$G$4</c:f>
                <c:numCache>
                  <c:formatCode>General</c:formatCode>
                  <c:ptCount val="3"/>
                  <c:pt idx="1">
                    <c:v>4.6297894850398855E-2</c:v>
                  </c:pt>
                </c:numCache>
              </c:numRef>
            </c:minus>
          </c:errBars>
          <c:cat>
            <c:strRef>
              <c:f>'Graph format rapport CHG 1éch'!$E$2:$G$2</c:f>
              <c:strCache>
                <c:ptCount val="2"/>
                <c:pt idx="1">
                  <c:v>BPA-2mg/L</c:v>
                </c:pt>
              </c:strCache>
            </c:strRef>
          </c:cat>
          <c:val>
            <c:numRef>
              <c:f>'Graph format rapport CHG 1éch'!$E$3:$G$3</c:f>
              <c:numCache>
                <c:formatCode>General</c:formatCode>
                <c:ptCount val="3"/>
                <c:pt idx="1">
                  <c:v>0.13088752662623473</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0.14667051947282247</c:v>
                </c:pt>
                <c:pt idx="1">
                  <c:v>0.14667051947282247</c:v>
                </c:pt>
                <c:pt idx="2">
                  <c:v>0.14667051947282247</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681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BPA-1mg/L + Testostérone</c:v>
                </c:pt>
              </c:strCache>
            </c:strRef>
          </c:cat>
          <c:val>
            <c:numRef>
              <c:f>'Graph format rapport CHG 1éch'!$H$8:$J$8</c:f>
              <c:numCache>
                <c:formatCode>General</c:formatCode>
                <c:ptCount val="3"/>
                <c:pt idx="0">
                  <c:v>0.19220220049028836</c:v>
                </c:pt>
                <c:pt idx="1">
                  <c:v>0.19220220049028836</c:v>
                </c:pt>
                <c:pt idx="2">
                  <c:v>0.19220220049028836</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BPA-1mg/L + Testostérone</c:v>
                </c:pt>
              </c:strCache>
            </c:strRef>
          </c:cat>
          <c:val>
            <c:numRef>
              <c:f>'Graph format rapport CHG 1éch'!$H$9:$J$9</c:f>
              <c:numCache>
                <c:formatCode>General</c:formatCode>
                <c:ptCount val="3"/>
                <c:pt idx="0">
                  <c:v>7.7500746221764878</c:v>
                </c:pt>
                <c:pt idx="1">
                  <c:v>7.7500746221764878</c:v>
                </c:pt>
                <c:pt idx="2">
                  <c:v>7.7500746221764878</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BPA-1mg/L + Testostérone</c:v>
                </c:pt>
              </c:strCache>
            </c:strRef>
          </c:cat>
          <c:val>
            <c:numRef>
              <c:f>'Graph format rapport CHG 1éch'!$H$10:$J$10</c:f>
              <c:numCache>
                <c:formatCode>General</c:formatCode>
                <c:ptCount val="3"/>
                <c:pt idx="0">
                  <c:v>-5.2500746221764878</c:v>
                </c:pt>
                <c:pt idx="1">
                  <c:v>-5.2500746221764878</c:v>
                </c:pt>
                <c:pt idx="2">
                  <c:v>-5.2500746221764878</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3115382B-F16D-451C-80B9-E9C1A5B7192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EF46EB88-4631-4BCC-985B-978F866E68F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0.40418974074974101</c:v>
                  </c:pt>
                </c:numCache>
              </c:numRef>
            </c:plus>
            <c:minus>
              <c:numRef>
                <c:f>'Graph format rapport CHG 1éch'!$H$4:$J$4</c:f>
                <c:numCache>
                  <c:formatCode>General</c:formatCode>
                  <c:ptCount val="3"/>
                  <c:pt idx="1">
                    <c:v>0.40418974074974101</c:v>
                  </c:pt>
                </c:numCache>
              </c:numRef>
            </c:minus>
          </c:errBars>
          <c:cat>
            <c:strRef>
              <c:f>'Graph format rapport CHG 1éch'!$H$2:$J$2</c:f>
              <c:strCache>
                <c:ptCount val="2"/>
                <c:pt idx="1">
                  <c:v>BPA-1mg/L + Testostérone</c:v>
                </c:pt>
              </c:strCache>
            </c:strRef>
          </c:cat>
          <c:val>
            <c:numRef>
              <c:f>'Graph format rapport CHG 1éch'!$H$3:$J$3</c:f>
              <c:numCache>
                <c:formatCode>General</c:formatCode>
                <c:ptCount val="3"/>
                <c:pt idx="1">
                  <c:v>1.5623906596752819</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BPA-1mg/L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799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014376" y="9913925"/>
          <a:ext cx="8260636" cy="1056562"/>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177852" y="3792683"/>
          <a:ext cx="8260636" cy="1048398"/>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195487" y="9913925"/>
          <a:ext cx="8260636" cy="1056562"/>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358963" y="3792683"/>
          <a:ext cx="8260636" cy="1048398"/>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013892" createdVersion="6" refreshedVersion="8" minRefreshableVersion="3" recordCount="52" xr:uid="{8DEF666A-6C7D-4C16-AD6D-82242760D5D9}">
  <cacheSource type="worksheet">
    <worksheetSource name="liste_groupe"/>
  </cacheSource>
  <cacheFields count="6">
    <cacheField name="Nom sur le graphique" numFmtId="0">
      <sharedItems count="14">
        <s v="Témoin solvant"/>
        <s v="EE2-22,5ng/L"/>
        <s v="EE2-33,8ng/L"/>
        <s v="EE2-50,6ng/L"/>
        <s v="EE2-76ng/L"/>
        <s v="EE2-114ng/L"/>
        <s v="EE2-170,9ng/L"/>
        <s v="EE2-488ng/L"/>
        <s v=" "/>
        <s v="Testo -30µg/L"/>
        <s v="Testo 30µg/L + EE2 -64ng/L"/>
        <s v="Testo 30µg/L + FAD-10µg/L"/>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361108" createdVersion="5" refreshedVersion="8" minRefreshableVersion="3" recordCount="1710" xr:uid="{00000000-000A-0000-FFFF-FFFF14000000}">
  <cacheSource type="worksheet">
    <worksheetSource name="Tableau467"/>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592592" createdVersion="5" refreshedVersion="8" minRefreshableVersion="3" recordCount="1530" xr:uid="{00000000-000A-0000-FFFF-FFFF10000000}">
  <cacheSource type="worksheet">
    <worksheetSource name="Tableau46"/>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708331" createdVersion="5" refreshedVersion="8" minRefreshableVersion="3" recordCount="1556" xr:uid="{00000000-000A-0000-FFFF-FFFF0C000000}">
  <cacheSource type="worksheet">
    <worksheetSource name="Tableau4"/>
  </cacheSource>
  <cacheFields count="9">
    <cacheField name="Nom groupe" numFmtId="0">
      <sharedItems containsBlank="1" count="2">
        <s v=""/>
        <m u="1"/>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µ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3"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3">
        <item m="1" x="1"/>
        <item x="0"/>
        <item t="default"/>
      </items>
    </pivotField>
    <pivotField axis="axisRow" subtotalTop="0" showAll="0" sortType="ascending">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v="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2"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1"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10" zoomScale="55" zoomScaleNormal="55" workbookViewId="0">
      <selection activeCell="C15" sqref="C15:E19"/>
    </sheetView>
  </sheetViews>
  <sheetFormatPr defaultColWidth="11.5546875" defaultRowHeight="39" customHeight="1" x14ac:dyDescent="0.3"/>
  <cols>
    <col min="1" max="1" width="42" bestFit="1" customWidth="1"/>
    <col min="2" max="2" width="33.77734375" style="44" bestFit="1" customWidth="1"/>
    <col min="3" max="3" width="21.21875" customWidth="1"/>
    <col min="4" max="4" width="30.44140625" customWidth="1"/>
    <col min="5" max="5" width="62.21875" style="160" bestFit="1" customWidth="1"/>
    <col min="6" max="6" width="56.77734375" bestFit="1" customWidth="1"/>
    <col min="7" max="7" width="19.44140625" customWidth="1"/>
    <col min="8" max="8" width="15.21875" customWidth="1"/>
    <col min="9" max="9" width="18" customWidth="1"/>
    <col min="10" max="10" width="19.5546875" bestFit="1" customWidth="1"/>
  </cols>
  <sheetData>
    <row r="1" spans="1:9" ht="39" customHeight="1" thickBot="1" x14ac:dyDescent="0.35">
      <c r="A1" s="195" t="s">
        <v>36</v>
      </c>
      <c r="B1" s="196"/>
      <c r="C1" s="196"/>
      <c r="D1" s="196"/>
      <c r="E1" s="196"/>
      <c r="F1" s="196"/>
      <c r="G1" s="196"/>
      <c r="H1" s="196"/>
      <c r="I1" s="197"/>
    </row>
    <row r="2" spans="1:9" ht="21" x14ac:dyDescent="0.4">
      <c r="A2" s="188" t="s">
        <v>17</v>
      </c>
      <c r="B2" s="42" t="s">
        <v>115</v>
      </c>
      <c r="C2" s="198"/>
      <c r="D2" s="199"/>
      <c r="E2" s="42" t="s">
        <v>21</v>
      </c>
      <c r="F2" s="210"/>
      <c r="G2" s="211"/>
      <c r="H2" s="211"/>
      <c r="I2" s="212"/>
    </row>
    <row r="3" spans="1:9" ht="21" x14ac:dyDescent="0.4">
      <c r="A3" s="189" t="s">
        <v>18</v>
      </c>
      <c r="B3" s="43" t="s">
        <v>115</v>
      </c>
      <c r="C3" s="200"/>
      <c r="D3" s="201"/>
      <c r="E3" s="43" t="s">
        <v>21</v>
      </c>
      <c r="F3" s="207"/>
      <c r="G3" s="208"/>
      <c r="H3" s="208"/>
      <c r="I3" s="209"/>
    </row>
    <row r="4" spans="1:9" ht="21.6" thickBot="1" x14ac:dyDescent="0.45">
      <c r="A4" s="190" t="s">
        <v>22</v>
      </c>
      <c r="B4" s="178" t="s">
        <v>115</v>
      </c>
      <c r="C4" s="202"/>
      <c r="D4" s="203"/>
      <c r="E4" s="178" t="s">
        <v>21</v>
      </c>
      <c r="F4" s="204"/>
      <c r="G4" s="205"/>
      <c r="H4" s="205"/>
      <c r="I4" s="206"/>
    </row>
    <row r="5" spans="1:9" s="1" customFormat="1" ht="65.25" customHeight="1" thickBot="1" x14ac:dyDescent="0.35">
      <c r="A5" s="195" t="s">
        <v>37</v>
      </c>
      <c r="B5" s="196"/>
      <c r="C5" s="196"/>
      <c r="D5" s="196"/>
      <c r="E5" s="196"/>
      <c r="F5" s="196"/>
      <c r="G5" s="196"/>
      <c r="H5" s="196"/>
      <c r="I5" s="197"/>
    </row>
    <row r="6" spans="1:9" s="109" customFormat="1" ht="39" customHeight="1" x14ac:dyDescent="0.4">
      <c r="A6" s="75" t="s">
        <v>35</v>
      </c>
      <c r="B6" s="100" t="s">
        <v>7</v>
      </c>
      <c r="C6" s="64" t="s">
        <v>19</v>
      </c>
      <c r="D6" s="64" t="s">
        <v>75</v>
      </c>
      <c r="E6" s="157" t="s">
        <v>51</v>
      </c>
      <c r="F6" s="108" t="s">
        <v>78</v>
      </c>
    </row>
    <row r="7" spans="1:9" s="166" customFormat="1" ht="39" customHeight="1" x14ac:dyDescent="0.4">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0"/>
    </row>
    <row r="8" spans="1:9" s="166" customFormat="1" ht="39" customHeight="1" x14ac:dyDescent="0.4">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2" t="s">
        <v>123</v>
      </c>
      <c r="C8" s="163">
        <v>22.5</v>
      </c>
      <c r="D8" s="164" t="s">
        <v>124</v>
      </c>
      <c r="E8" s="165" t="s">
        <v>126</v>
      </c>
      <c r="F8" s="110"/>
    </row>
    <row r="9" spans="1:9" s="166" customFormat="1" ht="39" customHeight="1" x14ac:dyDescent="0.4">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2" t="s">
        <v>123</v>
      </c>
      <c r="C9" s="163">
        <v>33.799999999999997</v>
      </c>
      <c r="D9" s="164" t="s">
        <v>124</v>
      </c>
      <c r="E9" s="165" t="s">
        <v>126</v>
      </c>
      <c r="F9" s="110"/>
    </row>
    <row r="10" spans="1:9" s="166" customFormat="1" ht="39" customHeight="1" x14ac:dyDescent="0.4">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2" t="s">
        <v>123</v>
      </c>
      <c r="C10" s="163">
        <v>50.6</v>
      </c>
      <c r="D10" s="164" t="s">
        <v>124</v>
      </c>
      <c r="E10" s="165" t="s">
        <v>126</v>
      </c>
      <c r="F10" s="110"/>
    </row>
    <row r="11" spans="1:9" s="166" customFormat="1" ht="39" customHeight="1" x14ac:dyDescent="0.4">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2" t="s">
        <v>123</v>
      </c>
      <c r="C11" s="163">
        <v>76</v>
      </c>
      <c r="D11" s="164" t="s">
        <v>124</v>
      </c>
      <c r="E11" s="165" t="s">
        <v>126</v>
      </c>
      <c r="F11" s="110"/>
    </row>
    <row r="12" spans="1:9" s="166" customFormat="1" ht="39" customHeight="1" x14ac:dyDescent="0.4">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2" t="s">
        <v>123</v>
      </c>
      <c r="C12" s="163">
        <v>114</v>
      </c>
      <c r="D12" s="164" t="s">
        <v>124</v>
      </c>
      <c r="E12" s="165" t="s">
        <v>126</v>
      </c>
      <c r="F12" s="110"/>
    </row>
    <row r="13" spans="1:9" s="166" customFormat="1" ht="39" customHeight="1" x14ac:dyDescent="0.4">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2" t="s">
        <v>123</v>
      </c>
      <c r="C13" s="163">
        <v>170.9</v>
      </c>
      <c r="D13" s="164" t="s">
        <v>124</v>
      </c>
      <c r="E13" s="165" t="s">
        <v>126</v>
      </c>
      <c r="F13" s="110"/>
    </row>
    <row r="14" spans="1:9" s="166" customFormat="1" ht="39" customHeight="1" x14ac:dyDescent="0.4">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2" t="s">
        <v>123</v>
      </c>
      <c r="C14" s="163">
        <v>488</v>
      </c>
      <c r="D14" s="164" t="s">
        <v>124</v>
      </c>
      <c r="E14" s="165" t="s">
        <v>126</v>
      </c>
      <c r="F14" s="110"/>
    </row>
    <row r="15" spans="1:9" s="166" customFormat="1" ht="39" customHeight="1" x14ac:dyDescent="0.4">
      <c r="A15"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BPA-1mg/L</v>
      </c>
      <c r="B15" s="162" t="s">
        <v>167</v>
      </c>
      <c r="C15" s="163">
        <v>1</v>
      </c>
      <c r="D15" s="164" t="s">
        <v>166</v>
      </c>
      <c r="E15" s="165" t="s">
        <v>168</v>
      </c>
      <c r="F15" s="110"/>
    </row>
    <row r="16" spans="1:9" s="111" customFormat="1" ht="39" customHeight="1" x14ac:dyDescent="0.3">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BPA-2mg/L</v>
      </c>
      <c r="B16" s="162" t="s">
        <v>167</v>
      </c>
      <c r="C16" s="105">
        <v>2</v>
      </c>
      <c r="D16" s="164" t="s">
        <v>166</v>
      </c>
      <c r="E16" s="165" t="s">
        <v>168</v>
      </c>
      <c r="F16" s="110"/>
    </row>
    <row r="17" spans="1:6" s="111" customFormat="1" ht="39" customHeight="1" x14ac:dyDescent="0.3">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BPA-3mg/L</v>
      </c>
      <c r="B17" s="162" t="s">
        <v>167</v>
      </c>
      <c r="C17" s="105">
        <v>3</v>
      </c>
      <c r="D17" s="164" t="s">
        <v>166</v>
      </c>
      <c r="E17" s="165" t="s">
        <v>168</v>
      </c>
      <c r="F17" s="110"/>
    </row>
    <row r="18" spans="1:6" s="111" customFormat="1" ht="39" customHeight="1" x14ac:dyDescent="0.3">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BPA-4mg/L</v>
      </c>
      <c r="B18" s="162" t="s">
        <v>167</v>
      </c>
      <c r="C18" s="105">
        <v>4</v>
      </c>
      <c r="D18" s="164" t="s">
        <v>166</v>
      </c>
      <c r="E18" s="165" t="s">
        <v>168</v>
      </c>
      <c r="F18" s="110"/>
    </row>
    <row r="19" spans="1:6" s="111" customFormat="1" ht="39" customHeight="1" x14ac:dyDescent="0.3">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BPA-5mg/L</v>
      </c>
      <c r="B19" s="162" t="s">
        <v>167</v>
      </c>
      <c r="C19" s="105">
        <v>5</v>
      </c>
      <c r="D19" s="164" t="s">
        <v>166</v>
      </c>
      <c r="E19" s="165" t="s">
        <v>168</v>
      </c>
      <c r="F19" s="110"/>
    </row>
    <row r="20" spans="1:6" s="111" customFormat="1" ht="39" customHeight="1" x14ac:dyDescent="0.3">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3">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3">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3">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3">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3">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3">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3">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3">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3">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3">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3">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3">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3">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3">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35">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7"/>
      <c r="C35" s="168"/>
      <c r="D35" s="115"/>
      <c r="E35" s="167"/>
      <c r="F35" s="110"/>
    </row>
    <row r="36" spans="1:6" s="111" customFormat="1" ht="39" customHeight="1" x14ac:dyDescent="0.3">
      <c r="A36"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8" t="s">
        <v>20</v>
      </c>
      <c r="F36" s="170"/>
    </row>
    <row r="37" spans="1:6" s="111" customFormat="1" ht="39" customHeight="1" thickBot="1" x14ac:dyDescent="0.35">
      <c r="A37"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9" t="s">
        <v>128</v>
      </c>
      <c r="F37" s="172"/>
    </row>
    <row r="38" spans="1:6" s="111" customFormat="1" ht="39" customHeight="1" thickBot="1" x14ac:dyDescent="0.35">
      <c r="A38"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4" t="s">
        <v>123</v>
      </c>
      <c r="C38" s="175">
        <v>10</v>
      </c>
      <c r="D38" s="116" t="s">
        <v>127</v>
      </c>
      <c r="E38" s="176" t="s">
        <v>129</v>
      </c>
      <c r="F38" s="177"/>
    </row>
    <row r="39" spans="1:6" s="111" customFormat="1" ht="39" customHeight="1" x14ac:dyDescent="0.3">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BPA-1mg/L + Testostérone</v>
      </c>
      <c r="B39" s="191" t="str">
        <f>B15</f>
        <v>Test</v>
      </c>
      <c r="C39" s="191">
        <f t="shared" ref="C39:E39" si="0">C15</f>
        <v>1</v>
      </c>
      <c r="D39" s="191" t="str">
        <f t="shared" si="0"/>
        <v>mg/L</v>
      </c>
      <c r="E39" s="191" t="str">
        <f t="shared" si="0"/>
        <v>BPA</v>
      </c>
      <c r="F39" s="112" t="s">
        <v>50</v>
      </c>
    </row>
    <row r="40" spans="1:6" s="111" customFormat="1" ht="39" customHeight="1" x14ac:dyDescent="0.3">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BPA-2mg/L + Testostérone</v>
      </c>
      <c r="B40" s="193" t="str">
        <f t="shared" ref="B40:E40" si="1">B16</f>
        <v>Test</v>
      </c>
      <c r="C40" s="193">
        <f t="shared" si="1"/>
        <v>2</v>
      </c>
      <c r="D40" s="193" t="str">
        <f t="shared" si="1"/>
        <v>mg/L</v>
      </c>
      <c r="E40" s="193" t="str">
        <f t="shared" si="1"/>
        <v>BPA</v>
      </c>
      <c r="F40" s="113" t="s">
        <v>50</v>
      </c>
    </row>
    <row r="41" spans="1:6" s="111" customFormat="1" ht="39" customHeight="1" x14ac:dyDescent="0.3">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BPA-3mg/L + Testostérone</v>
      </c>
      <c r="B41" s="193" t="str">
        <f t="shared" ref="B41:E41" si="2">B17</f>
        <v>Test</v>
      </c>
      <c r="C41" s="193">
        <f t="shared" si="2"/>
        <v>3</v>
      </c>
      <c r="D41" s="193" t="str">
        <f t="shared" si="2"/>
        <v>mg/L</v>
      </c>
      <c r="E41" s="193" t="str">
        <f t="shared" si="2"/>
        <v>BPA</v>
      </c>
      <c r="F41" s="113" t="s">
        <v>50</v>
      </c>
    </row>
    <row r="42" spans="1:6" s="111" customFormat="1" ht="39" customHeight="1" x14ac:dyDescent="0.3">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BPA-4mg/L + Testostérone</v>
      </c>
      <c r="B42" s="193" t="str">
        <f t="shared" ref="B42:E42" si="3">B18</f>
        <v>Test</v>
      </c>
      <c r="C42" s="193">
        <f t="shared" si="3"/>
        <v>4</v>
      </c>
      <c r="D42" s="193" t="str">
        <f t="shared" si="3"/>
        <v>mg/L</v>
      </c>
      <c r="E42" s="193" t="str">
        <f t="shared" si="3"/>
        <v>BPA</v>
      </c>
      <c r="F42" s="113" t="s">
        <v>50</v>
      </c>
    </row>
    <row r="43" spans="1:6" s="111" customFormat="1" ht="39" customHeight="1" x14ac:dyDescent="0.3">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BPA-5mg/L + Testostérone</v>
      </c>
      <c r="B43" s="193" t="str">
        <f t="shared" ref="B43:E43" si="4">B19</f>
        <v>Test</v>
      </c>
      <c r="C43" s="193">
        <f t="shared" si="4"/>
        <v>5</v>
      </c>
      <c r="D43" s="193" t="str">
        <f t="shared" si="4"/>
        <v>mg/L</v>
      </c>
      <c r="E43" s="193" t="str">
        <f t="shared" si="4"/>
        <v>BPA</v>
      </c>
      <c r="F43" s="113" t="s">
        <v>50</v>
      </c>
    </row>
    <row r="44" spans="1:6" s="111" customFormat="1" ht="39" customHeight="1" x14ac:dyDescent="0.3">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3">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3">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3">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3">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3">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3">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3">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3">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3">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3">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3">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3">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3">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3">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A16:A52 C20:D38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24"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defaultColWidth="11.5546875" defaultRowHeight="14.4" x14ac:dyDescent="0.3"/>
  <cols>
    <col min="1" max="1" width="14.21875" customWidth="1"/>
    <col min="2" max="2" width="14" customWidth="1"/>
    <col min="3" max="3" width="11.5546875" customWidth="1"/>
    <col min="4" max="4" width="12.44140625" customWidth="1"/>
    <col min="5" max="5" width="17.21875" customWidth="1"/>
    <col min="7" max="7" width="19.5546875" customWidth="1"/>
    <col min="9" max="9" width="15.77734375" customWidth="1"/>
  </cols>
  <sheetData>
    <row r="1" spans="1:9" x14ac:dyDescent="0.3">
      <c r="A1" t="s">
        <v>107</v>
      </c>
      <c r="B1" t="s">
        <v>108</v>
      </c>
      <c r="C1" t="s">
        <v>109</v>
      </c>
      <c r="D1" t="s">
        <v>110</v>
      </c>
      <c r="E1" t="s">
        <v>111</v>
      </c>
      <c r="F1" t="s">
        <v>112</v>
      </c>
      <c r="G1" t="s">
        <v>113</v>
      </c>
      <c r="H1" t="s">
        <v>117</v>
      </c>
      <c r="I1" t="s">
        <v>118</v>
      </c>
    </row>
    <row r="2" spans="1:9" x14ac:dyDescent="0.3">
      <c r="A2" t="s">
        <v>152</v>
      </c>
      <c r="B2" t="s">
        <v>163</v>
      </c>
      <c r="C2" t="s">
        <v>143</v>
      </c>
      <c r="D2" t="s">
        <v>146</v>
      </c>
      <c r="E2" t="s">
        <v>147</v>
      </c>
      <c r="F2" t="s">
        <v>112</v>
      </c>
      <c r="G2">
        <v>360268</v>
      </c>
    </row>
    <row r="3" spans="1:9" x14ac:dyDescent="0.3">
      <c r="A3" t="s">
        <v>152</v>
      </c>
      <c r="B3" t="s">
        <v>163</v>
      </c>
      <c r="C3" t="s">
        <v>144</v>
      </c>
      <c r="D3" t="s">
        <v>148</v>
      </c>
      <c r="E3" t="s">
        <v>149</v>
      </c>
      <c r="F3" t="s">
        <v>112</v>
      </c>
      <c r="G3">
        <v>372315</v>
      </c>
    </row>
    <row r="4" spans="1:9" x14ac:dyDescent="0.3">
      <c r="A4" t="s">
        <v>152</v>
      </c>
      <c r="B4" t="s">
        <v>163</v>
      </c>
      <c r="C4" t="s">
        <v>145</v>
      </c>
      <c r="D4" t="s">
        <v>150</v>
      </c>
      <c r="E4" t="s">
        <v>151</v>
      </c>
      <c r="F4" t="s">
        <v>112</v>
      </c>
      <c r="G4">
        <v>237626</v>
      </c>
    </row>
    <row r="5" spans="1:9" x14ac:dyDescent="0.3">
      <c r="A5" t="s">
        <v>152</v>
      </c>
      <c r="B5" t="s">
        <v>163</v>
      </c>
      <c r="C5" t="s">
        <v>160</v>
      </c>
      <c r="D5" t="s">
        <v>161</v>
      </c>
      <c r="E5" t="s">
        <v>162</v>
      </c>
      <c r="F5" t="s">
        <v>112</v>
      </c>
      <c r="G5">
        <v>1439015</v>
      </c>
    </row>
    <row r="6" spans="1:9" x14ac:dyDescent="0.3">
      <c r="A6" t="s">
        <v>152</v>
      </c>
      <c r="B6" t="s">
        <v>163</v>
      </c>
      <c r="C6" t="s">
        <v>157</v>
      </c>
      <c r="D6" t="s">
        <v>158</v>
      </c>
      <c r="E6" t="s">
        <v>159</v>
      </c>
      <c r="F6" t="s">
        <v>112</v>
      </c>
      <c r="G6">
        <v>1433586</v>
      </c>
    </row>
    <row r="7" spans="1:9" x14ac:dyDescent="0.3">
      <c r="A7" t="s">
        <v>152</v>
      </c>
      <c r="B7" t="s">
        <v>163</v>
      </c>
      <c r="C7" t="s">
        <v>154</v>
      </c>
      <c r="D7" t="s">
        <v>155</v>
      </c>
      <c r="E7" t="s">
        <v>156</v>
      </c>
      <c r="F7" t="s">
        <v>112</v>
      </c>
      <c r="G7">
        <v>1115346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A1536" zoomScale="70" zoomScaleNormal="70" workbookViewId="0">
      <selection activeCell="A2" sqref="A2:A1557"/>
    </sheetView>
  </sheetViews>
  <sheetFormatPr defaultColWidth="11.44140625" defaultRowHeight="14.4" x14ac:dyDescent="0.3"/>
  <cols>
    <col min="1" max="1" width="15" style="1" customWidth="1"/>
    <col min="2" max="2" width="26.5546875" style="1" customWidth="1"/>
    <col min="3" max="3" width="87.21875" style="1" bestFit="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5.44140625" style="1" customWidth="1"/>
    <col min="12" max="12" width="15.44140625" style="1" customWidth="1"/>
    <col min="13" max="14" width="12.77734375" style="1" customWidth="1"/>
    <col min="15" max="20" width="12.21875" style="1" customWidth="1"/>
    <col min="21" max="21" width="17.44140625" style="1" customWidth="1"/>
    <col min="22" max="25" width="12.21875" style="1" customWidth="1"/>
    <col min="26" max="27" width="15.5546875" style="1" customWidth="1"/>
    <col min="28" max="28" width="14.21875" style="1" customWidth="1"/>
    <col min="29"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 spans="1:144" x14ac:dyDescent="0.3">
      <c r="A12" s="1" t="str">
        <f t="shared" si="0"/>
        <v/>
      </c>
      <c r="B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 spans="1:144" x14ac:dyDescent="0.3">
      <c r="A13" s="1" t="str">
        <f t="shared" si="0"/>
        <v/>
      </c>
      <c r="B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 spans="1:144" x14ac:dyDescent="0.3">
      <c r="A14" s="1" t="str">
        <f t="shared" si="0"/>
        <v/>
      </c>
      <c r="B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 spans="1:144" x14ac:dyDescent="0.3">
      <c r="A15" s="1" t="str">
        <f t="shared" si="0"/>
        <v/>
      </c>
      <c r="B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 spans="1:144" x14ac:dyDescent="0.3">
      <c r="A16" s="1" t="str">
        <f t="shared" si="0"/>
        <v/>
      </c>
      <c r="B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6"/>
      <c r="N16"/>
      <c r="O16"/>
      <c r="P16"/>
      <c r="Q16"/>
      <c r="R16"/>
      <c r="S16"/>
      <c r="T16"/>
      <c r="U16"/>
      <c r="V16"/>
      <c r="W16"/>
      <c r="X16"/>
      <c r="Y16"/>
      <c r="Z16"/>
      <c r="AA16"/>
      <c r="AB16"/>
      <c r="AC16"/>
      <c r="AD16"/>
      <c r="AE16"/>
      <c r="AF16"/>
      <c r="AG16"/>
      <c r="AH16"/>
    </row>
    <row r="17" spans="1:34" x14ac:dyDescent="0.3">
      <c r="A17" s="1" t="str">
        <f t="shared" si="0"/>
        <v/>
      </c>
      <c r="B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7"/>
      <c r="N17"/>
      <c r="O17"/>
      <c r="P17"/>
      <c r="Q17"/>
      <c r="R17"/>
      <c r="S17"/>
      <c r="T17"/>
      <c r="U17"/>
      <c r="V17"/>
      <c r="W17"/>
      <c r="X17"/>
      <c r="Y17"/>
      <c r="Z17"/>
      <c r="AA17"/>
      <c r="AB17"/>
      <c r="AC17"/>
      <c r="AD17"/>
      <c r="AE17"/>
      <c r="AF17"/>
      <c r="AG17"/>
      <c r="AH17"/>
    </row>
    <row r="18" spans="1:34" x14ac:dyDescent="0.3">
      <c r="A18" s="1" t="str">
        <f t="shared" si="0"/>
        <v/>
      </c>
      <c r="B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8"/>
      <c r="N18"/>
      <c r="O18"/>
      <c r="P18"/>
      <c r="Q18"/>
      <c r="R18"/>
      <c r="S18"/>
      <c r="T18"/>
      <c r="U18"/>
      <c r="V18"/>
      <c r="W18"/>
      <c r="X18"/>
      <c r="Y18"/>
      <c r="Z18"/>
      <c r="AA18"/>
      <c r="AB18"/>
      <c r="AC18"/>
      <c r="AD18"/>
      <c r="AE18"/>
      <c r="AF18"/>
      <c r="AG18"/>
      <c r="AH18"/>
    </row>
    <row r="19" spans="1:34" x14ac:dyDescent="0.3">
      <c r="A19" s="1" t="str">
        <f t="shared" si="0"/>
        <v/>
      </c>
      <c r="B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9"/>
      <c r="L19"/>
      <c r="M19"/>
      <c r="N19"/>
      <c r="O19"/>
      <c r="P19"/>
      <c r="Q19"/>
      <c r="R19"/>
      <c r="S19"/>
      <c r="T19"/>
      <c r="U19"/>
      <c r="V19"/>
      <c r="W19"/>
      <c r="X19"/>
      <c r="Y19"/>
      <c r="Z19"/>
      <c r="AA19"/>
      <c r="AB19"/>
      <c r="AC19"/>
      <c r="AD19"/>
      <c r="AE19"/>
      <c r="AF19"/>
      <c r="AG19"/>
      <c r="AH19"/>
    </row>
    <row r="20" spans="1:34" x14ac:dyDescent="0.3">
      <c r="A20" s="1" t="str">
        <f t="shared" si="0"/>
        <v/>
      </c>
      <c r="B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0"/>
      <c r="L20"/>
      <c r="M20"/>
      <c r="N20"/>
      <c r="O20"/>
      <c r="P20"/>
      <c r="Q20"/>
      <c r="R20"/>
      <c r="S20"/>
      <c r="T20"/>
      <c r="U20"/>
      <c r="V20"/>
      <c r="W20"/>
      <c r="X20"/>
      <c r="Y20"/>
      <c r="Z20"/>
      <c r="AA20"/>
      <c r="AB20"/>
      <c r="AC20"/>
      <c r="AD20"/>
      <c r="AE20"/>
      <c r="AF20"/>
      <c r="AG20"/>
      <c r="AH20"/>
    </row>
    <row r="21" spans="1:34" x14ac:dyDescent="0.3">
      <c r="A21" s="1" t="str">
        <f t="shared" si="0"/>
        <v/>
      </c>
      <c r="B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1"/>
      <c r="L21"/>
      <c r="M21"/>
      <c r="N21"/>
      <c r="O21"/>
      <c r="P21"/>
      <c r="Q21"/>
      <c r="R21"/>
      <c r="S21"/>
      <c r="T21"/>
      <c r="U21"/>
      <c r="V21"/>
      <c r="W21"/>
      <c r="X21"/>
      <c r="Y21"/>
      <c r="Z21"/>
      <c r="AA21"/>
      <c r="AB21"/>
      <c r="AC21"/>
      <c r="AD21"/>
      <c r="AE21"/>
      <c r="AF21"/>
      <c r="AG21"/>
      <c r="AH21"/>
    </row>
    <row r="22" spans="1:34" x14ac:dyDescent="0.3">
      <c r="A22" s="1" t="str">
        <f t="shared" si="0"/>
        <v/>
      </c>
      <c r="B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2"/>
      <c r="L22"/>
      <c r="M22"/>
      <c r="N22"/>
      <c r="O22"/>
      <c r="P22"/>
      <c r="Q22"/>
      <c r="R22"/>
      <c r="S22"/>
      <c r="T22"/>
      <c r="U22"/>
      <c r="V22"/>
      <c r="W22"/>
      <c r="X22"/>
      <c r="Y22"/>
      <c r="Z22"/>
      <c r="AA22"/>
      <c r="AB22"/>
      <c r="AC22"/>
      <c r="AD22"/>
      <c r="AE22"/>
      <c r="AF22"/>
      <c r="AG22"/>
      <c r="AH22"/>
    </row>
    <row r="23" spans="1:34" x14ac:dyDescent="0.3">
      <c r="A23" s="1" t="str">
        <f t="shared" si="0"/>
        <v/>
      </c>
      <c r="B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3"/>
      <c r="L23"/>
      <c r="M23"/>
      <c r="N23"/>
      <c r="O23"/>
      <c r="P23"/>
      <c r="Q23"/>
      <c r="R23"/>
      <c r="S23"/>
      <c r="T23"/>
      <c r="U23"/>
      <c r="V23"/>
      <c r="W23"/>
      <c r="X23"/>
      <c r="Y23"/>
      <c r="Z23"/>
      <c r="AA23"/>
      <c r="AB23"/>
      <c r="AC23"/>
      <c r="AD23"/>
      <c r="AE23"/>
      <c r="AF23"/>
      <c r="AG23"/>
      <c r="AH23"/>
    </row>
    <row r="24" spans="1:34" x14ac:dyDescent="0.3">
      <c r="A24" s="1" t="str">
        <f t="shared" si="0"/>
        <v/>
      </c>
      <c r="B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4"/>
      <c r="L24"/>
      <c r="M24"/>
      <c r="N24"/>
      <c r="O24"/>
      <c r="P24"/>
      <c r="Q24"/>
      <c r="R24"/>
      <c r="S24"/>
      <c r="T24"/>
      <c r="U24"/>
      <c r="V24"/>
      <c r="W24"/>
      <c r="X24"/>
      <c r="Y24"/>
      <c r="Z24"/>
      <c r="AA24"/>
      <c r="AB24"/>
      <c r="AC24"/>
      <c r="AD24"/>
      <c r="AE24"/>
      <c r="AF24"/>
      <c r="AG24"/>
      <c r="AH24"/>
    </row>
    <row r="25" spans="1:34" x14ac:dyDescent="0.3">
      <c r="A25" s="1" t="str">
        <f t="shared" si="0"/>
        <v/>
      </c>
      <c r="B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5"/>
      <c r="L25"/>
      <c r="M25"/>
      <c r="N25"/>
      <c r="O25"/>
      <c r="P25"/>
      <c r="Q25"/>
      <c r="R25"/>
      <c r="S25"/>
      <c r="T25"/>
      <c r="U25"/>
      <c r="V25"/>
      <c r="W25"/>
      <c r="X25"/>
      <c r="Y25"/>
      <c r="Z25"/>
      <c r="AA25"/>
      <c r="AB25"/>
      <c r="AC25"/>
      <c r="AD25"/>
      <c r="AE25"/>
      <c r="AF25"/>
      <c r="AG25"/>
      <c r="AH25"/>
    </row>
    <row r="26" spans="1:34" x14ac:dyDescent="0.3">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6"/>
      <c r="L26"/>
      <c r="M26"/>
      <c r="N26"/>
      <c r="O26"/>
      <c r="P26"/>
      <c r="Q26"/>
      <c r="R26"/>
      <c r="S26"/>
      <c r="T26"/>
      <c r="U26"/>
      <c r="V26"/>
      <c r="W26"/>
      <c r="X26"/>
      <c r="Y26"/>
      <c r="Z26"/>
      <c r="AA26"/>
      <c r="AB26"/>
      <c r="AC26"/>
      <c r="AD26"/>
      <c r="AE26"/>
      <c r="AF26"/>
      <c r="AG26"/>
      <c r="AH26"/>
    </row>
    <row r="27" spans="1:34" x14ac:dyDescent="0.3">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7"/>
      <c r="L27"/>
      <c r="M27"/>
      <c r="N27"/>
      <c r="O27"/>
      <c r="P27"/>
      <c r="Q27"/>
      <c r="R27"/>
      <c r="S27"/>
      <c r="T27"/>
      <c r="U27"/>
      <c r="V27"/>
      <c r="W27"/>
      <c r="X27"/>
      <c r="Y27"/>
      <c r="Z27"/>
      <c r="AA27"/>
      <c r="AB27"/>
      <c r="AC27"/>
      <c r="AD27"/>
      <c r="AE27"/>
      <c r="AF27"/>
      <c r="AG27"/>
      <c r="AH27"/>
    </row>
    <row r="28" spans="1:34" x14ac:dyDescent="0.3">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8"/>
      <c r="L28"/>
      <c r="M28"/>
      <c r="N28"/>
      <c r="O28"/>
      <c r="P28"/>
      <c r="Q28"/>
      <c r="R28"/>
      <c r="S28"/>
      <c r="T28"/>
      <c r="U28"/>
      <c r="V28"/>
      <c r="W28"/>
      <c r="X28"/>
      <c r="Y28"/>
      <c r="Z28"/>
      <c r="AA28"/>
      <c r="AB28"/>
      <c r="AC28"/>
      <c r="AD28"/>
      <c r="AE28"/>
      <c r="AF28"/>
      <c r="AG28"/>
      <c r="AH28"/>
    </row>
    <row r="29" spans="1:34" x14ac:dyDescent="0.3">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9"/>
      <c r="L29"/>
      <c r="M29"/>
      <c r="N29"/>
      <c r="O29"/>
      <c r="P29"/>
      <c r="Q29"/>
      <c r="R29"/>
      <c r="S29"/>
      <c r="T29"/>
      <c r="U29"/>
      <c r="V29"/>
      <c r="W29"/>
      <c r="X29"/>
      <c r="Y29"/>
      <c r="Z29"/>
      <c r="AA29"/>
      <c r="AB29"/>
      <c r="AC29"/>
      <c r="AD29"/>
      <c r="AE29"/>
      <c r="AF29"/>
      <c r="AG29"/>
      <c r="AH29"/>
    </row>
    <row r="30" spans="1:34" x14ac:dyDescent="0.3">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0"/>
      <c r="L30"/>
      <c r="M30"/>
      <c r="N30"/>
      <c r="O30"/>
      <c r="P30"/>
      <c r="Q30"/>
      <c r="R30"/>
      <c r="S30"/>
      <c r="T30"/>
      <c r="U30"/>
      <c r="V30"/>
      <c r="W30"/>
      <c r="X30"/>
      <c r="Y30"/>
      <c r="Z30"/>
      <c r="AA30"/>
      <c r="AB30"/>
      <c r="AC30"/>
      <c r="AD30"/>
      <c r="AE30"/>
      <c r="AF30"/>
      <c r="AG30"/>
      <c r="AH30"/>
    </row>
    <row r="31" spans="1:34" x14ac:dyDescent="0.3">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1"/>
      <c r="L31"/>
      <c r="M31"/>
      <c r="N31"/>
      <c r="O31"/>
      <c r="P31"/>
      <c r="Q31"/>
      <c r="R31"/>
      <c r="S31"/>
      <c r="T31"/>
      <c r="U31"/>
      <c r="V31"/>
      <c r="W31"/>
      <c r="X31"/>
      <c r="Y31"/>
      <c r="Z31"/>
      <c r="AA31"/>
      <c r="AB31"/>
      <c r="AC31"/>
      <c r="AD31"/>
      <c r="AE31"/>
      <c r="AF31"/>
      <c r="AG31"/>
      <c r="AH31"/>
    </row>
    <row r="32" spans="1:34" x14ac:dyDescent="0.3">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2"/>
      <c r="L32"/>
      <c r="M32"/>
      <c r="N32"/>
      <c r="O32"/>
      <c r="P32"/>
      <c r="Q32"/>
      <c r="R32"/>
      <c r="S32"/>
      <c r="T32"/>
      <c r="U32"/>
      <c r="V32"/>
      <c r="W32"/>
      <c r="X32"/>
      <c r="Y32"/>
      <c r="Z32"/>
      <c r="AA32"/>
      <c r="AB32"/>
      <c r="AC32"/>
      <c r="AD32"/>
      <c r="AE32"/>
      <c r="AF32"/>
      <c r="AG32"/>
      <c r="AH32"/>
    </row>
    <row r="33" spans="1:34" x14ac:dyDescent="0.3">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3"/>
      <c r="L33"/>
      <c r="M33"/>
      <c r="N33"/>
      <c r="O33"/>
      <c r="P33"/>
      <c r="Q33"/>
      <c r="R33"/>
      <c r="S33"/>
      <c r="T33"/>
      <c r="U33"/>
      <c r="V33"/>
      <c r="W33"/>
      <c r="X33"/>
      <c r="Y33"/>
      <c r="Z33"/>
      <c r="AA33"/>
      <c r="AB33"/>
      <c r="AC33"/>
      <c r="AD33"/>
      <c r="AE33"/>
      <c r="AF33"/>
      <c r="AG33"/>
      <c r="AH33"/>
    </row>
    <row r="34" spans="1:34" x14ac:dyDescent="0.3">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4"/>
      <c r="L34"/>
      <c r="M34"/>
      <c r="N34"/>
      <c r="O34"/>
      <c r="P34"/>
      <c r="Q34"/>
      <c r="R34"/>
      <c r="S34"/>
      <c r="T34"/>
      <c r="U34"/>
      <c r="V34"/>
      <c r="W34"/>
      <c r="X34"/>
      <c r="Y34"/>
      <c r="Z34"/>
      <c r="AA34"/>
      <c r="AB34"/>
      <c r="AC34"/>
      <c r="AD34"/>
      <c r="AE34"/>
      <c r="AF34"/>
      <c r="AG34"/>
      <c r="AH34"/>
    </row>
    <row r="35" spans="1:34" x14ac:dyDescent="0.3">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5"/>
      <c r="L35"/>
      <c r="M35"/>
      <c r="N35"/>
      <c r="O35"/>
      <c r="P35"/>
      <c r="Q35"/>
      <c r="R35"/>
      <c r="S35"/>
      <c r="T35"/>
      <c r="U35"/>
      <c r="V35"/>
      <c r="W35"/>
      <c r="X35"/>
      <c r="Y35"/>
      <c r="Z35"/>
      <c r="AA35"/>
      <c r="AB35"/>
      <c r="AC35"/>
      <c r="AD35"/>
      <c r="AE35"/>
      <c r="AF35"/>
      <c r="AG35"/>
      <c r="AH35"/>
    </row>
    <row r="36" spans="1:34" x14ac:dyDescent="0.3">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6"/>
      <c r="L36"/>
      <c r="M36"/>
      <c r="N36"/>
      <c r="O36"/>
      <c r="P36"/>
      <c r="Q36"/>
      <c r="R36"/>
      <c r="S36"/>
      <c r="T36"/>
      <c r="U36"/>
      <c r="V36"/>
      <c r="W36"/>
      <c r="X36"/>
      <c r="Y36"/>
      <c r="Z36"/>
      <c r="AA36"/>
      <c r="AB36"/>
      <c r="AC36"/>
      <c r="AD36"/>
      <c r="AE36"/>
      <c r="AF36"/>
      <c r="AG36"/>
      <c r="AH36"/>
    </row>
    <row r="37" spans="1:34" x14ac:dyDescent="0.3">
      <c r="A37" s="1" t="str">
        <f t="shared" si="0"/>
        <v/>
      </c>
      <c r="B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7"/>
      <c r="L37"/>
      <c r="M37"/>
      <c r="N37"/>
      <c r="O37"/>
      <c r="P37"/>
      <c r="Q37"/>
      <c r="R37"/>
      <c r="S37"/>
      <c r="T37"/>
      <c r="U37"/>
      <c r="V37"/>
      <c r="W37"/>
      <c r="X37"/>
      <c r="Y37"/>
      <c r="Z37"/>
      <c r="AA37"/>
      <c r="AB37"/>
      <c r="AC37"/>
      <c r="AD37"/>
      <c r="AE37"/>
      <c r="AF37"/>
      <c r="AG37"/>
      <c r="AH37"/>
    </row>
    <row r="38" spans="1:34" x14ac:dyDescent="0.3">
      <c r="A38" s="1" t="str">
        <f t="shared" si="0"/>
        <v/>
      </c>
      <c r="B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8"/>
      <c r="L38"/>
      <c r="M38"/>
      <c r="N38"/>
      <c r="O38"/>
      <c r="P38"/>
      <c r="Q38"/>
      <c r="R38"/>
      <c r="S38"/>
      <c r="T38"/>
      <c r="U38"/>
      <c r="V38"/>
      <c r="W38"/>
      <c r="X38"/>
      <c r="Y38"/>
      <c r="Z38"/>
      <c r="AA38"/>
      <c r="AB38"/>
      <c r="AC38"/>
      <c r="AD38"/>
      <c r="AE38"/>
      <c r="AF38"/>
      <c r="AG38"/>
      <c r="AH38"/>
    </row>
    <row r="39" spans="1:34" x14ac:dyDescent="0.3">
      <c r="A39" s="1" t="str">
        <f t="shared" si="0"/>
        <v/>
      </c>
      <c r="B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 spans="1:34" x14ac:dyDescent="0.3">
      <c r="A40" s="1" t="str">
        <f t="shared" si="0"/>
        <v/>
      </c>
      <c r="B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 spans="1:34" x14ac:dyDescent="0.3">
      <c r="A41" s="1" t="str">
        <f t="shared" si="0"/>
        <v/>
      </c>
      <c r="B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 spans="1:34" x14ac:dyDescent="0.3">
      <c r="A42" s="1" t="str">
        <f t="shared" si="0"/>
        <v/>
      </c>
      <c r="B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 spans="1:34" x14ac:dyDescent="0.3">
      <c r="A43" s="1" t="str">
        <f t="shared" si="0"/>
        <v/>
      </c>
      <c r="B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 spans="1:34" x14ac:dyDescent="0.3">
      <c r="A44" s="1" t="str">
        <f t="shared" si="0"/>
        <v/>
      </c>
      <c r="B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 spans="1:34" x14ac:dyDescent="0.3">
      <c r="A45" s="1" t="str">
        <f t="shared" si="0"/>
        <v/>
      </c>
      <c r="B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 spans="1:34" x14ac:dyDescent="0.3">
      <c r="A46" s="1" t="str">
        <f t="shared" si="0"/>
        <v/>
      </c>
      <c r="B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 spans="1:34" x14ac:dyDescent="0.3">
      <c r="A47" s="1" t="str">
        <f t="shared" si="0"/>
        <v/>
      </c>
      <c r="B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 spans="1:34" x14ac:dyDescent="0.3">
      <c r="A48" s="1" t="str">
        <f t="shared" si="0"/>
        <v/>
      </c>
      <c r="B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 spans="1:2" x14ac:dyDescent="0.3">
      <c r="A49" s="1" t="str">
        <f t="shared" si="0"/>
        <v/>
      </c>
      <c r="B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 spans="1:2" x14ac:dyDescent="0.3">
      <c r="A50" s="1" t="str">
        <f t="shared" si="0"/>
        <v/>
      </c>
      <c r="B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 spans="1:2" x14ac:dyDescent="0.3">
      <c r="A51" s="1" t="str">
        <f t="shared" si="0"/>
        <v/>
      </c>
      <c r="B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 spans="1:2" x14ac:dyDescent="0.3">
      <c r="A52" s="1" t="str">
        <f t="shared" si="0"/>
        <v/>
      </c>
      <c r="B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 spans="1:2" x14ac:dyDescent="0.3">
      <c r="A53" s="1" t="str">
        <f t="shared" si="0"/>
        <v/>
      </c>
      <c r="B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 spans="1:2" x14ac:dyDescent="0.3">
      <c r="A54" s="1" t="str">
        <f t="shared" si="0"/>
        <v/>
      </c>
      <c r="B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 spans="1:2" x14ac:dyDescent="0.3">
      <c r="A55" s="1" t="str">
        <f t="shared" si="0"/>
        <v/>
      </c>
      <c r="B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 spans="1:2" x14ac:dyDescent="0.3">
      <c r="A56" s="1" t="str">
        <f t="shared" si="0"/>
        <v/>
      </c>
      <c r="B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 spans="1:2" x14ac:dyDescent="0.3">
      <c r="A57" s="1" t="str">
        <f t="shared" si="0"/>
        <v/>
      </c>
      <c r="B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 spans="1:2" x14ac:dyDescent="0.3">
      <c r="A58" s="1" t="str">
        <f t="shared" si="0"/>
        <v/>
      </c>
      <c r="B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 spans="1:2" x14ac:dyDescent="0.3">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 spans="1:2" x14ac:dyDescent="0.3">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 spans="1:2" x14ac:dyDescent="0.3">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 spans="1:2" x14ac:dyDescent="0.3">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 spans="1:2" x14ac:dyDescent="0.3">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 spans="1:2" x14ac:dyDescent="0.3">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 spans="1:2" x14ac:dyDescent="0.3">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 spans="1:2" x14ac:dyDescent="0.3">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 spans="1:2" x14ac:dyDescent="0.3">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 spans="1:2" x14ac:dyDescent="0.3">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 spans="1:2" x14ac:dyDescent="0.3">
      <c r="A69" s="1" t="str">
        <f t="shared" si="1"/>
        <v/>
      </c>
      <c r="B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 spans="1:2" x14ac:dyDescent="0.3">
      <c r="A70" s="1" t="str">
        <f t="shared" si="1"/>
        <v/>
      </c>
      <c r="B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 spans="1:2" x14ac:dyDescent="0.3">
      <c r="A71" s="1" t="str">
        <f t="shared" si="1"/>
        <v/>
      </c>
      <c r="B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 spans="1:2" x14ac:dyDescent="0.3">
      <c r="A72" s="1" t="str">
        <f t="shared" si="1"/>
        <v/>
      </c>
      <c r="B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 spans="1:2" x14ac:dyDescent="0.3">
      <c r="A73" s="1" t="str">
        <f t="shared" si="1"/>
        <v/>
      </c>
      <c r="B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 spans="1:2" x14ac:dyDescent="0.3">
      <c r="A74" s="1" t="str">
        <f t="shared" si="1"/>
        <v/>
      </c>
      <c r="B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 spans="1:2" x14ac:dyDescent="0.3">
      <c r="A75" s="1" t="str">
        <f t="shared" si="1"/>
        <v/>
      </c>
      <c r="B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 spans="1:2" x14ac:dyDescent="0.3">
      <c r="A76" s="1" t="str">
        <f t="shared" si="1"/>
        <v/>
      </c>
      <c r="B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 spans="1:2" x14ac:dyDescent="0.3">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 spans="1:2" x14ac:dyDescent="0.3">
      <c r="A78" s="1" t="str">
        <f t="shared" si="1"/>
        <v/>
      </c>
      <c r="B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 spans="1:2" x14ac:dyDescent="0.3">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 spans="1:2" x14ac:dyDescent="0.3">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 spans="1:2" x14ac:dyDescent="0.3">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 spans="1:2" x14ac:dyDescent="0.3">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 spans="1:2" x14ac:dyDescent="0.3">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 spans="1:2" x14ac:dyDescent="0.3">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 spans="1:2" x14ac:dyDescent="0.3">
      <c r="A85" s="1" t="str">
        <f t="shared" si="1"/>
        <v/>
      </c>
      <c r="B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 spans="1:2" x14ac:dyDescent="0.3">
      <c r="A86" s="1" t="str">
        <f t="shared" si="1"/>
        <v/>
      </c>
      <c r="B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 spans="1:2" x14ac:dyDescent="0.3">
      <c r="A87" s="1" t="str">
        <f t="shared" si="1"/>
        <v/>
      </c>
      <c r="B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 spans="1:2" x14ac:dyDescent="0.3">
      <c r="A88" s="1" t="str">
        <f t="shared" si="1"/>
        <v/>
      </c>
      <c r="B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 spans="1:2" x14ac:dyDescent="0.3">
      <c r="A89" s="1" t="str">
        <f t="shared" si="1"/>
        <v/>
      </c>
      <c r="B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 spans="1:2" x14ac:dyDescent="0.3">
      <c r="A90" s="1" t="str">
        <f t="shared" si="1"/>
        <v/>
      </c>
      <c r="B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 spans="1:2" x14ac:dyDescent="0.3">
      <c r="A91" s="1" t="str">
        <f t="shared" si="1"/>
        <v/>
      </c>
      <c r="B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 spans="1:2" x14ac:dyDescent="0.3">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 spans="1:2" x14ac:dyDescent="0.3">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 spans="1:2" x14ac:dyDescent="0.3">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 spans="1:2" x14ac:dyDescent="0.3">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 spans="1:2" x14ac:dyDescent="0.3">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 spans="1:2" x14ac:dyDescent="0.3">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 spans="1:2" x14ac:dyDescent="0.3">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 spans="1:2" x14ac:dyDescent="0.3">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 spans="1:2" x14ac:dyDescent="0.3">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 spans="1:2" x14ac:dyDescent="0.3">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 spans="1:2" x14ac:dyDescent="0.3">
      <c r="A102" s="1" t="str">
        <f t="shared" si="1"/>
        <v/>
      </c>
      <c r="B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 spans="1:2" x14ac:dyDescent="0.3">
      <c r="A103" s="1" t="str">
        <f t="shared" si="1"/>
        <v/>
      </c>
      <c r="B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 spans="1:2" x14ac:dyDescent="0.3">
      <c r="A104" s="1" t="str">
        <f t="shared" si="1"/>
        <v/>
      </c>
      <c r="B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 spans="1:2" x14ac:dyDescent="0.3">
      <c r="A105" s="1" t="str">
        <f t="shared" si="1"/>
        <v/>
      </c>
      <c r="B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 spans="1:2" x14ac:dyDescent="0.3">
      <c r="A106" s="1" t="str">
        <f t="shared" si="1"/>
        <v/>
      </c>
      <c r="B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 spans="1:2" x14ac:dyDescent="0.3">
      <c r="A107" s="1" t="str">
        <f t="shared" si="1"/>
        <v/>
      </c>
      <c r="B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 spans="1:2" x14ac:dyDescent="0.3">
      <c r="A108" s="1" t="str">
        <f t="shared" si="1"/>
        <v/>
      </c>
      <c r="B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 spans="1:2" x14ac:dyDescent="0.3">
      <c r="A109" s="1" t="str">
        <f t="shared" si="1"/>
        <v/>
      </c>
      <c r="B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 spans="1:2" x14ac:dyDescent="0.3">
      <c r="A110" s="1" t="str">
        <f t="shared" si="1"/>
        <v/>
      </c>
      <c r="B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 spans="1:2" x14ac:dyDescent="0.3">
      <c r="A111" s="1" t="str">
        <f t="shared" si="1"/>
        <v/>
      </c>
      <c r="B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 spans="1:2" x14ac:dyDescent="0.3">
      <c r="A112" s="1" t="str">
        <f t="shared" si="1"/>
        <v/>
      </c>
      <c r="B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 spans="1:2" x14ac:dyDescent="0.3">
      <c r="A113" s="1" t="str">
        <f t="shared" si="1"/>
        <v/>
      </c>
      <c r="B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 spans="1:2" x14ac:dyDescent="0.3">
      <c r="A114" s="1" t="str">
        <f t="shared" si="1"/>
        <v/>
      </c>
      <c r="B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 spans="1:2" x14ac:dyDescent="0.3">
      <c r="A115" s="1" t="str">
        <f t="shared" si="1"/>
        <v/>
      </c>
      <c r="B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 spans="1:2" x14ac:dyDescent="0.3">
      <c r="A116" s="1" t="str">
        <f t="shared" si="1"/>
        <v/>
      </c>
      <c r="B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 spans="1:2" x14ac:dyDescent="0.3">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 spans="1:2" x14ac:dyDescent="0.3">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 spans="1:2" x14ac:dyDescent="0.3">
      <c r="A119" s="1" t="str">
        <f t="shared" si="1"/>
        <v/>
      </c>
      <c r="B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 spans="1:2" x14ac:dyDescent="0.3">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 spans="1:2" x14ac:dyDescent="0.3">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 spans="1:2" x14ac:dyDescent="0.3">
      <c r="A122" s="1" t="str">
        <f t="shared" si="1"/>
        <v/>
      </c>
      <c r="B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 spans="1:2" x14ac:dyDescent="0.3">
      <c r="A123" s="1" t="str">
        <f t="shared" si="1"/>
        <v/>
      </c>
      <c r="B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 spans="1:2" x14ac:dyDescent="0.3">
      <c r="A124" s="1" t="str">
        <f t="shared" si="1"/>
        <v/>
      </c>
      <c r="B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 spans="1:2" x14ac:dyDescent="0.3">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 spans="1:2" x14ac:dyDescent="0.3">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 spans="1:2" x14ac:dyDescent="0.3">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 spans="1:2" x14ac:dyDescent="0.3">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 spans="1:2" x14ac:dyDescent="0.3">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 spans="1:2" x14ac:dyDescent="0.3">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 spans="1:2" x14ac:dyDescent="0.3">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 spans="1:2" x14ac:dyDescent="0.3">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 spans="1:2" x14ac:dyDescent="0.3">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 spans="1:2" x14ac:dyDescent="0.3">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 spans="1:2" x14ac:dyDescent="0.3">
      <c r="A135" s="1" t="str">
        <f t="shared" si="2"/>
        <v/>
      </c>
      <c r="B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 spans="1:2" x14ac:dyDescent="0.3">
      <c r="A136" s="1" t="str">
        <f t="shared" si="2"/>
        <v/>
      </c>
      <c r="B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 spans="1:2" x14ac:dyDescent="0.3">
      <c r="A137" s="1" t="str">
        <f t="shared" si="2"/>
        <v/>
      </c>
      <c r="B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 spans="1:2" x14ac:dyDescent="0.3">
      <c r="A138" s="1" t="str">
        <f t="shared" si="2"/>
        <v/>
      </c>
      <c r="B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 spans="1:2" x14ac:dyDescent="0.3">
      <c r="A139" s="1" t="str">
        <f t="shared" si="2"/>
        <v/>
      </c>
      <c r="B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 spans="1:2" x14ac:dyDescent="0.3">
      <c r="A140" s="1" t="str">
        <f t="shared" si="2"/>
        <v/>
      </c>
      <c r="B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 spans="1:2" x14ac:dyDescent="0.3">
      <c r="A141" s="1" t="str">
        <f t="shared" si="2"/>
        <v/>
      </c>
      <c r="B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 spans="1:2" x14ac:dyDescent="0.3">
      <c r="A142" s="1" t="str">
        <f t="shared" si="2"/>
        <v/>
      </c>
      <c r="B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 spans="1:2" x14ac:dyDescent="0.3">
      <c r="A143" s="1" t="str">
        <f t="shared" si="2"/>
        <v/>
      </c>
      <c r="B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 spans="1:2" x14ac:dyDescent="0.3">
      <c r="A144" s="1" t="str">
        <f t="shared" si="2"/>
        <v/>
      </c>
      <c r="B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 spans="1:2" x14ac:dyDescent="0.3">
      <c r="A145" s="1" t="str">
        <f t="shared" si="2"/>
        <v/>
      </c>
      <c r="B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 spans="1:2" x14ac:dyDescent="0.3">
      <c r="A146" s="1" t="str">
        <f t="shared" si="2"/>
        <v/>
      </c>
      <c r="B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 spans="1:2" x14ac:dyDescent="0.3">
      <c r="A147" s="1" t="str">
        <f t="shared" si="2"/>
        <v/>
      </c>
      <c r="B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 spans="1:2" x14ac:dyDescent="0.3">
      <c r="A148" s="1" t="str">
        <f t="shared" si="2"/>
        <v/>
      </c>
      <c r="B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 spans="1:2" x14ac:dyDescent="0.3">
      <c r="A149" s="1" t="str">
        <f t="shared" si="2"/>
        <v/>
      </c>
      <c r="B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 spans="1:2" x14ac:dyDescent="0.3">
      <c r="A150" s="1" t="str">
        <f t="shared" si="2"/>
        <v/>
      </c>
      <c r="B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 spans="1:2" x14ac:dyDescent="0.3">
      <c r="A151" s="1" t="str">
        <f t="shared" si="2"/>
        <v/>
      </c>
      <c r="B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 spans="1:2" x14ac:dyDescent="0.3">
      <c r="A152" s="1" t="str">
        <f t="shared" si="2"/>
        <v/>
      </c>
      <c r="B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 spans="1:2" x14ac:dyDescent="0.3">
      <c r="A153" s="1" t="str">
        <f t="shared" si="2"/>
        <v/>
      </c>
      <c r="B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 spans="1:2" x14ac:dyDescent="0.3">
      <c r="A154" s="1" t="str">
        <f t="shared" si="2"/>
        <v/>
      </c>
      <c r="B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 spans="1:2" x14ac:dyDescent="0.3">
      <c r="A155" s="1" t="str">
        <f t="shared" si="2"/>
        <v/>
      </c>
      <c r="B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6" spans="1:2" x14ac:dyDescent="0.3">
      <c r="A156" s="1" t="str">
        <f t="shared" si="2"/>
        <v/>
      </c>
      <c r="B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7" spans="1:2" x14ac:dyDescent="0.3">
      <c r="A157" s="1" t="str">
        <f t="shared" si="2"/>
        <v/>
      </c>
      <c r="B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8" spans="1:2" x14ac:dyDescent="0.3">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9" spans="1:2" x14ac:dyDescent="0.3">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0" spans="1:2" x14ac:dyDescent="0.3">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1" spans="1:2" x14ac:dyDescent="0.3">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2" spans="1:2" x14ac:dyDescent="0.3">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3" spans="1:2" x14ac:dyDescent="0.3">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4" spans="1:2" x14ac:dyDescent="0.3">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5" spans="1:2" x14ac:dyDescent="0.3">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6" spans="1:2" x14ac:dyDescent="0.3">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7" spans="1:2" x14ac:dyDescent="0.3">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8" spans="1:2" x14ac:dyDescent="0.3">
      <c r="A168" s="1" t="str">
        <f t="shared" si="2"/>
        <v/>
      </c>
      <c r="B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9" spans="1:2" x14ac:dyDescent="0.3">
      <c r="A169" s="1" t="str">
        <f t="shared" si="2"/>
        <v/>
      </c>
      <c r="B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0" spans="1:2" x14ac:dyDescent="0.3">
      <c r="A170" s="1" t="str">
        <f t="shared" si="2"/>
        <v/>
      </c>
      <c r="B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1" spans="1:2" x14ac:dyDescent="0.3">
      <c r="A171" s="1" t="str">
        <f t="shared" si="2"/>
        <v/>
      </c>
      <c r="B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2" spans="1:2" x14ac:dyDescent="0.3">
      <c r="A172" s="1" t="str">
        <f t="shared" si="2"/>
        <v/>
      </c>
      <c r="B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3" spans="1:2" x14ac:dyDescent="0.3">
      <c r="A173" s="1" t="str">
        <f t="shared" si="2"/>
        <v/>
      </c>
      <c r="B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4" spans="1:2" x14ac:dyDescent="0.3">
      <c r="A174" s="1" t="str">
        <f t="shared" si="2"/>
        <v/>
      </c>
      <c r="B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5" spans="1:2" x14ac:dyDescent="0.3">
      <c r="A175" s="1" t="str">
        <f t="shared" si="2"/>
        <v/>
      </c>
      <c r="B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6" spans="1:2" x14ac:dyDescent="0.3">
      <c r="A176" s="1" t="str">
        <f t="shared" si="2"/>
        <v/>
      </c>
      <c r="B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7" spans="1:2" x14ac:dyDescent="0.3">
      <c r="A177" s="1" t="str">
        <f t="shared" si="2"/>
        <v/>
      </c>
      <c r="B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8" spans="1:2" x14ac:dyDescent="0.3">
      <c r="A178" s="1" t="str">
        <f t="shared" si="2"/>
        <v/>
      </c>
      <c r="B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9" spans="1:2" x14ac:dyDescent="0.3">
      <c r="A179" s="1" t="str">
        <f t="shared" si="2"/>
        <v/>
      </c>
      <c r="B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0" spans="1:2" x14ac:dyDescent="0.3">
      <c r="A180" s="1" t="str">
        <f t="shared" si="2"/>
        <v/>
      </c>
      <c r="B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1" spans="1:2" x14ac:dyDescent="0.3">
      <c r="A181" s="1" t="str">
        <f t="shared" si="2"/>
        <v/>
      </c>
      <c r="B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2" spans="1:2" x14ac:dyDescent="0.3">
      <c r="A182" s="1" t="str">
        <f t="shared" si="2"/>
        <v/>
      </c>
      <c r="B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3" spans="1:2" x14ac:dyDescent="0.3">
      <c r="A183" s="1" t="str">
        <f t="shared" si="2"/>
        <v/>
      </c>
      <c r="B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4" spans="1:2" x14ac:dyDescent="0.3">
      <c r="A184" s="1" t="str">
        <f t="shared" si="2"/>
        <v/>
      </c>
      <c r="B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5" spans="1:2" x14ac:dyDescent="0.3">
      <c r="A185" s="1" t="str">
        <f t="shared" si="2"/>
        <v/>
      </c>
      <c r="B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6" spans="1:2" x14ac:dyDescent="0.3">
      <c r="A186" s="1" t="str">
        <f t="shared" si="2"/>
        <v/>
      </c>
      <c r="B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7" spans="1:2" x14ac:dyDescent="0.3">
      <c r="A187" s="1" t="str">
        <f t="shared" si="2"/>
        <v/>
      </c>
      <c r="B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8" spans="1:2" x14ac:dyDescent="0.3">
      <c r="A188" s="1" t="str">
        <f t="shared" si="2"/>
        <v/>
      </c>
      <c r="B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9" spans="1:2" x14ac:dyDescent="0.3">
      <c r="A189" s="1" t="str">
        <f t="shared" si="2"/>
        <v/>
      </c>
      <c r="B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0" spans="1:2" x14ac:dyDescent="0.3">
      <c r="A190" s="1" t="str">
        <f t="shared" si="2"/>
        <v/>
      </c>
      <c r="B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1" spans="1:2" x14ac:dyDescent="0.3">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2" spans="1:2" x14ac:dyDescent="0.3">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3" spans="1:2" x14ac:dyDescent="0.3">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4" spans="1:2" x14ac:dyDescent="0.3">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5" spans="1:2" x14ac:dyDescent="0.3">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6" spans="1:2" x14ac:dyDescent="0.3">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7" spans="1:2" x14ac:dyDescent="0.3">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8" spans="1:2" x14ac:dyDescent="0.3">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9" spans="1:2" x14ac:dyDescent="0.3">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0" spans="1:2" x14ac:dyDescent="0.3">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1" spans="1:2" x14ac:dyDescent="0.3">
      <c r="A201" s="1" t="str">
        <f t="shared" si="3"/>
        <v/>
      </c>
      <c r="B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2" spans="1:2" x14ac:dyDescent="0.3">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3" spans="1:2" x14ac:dyDescent="0.3">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4" spans="1:2" x14ac:dyDescent="0.3">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5" spans="1:2" x14ac:dyDescent="0.3">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6" spans="1:2" x14ac:dyDescent="0.3">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7" spans="1:2" x14ac:dyDescent="0.3">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8" spans="1:2" x14ac:dyDescent="0.3">
      <c r="A208" s="1" t="str">
        <f t="shared" si="3"/>
        <v/>
      </c>
      <c r="B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9" spans="1:2" x14ac:dyDescent="0.3">
      <c r="A209" s="1" t="str">
        <f t="shared" si="3"/>
        <v/>
      </c>
      <c r="B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0" spans="1:2" x14ac:dyDescent="0.3">
      <c r="A210" s="1" t="str">
        <f t="shared" si="3"/>
        <v/>
      </c>
      <c r="B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1" spans="1:2" x14ac:dyDescent="0.3">
      <c r="A211" s="1" t="str">
        <f t="shared" si="3"/>
        <v/>
      </c>
      <c r="B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2" spans="1:2" x14ac:dyDescent="0.3">
      <c r="A212" s="1" t="str">
        <f t="shared" si="3"/>
        <v/>
      </c>
      <c r="B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3" spans="1:2" x14ac:dyDescent="0.3">
      <c r="A213" s="1" t="str">
        <f t="shared" si="3"/>
        <v/>
      </c>
      <c r="B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4" spans="1:2" x14ac:dyDescent="0.3">
      <c r="A214" s="1" t="str">
        <f t="shared" si="3"/>
        <v/>
      </c>
      <c r="B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5" spans="1:2" x14ac:dyDescent="0.3">
      <c r="A215" s="1" t="str">
        <f t="shared" si="3"/>
        <v/>
      </c>
      <c r="B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6" spans="1:2" x14ac:dyDescent="0.3">
      <c r="A216" s="1" t="str">
        <f t="shared" si="3"/>
        <v/>
      </c>
      <c r="B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7" spans="1:2" x14ac:dyDescent="0.3">
      <c r="A217" s="1" t="str">
        <f t="shared" si="3"/>
        <v/>
      </c>
      <c r="B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8" spans="1:2" x14ac:dyDescent="0.3">
      <c r="A218" s="1" t="str">
        <f t="shared" si="3"/>
        <v/>
      </c>
      <c r="B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9" spans="1:2" x14ac:dyDescent="0.3">
      <c r="A219" s="1" t="str">
        <f t="shared" si="3"/>
        <v/>
      </c>
      <c r="B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0" spans="1:2" x14ac:dyDescent="0.3">
      <c r="A220" s="1" t="str">
        <f t="shared" si="3"/>
        <v/>
      </c>
      <c r="B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1" spans="1:2" x14ac:dyDescent="0.3">
      <c r="A221" s="1" t="str">
        <f t="shared" si="3"/>
        <v/>
      </c>
      <c r="B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2" spans="1:2" x14ac:dyDescent="0.3">
      <c r="A222" s="1" t="str">
        <f t="shared" si="3"/>
        <v/>
      </c>
      <c r="B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3" spans="1:2" x14ac:dyDescent="0.3">
      <c r="A223" s="1" t="str">
        <f t="shared" si="3"/>
        <v/>
      </c>
      <c r="B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4" spans="1:2" x14ac:dyDescent="0.3">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5" spans="1:2" x14ac:dyDescent="0.3">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6" spans="1:2" x14ac:dyDescent="0.3">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7" spans="1:2" x14ac:dyDescent="0.3">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8" spans="1:2" x14ac:dyDescent="0.3">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9" spans="1:2" x14ac:dyDescent="0.3">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0" spans="1:2" x14ac:dyDescent="0.3">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1" spans="1:2" x14ac:dyDescent="0.3">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2" spans="1:2" x14ac:dyDescent="0.3">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3" spans="1:2" x14ac:dyDescent="0.3">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4" spans="1:2" x14ac:dyDescent="0.3">
      <c r="A234" s="1" t="str">
        <f t="shared" si="3"/>
        <v/>
      </c>
      <c r="B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5" spans="1:2" x14ac:dyDescent="0.3">
      <c r="A235" s="1" t="str">
        <f t="shared" si="3"/>
        <v/>
      </c>
      <c r="B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6" spans="1:2" x14ac:dyDescent="0.3">
      <c r="A236" s="1" t="str">
        <f t="shared" si="3"/>
        <v/>
      </c>
      <c r="B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7" spans="1:2" x14ac:dyDescent="0.3">
      <c r="A237" s="1" t="str">
        <f t="shared" si="3"/>
        <v/>
      </c>
      <c r="B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8" spans="1:2" x14ac:dyDescent="0.3">
      <c r="A238" s="1" t="str">
        <f t="shared" si="3"/>
        <v/>
      </c>
      <c r="B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9" spans="1:2" x14ac:dyDescent="0.3">
      <c r="A239" s="1" t="str">
        <f t="shared" si="3"/>
        <v/>
      </c>
      <c r="B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0" spans="1:2" x14ac:dyDescent="0.3">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1" spans="1:2" x14ac:dyDescent="0.3">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2" spans="1:2" x14ac:dyDescent="0.3">
      <c r="A242" s="1" t="str">
        <f t="shared" si="3"/>
        <v/>
      </c>
      <c r="B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3" spans="1:2" x14ac:dyDescent="0.3">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4" spans="1:2" x14ac:dyDescent="0.3">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5" spans="1:2" x14ac:dyDescent="0.3">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6" spans="1:2" x14ac:dyDescent="0.3">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7" spans="1:2" x14ac:dyDescent="0.3">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8" spans="1:2" x14ac:dyDescent="0.3">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9" spans="1:2" x14ac:dyDescent="0.3">
      <c r="A249" s="1" t="str">
        <f t="shared" si="3"/>
        <v/>
      </c>
      <c r="B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0" spans="1:2" x14ac:dyDescent="0.3">
      <c r="A250" s="1" t="str">
        <f t="shared" si="3"/>
        <v/>
      </c>
      <c r="B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1" spans="1:2" x14ac:dyDescent="0.3">
      <c r="A251" s="1" t="str">
        <f t="shared" si="3"/>
        <v/>
      </c>
      <c r="B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2" spans="1:2" x14ac:dyDescent="0.3">
      <c r="A252" s="1" t="str">
        <f t="shared" si="3"/>
        <v/>
      </c>
      <c r="B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3" spans="1:2" x14ac:dyDescent="0.3">
      <c r="A253" s="1" t="str">
        <f t="shared" si="3"/>
        <v/>
      </c>
      <c r="B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4" spans="1:2" x14ac:dyDescent="0.3">
      <c r="A254" s="1" t="str">
        <f t="shared" si="3"/>
        <v/>
      </c>
      <c r="B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5" spans="1:2" x14ac:dyDescent="0.3">
      <c r="A255" s="1" t="str">
        <f t="shared" si="3"/>
        <v/>
      </c>
      <c r="B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6" spans="1:2" x14ac:dyDescent="0.3">
      <c r="A256" s="1" t="str">
        <f t="shared" si="3"/>
        <v/>
      </c>
      <c r="B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7" spans="1:2" x14ac:dyDescent="0.3">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8" spans="1:2" x14ac:dyDescent="0.3">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9" spans="1:2" x14ac:dyDescent="0.3">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0" spans="1:2" x14ac:dyDescent="0.3">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1" spans="1:2" x14ac:dyDescent="0.3">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2" spans="1:2" x14ac:dyDescent="0.3">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3" spans="1:2" x14ac:dyDescent="0.3">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4" spans="1:2" x14ac:dyDescent="0.3">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5" spans="1:2" x14ac:dyDescent="0.3">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6" spans="1:2" x14ac:dyDescent="0.3">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7" spans="1:2" x14ac:dyDescent="0.3">
      <c r="A267" s="1" t="str">
        <f t="shared" si="4"/>
        <v/>
      </c>
      <c r="B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8" spans="1:2" x14ac:dyDescent="0.3">
      <c r="A268" s="1" t="str">
        <f t="shared" si="4"/>
        <v/>
      </c>
      <c r="B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9" spans="1:2" x14ac:dyDescent="0.3">
      <c r="A269" s="1" t="str">
        <f t="shared" si="4"/>
        <v/>
      </c>
      <c r="B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0" spans="1:2" x14ac:dyDescent="0.3">
      <c r="A270" s="1" t="str">
        <f t="shared" si="4"/>
        <v/>
      </c>
      <c r="B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1" spans="1:2" x14ac:dyDescent="0.3">
      <c r="A271" s="1" t="str">
        <f t="shared" si="4"/>
        <v/>
      </c>
      <c r="B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2" spans="1:2" x14ac:dyDescent="0.3">
      <c r="A272" s="1" t="str">
        <f t="shared" si="4"/>
        <v/>
      </c>
      <c r="B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3" spans="1:2" x14ac:dyDescent="0.3">
      <c r="A273" s="1" t="str">
        <f t="shared" si="4"/>
        <v/>
      </c>
      <c r="B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4" spans="1:2" x14ac:dyDescent="0.3">
      <c r="A274" s="1" t="str">
        <f t="shared" si="4"/>
        <v/>
      </c>
      <c r="B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5" spans="1:2" x14ac:dyDescent="0.3">
      <c r="A275" s="1" t="str">
        <f t="shared" si="4"/>
        <v/>
      </c>
      <c r="B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6" spans="1:2" x14ac:dyDescent="0.3">
      <c r="A276" s="1" t="str">
        <f t="shared" si="4"/>
        <v/>
      </c>
      <c r="B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7" spans="1:2" x14ac:dyDescent="0.3">
      <c r="A277" s="1" t="str">
        <f t="shared" si="4"/>
        <v/>
      </c>
      <c r="B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8" spans="1:2" x14ac:dyDescent="0.3">
      <c r="A278" s="1" t="str">
        <f t="shared" si="4"/>
        <v/>
      </c>
      <c r="B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9" spans="1:2" x14ac:dyDescent="0.3">
      <c r="A279" s="1" t="str">
        <f t="shared" si="4"/>
        <v/>
      </c>
      <c r="B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0" spans="1:2" x14ac:dyDescent="0.3">
      <c r="A280" s="1" t="str">
        <f t="shared" si="4"/>
        <v/>
      </c>
      <c r="B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1" spans="1:2" x14ac:dyDescent="0.3">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2" spans="1:2" x14ac:dyDescent="0.3">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3" spans="1:2" x14ac:dyDescent="0.3">
      <c r="A283" s="1" t="str">
        <f t="shared" si="4"/>
        <v/>
      </c>
      <c r="B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4" spans="1:2" x14ac:dyDescent="0.3">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5" spans="1:2" x14ac:dyDescent="0.3">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6" spans="1:2" x14ac:dyDescent="0.3">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7" spans="1:2" x14ac:dyDescent="0.3">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8" spans="1:2" x14ac:dyDescent="0.3">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9" spans="1:2" x14ac:dyDescent="0.3">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0" spans="1:2" x14ac:dyDescent="0.3">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1" spans="1:2" x14ac:dyDescent="0.3">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2" spans="1:2" x14ac:dyDescent="0.3">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3" spans="1:2" x14ac:dyDescent="0.3">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4" spans="1:2" x14ac:dyDescent="0.3">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5" spans="1:2" x14ac:dyDescent="0.3">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6" spans="1:2" x14ac:dyDescent="0.3">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7" spans="1:2" x14ac:dyDescent="0.3">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8" spans="1:2" x14ac:dyDescent="0.3">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9" spans="1:2" x14ac:dyDescent="0.3">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0" spans="1:2" x14ac:dyDescent="0.3">
      <c r="A300" s="1" t="str">
        <f t="shared" si="4"/>
        <v/>
      </c>
      <c r="B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1" spans="1:2" x14ac:dyDescent="0.3">
      <c r="A301" s="1" t="str">
        <f t="shared" si="4"/>
        <v/>
      </c>
      <c r="B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2" spans="1:2" x14ac:dyDescent="0.3">
      <c r="A302" s="1" t="str">
        <f t="shared" si="4"/>
        <v/>
      </c>
      <c r="B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3" spans="1:2" x14ac:dyDescent="0.3">
      <c r="A303" s="1" t="str">
        <f t="shared" si="4"/>
        <v/>
      </c>
      <c r="B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4" spans="1:2" x14ac:dyDescent="0.3">
      <c r="A304" s="1" t="str">
        <f t="shared" si="4"/>
        <v/>
      </c>
      <c r="B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5" spans="1:2" x14ac:dyDescent="0.3">
      <c r="A305" s="1" t="str">
        <f t="shared" si="4"/>
        <v/>
      </c>
      <c r="B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6" spans="1:2" x14ac:dyDescent="0.3">
      <c r="A306" s="1" t="str">
        <f t="shared" si="4"/>
        <v/>
      </c>
      <c r="B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7" spans="1:2" x14ac:dyDescent="0.3">
      <c r="A307" s="1" t="str">
        <f t="shared" si="4"/>
        <v/>
      </c>
      <c r="B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8" spans="1:2" x14ac:dyDescent="0.3">
      <c r="A308" s="1" t="str">
        <f t="shared" si="4"/>
        <v/>
      </c>
      <c r="B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9" spans="1:2" x14ac:dyDescent="0.3">
      <c r="A309" s="1" t="str">
        <f t="shared" si="4"/>
        <v/>
      </c>
      <c r="B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0" spans="1:2" x14ac:dyDescent="0.3">
      <c r="A310" s="1" t="str">
        <f t="shared" si="4"/>
        <v/>
      </c>
      <c r="B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1" spans="1:2" x14ac:dyDescent="0.3">
      <c r="A311" s="1" t="str">
        <f t="shared" si="4"/>
        <v/>
      </c>
      <c r="B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2" spans="1:2" x14ac:dyDescent="0.3">
      <c r="A312" s="1" t="str">
        <f t="shared" si="4"/>
        <v/>
      </c>
      <c r="B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3" spans="1:2" x14ac:dyDescent="0.3">
      <c r="A313" s="1" t="str">
        <f t="shared" si="4"/>
        <v/>
      </c>
      <c r="B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4" spans="1:2" x14ac:dyDescent="0.3">
      <c r="A314" s="1" t="str">
        <f t="shared" si="4"/>
        <v/>
      </c>
      <c r="B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5" spans="1:2" x14ac:dyDescent="0.3">
      <c r="A315" s="1" t="str">
        <f t="shared" si="4"/>
        <v/>
      </c>
      <c r="B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6" spans="1:2" x14ac:dyDescent="0.3">
      <c r="A316" s="1" t="str">
        <f t="shared" si="4"/>
        <v/>
      </c>
      <c r="B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7" spans="1:2" x14ac:dyDescent="0.3">
      <c r="A317" s="1" t="str">
        <f t="shared" si="4"/>
        <v/>
      </c>
      <c r="B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8" spans="1:2" x14ac:dyDescent="0.3">
      <c r="A318" s="1" t="str">
        <f t="shared" si="4"/>
        <v/>
      </c>
      <c r="B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9" spans="1:2" x14ac:dyDescent="0.3">
      <c r="A319" s="1" t="str">
        <f t="shared" si="4"/>
        <v/>
      </c>
      <c r="B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0" spans="1:2" x14ac:dyDescent="0.3">
      <c r="A320" s="1" t="str">
        <f t="shared" si="4"/>
        <v/>
      </c>
      <c r="B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1" spans="1:2" x14ac:dyDescent="0.3">
      <c r="A321" s="1" t="str">
        <f t="shared" si="4"/>
        <v/>
      </c>
      <c r="B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2" spans="1:2" x14ac:dyDescent="0.3">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3" spans="1:2" x14ac:dyDescent="0.3">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4" spans="1:2" x14ac:dyDescent="0.3">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5" spans="1:2" x14ac:dyDescent="0.3">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6" spans="1:2" x14ac:dyDescent="0.3">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7" spans="1:2" x14ac:dyDescent="0.3">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8" spans="1:2" x14ac:dyDescent="0.3">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9" spans="1:2" x14ac:dyDescent="0.3">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0" spans="1:2" x14ac:dyDescent="0.3">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1" spans="1:2" x14ac:dyDescent="0.3">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2" spans="1:2" x14ac:dyDescent="0.3">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3" spans="1:2" x14ac:dyDescent="0.3">
      <c r="A333" s="1" t="str">
        <f t="shared" si="5"/>
        <v/>
      </c>
      <c r="B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4" spans="1:2" x14ac:dyDescent="0.3">
      <c r="A334" s="1" t="str">
        <f t="shared" si="5"/>
        <v/>
      </c>
      <c r="B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5" spans="1:2" x14ac:dyDescent="0.3">
      <c r="A335" s="1" t="str">
        <f t="shared" si="5"/>
        <v/>
      </c>
      <c r="B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6" spans="1:2" x14ac:dyDescent="0.3">
      <c r="A336" s="1" t="str">
        <f t="shared" si="5"/>
        <v/>
      </c>
      <c r="B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7" spans="1:2" x14ac:dyDescent="0.3">
      <c r="A337" s="1" t="str">
        <f t="shared" si="5"/>
        <v/>
      </c>
      <c r="B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8" spans="1:2" x14ac:dyDescent="0.3">
      <c r="A338" s="1" t="str">
        <f t="shared" si="5"/>
        <v/>
      </c>
      <c r="B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9" spans="1:2" x14ac:dyDescent="0.3">
      <c r="A339" s="1" t="str">
        <f t="shared" si="5"/>
        <v/>
      </c>
      <c r="B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0" spans="1:2" x14ac:dyDescent="0.3">
      <c r="A340" s="1" t="str">
        <f t="shared" si="5"/>
        <v/>
      </c>
      <c r="B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1" spans="1:2" x14ac:dyDescent="0.3">
      <c r="A341" s="1" t="str">
        <f t="shared" si="5"/>
        <v/>
      </c>
      <c r="B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2" spans="1:2" x14ac:dyDescent="0.3">
      <c r="A342" s="1" t="str">
        <f t="shared" si="5"/>
        <v/>
      </c>
      <c r="B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3" spans="1:2" x14ac:dyDescent="0.3">
      <c r="A343" s="1" t="str">
        <f t="shared" si="5"/>
        <v/>
      </c>
      <c r="B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4" spans="1:2" x14ac:dyDescent="0.3">
      <c r="A344" s="1" t="str">
        <f t="shared" si="5"/>
        <v/>
      </c>
      <c r="B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5" spans="1:2" x14ac:dyDescent="0.3">
      <c r="A345" s="1" t="str">
        <f t="shared" si="5"/>
        <v/>
      </c>
      <c r="B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6" spans="1:2" x14ac:dyDescent="0.3">
      <c r="A346" s="1" t="str">
        <f t="shared" si="5"/>
        <v/>
      </c>
      <c r="B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7" spans="1:2" x14ac:dyDescent="0.3">
      <c r="A347" s="1" t="str">
        <f t="shared" si="5"/>
        <v/>
      </c>
      <c r="B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8" spans="1:2" x14ac:dyDescent="0.3">
      <c r="A348" s="1" t="str">
        <f t="shared" si="5"/>
        <v/>
      </c>
      <c r="B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9" spans="1:2" x14ac:dyDescent="0.3">
      <c r="A349" s="1" t="str">
        <f t="shared" si="5"/>
        <v/>
      </c>
      <c r="B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0" spans="1:2" x14ac:dyDescent="0.3">
      <c r="A350" s="1" t="str">
        <f t="shared" si="5"/>
        <v/>
      </c>
      <c r="B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1" spans="1:2" x14ac:dyDescent="0.3">
      <c r="A351" s="1" t="str">
        <f t="shared" si="5"/>
        <v/>
      </c>
      <c r="B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2" spans="1:2" x14ac:dyDescent="0.3">
      <c r="A352" s="1" t="str">
        <f t="shared" si="5"/>
        <v/>
      </c>
      <c r="B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3" spans="1:2" x14ac:dyDescent="0.3">
      <c r="A353" s="1" t="str">
        <f t="shared" si="5"/>
        <v/>
      </c>
      <c r="B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4" spans="1:2" x14ac:dyDescent="0.3">
      <c r="A354" s="1" t="str">
        <f t="shared" si="5"/>
        <v/>
      </c>
      <c r="B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5" spans="1:2" x14ac:dyDescent="0.3">
      <c r="A355" s="1" t="str">
        <f t="shared" si="5"/>
        <v/>
      </c>
      <c r="B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6" spans="1:2" x14ac:dyDescent="0.3">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7" spans="1:2" x14ac:dyDescent="0.3">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8" spans="1:2" x14ac:dyDescent="0.3">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9" spans="1:2" x14ac:dyDescent="0.3">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0" spans="1:2" x14ac:dyDescent="0.3">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1" spans="1:2" x14ac:dyDescent="0.3">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2" spans="1:2" x14ac:dyDescent="0.3">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3" spans="1:2" x14ac:dyDescent="0.3">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4" spans="1:2" x14ac:dyDescent="0.3">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5" spans="1:2" x14ac:dyDescent="0.3">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6" spans="1:2" x14ac:dyDescent="0.3">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7" spans="1:2" x14ac:dyDescent="0.3">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8" spans="1:2" x14ac:dyDescent="0.3">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9" spans="1:2" x14ac:dyDescent="0.3">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0" spans="1:2" x14ac:dyDescent="0.3">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1" spans="1:2" x14ac:dyDescent="0.3">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2" spans="1:2" x14ac:dyDescent="0.3">
      <c r="A372" s="1" t="str">
        <f t="shared" si="5"/>
        <v/>
      </c>
      <c r="B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3" spans="1:2" x14ac:dyDescent="0.3">
      <c r="A373" s="1" t="str">
        <f t="shared" si="5"/>
        <v/>
      </c>
      <c r="B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4" spans="1:2" x14ac:dyDescent="0.3">
      <c r="A374" s="1" t="str">
        <f t="shared" si="5"/>
        <v/>
      </c>
      <c r="B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5" spans="1:2" x14ac:dyDescent="0.3">
      <c r="A375" s="1" t="str">
        <f t="shared" si="5"/>
        <v/>
      </c>
      <c r="B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6" spans="1:2" x14ac:dyDescent="0.3">
      <c r="A376" s="1" t="str">
        <f t="shared" si="5"/>
        <v/>
      </c>
      <c r="B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7" spans="1:2" x14ac:dyDescent="0.3">
      <c r="A377" s="1" t="str">
        <f t="shared" si="5"/>
        <v/>
      </c>
      <c r="B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8" spans="1:2" x14ac:dyDescent="0.3">
      <c r="A378" s="1" t="str">
        <f t="shared" si="5"/>
        <v/>
      </c>
      <c r="B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9" spans="1:2" x14ac:dyDescent="0.3">
      <c r="A379" s="1" t="str">
        <f t="shared" si="5"/>
        <v/>
      </c>
      <c r="B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0" spans="1:2" x14ac:dyDescent="0.3">
      <c r="A380" s="1" t="str">
        <f t="shared" si="5"/>
        <v/>
      </c>
      <c r="B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1" spans="1:2" x14ac:dyDescent="0.3">
      <c r="A381" s="1" t="str">
        <f t="shared" si="5"/>
        <v/>
      </c>
      <c r="B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2" spans="1:2" x14ac:dyDescent="0.3">
      <c r="A382" s="1" t="str">
        <f t="shared" si="5"/>
        <v/>
      </c>
      <c r="B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3" spans="1:2" x14ac:dyDescent="0.3">
      <c r="A383" s="1" t="str">
        <f t="shared" si="5"/>
        <v/>
      </c>
      <c r="B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4" spans="1:2" x14ac:dyDescent="0.3">
      <c r="A384" s="1" t="str">
        <f t="shared" si="5"/>
        <v/>
      </c>
      <c r="B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5" spans="1:2" x14ac:dyDescent="0.3">
      <c r="A385" s="1" t="str">
        <f t="shared" si="5"/>
        <v/>
      </c>
      <c r="B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6" spans="1:2" x14ac:dyDescent="0.3">
      <c r="A386" s="1" t="str">
        <f t="shared" ref="A386:A449" si="6">IFERROR(LEFT(RIGHT(C386,LEN(C386)-SEARCH("@",C386)),SEARCH("/",RIGHT(C386,LEN(C386)-SEARCH("@",C386)-1))),"")</f>
        <v/>
      </c>
      <c r="B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7" spans="1:2" x14ac:dyDescent="0.3">
      <c r="A387" s="1" t="str">
        <f t="shared" si="6"/>
        <v/>
      </c>
      <c r="B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8" spans="1:2" x14ac:dyDescent="0.3">
      <c r="A388" s="1" t="str">
        <f t="shared" si="6"/>
        <v/>
      </c>
      <c r="B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9" spans="1:2" x14ac:dyDescent="0.3">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0" spans="1:2" x14ac:dyDescent="0.3">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1" spans="1:2" x14ac:dyDescent="0.3">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2" spans="1:2" x14ac:dyDescent="0.3">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3" spans="1:2" x14ac:dyDescent="0.3">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4" spans="1:2" x14ac:dyDescent="0.3">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5" spans="1:2" x14ac:dyDescent="0.3">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6" spans="1:2" x14ac:dyDescent="0.3">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7" spans="1:2" x14ac:dyDescent="0.3">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8" spans="1:2" x14ac:dyDescent="0.3">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9" spans="1:2" x14ac:dyDescent="0.3">
      <c r="A399" s="1" t="str">
        <f t="shared" si="6"/>
        <v/>
      </c>
      <c r="B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0" spans="1:2" x14ac:dyDescent="0.3">
      <c r="A400" s="1" t="str">
        <f t="shared" si="6"/>
        <v/>
      </c>
      <c r="B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1" spans="1:2" x14ac:dyDescent="0.3">
      <c r="A401" s="1" t="str">
        <f t="shared" si="6"/>
        <v/>
      </c>
      <c r="B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2" spans="1:2" x14ac:dyDescent="0.3">
      <c r="A402" s="1" t="str">
        <f t="shared" si="6"/>
        <v/>
      </c>
      <c r="B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3" spans="1:2" x14ac:dyDescent="0.3">
      <c r="A403" s="1" t="str">
        <f t="shared" si="6"/>
        <v/>
      </c>
      <c r="B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4" spans="1:2" x14ac:dyDescent="0.3">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5" spans="1:2" x14ac:dyDescent="0.3">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6" spans="1:2" x14ac:dyDescent="0.3">
      <c r="A406" s="1" t="str">
        <f t="shared" si="6"/>
        <v/>
      </c>
      <c r="B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7" spans="1:2" x14ac:dyDescent="0.3">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8" spans="1:2" x14ac:dyDescent="0.3">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9" spans="1:2" x14ac:dyDescent="0.3">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0" spans="1:2" x14ac:dyDescent="0.3">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1" spans="1:2" x14ac:dyDescent="0.3">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2" spans="1:2" x14ac:dyDescent="0.3">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3" spans="1:2" x14ac:dyDescent="0.3">
      <c r="A413" s="1" t="str">
        <f t="shared" si="6"/>
        <v/>
      </c>
      <c r="B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4" spans="1:2" x14ac:dyDescent="0.3">
      <c r="A414" s="1" t="str">
        <f t="shared" si="6"/>
        <v/>
      </c>
      <c r="B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5" spans="1:2" x14ac:dyDescent="0.3">
      <c r="A415" s="1" t="str">
        <f t="shared" si="6"/>
        <v/>
      </c>
      <c r="B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6" spans="1:2" x14ac:dyDescent="0.3">
      <c r="A416" s="1" t="str">
        <f t="shared" si="6"/>
        <v/>
      </c>
      <c r="B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7" spans="1:2" x14ac:dyDescent="0.3">
      <c r="A417" s="1" t="str">
        <f t="shared" si="6"/>
        <v/>
      </c>
      <c r="B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8" spans="1:2" x14ac:dyDescent="0.3">
      <c r="A418" s="1" t="str">
        <f t="shared" si="6"/>
        <v/>
      </c>
      <c r="B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9" spans="1:2" x14ac:dyDescent="0.3">
      <c r="A419" s="1" t="str">
        <f t="shared" si="6"/>
        <v/>
      </c>
      <c r="B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0" spans="1:2" x14ac:dyDescent="0.3">
      <c r="A420" s="1" t="str">
        <f t="shared" si="6"/>
        <v/>
      </c>
      <c r="B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1" spans="1:2" x14ac:dyDescent="0.3">
      <c r="A421" s="1" t="str">
        <f t="shared" si="6"/>
        <v/>
      </c>
      <c r="B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2" spans="1:2" x14ac:dyDescent="0.3">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3" spans="1:2" x14ac:dyDescent="0.3">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4" spans="1:2" x14ac:dyDescent="0.3">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5" spans="1:2" x14ac:dyDescent="0.3">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6" spans="1:2" x14ac:dyDescent="0.3">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7" spans="1:2" x14ac:dyDescent="0.3">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8" spans="1:2" x14ac:dyDescent="0.3">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9" spans="1:2" x14ac:dyDescent="0.3">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0" spans="1:2" x14ac:dyDescent="0.3">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1" spans="1:2" x14ac:dyDescent="0.3">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2" spans="1:2" x14ac:dyDescent="0.3">
      <c r="A432" s="1" t="str">
        <f t="shared" si="6"/>
        <v/>
      </c>
      <c r="B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3" spans="1:2" x14ac:dyDescent="0.3">
      <c r="A433" s="1" t="str">
        <f t="shared" si="6"/>
        <v/>
      </c>
      <c r="B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4" spans="1:2" x14ac:dyDescent="0.3">
      <c r="A434" s="1" t="str">
        <f t="shared" si="6"/>
        <v/>
      </c>
      <c r="B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5" spans="1:2" x14ac:dyDescent="0.3">
      <c r="A435" s="1" t="str">
        <f t="shared" si="6"/>
        <v/>
      </c>
      <c r="B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6" spans="1:2" x14ac:dyDescent="0.3">
      <c r="A436" s="1" t="str">
        <f t="shared" si="6"/>
        <v/>
      </c>
      <c r="B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7" spans="1:2" x14ac:dyDescent="0.3">
      <c r="A437" s="1" t="str">
        <f t="shared" si="6"/>
        <v/>
      </c>
      <c r="B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8" spans="1:2" x14ac:dyDescent="0.3">
      <c r="A438" s="1" t="str">
        <f t="shared" si="6"/>
        <v/>
      </c>
      <c r="B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9" spans="1:2" x14ac:dyDescent="0.3">
      <c r="A439" s="1" t="str">
        <f t="shared" si="6"/>
        <v/>
      </c>
      <c r="B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0" spans="1:2" x14ac:dyDescent="0.3">
      <c r="A440" s="1" t="str">
        <f t="shared" si="6"/>
        <v/>
      </c>
      <c r="B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1" spans="1:2" x14ac:dyDescent="0.3">
      <c r="A441" s="1" t="str">
        <f t="shared" si="6"/>
        <v/>
      </c>
      <c r="B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2" spans="1:2" x14ac:dyDescent="0.3">
      <c r="A442" s="1" t="str">
        <f t="shared" si="6"/>
        <v/>
      </c>
      <c r="B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3" spans="1:2" x14ac:dyDescent="0.3">
      <c r="A443" s="1" t="str">
        <f t="shared" si="6"/>
        <v/>
      </c>
      <c r="B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4" spans="1:2" x14ac:dyDescent="0.3">
      <c r="A444" s="1" t="str">
        <f t="shared" si="6"/>
        <v/>
      </c>
      <c r="B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5" spans="1:2" x14ac:dyDescent="0.3">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6" spans="1:2" x14ac:dyDescent="0.3">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7" spans="1:2" x14ac:dyDescent="0.3">
      <c r="A447" s="1" t="str">
        <f t="shared" si="6"/>
        <v/>
      </c>
      <c r="B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8" spans="1:2" x14ac:dyDescent="0.3">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9" spans="1:2" x14ac:dyDescent="0.3">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0" spans="1:2" x14ac:dyDescent="0.3">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1" spans="1:2" x14ac:dyDescent="0.3">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2" spans="1:2" x14ac:dyDescent="0.3">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3" spans="1:2" x14ac:dyDescent="0.3">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4" spans="1:2" x14ac:dyDescent="0.3">
      <c r="A454" s="1" t="str">
        <f t="shared" si="7"/>
        <v/>
      </c>
      <c r="B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5" spans="1:2" x14ac:dyDescent="0.3">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6" spans="1:2" x14ac:dyDescent="0.3">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7" spans="1:2" x14ac:dyDescent="0.3">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8" spans="1:2" x14ac:dyDescent="0.3">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9" spans="1:2" x14ac:dyDescent="0.3">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0" spans="1:2" x14ac:dyDescent="0.3">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1" spans="1:2" x14ac:dyDescent="0.3">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2" spans="1:2" x14ac:dyDescent="0.3">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3" spans="1:2" x14ac:dyDescent="0.3">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4" spans="1:2" x14ac:dyDescent="0.3">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5" spans="1:2" x14ac:dyDescent="0.3">
      <c r="A465" s="1" t="str">
        <f t="shared" si="7"/>
        <v/>
      </c>
      <c r="B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6" spans="1:2" x14ac:dyDescent="0.3">
      <c r="A466" s="1" t="str">
        <f t="shared" si="7"/>
        <v/>
      </c>
      <c r="B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7" spans="1:2" x14ac:dyDescent="0.3">
      <c r="A467" s="1" t="str">
        <f t="shared" si="7"/>
        <v/>
      </c>
      <c r="B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8" spans="1:2" x14ac:dyDescent="0.3">
      <c r="A468" s="1" t="str">
        <f t="shared" si="7"/>
        <v/>
      </c>
      <c r="B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9" spans="1:2" x14ac:dyDescent="0.3">
      <c r="A469" s="1" t="str">
        <f t="shared" si="7"/>
        <v/>
      </c>
      <c r="B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0" spans="1:2" x14ac:dyDescent="0.3">
      <c r="A470" s="1" t="str">
        <f t="shared" si="7"/>
        <v/>
      </c>
      <c r="B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1" spans="1:2" x14ac:dyDescent="0.3">
      <c r="A471" s="1" t="str">
        <f t="shared" si="7"/>
        <v/>
      </c>
      <c r="B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2" spans="1:2" x14ac:dyDescent="0.3">
      <c r="A472" s="1" t="str">
        <f t="shared" si="7"/>
        <v/>
      </c>
      <c r="B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3" spans="1:2" x14ac:dyDescent="0.3">
      <c r="A473" s="1" t="str">
        <f t="shared" si="7"/>
        <v/>
      </c>
      <c r="B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4" spans="1:2" x14ac:dyDescent="0.3">
      <c r="A474" s="1" t="str">
        <f t="shared" si="7"/>
        <v/>
      </c>
      <c r="B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5" spans="1:2" x14ac:dyDescent="0.3">
      <c r="A475" s="1" t="str">
        <f t="shared" si="7"/>
        <v/>
      </c>
      <c r="B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6" spans="1:2" x14ac:dyDescent="0.3">
      <c r="A476" s="1" t="str">
        <f t="shared" si="7"/>
        <v/>
      </c>
      <c r="B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7" spans="1:2" x14ac:dyDescent="0.3">
      <c r="A477" s="1" t="str">
        <f t="shared" si="7"/>
        <v/>
      </c>
      <c r="B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8" spans="1:2" x14ac:dyDescent="0.3">
      <c r="A478" s="1" t="str">
        <f t="shared" si="7"/>
        <v/>
      </c>
      <c r="B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9" spans="1:2" x14ac:dyDescent="0.3">
      <c r="A479" s="1" t="str">
        <f t="shared" si="7"/>
        <v/>
      </c>
      <c r="B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0" spans="1:2" x14ac:dyDescent="0.3">
      <c r="A480" s="1" t="str">
        <f t="shared" si="7"/>
        <v/>
      </c>
      <c r="B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1" spans="1:2" x14ac:dyDescent="0.3">
      <c r="A481" s="1" t="str">
        <f t="shared" si="7"/>
        <v/>
      </c>
      <c r="B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2" spans="1:2" x14ac:dyDescent="0.3">
      <c r="A482" s="1" t="str">
        <f t="shared" si="7"/>
        <v/>
      </c>
      <c r="B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3" spans="1:2" x14ac:dyDescent="0.3">
      <c r="A483" s="1" t="str">
        <f t="shared" si="7"/>
        <v/>
      </c>
      <c r="B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4" spans="1:2" x14ac:dyDescent="0.3">
      <c r="A484" s="1" t="str">
        <f t="shared" si="7"/>
        <v/>
      </c>
      <c r="B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5" spans="1:2" x14ac:dyDescent="0.3">
      <c r="A485" s="1" t="str">
        <f t="shared" si="7"/>
        <v/>
      </c>
      <c r="B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6" spans="1:2" x14ac:dyDescent="0.3">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7" spans="1:2" x14ac:dyDescent="0.3">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8" spans="1:2" x14ac:dyDescent="0.3">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9" spans="1:2" x14ac:dyDescent="0.3">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0" spans="1:2" x14ac:dyDescent="0.3">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1" spans="1:2" x14ac:dyDescent="0.3">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2" spans="1:2" x14ac:dyDescent="0.3">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3" spans="1:2" x14ac:dyDescent="0.3">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4" spans="1:2" x14ac:dyDescent="0.3">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5" spans="1:2" x14ac:dyDescent="0.3">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6" spans="1:2" x14ac:dyDescent="0.3">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7" spans="1:2" x14ac:dyDescent="0.3">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8" spans="1:2" x14ac:dyDescent="0.3">
      <c r="A498" s="1" t="str">
        <f t="shared" si="7"/>
        <v/>
      </c>
      <c r="B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9" spans="1:2" x14ac:dyDescent="0.3">
      <c r="A499" s="1" t="str">
        <f t="shared" si="7"/>
        <v/>
      </c>
      <c r="B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0" spans="1:2" x14ac:dyDescent="0.3">
      <c r="A500" s="1" t="str">
        <f t="shared" si="7"/>
        <v/>
      </c>
      <c r="B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1" spans="1:2" x14ac:dyDescent="0.3">
      <c r="A501" s="1" t="str">
        <f t="shared" si="7"/>
        <v/>
      </c>
      <c r="B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2" spans="1:2" x14ac:dyDescent="0.3">
      <c r="A502" s="1" t="str">
        <f t="shared" si="7"/>
        <v/>
      </c>
      <c r="B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3" spans="1:2" x14ac:dyDescent="0.3">
      <c r="A503" s="1" t="str">
        <f t="shared" si="7"/>
        <v/>
      </c>
      <c r="B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4" spans="1:2" x14ac:dyDescent="0.3">
      <c r="A504" s="1" t="str">
        <f t="shared" si="7"/>
        <v/>
      </c>
      <c r="B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5" spans="1:2" x14ac:dyDescent="0.3">
      <c r="A505" s="1" t="str">
        <f t="shared" si="7"/>
        <v/>
      </c>
      <c r="B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6" spans="1:2" x14ac:dyDescent="0.3">
      <c r="A506" s="1" t="str">
        <f t="shared" si="7"/>
        <v/>
      </c>
      <c r="B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7" spans="1:2" x14ac:dyDescent="0.3">
      <c r="A507" s="1" t="str">
        <f t="shared" si="7"/>
        <v/>
      </c>
      <c r="B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8" spans="1:2" x14ac:dyDescent="0.3">
      <c r="A508" s="1" t="str">
        <f t="shared" si="7"/>
        <v/>
      </c>
      <c r="B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9" spans="1:2" x14ac:dyDescent="0.3">
      <c r="A509" s="1" t="str">
        <f t="shared" si="7"/>
        <v/>
      </c>
      <c r="B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0" spans="1:2" x14ac:dyDescent="0.3">
      <c r="A510" s="1" t="str">
        <f t="shared" si="7"/>
        <v/>
      </c>
      <c r="B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1" spans="1:2" x14ac:dyDescent="0.3">
      <c r="A511" s="1" t="str">
        <f t="shared" si="7"/>
        <v/>
      </c>
      <c r="B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2" spans="1:2" x14ac:dyDescent="0.3">
      <c r="A512" s="1" t="str">
        <f t="shared" si="7"/>
        <v/>
      </c>
      <c r="B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3" spans="1:2" x14ac:dyDescent="0.3">
      <c r="A513" s="1" t="str">
        <f t="shared" si="7"/>
        <v/>
      </c>
      <c r="B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4" spans="1:2" x14ac:dyDescent="0.3">
      <c r="A514" s="1" t="str">
        <f t="shared" ref="A514:A577" si="8">IFERROR(LEFT(RIGHT(C514,LEN(C514)-SEARCH("@",C514)),SEARCH("/",RIGHT(C514,LEN(C514)-SEARCH("@",C514)-1))),"")</f>
        <v/>
      </c>
      <c r="B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5" spans="1:2" x14ac:dyDescent="0.3">
      <c r="A515" s="1" t="str">
        <f t="shared" si="8"/>
        <v/>
      </c>
      <c r="B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6" spans="1:2" x14ac:dyDescent="0.3">
      <c r="A516" s="1" t="str">
        <f t="shared" si="8"/>
        <v/>
      </c>
      <c r="B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7" spans="1:2" x14ac:dyDescent="0.3">
      <c r="A517" s="1" t="str">
        <f t="shared" si="8"/>
        <v/>
      </c>
      <c r="B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8" spans="1:2" x14ac:dyDescent="0.3">
      <c r="A518" s="1" t="str">
        <f t="shared" si="8"/>
        <v/>
      </c>
      <c r="B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9" spans="1:2" x14ac:dyDescent="0.3">
      <c r="A519" s="1" t="str">
        <f t="shared" si="8"/>
        <v/>
      </c>
      <c r="B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0" spans="1:2" x14ac:dyDescent="0.3">
      <c r="A520" s="1" t="str">
        <f t="shared" si="8"/>
        <v/>
      </c>
      <c r="B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1" spans="1:2" x14ac:dyDescent="0.3">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2" spans="1:2" x14ac:dyDescent="0.3">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3" spans="1:2" x14ac:dyDescent="0.3">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4" spans="1:2" x14ac:dyDescent="0.3">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5" spans="1:2" x14ac:dyDescent="0.3">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6" spans="1:2" x14ac:dyDescent="0.3">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7" spans="1:2" x14ac:dyDescent="0.3">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8" spans="1:2" x14ac:dyDescent="0.3">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9" spans="1:2" x14ac:dyDescent="0.3">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0" spans="1:2" x14ac:dyDescent="0.3">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1" spans="1:2" x14ac:dyDescent="0.3">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2" spans="1:2" x14ac:dyDescent="0.3">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3" spans="1:2" x14ac:dyDescent="0.3">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4" spans="1:2" x14ac:dyDescent="0.3">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5" spans="1:2" x14ac:dyDescent="0.3">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6" spans="1:2" x14ac:dyDescent="0.3">
      <c r="A536" s="1" t="str">
        <f t="shared" si="8"/>
        <v/>
      </c>
      <c r="B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7" spans="1:2" x14ac:dyDescent="0.3">
      <c r="A537" s="1" t="str">
        <f t="shared" si="8"/>
        <v/>
      </c>
      <c r="B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8" spans="1:2" x14ac:dyDescent="0.3">
      <c r="A538" s="1" t="str">
        <f t="shared" si="8"/>
        <v/>
      </c>
      <c r="B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9" spans="1:2" x14ac:dyDescent="0.3">
      <c r="A539" s="1" t="str">
        <f t="shared" si="8"/>
        <v/>
      </c>
      <c r="B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0" spans="1:2" x14ac:dyDescent="0.3">
      <c r="A540" s="1" t="str">
        <f t="shared" si="8"/>
        <v/>
      </c>
      <c r="B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1" spans="1:2" x14ac:dyDescent="0.3">
      <c r="A541" s="1" t="str">
        <f t="shared" si="8"/>
        <v/>
      </c>
      <c r="B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2" spans="1:2" x14ac:dyDescent="0.3">
      <c r="A542" s="1" t="str">
        <f t="shared" si="8"/>
        <v/>
      </c>
      <c r="B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3" spans="1:2" x14ac:dyDescent="0.3">
      <c r="A543" s="1" t="str">
        <f t="shared" si="8"/>
        <v/>
      </c>
      <c r="B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4" spans="1:2" x14ac:dyDescent="0.3">
      <c r="A544" s="1" t="str">
        <f t="shared" si="8"/>
        <v/>
      </c>
      <c r="B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5" spans="1:2" x14ac:dyDescent="0.3">
      <c r="A545" s="1" t="str">
        <f t="shared" si="8"/>
        <v/>
      </c>
      <c r="B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6" spans="1:2" x14ac:dyDescent="0.3">
      <c r="A546" s="1" t="str">
        <f t="shared" si="8"/>
        <v/>
      </c>
      <c r="B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7" spans="1:2" x14ac:dyDescent="0.3">
      <c r="A547" s="1" t="str">
        <f t="shared" si="8"/>
        <v/>
      </c>
      <c r="B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8" spans="1:2" x14ac:dyDescent="0.3">
      <c r="A548" s="1" t="str">
        <f t="shared" si="8"/>
        <v/>
      </c>
      <c r="B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9" spans="1:2" x14ac:dyDescent="0.3">
      <c r="A549" s="1" t="str">
        <f t="shared" si="8"/>
        <v/>
      </c>
      <c r="B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0" spans="1:2" x14ac:dyDescent="0.3">
      <c r="A550" s="1" t="str">
        <f t="shared" si="8"/>
        <v/>
      </c>
      <c r="B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1" spans="1:2" x14ac:dyDescent="0.3">
      <c r="A551" s="1" t="str">
        <f t="shared" si="8"/>
        <v/>
      </c>
      <c r="B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2" spans="1:2" x14ac:dyDescent="0.3">
      <c r="A552" s="1" t="str">
        <f t="shared" si="8"/>
        <v/>
      </c>
      <c r="B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3" spans="1:2" x14ac:dyDescent="0.3">
      <c r="A553" s="1" t="str">
        <f t="shared" si="8"/>
        <v/>
      </c>
      <c r="B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4" spans="1:2" x14ac:dyDescent="0.3">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5" spans="1:2" x14ac:dyDescent="0.3">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6" spans="1:2" x14ac:dyDescent="0.3">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7" spans="1:2" x14ac:dyDescent="0.3">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8" spans="1:2" x14ac:dyDescent="0.3">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9" spans="1:2" x14ac:dyDescent="0.3">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0" spans="1:2" x14ac:dyDescent="0.3">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1" spans="1:2" x14ac:dyDescent="0.3">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2" spans="1:2" x14ac:dyDescent="0.3">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3" spans="1:2" x14ac:dyDescent="0.3">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4" spans="1:2" x14ac:dyDescent="0.3">
      <c r="A564" s="1" t="str">
        <f t="shared" si="8"/>
        <v/>
      </c>
      <c r="B5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5" spans="1:2" x14ac:dyDescent="0.3">
      <c r="A565" s="1" t="str">
        <f t="shared" si="8"/>
        <v/>
      </c>
      <c r="B5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6" spans="1:2" x14ac:dyDescent="0.3">
      <c r="A566" s="1" t="str">
        <f t="shared" si="8"/>
        <v/>
      </c>
      <c r="B5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7" spans="1:2" x14ac:dyDescent="0.3">
      <c r="A567" s="1" t="str">
        <f t="shared" si="8"/>
        <v/>
      </c>
      <c r="B5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8" spans="1:2" x14ac:dyDescent="0.3">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9" spans="1:2" x14ac:dyDescent="0.3">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0" spans="1:2" x14ac:dyDescent="0.3">
      <c r="A570" s="1" t="str">
        <f t="shared" si="8"/>
        <v/>
      </c>
      <c r="B5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1" spans="1:2" x14ac:dyDescent="0.3">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2" spans="1:2" x14ac:dyDescent="0.3">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3" spans="1:2" x14ac:dyDescent="0.3">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4" spans="1:2" x14ac:dyDescent="0.3">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5" spans="1:2" x14ac:dyDescent="0.3">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6" spans="1:2" x14ac:dyDescent="0.3">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7" spans="1:2" x14ac:dyDescent="0.3">
      <c r="A577" s="1" t="str">
        <f t="shared" si="8"/>
        <v/>
      </c>
      <c r="B5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8" spans="1:2" x14ac:dyDescent="0.3">
      <c r="A578" s="1" t="str">
        <f t="shared" ref="A578:A641" si="9">IFERROR(LEFT(RIGHT(C578,LEN(C578)-SEARCH("@",C578)),SEARCH("/",RIGHT(C578,LEN(C578)-SEARCH("@",C578)-1))),"")</f>
        <v/>
      </c>
      <c r="B5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9" spans="1:2" x14ac:dyDescent="0.3">
      <c r="A579" s="1" t="str">
        <f t="shared" si="9"/>
        <v/>
      </c>
      <c r="B5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0" spans="1:2" x14ac:dyDescent="0.3">
      <c r="A580" s="1" t="str">
        <f t="shared" si="9"/>
        <v/>
      </c>
      <c r="B5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1" spans="1:2" x14ac:dyDescent="0.3">
      <c r="A581" s="1" t="str">
        <f t="shared" si="9"/>
        <v/>
      </c>
      <c r="B5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2" spans="1:2" x14ac:dyDescent="0.3">
      <c r="A582" s="1" t="str">
        <f t="shared" si="9"/>
        <v/>
      </c>
      <c r="B5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3" spans="1:2" x14ac:dyDescent="0.3">
      <c r="A583" s="1" t="str">
        <f t="shared" si="9"/>
        <v/>
      </c>
      <c r="B5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4" spans="1:2" x14ac:dyDescent="0.3">
      <c r="A584" s="1" t="str">
        <f t="shared" si="9"/>
        <v/>
      </c>
      <c r="B5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5" spans="1:2" x14ac:dyDescent="0.3">
      <c r="A585" s="1" t="str">
        <f t="shared" si="9"/>
        <v/>
      </c>
      <c r="B5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6" spans="1:2" x14ac:dyDescent="0.3">
      <c r="A586" s="1" t="str">
        <f t="shared" si="9"/>
        <v/>
      </c>
      <c r="B5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7" spans="1:2" x14ac:dyDescent="0.3">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8" spans="1:2" x14ac:dyDescent="0.3">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9" spans="1:2" x14ac:dyDescent="0.3">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0" spans="1:2" x14ac:dyDescent="0.3">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1" spans="1:2" x14ac:dyDescent="0.3">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2" spans="1:2" x14ac:dyDescent="0.3">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3" spans="1:2" x14ac:dyDescent="0.3">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4" spans="1:2" x14ac:dyDescent="0.3">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5" spans="1:2" x14ac:dyDescent="0.3">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6" spans="1:2" x14ac:dyDescent="0.3">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7" spans="1:2" x14ac:dyDescent="0.3">
      <c r="A597" s="1" t="str">
        <f t="shared" si="9"/>
        <v/>
      </c>
      <c r="B5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8" spans="1:2" x14ac:dyDescent="0.3">
      <c r="A598" s="1" t="str">
        <f t="shared" si="9"/>
        <v/>
      </c>
      <c r="B5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9" spans="1:2" x14ac:dyDescent="0.3">
      <c r="A599" s="1" t="str">
        <f t="shared" si="9"/>
        <v/>
      </c>
      <c r="B5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0" spans="1:2" x14ac:dyDescent="0.3">
      <c r="A600" s="1" t="str">
        <f t="shared" si="9"/>
        <v/>
      </c>
      <c r="B6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1" spans="1:2" x14ac:dyDescent="0.3">
      <c r="A601" s="1" t="str">
        <f t="shared" si="9"/>
        <v/>
      </c>
      <c r="B6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2" spans="1:2" x14ac:dyDescent="0.3">
      <c r="A602" s="1" t="str">
        <f t="shared" si="9"/>
        <v/>
      </c>
      <c r="B6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3" spans="1:2" x14ac:dyDescent="0.3">
      <c r="A603" s="1" t="str">
        <f t="shared" si="9"/>
        <v/>
      </c>
      <c r="B6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4" spans="1:2" x14ac:dyDescent="0.3">
      <c r="A604" s="1" t="str">
        <f t="shared" si="9"/>
        <v/>
      </c>
      <c r="B6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5" spans="1:2" x14ac:dyDescent="0.3">
      <c r="A605" s="1" t="str">
        <f t="shared" si="9"/>
        <v/>
      </c>
      <c r="B6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6" spans="1:2" x14ac:dyDescent="0.3">
      <c r="A606" s="1" t="str">
        <f t="shared" si="9"/>
        <v/>
      </c>
      <c r="B6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7" spans="1:2" x14ac:dyDescent="0.3">
      <c r="A607" s="1" t="str">
        <f t="shared" si="9"/>
        <v/>
      </c>
      <c r="B6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8" spans="1:2" x14ac:dyDescent="0.3">
      <c r="A608" s="1" t="str">
        <f t="shared" si="9"/>
        <v/>
      </c>
      <c r="B6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9" spans="1:2" x14ac:dyDescent="0.3">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0" spans="1:2" x14ac:dyDescent="0.3">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1" spans="1:2" x14ac:dyDescent="0.3">
      <c r="A611" s="1" t="str">
        <f t="shared" si="9"/>
        <v/>
      </c>
      <c r="B6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2" spans="1:2" x14ac:dyDescent="0.3">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3" spans="1:2" x14ac:dyDescent="0.3">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4" spans="1:2" x14ac:dyDescent="0.3">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5" spans="1:2" x14ac:dyDescent="0.3">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6" spans="1:2" x14ac:dyDescent="0.3">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7" spans="1:2" x14ac:dyDescent="0.3">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8" spans="1:2" x14ac:dyDescent="0.3">
      <c r="A618" s="1" t="str">
        <f t="shared" si="9"/>
        <v/>
      </c>
      <c r="B6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9" spans="1:2" x14ac:dyDescent="0.3">
      <c r="A619" s="1" t="str">
        <f t="shared" si="9"/>
        <v/>
      </c>
      <c r="B6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0" spans="1:2" x14ac:dyDescent="0.3">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1" spans="1:2" x14ac:dyDescent="0.3">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2" spans="1:2" x14ac:dyDescent="0.3">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3" spans="1:2" x14ac:dyDescent="0.3">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4" spans="1:2" x14ac:dyDescent="0.3">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5" spans="1:2" x14ac:dyDescent="0.3">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6" spans="1:2" x14ac:dyDescent="0.3">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7" spans="1:2" x14ac:dyDescent="0.3">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8" spans="1:2" x14ac:dyDescent="0.3">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9" spans="1:2" x14ac:dyDescent="0.3">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0" spans="1:2" x14ac:dyDescent="0.3">
      <c r="A630" s="1" t="str">
        <f t="shared" si="9"/>
        <v/>
      </c>
      <c r="B6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1" spans="1:2" x14ac:dyDescent="0.3">
      <c r="A631" s="1" t="str">
        <f t="shared" si="9"/>
        <v/>
      </c>
      <c r="B6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2" spans="1:2" x14ac:dyDescent="0.3">
      <c r="A632" s="1" t="str">
        <f t="shared" si="9"/>
        <v/>
      </c>
      <c r="B6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3" spans="1:2" x14ac:dyDescent="0.3">
      <c r="A633" s="1" t="str">
        <f t="shared" si="9"/>
        <v/>
      </c>
      <c r="B6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4" spans="1:2" x14ac:dyDescent="0.3">
      <c r="A634" s="1" t="str">
        <f t="shared" si="9"/>
        <v/>
      </c>
      <c r="B6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5" spans="1:2" x14ac:dyDescent="0.3">
      <c r="A635" s="1" t="str">
        <f t="shared" si="9"/>
        <v/>
      </c>
      <c r="B6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6" spans="1:2" x14ac:dyDescent="0.3">
      <c r="A636" s="1" t="str">
        <f t="shared" si="9"/>
        <v/>
      </c>
      <c r="B6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7" spans="1:2" x14ac:dyDescent="0.3">
      <c r="A637" s="1" t="str">
        <f t="shared" si="9"/>
        <v/>
      </c>
      <c r="B6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8" spans="1:2" x14ac:dyDescent="0.3">
      <c r="A638" s="1" t="str">
        <f t="shared" si="9"/>
        <v/>
      </c>
      <c r="B6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9" spans="1:2" x14ac:dyDescent="0.3">
      <c r="A639" s="1" t="str">
        <f t="shared" si="9"/>
        <v/>
      </c>
      <c r="B6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0" spans="1:2" x14ac:dyDescent="0.3">
      <c r="A640" s="1" t="str">
        <f t="shared" si="9"/>
        <v/>
      </c>
      <c r="B6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1" spans="1:2" x14ac:dyDescent="0.3">
      <c r="A641" s="1" t="str">
        <f t="shared" si="9"/>
        <v/>
      </c>
      <c r="B6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2" spans="1:2" x14ac:dyDescent="0.3">
      <c r="A642" s="1" t="str">
        <f t="shared" ref="A642:A705" si="10">IFERROR(LEFT(RIGHT(C642,LEN(C642)-SEARCH("@",C642)),SEARCH("/",RIGHT(C642,LEN(C642)-SEARCH("@",C642)-1))),"")</f>
        <v/>
      </c>
      <c r="B6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3" spans="1:2" x14ac:dyDescent="0.3">
      <c r="A643" s="1" t="str">
        <f t="shared" si="10"/>
        <v/>
      </c>
      <c r="B6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4" spans="1:2" x14ac:dyDescent="0.3">
      <c r="A644" s="1" t="str">
        <f t="shared" si="10"/>
        <v/>
      </c>
      <c r="B6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5" spans="1:2" x14ac:dyDescent="0.3">
      <c r="A645" s="1" t="str">
        <f t="shared" si="10"/>
        <v/>
      </c>
      <c r="B6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6" spans="1:2" x14ac:dyDescent="0.3">
      <c r="A646" s="1" t="str">
        <f t="shared" si="10"/>
        <v/>
      </c>
      <c r="B6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7" spans="1:2" x14ac:dyDescent="0.3">
      <c r="A647" s="1" t="str">
        <f t="shared" si="10"/>
        <v/>
      </c>
      <c r="B6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8" spans="1:2" x14ac:dyDescent="0.3">
      <c r="A648" s="1" t="str">
        <f t="shared" si="10"/>
        <v/>
      </c>
      <c r="B6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9" spans="1:2" x14ac:dyDescent="0.3">
      <c r="A649" s="1" t="str">
        <f t="shared" si="10"/>
        <v/>
      </c>
      <c r="B6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0" spans="1:2" x14ac:dyDescent="0.3">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1" spans="1:2" x14ac:dyDescent="0.3">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2" spans="1:2" x14ac:dyDescent="0.3">
      <c r="A652" s="1" t="str">
        <f t="shared" si="10"/>
        <v/>
      </c>
      <c r="B6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3" spans="1:2" x14ac:dyDescent="0.3">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4" spans="1:2" x14ac:dyDescent="0.3">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5" spans="1:2" x14ac:dyDescent="0.3">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6" spans="1:2" x14ac:dyDescent="0.3">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7" spans="1:2" x14ac:dyDescent="0.3">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8" spans="1:2" x14ac:dyDescent="0.3">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9" spans="1:2" x14ac:dyDescent="0.3">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0" spans="1:2" x14ac:dyDescent="0.3">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1" spans="1:2" x14ac:dyDescent="0.3">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2" spans="1:2" x14ac:dyDescent="0.3">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3" spans="1:2" x14ac:dyDescent="0.3">
      <c r="A663" s="1" t="str">
        <f t="shared" si="10"/>
        <v/>
      </c>
      <c r="B6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4" spans="1:2" x14ac:dyDescent="0.3">
      <c r="A664" s="1" t="str">
        <f t="shared" si="10"/>
        <v/>
      </c>
      <c r="B6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5" spans="1:2" x14ac:dyDescent="0.3">
      <c r="A665" s="1" t="str">
        <f t="shared" si="10"/>
        <v/>
      </c>
      <c r="B6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6" spans="1:2" x14ac:dyDescent="0.3">
      <c r="A666" s="1" t="str">
        <f t="shared" si="10"/>
        <v/>
      </c>
      <c r="B6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7" spans="1:2" x14ac:dyDescent="0.3">
      <c r="A667" s="1" t="str">
        <f t="shared" si="10"/>
        <v/>
      </c>
      <c r="B6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8" spans="1:2" x14ac:dyDescent="0.3">
      <c r="A668" s="1" t="str">
        <f t="shared" si="10"/>
        <v/>
      </c>
      <c r="B6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9" spans="1:2" x14ac:dyDescent="0.3">
      <c r="A669" s="1" t="str">
        <f t="shared" si="10"/>
        <v/>
      </c>
      <c r="B6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0" spans="1:2" x14ac:dyDescent="0.3">
      <c r="A670" s="1" t="str">
        <f t="shared" si="10"/>
        <v/>
      </c>
      <c r="B6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1" spans="1:2" x14ac:dyDescent="0.3">
      <c r="A671" s="1" t="str">
        <f t="shared" si="10"/>
        <v/>
      </c>
      <c r="B6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2" spans="1:2" x14ac:dyDescent="0.3">
      <c r="A672" s="1" t="str">
        <f t="shared" si="10"/>
        <v/>
      </c>
      <c r="B6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3" spans="1:2" x14ac:dyDescent="0.3">
      <c r="A673" s="1" t="str">
        <f t="shared" si="10"/>
        <v/>
      </c>
      <c r="B6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4" spans="1:2" x14ac:dyDescent="0.3">
      <c r="A674" s="1" t="str">
        <f t="shared" si="10"/>
        <v/>
      </c>
      <c r="B6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5" spans="1:2" x14ac:dyDescent="0.3">
      <c r="A675" s="1" t="str">
        <f t="shared" si="10"/>
        <v/>
      </c>
      <c r="B6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6" spans="1:2" x14ac:dyDescent="0.3">
      <c r="A676" s="1" t="str">
        <f t="shared" si="10"/>
        <v/>
      </c>
      <c r="B6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7" spans="1:2" x14ac:dyDescent="0.3">
      <c r="A677" s="1" t="str">
        <f t="shared" si="10"/>
        <v/>
      </c>
      <c r="B6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8" spans="1:2" x14ac:dyDescent="0.3">
      <c r="A678" s="1" t="str">
        <f t="shared" si="10"/>
        <v/>
      </c>
      <c r="B6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9" spans="1:2" x14ac:dyDescent="0.3">
      <c r="A679" s="1" t="str">
        <f t="shared" si="10"/>
        <v/>
      </c>
      <c r="B6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0" spans="1:2" x14ac:dyDescent="0.3">
      <c r="A680" s="1" t="str">
        <f t="shared" si="10"/>
        <v/>
      </c>
      <c r="B6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1" spans="1:2" x14ac:dyDescent="0.3">
      <c r="A681" s="1" t="str">
        <f t="shared" si="10"/>
        <v/>
      </c>
      <c r="B6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2" spans="1:2" x14ac:dyDescent="0.3">
      <c r="A682" s="1" t="str">
        <f t="shared" si="10"/>
        <v/>
      </c>
      <c r="B6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3" spans="1:2" x14ac:dyDescent="0.3">
      <c r="A683" s="1" t="str">
        <f t="shared" si="10"/>
        <v/>
      </c>
      <c r="B6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4" spans="1:2" x14ac:dyDescent="0.3">
      <c r="A684" s="1" t="str">
        <f t="shared" si="10"/>
        <v/>
      </c>
      <c r="B6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5" spans="1:2" x14ac:dyDescent="0.3">
      <c r="A685" s="1" t="str">
        <f t="shared" si="10"/>
        <v/>
      </c>
      <c r="B6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6" spans="1:2" x14ac:dyDescent="0.3">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7" spans="1:2" x14ac:dyDescent="0.3">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8" spans="1:2" x14ac:dyDescent="0.3">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9" spans="1:2" x14ac:dyDescent="0.3">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3">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3">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3">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3">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3">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3">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3">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3">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3">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3">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3">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3">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3">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3">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3">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M11:XFD11 A1:J2 A1558:XFD1048576 AI18:XFD38 C39:XFD1557 C11:K11 C3:J10 EO1:XFD10 C19:K38 K5 C12:XFD13 C14:J18 M14:XFD17 K1:L4 A3:B1557">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tabSelected="1" zoomScale="85" zoomScaleNormal="85" zoomScaleSheetLayoutView="40" zoomScalePageLayoutView="30" workbookViewId="0">
      <pane xSplit="1" topLeftCell="B1" activePane="topRight" state="frozen"/>
      <selection pane="topRight" activeCell="C19" sqref="C19"/>
    </sheetView>
  </sheetViews>
  <sheetFormatPr defaultColWidth="9.21875" defaultRowHeight="14.4" x14ac:dyDescent="0.3"/>
  <cols>
    <col min="1" max="1" width="29.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8.21875" bestFit="1" customWidth="1"/>
    <col min="15" max="15" width="14.77734375" customWidth="1"/>
    <col min="16" max="16" width="17.77734375" customWidth="1"/>
    <col min="17" max="18" width="25.77734375" bestFit="1" customWidth="1"/>
    <col min="19" max="22" width="25.77734375" style="1" customWidth="1"/>
  </cols>
  <sheetData>
    <row r="1" spans="1:22" s="1" customFormat="1" ht="26.4" thickBot="1" x14ac:dyDescent="0.55000000000000004">
      <c r="A1" s="213" t="s">
        <v>40</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35">
      <c r="A2"/>
      <c r="B2"/>
      <c r="C2"/>
      <c r="D2"/>
      <c r="E2"/>
      <c r="F2"/>
      <c r="G2"/>
      <c r="H2"/>
      <c r="I2"/>
      <c r="J2"/>
      <c r="K2"/>
      <c r="L2"/>
      <c r="M2"/>
      <c r="S2"/>
      <c r="T2"/>
      <c r="U2"/>
      <c r="V2"/>
    </row>
    <row r="3" spans="1:22" ht="15" thickBot="1" x14ac:dyDescent="0.35">
      <c r="A3" s="51" t="s">
        <v>17</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BPA-1mg/L</v>
      </c>
      <c r="J4" s="35" t="str">
        <f>'Page de garde'!A16</f>
        <v>BPA-2mg/L</v>
      </c>
      <c r="K4" s="35" t="str">
        <f>'Page de garde'!A17</f>
        <v>BPA-3mg/L</v>
      </c>
      <c r="L4" s="35" t="str">
        <f>'Page de garde'!A18</f>
        <v>BPA-4mg/L</v>
      </c>
      <c r="M4" s="35" t="str">
        <f>'Page de garde'!A19</f>
        <v>BPA-5mg/L</v>
      </c>
      <c r="N4" s="3"/>
      <c r="O4" s="36" t="str">
        <f>'Page de garde'!A36</f>
        <v>Testo -30µg/L</v>
      </c>
      <c r="P4" s="36" t="str">
        <f>'Page de garde'!A37</f>
        <v>Testo 30µg/L + EE2 -64ng/L</v>
      </c>
      <c r="Q4" s="36" t="str">
        <f>'Page de garde'!A38</f>
        <v>Testo 30µg/L + FAD-10µg/L</v>
      </c>
      <c r="R4" s="36" t="str">
        <f>'Page de garde'!A39</f>
        <v>BPA-1mg/L + Testostérone</v>
      </c>
      <c r="S4" s="36" t="str">
        <f>'Page de garde'!A40</f>
        <v>BPA-2mg/L + Testostérone</v>
      </c>
      <c r="T4" s="36" t="str">
        <f>'Page de garde'!A41</f>
        <v>BPA-3mg/L + Testostérone</v>
      </c>
      <c r="U4" s="36" t="str">
        <f>'Page de garde'!A42</f>
        <v>BPA-4mg/L + Testostérone</v>
      </c>
      <c r="V4" s="36" t="str">
        <f>'Page de garde'!A43</f>
        <v>BPA-5mg/L + Testostérone</v>
      </c>
    </row>
    <row r="5" spans="1:22" x14ac:dyDescent="0.3">
      <c r="A5" s="217" t="s">
        <v>33</v>
      </c>
      <c r="B5" s="1">
        <v>20425</v>
      </c>
      <c r="C5" s="1">
        <v>5266</v>
      </c>
      <c r="D5" s="1">
        <v>20553</v>
      </c>
      <c r="E5" s="1">
        <v>128302</v>
      </c>
      <c r="F5" s="1">
        <v>2580598</v>
      </c>
      <c r="G5" s="1">
        <v>3454849</v>
      </c>
      <c r="H5" s="1">
        <v>11408250</v>
      </c>
      <c r="I5" s="1">
        <v>26958</v>
      </c>
      <c r="J5" s="1">
        <v>46257</v>
      </c>
      <c r="K5" s="1">
        <v>12973</v>
      </c>
      <c r="L5" s="1">
        <v>69342</v>
      </c>
      <c r="M5" s="1">
        <v>3444338</v>
      </c>
      <c r="N5" s="3"/>
      <c r="O5" s="1">
        <v>194963</v>
      </c>
      <c r="P5" s="1">
        <v>6070749</v>
      </c>
      <c r="Q5" s="1">
        <v>75076</v>
      </c>
      <c r="R5" s="1">
        <v>931513</v>
      </c>
      <c r="S5" s="1">
        <v>3187706</v>
      </c>
      <c r="T5" s="1">
        <v>5106170</v>
      </c>
      <c r="U5" s="1">
        <v>6402154</v>
      </c>
      <c r="V5" s="1">
        <v>8723974</v>
      </c>
    </row>
    <row r="6" spans="1:22" x14ac:dyDescent="0.3">
      <c r="A6" s="218"/>
      <c r="B6" s="1">
        <v>32635</v>
      </c>
      <c r="C6" s="1">
        <v>5201</v>
      </c>
      <c r="D6" s="1">
        <v>96829</v>
      </c>
      <c r="E6" s="1">
        <v>66856</v>
      </c>
      <c r="F6" s="1">
        <v>885196</v>
      </c>
      <c r="G6" s="1">
        <v>3028557</v>
      </c>
      <c r="H6" s="1">
        <v>5936158</v>
      </c>
      <c r="I6" s="1">
        <v>17952</v>
      </c>
      <c r="J6" s="1">
        <v>8558</v>
      </c>
      <c r="K6" s="1">
        <v>4153</v>
      </c>
      <c r="L6" s="1">
        <v>918180</v>
      </c>
      <c r="M6" s="1">
        <v>787290</v>
      </c>
      <c r="N6" s="3"/>
      <c r="O6" s="1">
        <v>1134466</v>
      </c>
      <c r="P6" s="1">
        <v>8310940</v>
      </c>
      <c r="Q6" s="1">
        <v>157</v>
      </c>
      <c r="R6" s="1">
        <v>772285</v>
      </c>
      <c r="S6" s="1">
        <v>3260</v>
      </c>
      <c r="T6" s="1">
        <v>3380758</v>
      </c>
      <c r="U6" s="1">
        <v>6265154</v>
      </c>
      <c r="V6" s="1">
        <v>2122346</v>
      </c>
    </row>
    <row r="7" spans="1:22" x14ac:dyDescent="0.3">
      <c r="A7" s="218"/>
      <c r="B7" s="1">
        <v>1139</v>
      </c>
      <c r="C7" s="1">
        <v>28796</v>
      </c>
      <c r="D7" s="1">
        <v>28299</v>
      </c>
      <c r="E7" s="1">
        <v>179643</v>
      </c>
      <c r="F7" s="1">
        <v>871190</v>
      </c>
      <c r="G7" s="1">
        <v>1398458</v>
      </c>
      <c r="H7" s="1">
        <v>8722663</v>
      </c>
      <c r="I7" s="1">
        <v>6724</v>
      </c>
      <c r="J7" s="1">
        <v>3409</v>
      </c>
      <c r="K7" s="1">
        <v>1105</v>
      </c>
      <c r="L7" s="1">
        <v>804</v>
      </c>
      <c r="M7" s="1">
        <v>1446680</v>
      </c>
      <c r="N7" s="3"/>
      <c r="O7" s="1">
        <v>243058</v>
      </c>
      <c r="P7" s="1">
        <v>11367047</v>
      </c>
      <c r="Q7" s="1">
        <v>2464</v>
      </c>
      <c r="R7" s="1">
        <v>232067</v>
      </c>
      <c r="S7" s="1">
        <v>2701432</v>
      </c>
      <c r="T7" s="1">
        <v>5168766</v>
      </c>
      <c r="U7" s="1">
        <v>6316551</v>
      </c>
      <c r="V7" s="1">
        <v>2430089</v>
      </c>
    </row>
    <row r="8" spans="1:22" x14ac:dyDescent="0.3">
      <c r="A8" s="218"/>
      <c r="B8" s="1">
        <v>30470</v>
      </c>
      <c r="C8" s="1">
        <v>370</v>
      </c>
      <c r="D8" s="1">
        <v>2034472</v>
      </c>
      <c r="E8" s="1">
        <v>30966</v>
      </c>
      <c r="F8" s="1">
        <v>2085460</v>
      </c>
      <c r="G8" s="1">
        <v>2681815</v>
      </c>
      <c r="H8" s="1">
        <v>3792581</v>
      </c>
      <c r="I8" s="1">
        <v>544</v>
      </c>
      <c r="J8" s="1">
        <v>6017</v>
      </c>
      <c r="K8" s="1">
        <v>46339</v>
      </c>
      <c r="L8" s="1">
        <v>327993</v>
      </c>
      <c r="M8" s="1">
        <v>515668</v>
      </c>
      <c r="N8" s="3"/>
      <c r="O8" s="1">
        <v>15329</v>
      </c>
      <c r="P8" s="1">
        <v>2918381</v>
      </c>
      <c r="Q8" s="1">
        <v>7204</v>
      </c>
      <c r="R8" s="1">
        <v>1155997</v>
      </c>
      <c r="S8" s="1">
        <v>5004744</v>
      </c>
      <c r="T8" s="1">
        <v>2402939</v>
      </c>
      <c r="U8" s="1">
        <v>2872481</v>
      </c>
      <c r="V8" s="1">
        <v>4992345</v>
      </c>
    </row>
    <row r="9" spans="1:22" x14ac:dyDescent="0.3">
      <c r="A9" s="218"/>
      <c r="B9" s="1">
        <v>6298</v>
      </c>
      <c r="C9" s="1">
        <v>1971</v>
      </c>
      <c r="D9" s="1">
        <v>39163</v>
      </c>
      <c r="E9" s="1">
        <v>3075288</v>
      </c>
      <c r="F9" s="1">
        <v>1300276</v>
      </c>
      <c r="G9" s="1">
        <v>2910091</v>
      </c>
      <c r="H9" s="1">
        <v>4361678</v>
      </c>
      <c r="I9" s="1">
        <v>14958</v>
      </c>
      <c r="J9" s="1">
        <v>7121</v>
      </c>
      <c r="K9" s="1">
        <v>69212</v>
      </c>
      <c r="L9" s="1">
        <v>41371</v>
      </c>
      <c r="M9" s="1">
        <v>1449356</v>
      </c>
      <c r="N9" s="3"/>
      <c r="O9" s="1">
        <v>670341</v>
      </c>
      <c r="P9" s="1">
        <v>3507096</v>
      </c>
      <c r="Q9" s="1">
        <v>17771</v>
      </c>
      <c r="R9" s="1">
        <v>4838257</v>
      </c>
      <c r="S9" s="1">
        <v>5596532</v>
      </c>
      <c r="T9" s="1">
        <v>4595815</v>
      </c>
      <c r="U9" s="1">
        <v>1985492</v>
      </c>
      <c r="V9" s="1">
        <v>8326641</v>
      </c>
    </row>
    <row r="10" spans="1:22" x14ac:dyDescent="0.3">
      <c r="A10" s="218"/>
      <c r="B10" s="1">
        <v>21291</v>
      </c>
      <c r="C10" s="1">
        <v>28</v>
      </c>
      <c r="D10" s="1">
        <v>10345</v>
      </c>
      <c r="E10" s="1">
        <v>16916</v>
      </c>
      <c r="F10" s="1">
        <v>1004811</v>
      </c>
      <c r="G10" s="1">
        <v>1903433</v>
      </c>
      <c r="H10" s="1">
        <v>6052165</v>
      </c>
      <c r="I10" s="1">
        <v>24264</v>
      </c>
      <c r="J10" s="1">
        <v>42515</v>
      </c>
      <c r="K10" s="1">
        <v>1341</v>
      </c>
      <c r="L10" s="1">
        <v>861104</v>
      </c>
      <c r="M10" s="1">
        <v>152</v>
      </c>
      <c r="N10" s="3"/>
      <c r="O10" s="1">
        <v>1195331</v>
      </c>
      <c r="P10" s="1">
        <v>4729680</v>
      </c>
      <c r="Q10" s="1">
        <v>29626</v>
      </c>
      <c r="R10" s="1">
        <v>693829</v>
      </c>
      <c r="S10" s="1">
        <v>248994</v>
      </c>
      <c r="T10" s="1">
        <v>2297774</v>
      </c>
      <c r="U10" s="1">
        <v>6644573</v>
      </c>
      <c r="V10" s="1">
        <v>7258536</v>
      </c>
    </row>
    <row r="11" spans="1:22" x14ac:dyDescent="0.3">
      <c r="A11" s="218"/>
      <c r="B11" s="1">
        <v>2065</v>
      </c>
      <c r="C11" s="1">
        <v>130</v>
      </c>
      <c r="D11" s="1">
        <v>53999</v>
      </c>
      <c r="E11" s="1">
        <v>349294</v>
      </c>
      <c r="F11" s="1">
        <v>150975</v>
      </c>
      <c r="G11" s="1">
        <v>3809116</v>
      </c>
      <c r="I11" s="1">
        <v>3809</v>
      </c>
      <c r="J11" s="1">
        <v>397</v>
      </c>
      <c r="K11" s="1">
        <v>481</v>
      </c>
      <c r="L11" s="1">
        <v>583912</v>
      </c>
      <c r="M11" s="1">
        <v>315017</v>
      </c>
      <c r="N11" s="3"/>
      <c r="O11" s="1">
        <v>30683</v>
      </c>
      <c r="P11" s="1">
        <v>10342504</v>
      </c>
      <c r="Q11" s="1">
        <v>11046</v>
      </c>
      <c r="R11" s="1">
        <v>1218101</v>
      </c>
      <c r="S11" s="1">
        <v>4083461</v>
      </c>
      <c r="T11" s="1">
        <v>6432400</v>
      </c>
      <c r="U11" s="1">
        <v>6464218</v>
      </c>
      <c r="V11" s="1">
        <v>6566624</v>
      </c>
    </row>
    <row r="12" spans="1:22" x14ac:dyDescent="0.3">
      <c r="A12" s="218"/>
      <c r="C12" s="1">
        <v>580662</v>
      </c>
      <c r="D12" s="1">
        <v>52353</v>
      </c>
      <c r="G12" s="32"/>
      <c r="I12" s="32">
        <v>1728</v>
      </c>
      <c r="J12" s="1">
        <v>1421</v>
      </c>
      <c r="K12" s="1">
        <v>20595</v>
      </c>
      <c r="L12" s="1">
        <v>12287</v>
      </c>
      <c r="N12" s="3"/>
      <c r="O12" s="1">
        <v>642339</v>
      </c>
      <c r="P12" s="1">
        <v>10194498</v>
      </c>
      <c r="Q12" s="1">
        <v>24173</v>
      </c>
      <c r="R12" s="1">
        <v>273401</v>
      </c>
      <c r="S12" s="1">
        <v>2387692</v>
      </c>
      <c r="T12" s="1">
        <v>5087643</v>
      </c>
      <c r="U12" s="1">
        <v>3117086</v>
      </c>
      <c r="V12" s="32"/>
    </row>
    <row r="13" spans="1:22" ht="16.8" x14ac:dyDescent="0.3">
      <c r="A13" s="218"/>
      <c r="B13" s="14"/>
      <c r="C13" s="13"/>
      <c r="D13" s="16"/>
      <c r="E13" s="16"/>
      <c r="F13" s="16"/>
      <c r="G13" s="16"/>
      <c r="H13" s="16"/>
      <c r="I13" s="32"/>
      <c r="J13" s="16"/>
      <c r="K13" s="13"/>
      <c r="L13" s="13"/>
      <c r="M13" s="13"/>
      <c r="N13" s="3"/>
      <c r="O13" s="1">
        <v>5320920</v>
      </c>
      <c r="P13" s="13"/>
      <c r="Q13" s="13"/>
      <c r="R13" s="4"/>
      <c r="S13" s="32"/>
      <c r="T13" s="32"/>
      <c r="U13" s="32"/>
      <c r="V13" s="32"/>
    </row>
    <row r="14" spans="1:22" ht="16.8" x14ac:dyDescent="0.3">
      <c r="A14" s="218"/>
      <c r="B14" s="14"/>
      <c r="C14" s="16"/>
      <c r="D14" s="16"/>
      <c r="E14" s="16"/>
      <c r="F14" s="16"/>
      <c r="G14" s="16"/>
      <c r="H14" s="16"/>
      <c r="I14" s="32"/>
      <c r="J14" s="16"/>
      <c r="K14" s="13"/>
      <c r="L14" s="13"/>
      <c r="M14" s="13"/>
      <c r="N14" s="3"/>
      <c r="O14" s="1">
        <v>6723</v>
      </c>
      <c r="P14" s="13"/>
      <c r="Q14" s="13"/>
      <c r="R14" s="4"/>
      <c r="S14" s="32"/>
      <c r="T14" s="32"/>
      <c r="U14" s="32"/>
      <c r="V14" s="32"/>
    </row>
    <row r="15" spans="1:22" ht="16.8" x14ac:dyDescent="0.3">
      <c r="A15" s="218"/>
      <c r="B15" s="14"/>
      <c r="C15" s="16"/>
      <c r="D15" s="16"/>
      <c r="E15" s="16"/>
      <c r="F15" s="16"/>
      <c r="G15" s="16"/>
      <c r="H15" s="16"/>
      <c r="I15" s="32"/>
      <c r="J15" s="16"/>
      <c r="K15" s="13"/>
      <c r="L15" s="13"/>
      <c r="M15" s="13"/>
      <c r="N15" s="3"/>
      <c r="O15" s="1">
        <v>125073</v>
      </c>
      <c r="P15" s="13"/>
      <c r="Q15" s="13"/>
      <c r="R15" s="4"/>
      <c r="S15" s="32"/>
      <c r="T15" s="32"/>
      <c r="U15" s="32"/>
      <c r="V15" s="32"/>
    </row>
    <row r="16" spans="1:22" ht="16.8" x14ac:dyDescent="0.3">
      <c r="A16" s="218"/>
      <c r="B16" s="14"/>
      <c r="C16" s="16"/>
      <c r="D16" s="16"/>
      <c r="E16" s="16"/>
      <c r="F16" s="16"/>
      <c r="G16" s="16"/>
      <c r="H16" s="16"/>
      <c r="I16" s="32"/>
      <c r="J16" s="16"/>
      <c r="K16" s="13"/>
      <c r="L16" s="13"/>
      <c r="M16" s="13"/>
      <c r="N16" s="3"/>
      <c r="O16" s="1">
        <v>1072115</v>
      </c>
      <c r="P16" s="13"/>
      <c r="Q16" s="13"/>
      <c r="R16" s="4"/>
      <c r="S16" s="32"/>
      <c r="T16" s="32"/>
      <c r="U16" s="32"/>
      <c r="V16" s="32"/>
    </row>
    <row r="17" spans="1:22" s="1" customFormat="1" ht="16.8" x14ac:dyDescent="0.3">
      <c r="A17" s="218"/>
      <c r="B17" s="14"/>
      <c r="C17" s="32"/>
      <c r="D17" s="32"/>
      <c r="E17" s="32"/>
      <c r="F17" s="32"/>
      <c r="G17" s="32"/>
      <c r="H17" s="32"/>
      <c r="I17" s="32"/>
      <c r="J17" s="32"/>
      <c r="K17" s="13"/>
      <c r="L17" s="13"/>
      <c r="M17" s="13"/>
      <c r="N17" s="3"/>
      <c r="O17" s="1">
        <v>2237625</v>
      </c>
      <c r="P17" s="13"/>
      <c r="Q17" s="13"/>
      <c r="R17" s="32"/>
      <c r="S17" s="32"/>
      <c r="T17" s="32"/>
      <c r="U17" s="32"/>
      <c r="V17" s="32"/>
    </row>
    <row r="18" spans="1:22" s="1" customFormat="1" ht="16.8" x14ac:dyDescent="0.3">
      <c r="A18" s="218"/>
      <c r="B18" s="14"/>
      <c r="C18" s="32"/>
      <c r="D18" s="32"/>
      <c r="E18" s="32"/>
      <c r="F18" s="32"/>
      <c r="G18" s="32"/>
      <c r="H18" s="32"/>
      <c r="I18" s="32"/>
      <c r="J18" s="32"/>
      <c r="K18" s="13"/>
      <c r="L18" s="13"/>
      <c r="M18" s="13"/>
      <c r="N18" s="3"/>
      <c r="O18" s="1">
        <v>695941</v>
      </c>
      <c r="P18" s="13"/>
      <c r="Q18" s="13"/>
      <c r="R18" s="32"/>
      <c r="S18" s="32"/>
      <c r="T18" s="32"/>
      <c r="U18" s="32"/>
      <c r="V18" s="32"/>
    </row>
    <row r="19" spans="1:22" s="1" customFormat="1" ht="16.8" x14ac:dyDescent="0.3">
      <c r="A19" s="218"/>
      <c r="B19" s="14"/>
      <c r="C19" s="32"/>
      <c r="D19" s="32"/>
      <c r="E19" s="32"/>
      <c r="F19" s="32"/>
      <c r="G19" s="32"/>
      <c r="H19" s="32"/>
      <c r="I19" s="32"/>
      <c r="J19" s="32"/>
      <c r="K19" s="13"/>
      <c r="L19" s="13"/>
      <c r="M19" s="13"/>
      <c r="N19" s="3"/>
      <c r="O19" s="1">
        <v>2663838</v>
      </c>
      <c r="P19" s="13"/>
      <c r="Q19" s="13"/>
      <c r="R19" s="32"/>
      <c r="S19" s="32"/>
      <c r="T19" s="32"/>
      <c r="U19" s="32"/>
      <c r="V19" s="32"/>
    </row>
    <row r="20" spans="1:22" ht="16.8" x14ac:dyDescent="0.3">
      <c r="A20" s="218"/>
      <c r="B20" s="14"/>
      <c r="C20" s="16"/>
      <c r="D20" s="16"/>
      <c r="E20" s="16"/>
      <c r="F20" s="16"/>
      <c r="G20" s="16"/>
      <c r="H20" s="16"/>
      <c r="I20" s="32"/>
      <c r="J20" s="16"/>
      <c r="K20" s="13"/>
      <c r="L20" s="13"/>
      <c r="M20" s="13"/>
      <c r="N20" s="3"/>
      <c r="O20" s="1"/>
      <c r="P20" s="13"/>
      <c r="Q20" s="13"/>
      <c r="R20" s="4"/>
      <c r="S20" s="32"/>
      <c r="T20" s="32"/>
      <c r="U20" s="32"/>
      <c r="V20" s="32"/>
    </row>
    <row r="21" spans="1:22" s="1" customFormat="1" ht="16.8" x14ac:dyDescent="0.3">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BPA-1mg/L</v>
      </c>
      <c r="J22" s="68" t="str">
        <f t="shared" si="0"/>
        <v>BPA-2mg/L</v>
      </c>
      <c r="K22" s="68" t="str">
        <f t="shared" si="0"/>
        <v>BPA-3mg/L</v>
      </c>
      <c r="L22" s="68" t="str">
        <f t="shared" si="0"/>
        <v>BPA-4mg/L</v>
      </c>
      <c r="M22" s="68" t="str">
        <f t="shared" si="0"/>
        <v>BPA-5mg/L</v>
      </c>
      <c r="N22" s="68" t="s">
        <v>47</v>
      </c>
      <c r="O22" s="68" t="str">
        <f t="shared" ref="O22:V22" si="1">O4</f>
        <v>Testo -30µg/L</v>
      </c>
      <c r="P22" s="68" t="str">
        <f t="shared" si="1"/>
        <v>Testo 30µg/L + EE2 -64ng/L</v>
      </c>
      <c r="Q22" s="68" t="str">
        <f t="shared" si="1"/>
        <v>Testo 30µg/L + FAD-10µg/L</v>
      </c>
      <c r="R22" s="68" t="str">
        <f t="shared" si="1"/>
        <v>BPA-1mg/L + Testostérone</v>
      </c>
      <c r="S22" s="68" t="str">
        <f t="shared" si="1"/>
        <v>BPA-2mg/L + Testostérone</v>
      </c>
      <c r="T22" s="68" t="str">
        <f t="shared" si="1"/>
        <v>BPA-3mg/L + Testostérone</v>
      </c>
      <c r="U22" s="68" t="str">
        <f t="shared" si="1"/>
        <v>BPA-4mg/L + Testostérone</v>
      </c>
      <c r="V22" s="68" t="str">
        <f t="shared" si="1"/>
        <v>BPA-5mg/L + Testostérone</v>
      </c>
    </row>
    <row r="23" spans="1:22" x14ac:dyDescent="0.3">
      <c r="A23" s="5" t="s">
        <v>0</v>
      </c>
      <c r="B23" s="5">
        <f t="shared" ref="B23:M23" si="2">AVERAGE(B5:B20)</f>
        <v>16331.857142857143</v>
      </c>
      <c r="C23" s="5">
        <f t="shared" si="2"/>
        <v>77803</v>
      </c>
      <c r="D23" s="5">
        <f t="shared" si="2"/>
        <v>292001.625</v>
      </c>
      <c r="E23" s="5">
        <f t="shared" si="2"/>
        <v>549609.28571428568</v>
      </c>
      <c r="F23" s="5">
        <f t="shared" si="2"/>
        <v>1268358</v>
      </c>
      <c r="G23" s="5">
        <f t="shared" si="2"/>
        <v>2740902.7142857141</v>
      </c>
      <c r="H23" s="5">
        <f t="shared" si="2"/>
        <v>6712249.166666667</v>
      </c>
      <c r="I23" s="5">
        <f t="shared" si="2"/>
        <v>12117.125</v>
      </c>
      <c r="J23" s="5">
        <f t="shared" si="2"/>
        <v>14461.875</v>
      </c>
      <c r="K23" s="5">
        <f t="shared" si="2"/>
        <v>19524.875</v>
      </c>
      <c r="L23" s="5">
        <f t="shared" si="2"/>
        <v>351874.125</v>
      </c>
      <c r="M23" s="5">
        <f t="shared" si="2"/>
        <v>1136928.7142857143</v>
      </c>
      <c r="N23" s="5" t="s">
        <v>0</v>
      </c>
      <c r="O23" s="5">
        <f t="shared" ref="O23:V23" si="3">AVERAGE(O5:O20)</f>
        <v>1083249.6666666667</v>
      </c>
      <c r="P23" s="5">
        <f t="shared" si="3"/>
        <v>7180111.875</v>
      </c>
      <c r="Q23" s="5">
        <f t="shared" si="3"/>
        <v>20939.625</v>
      </c>
      <c r="R23" s="5">
        <f t="shared" si="3"/>
        <v>1264431.25</v>
      </c>
      <c r="S23" s="5">
        <f t="shared" si="3"/>
        <v>2901727.625</v>
      </c>
      <c r="T23" s="5">
        <f t="shared" si="3"/>
        <v>4309033.125</v>
      </c>
      <c r="U23" s="5">
        <f t="shared" si="3"/>
        <v>5008463.625</v>
      </c>
      <c r="V23" s="5">
        <f t="shared" si="3"/>
        <v>5774365</v>
      </c>
    </row>
    <row r="24" spans="1:22" x14ac:dyDescent="0.3">
      <c r="A24" s="3" t="s">
        <v>1</v>
      </c>
      <c r="B24" s="3">
        <f t="shared" ref="B24:M24" si="4">STDEV(B5:B20)</f>
        <v>13178.713119124737</v>
      </c>
      <c r="C24" s="3">
        <f t="shared" si="4"/>
        <v>203410.18866531033</v>
      </c>
      <c r="D24" s="3">
        <f t="shared" si="4"/>
        <v>704562.00471517618</v>
      </c>
      <c r="E24" s="3">
        <f t="shared" si="4"/>
        <v>1119475.9035948794</v>
      </c>
      <c r="F24" s="3">
        <f t="shared" si="4"/>
        <v>817843.25954447617</v>
      </c>
      <c r="G24" s="3">
        <f t="shared" si="4"/>
        <v>843521.71262446162</v>
      </c>
      <c r="H24" s="3">
        <f t="shared" si="4"/>
        <v>2869908.1249057031</v>
      </c>
      <c r="I24" s="3">
        <f t="shared" si="4"/>
        <v>10350.268173716908</v>
      </c>
      <c r="J24" s="3">
        <f t="shared" si="4"/>
        <v>18700.722181910514</v>
      </c>
      <c r="K24" s="3">
        <f t="shared" si="4"/>
        <v>25356.849581452909</v>
      </c>
      <c r="L24" s="3">
        <f t="shared" si="4"/>
        <v>387157.32011730154</v>
      </c>
      <c r="M24" s="3">
        <f t="shared" si="4"/>
        <v>1154246.2583525686</v>
      </c>
      <c r="N24" s="3" t="s">
        <v>1</v>
      </c>
      <c r="O24" s="3">
        <f t="shared" ref="O24:V24" si="5">STDEV(O5:O20)</f>
        <v>1417725.6286645809</v>
      </c>
      <c r="P24" s="3">
        <f t="shared" si="5"/>
        <v>3311994.29958703</v>
      </c>
      <c r="Q24" s="3">
        <f t="shared" si="5"/>
        <v>24161.69500284933</v>
      </c>
      <c r="R24" s="3">
        <f t="shared" si="5"/>
        <v>1488656.21529579</v>
      </c>
      <c r="S24" s="3">
        <f t="shared" si="5"/>
        <v>2032078.004448222</v>
      </c>
      <c r="T24" s="3">
        <f t="shared" si="5"/>
        <v>1469294.5182692695</v>
      </c>
      <c r="U24" s="3">
        <f t="shared" si="5"/>
        <v>1975091.2951095225</v>
      </c>
      <c r="V24" s="3">
        <f t="shared" si="5"/>
        <v>2682589.6671660389</v>
      </c>
    </row>
    <row r="25" spans="1:22" ht="15" thickBot="1" x14ac:dyDescent="0.35"/>
    <row r="26" spans="1:22" ht="15" thickBot="1" x14ac:dyDescent="0.35">
      <c r="B26" s="221" t="s">
        <v>6</v>
      </c>
      <c r="C26" s="222"/>
      <c r="D26" s="222"/>
      <c r="E26" s="222"/>
      <c r="F26" s="222"/>
      <c r="G26" s="222"/>
      <c r="H26" s="222"/>
      <c r="I26" s="222"/>
      <c r="J26" s="222"/>
      <c r="K26" s="222"/>
      <c r="L26" s="222"/>
      <c r="M26" s="222"/>
      <c r="N26" s="1"/>
      <c r="O26" s="221" t="s">
        <v>3</v>
      </c>
      <c r="P26" s="222"/>
      <c r="Q26" s="222"/>
      <c r="R26" s="222"/>
      <c r="S26" s="222"/>
      <c r="T26" s="222"/>
      <c r="U26" s="222"/>
      <c r="V26" s="222"/>
    </row>
    <row r="27" spans="1:22" s="1" customFormat="1" x14ac:dyDescent="0.3">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BPA-1mg/L</v>
      </c>
      <c r="J27" s="35" t="str">
        <f t="shared" si="6"/>
        <v>BPA-2mg/L</v>
      </c>
      <c r="K27" s="35" t="str">
        <f t="shared" si="6"/>
        <v>BPA-3mg/L</v>
      </c>
      <c r="L27" s="35" t="str">
        <f t="shared" si="6"/>
        <v>BPA-4mg/L</v>
      </c>
      <c r="M27" s="35" t="str">
        <f t="shared" si="6"/>
        <v>BPA-5mg/L</v>
      </c>
      <c r="N27" s="3"/>
      <c r="O27" s="36" t="str">
        <f t="shared" ref="O27:V27" si="7">O4</f>
        <v>Testo -30µg/L</v>
      </c>
      <c r="P27" s="36" t="str">
        <f t="shared" si="7"/>
        <v>Testo 30µg/L + EE2 -64ng/L</v>
      </c>
      <c r="Q27" s="36" t="str">
        <f t="shared" si="7"/>
        <v>Testo 30µg/L + FAD-10µg/L</v>
      </c>
      <c r="R27" s="36" t="str">
        <f t="shared" si="7"/>
        <v>BPA-1mg/L + Testostérone</v>
      </c>
      <c r="S27" s="36" t="str">
        <f t="shared" si="7"/>
        <v>BPA-2mg/L + Testostérone</v>
      </c>
      <c r="T27" s="36" t="str">
        <f t="shared" si="7"/>
        <v>BPA-3mg/L + Testostérone</v>
      </c>
      <c r="U27" s="36" t="str">
        <f t="shared" si="7"/>
        <v>BPA-4mg/L + Testostérone</v>
      </c>
      <c r="V27" s="36" t="str">
        <f t="shared" si="7"/>
        <v>BPA-5mg/L + Testostérone</v>
      </c>
    </row>
    <row r="28" spans="1:22" x14ac:dyDescent="0.3">
      <c r="A28" s="219" t="s">
        <v>34</v>
      </c>
      <c r="B28" s="11">
        <f t="shared" ref="B28:M28" si="8">IF(B5="","",(B5/$O$23))</f>
        <v>1.8855302363351752E-2</v>
      </c>
      <c r="C28" s="11">
        <f t="shared" si="8"/>
        <v>4.8612985187471399E-3</v>
      </c>
      <c r="D28" s="11">
        <f t="shared" si="8"/>
        <v>1.897346533532282E-2</v>
      </c>
      <c r="E28" s="11">
        <f t="shared" si="8"/>
        <v>0.1184417627330603</v>
      </c>
      <c r="F28" s="11">
        <f t="shared" si="8"/>
        <v>2.3822744464264778</v>
      </c>
      <c r="G28" s="11">
        <f t="shared" si="8"/>
        <v>3.1893376996192626</v>
      </c>
      <c r="H28" s="11">
        <f t="shared" si="8"/>
        <v>10.531505663975894</v>
      </c>
      <c r="I28" s="11">
        <f t="shared" si="8"/>
        <v>2.4886229674968743E-2</v>
      </c>
      <c r="J28" s="11">
        <f t="shared" si="8"/>
        <v>4.2702067144262522E-2</v>
      </c>
      <c r="K28" s="11">
        <f t="shared" si="8"/>
        <v>1.1976001838911251E-2</v>
      </c>
      <c r="L28" s="11">
        <f t="shared" si="8"/>
        <v>6.4012943768887998E-2</v>
      </c>
      <c r="M28" s="11">
        <f t="shared" si="8"/>
        <v>3.1796344886943575</v>
      </c>
      <c r="N28" s="6"/>
      <c r="O28" s="11">
        <f t="shared" ref="O28:V28" si="9">IF(O5="","",(O5/$O$23))</f>
        <v>0.17997974612808557</v>
      </c>
      <c r="P28" s="11">
        <f t="shared" si="9"/>
        <v>5.6042011244560728</v>
      </c>
      <c r="Q28" s="11">
        <f t="shared" si="9"/>
        <v>6.9306275653904348E-2</v>
      </c>
      <c r="R28" s="11">
        <f t="shared" si="9"/>
        <v>0.85992456648190363</v>
      </c>
      <c r="S28" s="11">
        <f t="shared" si="9"/>
        <v>2.942725115078118</v>
      </c>
      <c r="T28" s="11">
        <f t="shared" si="9"/>
        <v>4.7137517389804566</v>
      </c>
      <c r="U28" s="11">
        <f t="shared" si="9"/>
        <v>5.9101370598160035</v>
      </c>
      <c r="V28" s="11">
        <f t="shared" si="9"/>
        <v>8.0535210565492896</v>
      </c>
    </row>
    <row r="29" spans="1:22" x14ac:dyDescent="0.3">
      <c r="A29" s="220"/>
      <c r="B29" s="11">
        <f t="shared" ref="B29:M29" si="10">IF(B6="","",(B6/$O$23))</f>
        <v>3.0126942111529227E-2</v>
      </c>
      <c r="C29" s="11">
        <f t="shared" si="10"/>
        <v>4.8012938845430828E-3</v>
      </c>
      <c r="D29" s="11">
        <f t="shared" si="10"/>
        <v>8.9387518851455905E-2</v>
      </c>
      <c r="E29" s="11">
        <f t="shared" si="10"/>
        <v>6.1717997297637446E-2</v>
      </c>
      <c r="F29" s="11">
        <f t="shared" si="10"/>
        <v>0.81716711044452961</v>
      </c>
      <c r="G29" s="11">
        <f t="shared" si="10"/>
        <v>2.7958069992482493</v>
      </c>
      <c r="H29" s="11">
        <f t="shared" si="10"/>
        <v>5.4799536825767152</v>
      </c>
      <c r="I29" s="11">
        <f t="shared" si="10"/>
        <v>1.6572356818942015E-2</v>
      </c>
      <c r="J29" s="11">
        <f t="shared" si="10"/>
        <v>7.9003024541279953E-3</v>
      </c>
      <c r="K29" s="11">
        <f t="shared" si="10"/>
        <v>3.8338345515299796E-3</v>
      </c>
      <c r="L29" s="11">
        <f t="shared" si="10"/>
        <v>0.84761623128432373</v>
      </c>
      <c r="M29" s="11">
        <f t="shared" si="10"/>
        <v>0.72678536096172341</v>
      </c>
      <c r="N29" s="6"/>
      <c r="O29" s="11">
        <f t="shared" ref="O29:V29" si="11">IF(O6="","",(O6/$O$23))</f>
        <v>1.0472802668759955</v>
      </c>
      <c r="P29" s="11">
        <f t="shared" si="11"/>
        <v>7.6722294552594672</v>
      </c>
      <c r="Q29" s="11">
        <f t="shared" si="11"/>
        <v>1.4493427030826071E-4</v>
      </c>
      <c r="R29" s="11">
        <f t="shared" si="11"/>
        <v>0.71293352194277149</v>
      </c>
      <c r="S29" s="11">
        <f t="shared" si="11"/>
        <v>3.0094631923880889E-3</v>
      </c>
      <c r="T29" s="11">
        <f t="shared" si="11"/>
        <v>3.1209407249606045</v>
      </c>
      <c r="U29" s="11">
        <f t="shared" si="11"/>
        <v>5.7836657538782221</v>
      </c>
      <c r="V29" s="11">
        <f t="shared" si="11"/>
        <v>1.9592399289914388</v>
      </c>
    </row>
    <row r="30" spans="1:22" x14ac:dyDescent="0.3">
      <c r="A30" s="220"/>
      <c r="B30" s="11">
        <f t="shared" ref="B30:M30" si="12">IF(B7="","",(B7/$O$23))</f>
        <v>1.0514658208987831E-3</v>
      </c>
      <c r="C30" s="11">
        <f t="shared" si="12"/>
        <v>2.658297610061577E-2</v>
      </c>
      <c r="D30" s="11">
        <f t="shared" si="12"/>
        <v>2.6124171436009362E-2</v>
      </c>
      <c r="E30" s="11">
        <f t="shared" si="12"/>
        <v>0.16583711542029861</v>
      </c>
      <c r="F30" s="11">
        <f t="shared" si="12"/>
        <v>0.80423749649588316</v>
      </c>
      <c r="G30" s="11">
        <f t="shared" si="12"/>
        <v>1.2909840113805711</v>
      </c>
      <c r="H30" s="11">
        <f t="shared" si="12"/>
        <v>8.0523108092348057</v>
      </c>
      <c r="I30" s="11">
        <f t="shared" si="12"/>
        <v>6.207248621355064E-3</v>
      </c>
      <c r="J30" s="11">
        <f t="shared" si="12"/>
        <v>3.1470122769481578E-3</v>
      </c>
      <c r="K30" s="11">
        <f t="shared" si="12"/>
        <v>1.0200787814689687E-3</v>
      </c>
      <c r="L30" s="11">
        <f t="shared" si="12"/>
        <v>7.4221116769325869E-4</v>
      </c>
      <c r="M30" s="11">
        <f t="shared" si="12"/>
        <v>1.3355000647742332</v>
      </c>
      <c r="N30" s="6"/>
      <c r="O30" s="11">
        <f t="shared" ref="O30:V30" si="13">IF(O7="","",(O7/$O$23))</f>
        <v>0.22437855969799511</v>
      </c>
      <c r="P30" s="11">
        <f t="shared" si="13"/>
        <v>10.493469187928051</v>
      </c>
      <c r="Q30" s="11">
        <f t="shared" si="13"/>
        <v>2.2746372104430219E-3</v>
      </c>
      <c r="R30" s="11">
        <f t="shared" si="13"/>
        <v>0.21423223762819835</v>
      </c>
      <c r="S30" s="11">
        <f t="shared" si="13"/>
        <v>2.4938221382636012</v>
      </c>
      <c r="T30" s="11">
        <f t="shared" si="13"/>
        <v>4.7715371248671818</v>
      </c>
      <c r="U30" s="11">
        <f t="shared" si="13"/>
        <v>5.8311128028656976</v>
      </c>
      <c r="V30" s="11">
        <f t="shared" si="13"/>
        <v>2.2433323312046558</v>
      </c>
    </row>
    <row r="31" spans="1:22" x14ac:dyDescent="0.3">
      <c r="A31" s="220"/>
      <c r="B31" s="11">
        <f t="shared" ref="B31:M31" si="14">IF(B8="","",(B8/$O$23))</f>
        <v>2.8128326218424867E-2</v>
      </c>
      <c r="C31" s="11">
        <f t="shared" si="14"/>
        <v>3.4156484085386287E-4</v>
      </c>
      <c r="D31" s="11">
        <f t="shared" si="14"/>
        <v>1.8781192024368649</v>
      </c>
      <c r="E31" s="11">
        <f t="shared" si="14"/>
        <v>2.8586207734812748E-2</v>
      </c>
      <c r="F31" s="11">
        <f t="shared" si="14"/>
        <v>1.9251886838029644</v>
      </c>
      <c r="G31" s="11">
        <f t="shared" si="14"/>
        <v>2.4757127396608167</v>
      </c>
      <c r="H31" s="11">
        <f t="shared" si="14"/>
        <v>3.5011143937577947</v>
      </c>
      <c r="I31" s="11">
        <f t="shared" si="14"/>
        <v>5.0219263087703078E-4</v>
      </c>
      <c r="J31" s="11">
        <f t="shared" si="14"/>
        <v>5.554582830858629E-3</v>
      </c>
      <c r="K31" s="11">
        <f t="shared" si="14"/>
        <v>4.2777765298181489E-2</v>
      </c>
      <c r="L31" s="11">
        <f t="shared" si="14"/>
        <v>0.30278615363832712</v>
      </c>
      <c r="M31" s="11">
        <f t="shared" si="14"/>
        <v>0.47603799554981013</v>
      </c>
      <c r="N31" s="6"/>
      <c r="O31" s="11">
        <f t="shared" ref="O31:V31" si="15">IF(O8="","",(O8/$O$23))</f>
        <v>1.4150939041753685E-2</v>
      </c>
      <c r="P31" s="11">
        <f t="shared" si="15"/>
        <v>2.6940982211241544</v>
      </c>
      <c r="Q31" s="11">
        <f t="shared" si="15"/>
        <v>6.6503597662465616E-3</v>
      </c>
      <c r="R31" s="11">
        <f t="shared" si="15"/>
        <v>1.0671565711690347</v>
      </c>
      <c r="S31" s="11">
        <f t="shared" si="15"/>
        <v>4.620120507768446</v>
      </c>
      <c r="T31" s="11">
        <f t="shared" si="15"/>
        <v>2.2182688570717306</v>
      </c>
      <c r="U31" s="11">
        <f t="shared" si="15"/>
        <v>2.6517257178939047</v>
      </c>
      <c r="V31" s="11">
        <f t="shared" si="15"/>
        <v>4.6086743930069671</v>
      </c>
    </row>
    <row r="32" spans="1:22" x14ac:dyDescent="0.3">
      <c r="A32" s="220"/>
      <c r="B32" s="11">
        <f t="shared" ref="B32:M32" si="16">IF(B9="","",(B9/$O$23))</f>
        <v>5.8139874802638596E-3</v>
      </c>
      <c r="C32" s="11">
        <f t="shared" si="16"/>
        <v>1.8195251387107126E-3</v>
      </c>
      <c r="D32" s="11">
        <f t="shared" si="16"/>
        <v>3.6153253682053597E-2</v>
      </c>
      <c r="E32" s="11">
        <f t="shared" si="16"/>
        <v>2.8389466386480922</v>
      </c>
      <c r="F32" s="11">
        <f t="shared" si="16"/>
        <v>1.2003474729894523</v>
      </c>
      <c r="G32" s="11">
        <f t="shared" si="16"/>
        <v>2.6864453223925908</v>
      </c>
      <c r="H32" s="11">
        <f t="shared" si="16"/>
        <v>4.0264752754751214</v>
      </c>
      <c r="I32" s="11">
        <f t="shared" si="16"/>
        <v>1.3808451052681298E-2</v>
      </c>
      <c r="J32" s="11">
        <f t="shared" si="16"/>
        <v>6.5737384641090741E-3</v>
      </c>
      <c r="K32" s="11">
        <f t="shared" si="16"/>
        <v>6.3892934500479878E-2</v>
      </c>
      <c r="L32" s="11">
        <f t="shared" si="16"/>
        <v>3.8191564948554482E-2</v>
      </c>
      <c r="M32" s="11">
        <f t="shared" si="16"/>
        <v>1.3379704094070033</v>
      </c>
      <c r="N32" s="6"/>
      <c r="O32" s="11">
        <f t="shared" ref="O32:V32" si="17">IF(O9="","",(O9/$O$23))</f>
        <v>0.61882409995356558</v>
      </c>
      <c r="P32" s="11">
        <f t="shared" si="17"/>
        <v>3.2375694245924835</v>
      </c>
      <c r="Q32" s="11">
        <f t="shared" si="17"/>
        <v>1.6405266991389181E-2</v>
      </c>
      <c r="R32" s="11">
        <f t="shared" si="17"/>
        <v>4.4664283303110484</v>
      </c>
      <c r="S32" s="11">
        <f t="shared" si="17"/>
        <v>5.1664285457122991</v>
      </c>
      <c r="T32" s="11">
        <f t="shared" si="17"/>
        <v>4.2426184299156642</v>
      </c>
      <c r="U32" s="11">
        <f t="shared" si="17"/>
        <v>1.8329034026935618</v>
      </c>
      <c r="V32" s="11">
        <f t="shared" si="17"/>
        <v>7.6867238054385121</v>
      </c>
    </row>
    <row r="33" spans="1:22" x14ac:dyDescent="0.3">
      <c r="A33" s="220"/>
      <c r="B33" s="11">
        <f t="shared" ref="B33:M33" si="18">IF(B10="","",(B10/$O$23))</f>
        <v>1.9654748720593498E-2</v>
      </c>
      <c r="C33" s="11">
        <f t="shared" si="18"/>
        <v>2.5848150118670703E-5</v>
      </c>
      <c r="D33" s="11">
        <f t="shared" si="18"/>
        <v>9.5499683206303008E-3</v>
      </c>
      <c r="E33" s="11">
        <f t="shared" si="18"/>
        <v>1.5615975264551199E-2</v>
      </c>
      <c r="F33" s="11">
        <f t="shared" si="18"/>
        <v>0.9275894846032724</v>
      </c>
      <c r="G33" s="11">
        <f t="shared" si="18"/>
        <v>1.7571507830297046</v>
      </c>
      <c r="H33" s="11">
        <f t="shared" si="18"/>
        <v>5.5870453379630236</v>
      </c>
      <c r="I33" s="11">
        <f t="shared" si="18"/>
        <v>2.2399268374265213E-2</v>
      </c>
      <c r="J33" s="11">
        <f t="shared" si="18"/>
        <v>3.9247646510545887E-2</v>
      </c>
      <c r="K33" s="11">
        <f t="shared" si="18"/>
        <v>1.2379417610406218E-3</v>
      </c>
      <c r="L33" s="11">
        <f t="shared" si="18"/>
        <v>0.79492662356385058</v>
      </c>
      <c r="M33" s="11">
        <f t="shared" si="18"/>
        <v>1.4031852921564096E-4</v>
      </c>
      <c r="N33" s="6"/>
      <c r="O33" s="11">
        <f t="shared" ref="O33:V33" si="19">IF(O10="","",(O10/$O$23))</f>
        <v>1.1034676831964561</v>
      </c>
      <c r="P33" s="11">
        <f t="shared" si="19"/>
        <v>4.3661956661883732</v>
      </c>
      <c r="Q33" s="11">
        <f t="shared" si="19"/>
        <v>2.734918912199065E-2</v>
      </c>
      <c r="R33" s="11">
        <f t="shared" si="19"/>
        <v>0.64050700531025617</v>
      </c>
      <c r="S33" s="11">
        <f t="shared" si="19"/>
        <v>0.22985836752315331</v>
      </c>
      <c r="T33" s="11">
        <f t="shared" si="19"/>
        <v>2.1211859746706589</v>
      </c>
      <c r="U33" s="11">
        <f t="shared" si="19"/>
        <v>6.133925727802362</v>
      </c>
      <c r="V33" s="11">
        <f t="shared" si="19"/>
        <v>6.700704577491984</v>
      </c>
    </row>
    <row r="34" spans="1:22" x14ac:dyDescent="0.3">
      <c r="A34" s="220"/>
      <c r="B34" s="11">
        <f t="shared" ref="B34:M34" si="20">IF(B11="","",(B11/$O$23))</f>
        <v>1.9063010712519642E-3</v>
      </c>
      <c r="C34" s="11">
        <f t="shared" si="20"/>
        <v>1.2000926840811397E-4</v>
      </c>
      <c r="D34" s="11">
        <f t="shared" si="20"/>
        <v>4.9849080652074974E-2</v>
      </c>
      <c r="E34" s="11">
        <f t="shared" si="20"/>
        <v>0.32245013384110588</v>
      </c>
      <c r="F34" s="11">
        <f t="shared" si="20"/>
        <v>0.1393723022916539</v>
      </c>
      <c r="G34" s="11">
        <f t="shared" si="20"/>
        <v>3.516378649551088</v>
      </c>
      <c r="H34" s="11" t="str">
        <f t="shared" si="20"/>
        <v/>
      </c>
      <c r="I34" s="11">
        <f t="shared" si="20"/>
        <v>3.5162715643577394E-3</v>
      </c>
      <c r="J34" s="11">
        <f t="shared" si="20"/>
        <v>3.664898427540096E-4</v>
      </c>
      <c r="K34" s="11">
        <f t="shared" si="20"/>
        <v>4.4403429311002171E-4</v>
      </c>
      <c r="L34" s="11">
        <f t="shared" si="20"/>
        <v>0.53903732257475878</v>
      </c>
      <c r="M34" s="11">
        <f t="shared" si="20"/>
        <v>0.29080738235476028</v>
      </c>
      <c r="N34" s="6"/>
      <c r="O34" s="11">
        <f t="shared" ref="O34:V34" si="21">IF(O11="","",(O11/$O$23))</f>
        <v>2.8324956788970471E-2</v>
      </c>
      <c r="P34" s="11">
        <f t="shared" si="21"/>
        <v>9.5476641426768651</v>
      </c>
      <c r="Q34" s="11">
        <f t="shared" si="21"/>
        <v>1.0197095221815592E-2</v>
      </c>
      <c r="R34" s="11">
        <f t="shared" si="21"/>
        <v>1.1244877681322465</v>
      </c>
      <c r="S34" s="11">
        <f t="shared" si="21"/>
        <v>3.7696397475620422</v>
      </c>
      <c r="T34" s="11">
        <f t="shared" si="21"/>
        <v>5.9380586008334797</v>
      </c>
      <c r="U34" s="11">
        <f t="shared" si="21"/>
        <v>5.9674313308504745</v>
      </c>
      <c r="V34" s="11">
        <f t="shared" si="21"/>
        <v>6.0619672473166384</v>
      </c>
    </row>
    <row r="35" spans="1:22" x14ac:dyDescent="0.3">
      <c r="A35" s="220"/>
      <c r="B35" s="11" t="str">
        <f t="shared" ref="B35:M35" si="22">IF(B12="","",(B12/$O$23))</f>
        <v/>
      </c>
      <c r="C35" s="11">
        <f t="shared" si="22"/>
        <v>0.53603709086455598</v>
      </c>
      <c r="D35" s="11">
        <f t="shared" si="22"/>
        <v>4.8329578684384547E-2</v>
      </c>
      <c r="E35" s="11" t="str">
        <f t="shared" si="22"/>
        <v/>
      </c>
      <c r="F35" s="11" t="str">
        <f t="shared" si="22"/>
        <v/>
      </c>
      <c r="G35" s="11" t="str">
        <f t="shared" si="22"/>
        <v/>
      </c>
      <c r="H35" s="11" t="str">
        <f t="shared" si="22"/>
        <v/>
      </c>
      <c r="I35" s="11">
        <f t="shared" si="22"/>
        <v>1.5952001216093918E-3</v>
      </c>
      <c r="J35" s="11">
        <f t="shared" si="22"/>
        <v>1.3117936185225382E-3</v>
      </c>
      <c r="K35" s="11">
        <f t="shared" si="22"/>
        <v>1.9012237560500824E-2</v>
      </c>
      <c r="L35" s="11">
        <f t="shared" si="22"/>
        <v>1.1342722161003817E-2</v>
      </c>
      <c r="M35" s="11" t="str">
        <f t="shared" si="22"/>
        <v/>
      </c>
      <c r="N35" s="6"/>
      <c r="O35" s="11">
        <f t="shared" ref="O35:V35" si="23">IF(O12="","",(O12/$O$23))</f>
        <v>0.59297410353845781</v>
      </c>
      <c r="P35" s="11">
        <f t="shared" si="23"/>
        <v>9.4110326674460083</v>
      </c>
      <c r="Q35" s="11">
        <f t="shared" si="23"/>
        <v>2.2315261886379532E-2</v>
      </c>
      <c r="R35" s="11">
        <f t="shared" si="23"/>
        <v>0.25238964609266745</v>
      </c>
      <c r="S35" s="11">
        <f t="shared" si="23"/>
        <v>2.204193616183896</v>
      </c>
      <c r="T35" s="11">
        <f t="shared" si="23"/>
        <v>4.6966485719358628</v>
      </c>
      <c r="U35" s="11">
        <f t="shared" si="23"/>
        <v>2.8775323878859567</v>
      </c>
      <c r="V35" s="11" t="str">
        <f t="shared" si="23"/>
        <v/>
      </c>
    </row>
    <row r="36" spans="1:22" s="1" customFormat="1" x14ac:dyDescent="0.3">
      <c r="A36" s="220"/>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4.9119978189084756</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
      <c r="A37" s="220"/>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6.2063254731365399E-3</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
      <c r="A38" s="220"/>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0.11546091713544646</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
      <c r="A39" s="220"/>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0.98972105230280849</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
      <c r="A40" s="220"/>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2.0656595324746618</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
      <c r="A41" s="220"/>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0.64245669434777886</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
      <c r="A42" s="220"/>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2.4591173041364116</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
      <c r="A43" s="220"/>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t="str">
        <f t="shared" ref="O43:R43" si="44">IF(O20="","",(O20/$O$23))</f>
        <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
      <c r="A44" s="7"/>
      <c r="B44" s="3"/>
      <c r="C44" s="3"/>
      <c r="D44" s="3"/>
      <c r="E44" s="3"/>
      <c r="F44" s="3"/>
      <c r="G44" s="3"/>
      <c r="H44" s="3"/>
      <c r="I44" s="3"/>
      <c r="J44" s="3"/>
      <c r="N44" s="7"/>
      <c r="O44" s="3"/>
      <c r="P44" s="3"/>
      <c r="Q44" s="3"/>
      <c r="R44" s="3"/>
      <c r="S44" s="3"/>
      <c r="T44" s="3"/>
      <c r="U44" s="3"/>
      <c r="V44" s="3"/>
    </row>
    <row r="45" spans="1:22" s="69" customFormat="1" x14ac:dyDescent="0.3">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BPA-1mg/L</v>
      </c>
      <c r="J45" s="70" t="str">
        <f t="shared" si="46"/>
        <v>BPA-2mg/L</v>
      </c>
      <c r="K45" s="70" t="str">
        <f t="shared" si="46"/>
        <v>BPA-3mg/L</v>
      </c>
      <c r="L45" s="70" t="str">
        <f t="shared" si="46"/>
        <v>BPA-4mg/L</v>
      </c>
      <c r="M45" s="70" t="str">
        <f t="shared" si="46"/>
        <v>BPA-5mg/L</v>
      </c>
      <c r="N45" s="70" t="str">
        <f>N22</f>
        <v>Nom des groupes</v>
      </c>
      <c r="O45" s="70" t="str">
        <f t="shared" ref="O45:V45" si="47">O4</f>
        <v>Testo -30µg/L</v>
      </c>
      <c r="P45" s="70" t="str">
        <f t="shared" si="47"/>
        <v>Testo 30µg/L + EE2 -64ng/L</v>
      </c>
      <c r="Q45" s="70" t="str">
        <f t="shared" si="47"/>
        <v>Testo 30µg/L + FAD-10µg/L</v>
      </c>
      <c r="R45" s="70" t="str">
        <f t="shared" si="47"/>
        <v>BPA-1mg/L + Testostérone</v>
      </c>
      <c r="S45" s="70" t="str">
        <f t="shared" si="47"/>
        <v>BPA-2mg/L + Testostérone</v>
      </c>
      <c r="T45" s="70" t="str">
        <f t="shared" si="47"/>
        <v>BPA-3mg/L + Testostérone</v>
      </c>
      <c r="U45" s="70" t="str">
        <f t="shared" si="47"/>
        <v>BPA-4mg/L + Testostérone</v>
      </c>
      <c r="V45" s="70" t="str">
        <f t="shared" si="47"/>
        <v>BPA-5mg/L + Testostérone</v>
      </c>
    </row>
    <row r="46" spans="1:22" x14ac:dyDescent="0.3">
      <c r="A46" s="8" t="s">
        <v>0</v>
      </c>
      <c r="B46" s="10">
        <f t="shared" ref="B46:H46" si="48">AVERAGE(B28:B43)</f>
        <v>1.5076724826616279E-2</v>
      </c>
      <c r="C46" s="10">
        <f t="shared" si="48"/>
        <v>7.1823700845819169E-2</v>
      </c>
      <c r="D46" s="10">
        <f t="shared" si="48"/>
        <v>0.26956077992484956</v>
      </c>
      <c r="E46" s="10">
        <f t="shared" si="48"/>
        <v>0.50737083299136554</v>
      </c>
      <c r="F46" s="10">
        <f t="shared" si="48"/>
        <v>1.1708824281506049</v>
      </c>
      <c r="G46" s="10">
        <f t="shared" si="48"/>
        <v>2.5302594578403261</v>
      </c>
      <c r="H46" s="10">
        <f t="shared" si="48"/>
        <v>6.1964008604972269</v>
      </c>
      <c r="I46" s="10">
        <f>AVERAGE(I28:I43)</f>
        <v>1.1185902357382062E-2</v>
      </c>
      <c r="J46" s="9">
        <f>AVERAGE(J28:J43)</f>
        <v>1.3350454142766102E-2</v>
      </c>
      <c r="K46" s="9">
        <f>AVERAGE(K28:K43)</f>
        <v>1.8024353573152883E-2</v>
      </c>
      <c r="L46" s="9">
        <f t="shared" ref="L46:M46" si="49">AVERAGE(L28:L43)</f>
        <v>0.32483197163842498</v>
      </c>
      <c r="M46" s="9">
        <f t="shared" si="49"/>
        <v>1.0495537171815863</v>
      </c>
      <c r="N46" s="8" t="s">
        <v>0</v>
      </c>
      <c r="O46" s="10">
        <f>AVERAGE(O28:O43)</f>
        <v>1</v>
      </c>
      <c r="P46" s="10">
        <f>AVERAGE(P28:P43)</f>
        <v>6.6283074862089348</v>
      </c>
      <c r="Q46" s="10">
        <f>AVERAGE(Q28:Q43)</f>
        <v>1.9330377515309641E-2</v>
      </c>
      <c r="R46" s="10">
        <f>AVERAGE(R28:R43)</f>
        <v>1.1672574558835158</v>
      </c>
      <c r="S46" s="10">
        <f t="shared" ref="S46:V46" si="50">AVERAGE(S28:S43)</f>
        <v>2.6787246876604933</v>
      </c>
      <c r="T46" s="10">
        <f t="shared" si="50"/>
        <v>3.9778762529044553</v>
      </c>
      <c r="U46" s="10">
        <f t="shared" si="50"/>
        <v>4.6235542729607726</v>
      </c>
      <c r="V46" s="10">
        <f t="shared" si="50"/>
        <v>5.3305947628570687</v>
      </c>
    </row>
    <row r="47" spans="1:22" x14ac:dyDescent="0.3">
      <c r="A47" s="8" t="s">
        <v>1</v>
      </c>
      <c r="B47" s="8">
        <f t="shared" ref="B47:K47" si="51">STDEV(B28:B43)</f>
        <v>1.2165905538358258E-2</v>
      </c>
      <c r="C47" s="8">
        <f t="shared" si="51"/>
        <v>0.18777775329600255</v>
      </c>
      <c r="D47" s="8">
        <f t="shared" si="51"/>
        <v>0.65041515949248019</v>
      </c>
      <c r="E47" s="8">
        <f t="shared" si="51"/>
        <v>1.0334421860841059</v>
      </c>
      <c r="F47" s="8">
        <f t="shared" si="51"/>
        <v>0.7549905480803063</v>
      </c>
      <c r="G47" s="8">
        <f t="shared" si="51"/>
        <v>0.77869556629554637</v>
      </c>
      <c r="H47" s="8">
        <f t="shared" si="51"/>
        <v>2.649350572834118</v>
      </c>
      <c r="I47" s="8">
        <f>STDEV(I28:I43)</f>
        <v>9.5548316258119402E-3</v>
      </c>
      <c r="J47" s="8">
        <f t="shared" si="51"/>
        <v>1.7263538367342072E-2</v>
      </c>
      <c r="K47" s="8">
        <f t="shared" si="51"/>
        <v>2.3408130518498112E-2</v>
      </c>
      <c r="L47" s="8">
        <f t="shared" ref="L47:M47" si="52">STDEV(L28:L43)</f>
        <v>0.35740359035479491</v>
      </c>
      <c r="M47" s="8">
        <f t="shared" si="52"/>
        <v>1.0655403771361129</v>
      </c>
      <c r="N47" s="8" t="s">
        <v>1</v>
      </c>
      <c r="O47" s="8">
        <f>STDEV(O28:O43)</f>
        <v>1.30877088845746</v>
      </c>
      <c r="P47" s="8">
        <f>STDEV(P28:P43)</f>
        <v>3.057461637425257</v>
      </c>
      <c r="Q47" s="8">
        <f>STDEV(Q28:Q43)</f>
        <v>2.2304825698399477E-2</v>
      </c>
      <c r="R47" s="8">
        <f>STDEV(R28:R43)</f>
        <v>1.3742503331449196</v>
      </c>
      <c r="S47" s="8">
        <f t="shared" ref="S47:V47" si="53">STDEV(S28:S43)</f>
        <v>1.8759091897080864</v>
      </c>
      <c r="T47" s="8">
        <f t="shared" si="53"/>
        <v>1.3563766170272848</v>
      </c>
      <c r="U47" s="8">
        <f t="shared" si="53"/>
        <v>1.8233020105025237</v>
      </c>
      <c r="V47" s="8">
        <f t="shared" si="53"/>
        <v>2.4764278722750963</v>
      </c>
    </row>
    <row r="48" spans="1:22" x14ac:dyDescent="0.3">
      <c r="A48" s="8" t="s">
        <v>2</v>
      </c>
      <c r="B48" s="8">
        <f t="shared" ref="B48:K48" si="54" xml:space="preserve"> B47/SQRT(COUNT(B28:B43))</f>
        <v>4.5982800754856175E-3</v>
      </c>
      <c r="C48" s="8">
        <f t="shared" si="54"/>
        <v>6.6389461355788978E-2</v>
      </c>
      <c r="D48" s="8">
        <f t="shared" si="54"/>
        <v>0.2299564849318313</v>
      </c>
      <c r="E48" s="8">
        <f t="shared" si="54"/>
        <v>0.3906044312487828</v>
      </c>
      <c r="F48" s="8">
        <f t="shared" si="54"/>
        <v>0.28535960463212057</v>
      </c>
      <c r="G48" s="8">
        <f t="shared" si="54"/>
        <v>0.29431925934951791</v>
      </c>
      <c r="H48" s="8">
        <f t="shared" si="54"/>
        <v>1.0815928421989849</v>
      </c>
      <c r="I48" s="8">
        <f xml:space="preserve"> I47/SQRT(COUNT(I28:I43))</f>
        <v>3.3781431178536536E-3</v>
      </c>
      <c r="J48" s="8">
        <f t="shared" si="54"/>
        <v>6.1035825234108587E-3</v>
      </c>
      <c r="K48" s="8">
        <f t="shared" si="54"/>
        <v>8.2760239122648942E-3</v>
      </c>
      <c r="L48" s="8">
        <f t="shared" ref="L48:M48" si="55" xml:space="preserve"> L47/SQRT(COUNT(L28:L43))</f>
        <v>0.12636125118014721</v>
      </c>
      <c r="M48" s="8">
        <f t="shared" si="55"/>
        <v>0.40273640711430414</v>
      </c>
      <c r="N48" s="8" t="s">
        <v>2</v>
      </c>
      <c r="O48" s="8">
        <f xml:space="preserve"> O47/SQRT(COUNT(O28:O43))</f>
        <v>0.33792319033312185</v>
      </c>
      <c r="P48" s="8">
        <f xml:space="preserve"> P47/SQRT(COUNT(P28:P43))</f>
        <v>1.0809759285205622</v>
      </c>
      <c r="Q48" s="8">
        <f xml:space="preserve"> Q47/SQRT(COUNT(Q28:Q43))</f>
        <v>7.8859467522611193E-3</v>
      </c>
      <c r="R48" s="8">
        <f xml:space="preserve"> R47/SQRT(COUNT(R28:R43))</f>
        <v>0.48587086480732233</v>
      </c>
      <c r="S48" s="8">
        <f t="shared" ref="S48:V48" si="56" xml:space="preserve"> S47/SQRT(COUNT(S28:S43))</f>
        <v>0.66323405446637473</v>
      </c>
      <c r="T48" s="8">
        <f t="shared" si="56"/>
        <v>0.47955155187143089</v>
      </c>
      <c r="U48" s="8">
        <f t="shared" si="56"/>
        <v>0.64463460788870008</v>
      </c>
      <c r="V48" s="8">
        <f t="shared" si="56"/>
        <v>0.93600175568981858</v>
      </c>
    </row>
    <row r="49" spans="1:22" s="1" customFormat="1"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38</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35">
      <c r="A51"/>
      <c r="B51"/>
      <c r="C51"/>
      <c r="D51"/>
      <c r="E51"/>
      <c r="F51"/>
      <c r="G51"/>
      <c r="H51"/>
      <c r="I51"/>
      <c r="J51"/>
      <c r="K51"/>
      <c r="L51"/>
      <c r="M51"/>
      <c r="S51"/>
      <c r="T51"/>
      <c r="U51"/>
      <c r="V51"/>
    </row>
    <row r="52" spans="1:22" x14ac:dyDescent="0.3">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BPA-1mg/L</v>
      </c>
      <c r="J52" s="46" t="str">
        <f>J4</f>
        <v>BPA-2mg/L</v>
      </c>
      <c r="K52" s="46" t="str">
        <f>K27</f>
        <v>BPA-3mg/L</v>
      </c>
      <c r="L52" s="46" t="str">
        <f t="shared" ref="L52:M52" si="58">L27</f>
        <v>BPA-4mg/L</v>
      </c>
      <c r="M52" s="46" t="str">
        <f t="shared" si="58"/>
        <v>BPA-5mg/L</v>
      </c>
      <c r="N52" s="47"/>
      <c r="O52" s="46" t="str">
        <f>O27</f>
        <v>Testo -30µg/L</v>
      </c>
      <c r="P52" s="46" t="str">
        <f>P27</f>
        <v>Testo 30µg/L + EE2 -64ng/L</v>
      </c>
      <c r="Q52" s="46" t="str">
        <f>Q27</f>
        <v>Testo 30µg/L + FAD-10µg/L</v>
      </c>
      <c r="R52" s="46" t="str">
        <f>R27</f>
        <v>BPA-1mg/L + Testostérone</v>
      </c>
      <c r="S52" s="46" t="str">
        <f t="shared" ref="S52:V52" si="59">S27</f>
        <v>BPA-2mg/L + Testostérone</v>
      </c>
      <c r="T52" s="46" t="str">
        <f t="shared" si="59"/>
        <v>BPA-3mg/L + Testostérone</v>
      </c>
      <c r="U52" s="46" t="str">
        <f t="shared" si="59"/>
        <v>BPA-4mg/L + Testostérone</v>
      </c>
      <c r="V52" s="46" t="str">
        <f t="shared" si="59"/>
        <v>BPA-5mg/L + Testostérone</v>
      </c>
    </row>
    <row r="53" spans="1:22" s="3" customFormat="1" x14ac:dyDescent="0.3">
      <c r="A53" s="61" t="s">
        <v>32</v>
      </c>
      <c r="B53" s="141">
        <f t="shared" ref="B53:M53" si="60">B46</f>
        <v>1.5076724826616279E-2</v>
      </c>
      <c r="C53" s="141">
        <f t="shared" si="60"/>
        <v>7.1823700845819169E-2</v>
      </c>
      <c r="D53" s="141">
        <f t="shared" si="60"/>
        <v>0.26956077992484956</v>
      </c>
      <c r="E53" s="141">
        <f t="shared" si="60"/>
        <v>0.50737083299136554</v>
      </c>
      <c r="F53" s="141">
        <f t="shared" si="60"/>
        <v>1.1708824281506049</v>
      </c>
      <c r="G53" s="141">
        <f t="shared" si="60"/>
        <v>2.5302594578403261</v>
      </c>
      <c r="H53" s="141">
        <f t="shared" si="60"/>
        <v>6.1964008604972269</v>
      </c>
      <c r="I53" s="141">
        <f t="shared" si="60"/>
        <v>1.1185902357382062E-2</v>
      </c>
      <c r="J53" s="141">
        <f t="shared" si="60"/>
        <v>1.3350454142766102E-2</v>
      </c>
      <c r="K53" s="141">
        <f t="shared" si="60"/>
        <v>1.8024353573152883E-2</v>
      </c>
      <c r="L53" s="141">
        <f t="shared" si="60"/>
        <v>0.32483197163842498</v>
      </c>
      <c r="M53" s="141">
        <f t="shared" si="60"/>
        <v>1.0495537171815863</v>
      </c>
      <c r="N53" s="141"/>
      <c r="O53" s="141">
        <f t="shared" ref="O53:V53" si="61">O46</f>
        <v>1</v>
      </c>
      <c r="P53" s="141">
        <f t="shared" si="61"/>
        <v>6.6283074862089348</v>
      </c>
      <c r="Q53" s="141">
        <f t="shared" si="61"/>
        <v>1.9330377515309641E-2</v>
      </c>
      <c r="R53" s="141">
        <f t="shared" si="61"/>
        <v>1.1672574558835158</v>
      </c>
      <c r="S53" s="141">
        <f t="shared" si="61"/>
        <v>2.6787246876604933</v>
      </c>
      <c r="T53" s="141">
        <f t="shared" si="61"/>
        <v>3.9778762529044553</v>
      </c>
      <c r="U53" s="141">
        <f t="shared" si="61"/>
        <v>4.6235542729607726</v>
      </c>
      <c r="V53" s="141">
        <f t="shared" si="61"/>
        <v>5.3305947628570687</v>
      </c>
    </row>
    <row r="54" spans="1:22" s="3" customFormat="1" x14ac:dyDescent="0.3">
      <c r="A54" s="61" t="s">
        <v>2</v>
      </c>
      <c r="B54" s="141">
        <f t="shared" ref="B54:M54" si="62">B48</f>
        <v>4.5982800754856175E-3</v>
      </c>
      <c r="C54" s="141">
        <f t="shared" si="62"/>
        <v>6.6389461355788978E-2</v>
      </c>
      <c r="D54" s="141">
        <f t="shared" si="62"/>
        <v>0.2299564849318313</v>
      </c>
      <c r="E54" s="141">
        <f t="shared" si="62"/>
        <v>0.3906044312487828</v>
      </c>
      <c r="F54" s="141">
        <f t="shared" si="62"/>
        <v>0.28535960463212057</v>
      </c>
      <c r="G54" s="141">
        <f t="shared" si="62"/>
        <v>0.29431925934951791</v>
      </c>
      <c r="H54" s="141">
        <f t="shared" si="62"/>
        <v>1.0815928421989849</v>
      </c>
      <c r="I54" s="141">
        <f t="shared" si="62"/>
        <v>3.3781431178536536E-3</v>
      </c>
      <c r="J54" s="141">
        <f t="shared" si="62"/>
        <v>6.1035825234108587E-3</v>
      </c>
      <c r="K54" s="141">
        <f t="shared" si="62"/>
        <v>8.2760239122648942E-3</v>
      </c>
      <c r="L54" s="141">
        <f t="shared" si="62"/>
        <v>0.12636125118014721</v>
      </c>
      <c r="M54" s="141">
        <f t="shared" si="62"/>
        <v>0.40273640711430414</v>
      </c>
      <c r="N54" s="141"/>
      <c r="O54" s="141">
        <f t="shared" ref="O54:V54" si="63">O48</f>
        <v>0.33792319033312185</v>
      </c>
      <c r="P54" s="141">
        <f t="shared" si="63"/>
        <v>1.0809759285205622</v>
      </c>
      <c r="Q54" s="141">
        <f t="shared" si="63"/>
        <v>7.8859467522611193E-3</v>
      </c>
      <c r="R54" s="141">
        <f t="shared" si="63"/>
        <v>0.48587086480732233</v>
      </c>
      <c r="S54" s="141">
        <f t="shared" si="63"/>
        <v>0.66323405446637473</v>
      </c>
      <c r="T54" s="141">
        <f t="shared" si="63"/>
        <v>0.47955155187143089</v>
      </c>
      <c r="U54" s="141">
        <f t="shared" si="63"/>
        <v>0.64463460788870008</v>
      </c>
      <c r="V54" s="141">
        <f t="shared" si="63"/>
        <v>0.93600175568981858</v>
      </c>
    </row>
    <row r="55" spans="1:22" s="3" customFormat="1" x14ac:dyDescent="0.3">
      <c r="A55" s="61" t="s">
        <v>79</v>
      </c>
      <c r="B55" s="141">
        <f t="shared" ref="B55:M55" si="64">(B53*100/$B$53)-100</f>
        <v>0</v>
      </c>
      <c r="C55" s="141">
        <f t="shared" si="64"/>
        <v>376.38795343019348</v>
      </c>
      <c r="D55" s="141">
        <f t="shared" si="64"/>
        <v>1687.9266420580286</v>
      </c>
      <c r="E55" s="141">
        <f t="shared" si="64"/>
        <v>3265.2589592645404</v>
      </c>
      <c r="F55" s="141">
        <f t="shared" si="64"/>
        <v>7666.1590406130017</v>
      </c>
      <c r="G55" s="141">
        <f t="shared" si="64"/>
        <v>16682.553816817264</v>
      </c>
      <c r="H55" s="141">
        <f t="shared" si="64"/>
        <v>40999.117558729806</v>
      </c>
      <c r="I55" s="141">
        <f t="shared" si="64"/>
        <v>-25.806814901638333</v>
      </c>
      <c r="J55" s="141">
        <f t="shared" si="64"/>
        <v>-11.449905093463258</v>
      </c>
      <c r="K55" s="141">
        <f t="shared" si="64"/>
        <v>19.550855908259948</v>
      </c>
      <c r="L55" s="141">
        <f t="shared" si="64"/>
        <v>2054.5261014843909</v>
      </c>
      <c r="M55" s="141">
        <f t="shared" si="64"/>
        <v>6861.4172126343783</v>
      </c>
      <c r="N55" s="141"/>
      <c r="O55" s="141">
        <f>(O53*100/$O$53)-100</f>
        <v>0</v>
      </c>
      <c r="P55" s="141">
        <f t="shared" ref="P55:V55" si="65">(P53*100/$O$53)-100</f>
        <v>562.83074862089347</v>
      </c>
      <c r="Q55" s="141">
        <f t="shared" si="65"/>
        <v>-98.066962248469039</v>
      </c>
      <c r="R55" s="141">
        <f t="shared" si="65"/>
        <v>16.725745588351586</v>
      </c>
      <c r="S55" s="141">
        <f t="shared" si="65"/>
        <v>167.87246876604934</v>
      </c>
      <c r="T55" s="141">
        <f t="shared" si="65"/>
        <v>297.78762529044553</v>
      </c>
      <c r="U55" s="141">
        <f t="shared" si="65"/>
        <v>362.35542729607727</v>
      </c>
      <c r="V55" s="141">
        <f t="shared" si="65"/>
        <v>433.05947628570686</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t="shared" ref="B57:M57" ca="1" si="66">IF(B56&gt;0.05,"Oui","Non")</f>
        <v>#NAME?</v>
      </c>
      <c r="C57" s="141" t="e">
        <f t="shared" ca="1" si="66"/>
        <v>#NAME?</v>
      </c>
      <c r="D57" s="141" t="e">
        <f t="shared" ca="1" si="66"/>
        <v>#NAME?</v>
      </c>
      <c r="E57" s="141" t="e">
        <f t="shared" ca="1" si="66"/>
        <v>#NAME?</v>
      </c>
      <c r="F57" s="141" t="e">
        <f t="shared" ca="1" si="66"/>
        <v>#NAME?</v>
      </c>
      <c r="G57" s="141" t="e">
        <f t="shared" ca="1" si="66"/>
        <v>#NAME?</v>
      </c>
      <c r="H57" s="141" t="e">
        <f t="shared" ca="1" si="66"/>
        <v>#NAME?</v>
      </c>
      <c r="I57" s="141" t="e">
        <f t="shared" ca="1" si="66"/>
        <v>#NAME?</v>
      </c>
      <c r="J57" s="141" t="e">
        <f t="shared" ca="1" si="66"/>
        <v>#NAME?</v>
      </c>
      <c r="K57" s="141" t="e">
        <f t="shared" ca="1" si="66"/>
        <v>#NAME?</v>
      </c>
      <c r="L57" s="141" t="e">
        <f t="shared" ca="1" si="66"/>
        <v>#NAME?</v>
      </c>
      <c r="M57" s="141" t="e">
        <f t="shared" ca="1" si="66"/>
        <v>#NAME?</v>
      </c>
      <c r="N57" s="141"/>
      <c r="O57" s="141" t="e">
        <f t="shared" ref="O57:V57" ca="1" si="67">IF(O56&gt;0.05,"Oui","Non")</f>
        <v>#NAME?</v>
      </c>
      <c r="P57" s="141" t="e">
        <f t="shared" ca="1" si="67"/>
        <v>#NAME?</v>
      </c>
      <c r="Q57" s="141" t="e">
        <f t="shared" ca="1" si="67"/>
        <v>#NAME?</v>
      </c>
      <c r="R57" s="141" t="e">
        <f t="shared" ca="1" si="67"/>
        <v>#NAME?</v>
      </c>
      <c r="S57" s="141" t="e">
        <f t="shared" ca="1" si="67"/>
        <v>#NAME?</v>
      </c>
      <c r="T57" s="141" t="e">
        <f t="shared" ca="1" si="67"/>
        <v>#NAME?</v>
      </c>
      <c r="U57" s="141" t="e">
        <f t="shared" ca="1" si="67"/>
        <v>#NAME?</v>
      </c>
      <c r="V57" s="141" t="e">
        <f t="shared" ca="1" si="67"/>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M59" ca="1" si="68">IF($B57="Non",IF(C$57="Non","Mann Withney",IF(C$57="Oui","Mann Withney","")),IF($B$57="Oui",IF(C$57="Oui","T-Test Welch",IF(C$57="Non","Mann Withney",""))))</f>
        <v>#NAME?</v>
      </c>
      <c r="D59" s="150" t="e">
        <f t="shared" ca="1" si="68"/>
        <v>#NAME?</v>
      </c>
      <c r="E59" s="150" t="e">
        <f t="shared" ca="1" si="68"/>
        <v>#NAME?</v>
      </c>
      <c r="F59" s="150" t="e">
        <f t="shared" ca="1" si="68"/>
        <v>#NAME?</v>
      </c>
      <c r="G59" s="150" t="e">
        <f t="shared" ca="1" si="68"/>
        <v>#NAME?</v>
      </c>
      <c r="H59" s="150" t="e">
        <f t="shared" ca="1" si="68"/>
        <v>#NAME?</v>
      </c>
      <c r="I59" s="150" t="e">
        <f t="shared" ca="1" si="68"/>
        <v>#NAME?</v>
      </c>
      <c r="J59" s="150" t="e">
        <f t="shared" ca="1" si="68"/>
        <v>#NAME?</v>
      </c>
      <c r="K59" s="150" t="e">
        <f t="shared" ca="1" si="68"/>
        <v>#NAME?</v>
      </c>
      <c r="L59" s="150" t="e">
        <f t="shared" ca="1" si="68"/>
        <v>#NAME?</v>
      </c>
      <c r="M59" s="150" t="e">
        <f t="shared" ca="1" si="68"/>
        <v>#NAME?</v>
      </c>
      <c r="N59" s="150"/>
      <c r="O59" s="150" t="e">
        <f ca="1">IF($B57="Non",IF(O$57="Non","Mann Withney",IF(O$57="Oui","Mann Withney","")),IF($B$57="Oui",IF(O$57="Oui","T-Test Welch",IF(O$57="Non","Mann Withney",""))))</f>
        <v>#NAME?</v>
      </c>
      <c r="P59" s="150" t="e">
        <f ca="1">IF($O57="Non",IF(P$57="Non","Mann Withney",IF(P$57="Oui","Mann Withney","")),IF($O$57="Oui",IF(P$57="Oui","T-Test Welch",IF(P$57="Non","Mann Withney",""))))</f>
        <v>#NAME?</v>
      </c>
      <c r="Q59" s="150" t="e">
        <f t="shared" ref="Q59:V59" ca="1" si="69">IF($O57="Non",IF(Q$57="Non","Mann Withney",IF(Q$57="Oui","Mann Withney","")),IF($O$57="Oui",IF(Q$57="Oui","T-Test Welch",IF(Q$57="Non","Mann Withney",""))))</f>
        <v>#NAME?</v>
      </c>
      <c r="R59" s="150" t="e">
        <f t="shared" ca="1" si="69"/>
        <v>#NAME?</v>
      </c>
      <c r="S59" s="150" t="e">
        <f t="shared" ca="1" si="69"/>
        <v>#NAME?</v>
      </c>
      <c r="T59" s="150" t="e">
        <f t="shared" ca="1" si="69"/>
        <v>#NAME?</v>
      </c>
      <c r="U59" s="150" t="e">
        <f t="shared" ca="1" si="69"/>
        <v>#NAME?</v>
      </c>
      <c r="V59" s="150" t="e">
        <f t="shared" ca="1" si="69"/>
        <v>#NAME?</v>
      </c>
    </row>
    <row r="60" spans="1:22" s="3" customFormat="1" x14ac:dyDescent="0.3">
      <c r="A60" s="61" t="s">
        <v>83</v>
      </c>
      <c r="B60" s="151"/>
      <c r="C60" s="151" t="e">
        <f ca="1">IF(C59="Mann Withney",[1]!MTEST($B28:$B43,C28:C43,2), IF(C59="T-Test Welch",_xlfn.T.TEST($B28:$B43,C28:C43,2,3),""))</f>
        <v>#NAME?</v>
      </c>
      <c r="D60" s="151" t="e">
        <f ca="1">IF(D59="Mann Withney",[1]!MTEST($B28:$B43,D28:D43,2), IF(D59="T-Test Welch",_xlfn.T.TEST($B28:$B43,D28:D43,2,3),""))</f>
        <v>#NAME?</v>
      </c>
      <c r="E60" s="151" t="e">
        <f ca="1">IF(E59="Mann Withney",[1]!MTEST($B28:$B43,E28:E43,2), IF(E59="T-Test Welch",_xlfn.T.TEST($B28:$B43,E28:E43,2,3),""))</f>
        <v>#NAME?</v>
      </c>
      <c r="F60" s="151" t="e">
        <f ca="1">IF(F59="Mann Withney",[1]!MTEST($B28:$B43,F28:F43,2), IF(F59="T-Test Welch",_xlfn.T.TEST($B28:$B43,F28:F43,2,3),""))</f>
        <v>#NAME?</v>
      </c>
      <c r="G60" s="151" t="e">
        <f ca="1">IF(G59="Mann Withney",[1]!MTEST($B28:$B43,G28:G43,2), IF(G59="T-Test Welch",_xlfn.T.TEST($B28:$B43,G28:G43,2,3),""))</f>
        <v>#NAME?</v>
      </c>
      <c r="H60" s="151" t="e">
        <f ca="1">IF(H59="Mann Withney",[1]!MTEST($B28:$B43,H28:H43,2), IF(H59="T-Test Welch",_xlfn.T.TEST($B28:$B43,H28:H43,2,3),""))</f>
        <v>#NAME?</v>
      </c>
      <c r="I60" s="151" t="e">
        <f ca="1">IF(I59="Mann Withney",[1]!MTEST($B28:$B43,I28:I43,2), IF(I59="T-Test Welch",_xlfn.T.TEST($B28:$B43,I28:I43,2,3),""))</f>
        <v>#NAME?</v>
      </c>
      <c r="J60" s="151" t="e">
        <f ca="1">IF(J59="Mann Withney",[1]!MTEST($B28:$B43,J28:J43,2), IF(J59="T-Test Welch",_xlfn.T.TEST($B28:$B43,J28:J43,2,3),""))</f>
        <v>#NAME?</v>
      </c>
      <c r="K60" s="151" t="e">
        <f ca="1">IF(K59="Mann Withney",[1]!MTEST($B28:$B43,K28:K43,2), IF(K59="T-Test Welch",_xlfn.T.TEST($B28:$B43,K28:K43,2,3),""))</f>
        <v>#NAME?</v>
      </c>
      <c r="L60" s="151" t="e">
        <f ca="1">IF(L59="Mann Withney",[1]!MTEST($B28:$B43,L28:L43,2), IF(L59="T-Test Welch",_xlfn.T.TEST($B28:$B43,L28:L43,2,3),""))</f>
        <v>#NAME?</v>
      </c>
      <c r="M60" s="151" t="e">
        <f ca="1">IF(M59="Mann Withney",[1]!MTEST($B28:$B43,M28:M43,2), IF(M59="T-Test Welch",_xlfn.T.TEST($B28:$B43,M28:M43,2,3),""))</f>
        <v>#NAME?</v>
      </c>
      <c r="N60" s="151"/>
      <c r="O60" s="151" t="e">
        <f ca="1">IF(O59="Mann Withney",[1]!MTEST($B28:$B43,O28:O43,2), IF(O59="T-Test Welch",_xlfn.T.TEST($B28:$B43,O28:O43,2,3),""))</f>
        <v>#NAME?</v>
      </c>
      <c r="P60" s="151" t="e">
        <f ca="1">IF(P59="Mann Withney",[1]!MTEST($O28:$O43,P28:P43,2), IF(P59="T-Test Welch",_xlfn.T.TEST($O28:$O43,P28:P43,2,3),""))</f>
        <v>#NAME?</v>
      </c>
      <c r="Q60" s="151" t="e">
        <f ca="1">IF(Q59="Mann Withney",[1]!MTEST($O28:$O43,Q28:Q43,2), IF(Q59="T-Test Welch",_xlfn.T.TEST($O28:$O43,Q28:Q43,2,3),""))</f>
        <v>#NAME?</v>
      </c>
      <c r="R60" s="151" t="e">
        <f ca="1">IF(R59="Mann Withney",[1]!MTEST($O28:$O43,R28:R43,2), IF(R59="T-Test Welch",_xlfn.T.TEST($O28:$O43,R28:R43,2,3),""))</f>
        <v>#NAME?</v>
      </c>
      <c r="S60" s="151" t="e">
        <f ca="1">IF(S59="Mann Withney",[1]!MTEST($O28:$O43,S28:S43,2), IF(S59="T-Test Welch",_xlfn.T.TEST($O28:$O43,S28:S43,2,3),""))</f>
        <v>#NAME?</v>
      </c>
      <c r="T60" s="151" t="e">
        <f ca="1">IF(T59="Mann Withney",[1]!MTEST($O28:$O43,T28:T43,2), IF(T59="T-Test Welch",_xlfn.T.TEST($O28:$O43,T28:T43,2,3),""))</f>
        <v>#NAME?</v>
      </c>
      <c r="U60" s="151" t="e">
        <f ca="1">IF(U59="Mann Withney",[1]!MTEST($O28:$O43,U28:U43,2), IF(U59="T-Test Welch",_xlfn.T.TEST($O28:$O43,U28:U43,2,3),""))</f>
        <v>#NAME?</v>
      </c>
      <c r="V60" s="151" t="e">
        <f ca="1">IF(V59="Mann Withney",[1]!MTEST($O28:$O43,V28:V43,2), IF(V59="T-Test Welch",_xlfn.T.TEST($O28:$O43,V28:V43,2,3),""))</f>
        <v>#NAME?</v>
      </c>
    </row>
    <row r="61" spans="1:22" s="3" customFormat="1" ht="15" thickBot="1" x14ac:dyDescent="0.35">
      <c r="A61" s="62" t="s">
        <v>84</v>
      </c>
      <c r="B61" s="142"/>
      <c r="C61" s="142" t="e">
        <f t="shared" ref="C61:M61" ca="1" si="70">IF(C60&gt;0.05,"NS",IF(C60&gt;0.01,"*",IF(C60&gt;0.001,"**","***")))</f>
        <v>#NAME?</v>
      </c>
      <c r="D61" s="142" t="e">
        <f t="shared" ca="1" si="70"/>
        <v>#NAME?</v>
      </c>
      <c r="E61" s="142" t="e">
        <f t="shared" ca="1" si="70"/>
        <v>#NAME?</v>
      </c>
      <c r="F61" s="142" t="e">
        <f t="shared" ca="1" si="70"/>
        <v>#NAME?</v>
      </c>
      <c r="G61" s="142" t="e">
        <f t="shared" ca="1" si="70"/>
        <v>#NAME?</v>
      </c>
      <c r="H61" s="142" t="e">
        <f t="shared" ca="1" si="70"/>
        <v>#NAME?</v>
      </c>
      <c r="I61" s="142" t="e">
        <f t="shared" ca="1" si="70"/>
        <v>#NAME?</v>
      </c>
      <c r="J61" s="142" t="e">
        <f t="shared" ca="1" si="70"/>
        <v>#NAME?</v>
      </c>
      <c r="K61" s="142" t="e">
        <f t="shared" ca="1" si="70"/>
        <v>#NAME?</v>
      </c>
      <c r="L61" s="142" t="e">
        <f t="shared" ca="1" si="70"/>
        <v>#NAME?</v>
      </c>
      <c r="M61" s="142" t="e">
        <f t="shared" ca="1" si="70"/>
        <v>#NAME?</v>
      </c>
      <c r="N61" s="142"/>
      <c r="O61" s="142" t="e">
        <f ca="1">IF(O60&gt;0.05,"NS",IF(O60&gt;0.01,"*",IF(O60&gt;0.001,"**","***")))</f>
        <v>#NAME?</v>
      </c>
      <c r="P61" s="142" t="e">
        <f ca="1">IF(P60&gt;0.05,"NS",IF(P60&gt;0.01,"*",IF(P60&gt;0.001,"**","***")))</f>
        <v>#NAME?</v>
      </c>
      <c r="Q61" s="142" t="e">
        <f t="shared" ref="Q61" ca="1" si="71">IF(Q60&gt;0.05,"NS",IF(Q60&gt;0.01,"*",IF(Q60&gt;0.001,"**","***")))</f>
        <v>#NAME?</v>
      </c>
      <c r="R61" s="142" t="e">
        <f t="shared" ref="R61" ca="1" si="72">IF(R60&gt;0.05,"NS",IF(R60&gt;0.01,"*",IF(R60&gt;0.001,"**","***")))</f>
        <v>#NAME?</v>
      </c>
      <c r="S61" s="142" t="e">
        <f t="shared" ref="S61" ca="1" si="73">IF(S60&gt;0.05,"NS",IF(S60&gt;0.01,"*",IF(S60&gt;0.001,"**","***")))</f>
        <v>#NAME?</v>
      </c>
      <c r="T61" s="142" t="e">
        <f t="shared" ref="T61" ca="1" si="74">IF(T60&gt;0.05,"NS",IF(T60&gt;0.01,"*",IF(T60&gt;0.001,"**","***")))</f>
        <v>#NAME?</v>
      </c>
      <c r="U61" s="142" t="e">
        <f t="shared" ref="U61" ca="1" si="75">IF(U60&gt;0.05,"NS",IF(U60&gt;0.01,"*",IF(U60&gt;0.001,"**","***")))</f>
        <v>#NAME?</v>
      </c>
      <c r="V61" s="142" t="e">
        <f t="shared" ref="V61" ca="1" si="76">IF(V60&gt;0.05,"NS",IF(V60&gt;0.01,"*",IF(V60&gt;0.001,"**","***")))</f>
        <v>#NAME?</v>
      </c>
    </row>
    <row r="63" spans="1:22" x14ac:dyDescent="0.3">
      <c r="A63" s="2" t="s">
        <v>39</v>
      </c>
    </row>
    <row r="64" spans="1:22" x14ac:dyDescent="0.3">
      <c r="A64" s="1" t="s">
        <v>23</v>
      </c>
      <c r="B64" s="1">
        <f>B46+(3*B47)</f>
        <v>5.1574441441691057E-2</v>
      </c>
    </row>
    <row r="65" spans="1:22" x14ac:dyDescent="0.3">
      <c r="A65" s="1" t="s">
        <v>24</v>
      </c>
      <c r="B65" s="1">
        <f>B46+(10*B47)</f>
        <v>0.13673578021019886</v>
      </c>
    </row>
    <row r="66" spans="1:22" ht="15" thickBot="1" x14ac:dyDescent="0.35"/>
    <row r="67" spans="1:22" s="1" customFormat="1" ht="26.4" thickBot="1" x14ac:dyDescent="0.55000000000000004">
      <c r="A67" s="215" t="s">
        <v>52</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A1521" zoomScale="80" zoomScaleNormal="80" workbookViewId="0">
      <selection activeCell="A1531" sqref="A1531"/>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 spans="1:144" x14ac:dyDescent="0.3">
      <c r="A12" s="1" t="str">
        <f t="shared" si="0"/>
        <v/>
      </c>
      <c r="B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 spans="1:144" x14ac:dyDescent="0.3">
      <c r="A13" s="1" t="str">
        <f t="shared" si="0"/>
        <v/>
      </c>
      <c r="B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 spans="1:144" x14ac:dyDescent="0.3">
      <c r="A14" s="1" t="str">
        <f t="shared" si="0"/>
        <v/>
      </c>
      <c r="B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 spans="1:144" x14ac:dyDescent="0.3">
      <c r="A15" s="1" t="str">
        <f t="shared" si="0"/>
        <v/>
      </c>
      <c r="B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 spans="1:144" x14ac:dyDescent="0.3">
      <c r="A16" s="1" t="str">
        <f t="shared" si="0"/>
        <v/>
      </c>
      <c r="B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 spans="1:2" x14ac:dyDescent="0.3">
      <c r="A17" s="1" t="str">
        <f t="shared" si="0"/>
        <v/>
      </c>
      <c r="B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 spans="1:2" x14ac:dyDescent="0.3">
      <c r="A18" s="1" t="str">
        <f t="shared" si="0"/>
        <v/>
      </c>
      <c r="B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 spans="1:2" x14ac:dyDescent="0.3">
      <c r="A19" s="1" t="str">
        <f t="shared" si="0"/>
        <v/>
      </c>
      <c r="B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 spans="1:2" x14ac:dyDescent="0.3">
      <c r="A20" s="1" t="str">
        <f t="shared" si="0"/>
        <v/>
      </c>
      <c r="B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 spans="1:2" x14ac:dyDescent="0.3">
      <c r="A21" s="1" t="str">
        <f t="shared" si="0"/>
        <v/>
      </c>
      <c r="B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 spans="1:2" x14ac:dyDescent="0.3">
      <c r="A22" s="1" t="str">
        <f t="shared" si="0"/>
        <v/>
      </c>
      <c r="B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 spans="1:2" x14ac:dyDescent="0.3">
      <c r="A23" s="1" t="str">
        <f t="shared" si="0"/>
        <v/>
      </c>
      <c r="B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 spans="1:2" x14ac:dyDescent="0.3">
      <c r="A24" s="1" t="str">
        <f t="shared" si="0"/>
        <v/>
      </c>
      <c r="B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 spans="1:2" x14ac:dyDescent="0.3">
      <c r="A25" s="1" t="str">
        <f t="shared" si="0"/>
        <v/>
      </c>
      <c r="B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 spans="1:2" x14ac:dyDescent="0.3">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 spans="1:2" x14ac:dyDescent="0.3">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 spans="1:2" x14ac:dyDescent="0.3">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 spans="1:2" x14ac:dyDescent="0.3">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 spans="1:2" x14ac:dyDescent="0.3">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 spans="1:2" x14ac:dyDescent="0.3">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 spans="1:2" x14ac:dyDescent="0.3">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 spans="1:2" x14ac:dyDescent="0.3">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 spans="1:2" x14ac:dyDescent="0.3">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 spans="1:2" x14ac:dyDescent="0.3">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 spans="1:2" x14ac:dyDescent="0.3">
      <c r="A36" s="1" t="str">
        <f t="shared" si="0"/>
        <v/>
      </c>
      <c r="B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 spans="1:2" x14ac:dyDescent="0.3">
      <c r="A37" s="1" t="str">
        <f t="shared" si="0"/>
        <v/>
      </c>
      <c r="B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 spans="1:2" x14ac:dyDescent="0.3">
      <c r="A38" s="1" t="str">
        <f t="shared" si="0"/>
        <v/>
      </c>
      <c r="B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 spans="1:2" x14ac:dyDescent="0.3">
      <c r="A39" s="1" t="str">
        <f t="shared" si="0"/>
        <v/>
      </c>
      <c r="B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 spans="1:2" x14ac:dyDescent="0.3">
      <c r="A40" s="1" t="str">
        <f t="shared" si="0"/>
        <v/>
      </c>
      <c r="B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 spans="1:2" x14ac:dyDescent="0.3">
      <c r="A41" s="1" t="str">
        <f t="shared" si="0"/>
        <v/>
      </c>
      <c r="B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 spans="1:2" x14ac:dyDescent="0.3">
      <c r="A42" s="1" t="str">
        <f t="shared" si="0"/>
        <v/>
      </c>
      <c r="B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 spans="1:2" x14ac:dyDescent="0.3">
      <c r="A43" s="1" t="str">
        <f t="shared" si="0"/>
        <v/>
      </c>
      <c r="B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 spans="1:2" x14ac:dyDescent="0.3">
      <c r="A44" s="1" t="str">
        <f t="shared" si="0"/>
        <v/>
      </c>
      <c r="B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 spans="1:2" x14ac:dyDescent="0.3">
      <c r="A45" s="1" t="str">
        <f t="shared" si="0"/>
        <v/>
      </c>
      <c r="B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 spans="1:2" x14ac:dyDescent="0.3">
      <c r="A46" s="1" t="str">
        <f t="shared" si="0"/>
        <v/>
      </c>
      <c r="B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 spans="1:2" x14ac:dyDescent="0.3">
      <c r="A47" s="1" t="str">
        <f t="shared" si="0"/>
        <v/>
      </c>
      <c r="B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 spans="1:2" x14ac:dyDescent="0.3">
      <c r="A48" s="1" t="str">
        <f t="shared" si="0"/>
        <v/>
      </c>
      <c r="B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 spans="1:2" x14ac:dyDescent="0.3">
      <c r="A49" s="1" t="str">
        <f t="shared" si="0"/>
        <v/>
      </c>
      <c r="B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 spans="1:2" x14ac:dyDescent="0.3">
      <c r="A50" s="1" t="str">
        <f t="shared" si="0"/>
        <v/>
      </c>
      <c r="B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 spans="1:2" x14ac:dyDescent="0.3">
      <c r="A51" s="1" t="str">
        <f t="shared" si="0"/>
        <v/>
      </c>
      <c r="B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 spans="1:2" x14ac:dyDescent="0.3">
      <c r="A52" s="1" t="str">
        <f t="shared" si="0"/>
        <v/>
      </c>
      <c r="B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 spans="1:2" x14ac:dyDescent="0.3">
      <c r="A53" s="1" t="str">
        <f t="shared" si="0"/>
        <v/>
      </c>
      <c r="B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 spans="1:2" x14ac:dyDescent="0.3">
      <c r="A54" s="1" t="str">
        <f t="shared" si="0"/>
        <v/>
      </c>
      <c r="B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 spans="1:2" x14ac:dyDescent="0.3">
      <c r="A55" s="1" t="str">
        <f t="shared" si="0"/>
        <v/>
      </c>
      <c r="B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 spans="1:2" x14ac:dyDescent="0.3">
      <c r="A56" s="1" t="str">
        <f t="shared" si="0"/>
        <v/>
      </c>
      <c r="B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 spans="1:2" x14ac:dyDescent="0.3">
      <c r="A57" s="1" t="str">
        <f t="shared" si="0"/>
        <v/>
      </c>
      <c r="B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 spans="1:2" x14ac:dyDescent="0.3">
      <c r="A58" s="1" t="str">
        <f t="shared" si="0"/>
        <v/>
      </c>
      <c r="B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 spans="1:2" x14ac:dyDescent="0.3">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 spans="1:2" x14ac:dyDescent="0.3">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 spans="1:2" x14ac:dyDescent="0.3">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 spans="1:2" x14ac:dyDescent="0.3">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 spans="1:2" x14ac:dyDescent="0.3">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 spans="1:2" x14ac:dyDescent="0.3">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 spans="1:2" x14ac:dyDescent="0.3">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 spans="1:2" x14ac:dyDescent="0.3">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 spans="1:2" x14ac:dyDescent="0.3">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 spans="1:2" x14ac:dyDescent="0.3">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 spans="1:2" x14ac:dyDescent="0.3">
      <c r="A69" s="1" t="str">
        <f t="shared" si="1"/>
        <v/>
      </c>
      <c r="B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 spans="1:2" x14ac:dyDescent="0.3">
      <c r="A70" s="1" t="str">
        <f t="shared" si="1"/>
        <v/>
      </c>
      <c r="B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 spans="1:2" x14ac:dyDescent="0.3">
      <c r="A71" s="1" t="str">
        <f t="shared" si="1"/>
        <v/>
      </c>
      <c r="B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 spans="1:2" x14ac:dyDescent="0.3">
      <c r="A72" s="1" t="str">
        <f t="shared" si="1"/>
        <v/>
      </c>
      <c r="B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 spans="1:2" x14ac:dyDescent="0.3">
      <c r="A73" s="1" t="str">
        <f t="shared" si="1"/>
        <v/>
      </c>
      <c r="B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 spans="1:2" x14ac:dyDescent="0.3">
      <c r="A74" s="1" t="str">
        <f t="shared" si="1"/>
        <v/>
      </c>
      <c r="B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 spans="1:2" x14ac:dyDescent="0.3">
      <c r="A75" s="1" t="str">
        <f t="shared" si="1"/>
        <v/>
      </c>
      <c r="B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 spans="1:2" x14ac:dyDescent="0.3">
      <c r="A76" s="1" t="str">
        <f t="shared" si="1"/>
        <v/>
      </c>
      <c r="B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 spans="1:2" x14ac:dyDescent="0.3">
      <c r="A77" s="1" t="str">
        <f t="shared" si="1"/>
        <v/>
      </c>
      <c r="B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 spans="1:2" x14ac:dyDescent="0.3">
      <c r="A78" s="1" t="str">
        <f t="shared" si="1"/>
        <v/>
      </c>
      <c r="B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 spans="1:2" x14ac:dyDescent="0.3">
      <c r="A79" s="1" t="str">
        <f t="shared" si="1"/>
        <v/>
      </c>
      <c r="B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 spans="1:2" x14ac:dyDescent="0.3">
      <c r="A80" s="1" t="str">
        <f t="shared" si="1"/>
        <v/>
      </c>
      <c r="B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 spans="1:2" x14ac:dyDescent="0.3">
      <c r="A81" s="1" t="str">
        <f t="shared" si="1"/>
        <v/>
      </c>
      <c r="B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 spans="1:2" x14ac:dyDescent="0.3">
      <c r="A82" s="1" t="str">
        <f t="shared" si="1"/>
        <v/>
      </c>
      <c r="B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 spans="1:2" x14ac:dyDescent="0.3">
      <c r="A83" s="1" t="str">
        <f t="shared" si="1"/>
        <v/>
      </c>
      <c r="B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 spans="1:2" x14ac:dyDescent="0.3">
      <c r="A84" s="1" t="str">
        <f t="shared" si="1"/>
        <v/>
      </c>
      <c r="B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 spans="1:2" x14ac:dyDescent="0.3">
      <c r="A85" s="1" t="str">
        <f t="shared" si="1"/>
        <v/>
      </c>
      <c r="B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 spans="1:2" x14ac:dyDescent="0.3">
      <c r="A86" s="1" t="str">
        <f t="shared" si="1"/>
        <v/>
      </c>
      <c r="B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 spans="1:2" x14ac:dyDescent="0.3">
      <c r="A87" s="1" t="str">
        <f t="shared" si="1"/>
        <v/>
      </c>
      <c r="B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 spans="1:2" x14ac:dyDescent="0.3">
      <c r="A88" s="1" t="str">
        <f t="shared" si="1"/>
        <v/>
      </c>
      <c r="B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 spans="1:2" x14ac:dyDescent="0.3">
      <c r="A89" s="1" t="str">
        <f t="shared" si="1"/>
        <v/>
      </c>
      <c r="B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 spans="1:2" x14ac:dyDescent="0.3">
      <c r="A90" s="1" t="str">
        <f t="shared" si="1"/>
        <v/>
      </c>
      <c r="B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 spans="1:2" x14ac:dyDescent="0.3">
      <c r="A91" s="1" t="str">
        <f t="shared" si="1"/>
        <v/>
      </c>
      <c r="B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 spans="1:2" x14ac:dyDescent="0.3">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 spans="1:2" x14ac:dyDescent="0.3">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 spans="1:2" x14ac:dyDescent="0.3">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 spans="1:2" x14ac:dyDescent="0.3">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 spans="1:2" x14ac:dyDescent="0.3">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 spans="1:2" x14ac:dyDescent="0.3">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 spans="1:2" x14ac:dyDescent="0.3">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 spans="1:2" x14ac:dyDescent="0.3">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 spans="1:2" x14ac:dyDescent="0.3">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 spans="1:2" x14ac:dyDescent="0.3">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 spans="1:2" x14ac:dyDescent="0.3">
      <c r="A102" s="1" t="str">
        <f t="shared" si="1"/>
        <v/>
      </c>
      <c r="B1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 spans="1:2" x14ac:dyDescent="0.3">
      <c r="A103" s="1" t="str">
        <f t="shared" si="1"/>
        <v/>
      </c>
      <c r="B1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 spans="1:2" x14ac:dyDescent="0.3">
      <c r="A104" s="1" t="str">
        <f t="shared" si="1"/>
        <v/>
      </c>
      <c r="B1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 spans="1:2" x14ac:dyDescent="0.3">
      <c r="A105" s="1" t="str">
        <f t="shared" si="1"/>
        <v/>
      </c>
      <c r="B1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 spans="1:2" x14ac:dyDescent="0.3">
      <c r="A106" s="1" t="str">
        <f t="shared" si="1"/>
        <v/>
      </c>
      <c r="B1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 spans="1:2" x14ac:dyDescent="0.3">
      <c r="A107" s="1" t="str">
        <f t="shared" si="1"/>
        <v/>
      </c>
      <c r="B1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 spans="1:2" x14ac:dyDescent="0.3">
      <c r="A108" s="1" t="str">
        <f t="shared" si="1"/>
        <v/>
      </c>
      <c r="B1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 spans="1:2" x14ac:dyDescent="0.3">
      <c r="A109" s="1" t="str">
        <f t="shared" si="1"/>
        <v/>
      </c>
      <c r="B1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 spans="1:2" x14ac:dyDescent="0.3">
      <c r="A110" s="1" t="str">
        <f t="shared" si="1"/>
        <v/>
      </c>
      <c r="B1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 spans="1:2" x14ac:dyDescent="0.3">
      <c r="A111" s="1" t="str">
        <f t="shared" si="1"/>
        <v/>
      </c>
      <c r="B1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 spans="1:2" x14ac:dyDescent="0.3">
      <c r="A112" s="1" t="str">
        <f t="shared" si="1"/>
        <v/>
      </c>
      <c r="B1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 spans="1:2" x14ac:dyDescent="0.3">
      <c r="A113" s="1" t="str">
        <f t="shared" si="1"/>
        <v/>
      </c>
      <c r="B1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 spans="1:2" x14ac:dyDescent="0.3">
      <c r="A114" s="1" t="str">
        <f t="shared" si="1"/>
        <v/>
      </c>
      <c r="B1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 spans="1:2" x14ac:dyDescent="0.3">
      <c r="A115" s="1" t="str">
        <f t="shared" si="1"/>
        <v/>
      </c>
      <c r="B1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 spans="1:2" x14ac:dyDescent="0.3">
      <c r="A116" s="1" t="str">
        <f t="shared" si="1"/>
        <v/>
      </c>
      <c r="B1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 spans="1:2" x14ac:dyDescent="0.3">
      <c r="A117" s="1" t="str">
        <f t="shared" si="1"/>
        <v/>
      </c>
      <c r="B1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 spans="1:2" x14ac:dyDescent="0.3">
      <c r="A118" s="1" t="str">
        <f t="shared" si="1"/>
        <v/>
      </c>
      <c r="B1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 spans="1:2" x14ac:dyDescent="0.3">
      <c r="A119" s="1" t="str">
        <f t="shared" si="1"/>
        <v/>
      </c>
      <c r="B1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 spans="1:2" x14ac:dyDescent="0.3">
      <c r="A120" s="1" t="str">
        <f t="shared" si="1"/>
        <v/>
      </c>
      <c r="B1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 spans="1:2" x14ac:dyDescent="0.3">
      <c r="A121" s="1" t="str">
        <f t="shared" si="1"/>
        <v/>
      </c>
      <c r="B1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 spans="1:2" x14ac:dyDescent="0.3">
      <c r="A122" s="1" t="str">
        <f t="shared" si="1"/>
        <v/>
      </c>
      <c r="B1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 spans="1:2" x14ac:dyDescent="0.3">
      <c r="A123" s="1" t="str">
        <f t="shared" si="1"/>
        <v/>
      </c>
      <c r="B1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 spans="1:2" x14ac:dyDescent="0.3">
      <c r="A124" s="1" t="str">
        <f t="shared" si="1"/>
        <v/>
      </c>
      <c r="B1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 spans="1:2" x14ac:dyDescent="0.3">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 spans="1:2" x14ac:dyDescent="0.3">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 spans="1:2" x14ac:dyDescent="0.3">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 spans="1:2" x14ac:dyDescent="0.3">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 spans="1:2" x14ac:dyDescent="0.3">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 spans="1:2" x14ac:dyDescent="0.3">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 spans="1:2" x14ac:dyDescent="0.3">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 spans="1:2" x14ac:dyDescent="0.3">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 spans="1:2" x14ac:dyDescent="0.3">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 spans="1:2" x14ac:dyDescent="0.3">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 spans="1:2" x14ac:dyDescent="0.3">
      <c r="A135" s="1" t="str">
        <f t="shared" si="2"/>
        <v/>
      </c>
      <c r="B1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 spans="1:2" x14ac:dyDescent="0.3">
      <c r="A136" s="1" t="str">
        <f t="shared" si="2"/>
        <v/>
      </c>
      <c r="B1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 spans="1:2" x14ac:dyDescent="0.3">
      <c r="A137" s="1" t="str">
        <f t="shared" si="2"/>
        <v/>
      </c>
      <c r="B1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 spans="1:2" x14ac:dyDescent="0.3">
      <c r="A138" s="1" t="str">
        <f t="shared" si="2"/>
        <v/>
      </c>
      <c r="B1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 spans="1:2" x14ac:dyDescent="0.3">
      <c r="A139" s="1" t="str">
        <f t="shared" si="2"/>
        <v/>
      </c>
      <c r="B1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 spans="1:2" x14ac:dyDescent="0.3">
      <c r="A140" s="1" t="str">
        <f t="shared" si="2"/>
        <v/>
      </c>
      <c r="B1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 spans="1:2" x14ac:dyDescent="0.3">
      <c r="A141" s="1" t="str">
        <f t="shared" si="2"/>
        <v/>
      </c>
      <c r="B1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 spans="1:2" x14ac:dyDescent="0.3">
      <c r="A142" s="1" t="str">
        <f t="shared" si="2"/>
        <v/>
      </c>
      <c r="B1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 spans="1:2" x14ac:dyDescent="0.3">
      <c r="A143" s="1" t="str">
        <f t="shared" si="2"/>
        <v/>
      </c>
      <c r="B1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 spans="1:2" x14ac:dyDescent="0.3">
      <c r="A144" s="1" t="str">
        <f t="shared" si="2"/>
        <v/>
      </c>
      <c r="B1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 spans="1:2" x14ac:dyDescent="0.3">
      <c r="A145" s="1" t="str">
        <f t="shared" si="2"/>
        <v/>
      </c>
      <c r="B1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 spans="1:2" x14ac:dyDescent="0.3">
      <c r="A146" s="1" t="str">
        <f t="shared" si="2"/>
        <v/>
      </c>
      <c r="B1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 spans="1:2" x14ac:dyDescent="0.3">
      <c r="A147" s="1" t="str">
        <f t="shared" si="2"/>
        <v/>
      </c>
      <c r="B1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 spans="1:2" x14ac:dyDescent="0.3">
      <c r="A148" s="1" t="str">
        <f t="shared" si="2"/>
        <v/>
      </c>
      <c r="B1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 spans="1:2" x14ac:dyDescent="0.3">
      <c r="A149" s="1" t="str">
        <f t="shared" si="2"/>
        <v/>
      </c>
      <c r="B1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 spans="1:2" x14ac:dyDescent="0.3">
      <c r="A150" s="1" t="str">
        <f t="shared" si="2"/>
        <v/>
      </c>
      <c r="B1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 spans="1:2" x14ac:dyDescent="0.3">
      <c r="A151" s="1" t="str">
        <f t="shared" si="2"/>
        <v/>
      </c>
      <c r="B1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 spans="1:2" x14ac:dyDescent="0.3">
      <c r="A152" s="1" t="str">
        <f t="shared" si="2"/>
        <v/>
      </c>
      <c r="B1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 spans="1:2" x14ac:dyDescent="0.3">
      <c r="A153" s="1" t="str">
        <f t="shared" si="2"/>
        <v/>
      </c>
      <c r="B1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4" spans="1:2" x14ac:dyDescent="0.3">
      <c r="A154" s="1" t="str">
        <f t="shared" si="2"/>
        <v/>
      </c>
      <c r="B1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5" spans="1:2" x14ac:dyDescent="0.3">
      <c r="A155" s="1" t="str">
        <f t="shared" si="2"/>
        <v/>
      </c>
      <c r="B1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6" spans="1:2" x14ac:dyDescent="0.3">
      <c r="A156" s="1" t="str">
        <f t="shared" si="2"/>
        <v/>
      </c>
      <c r="B1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7" spans="1:2" x14ac:dyDescent="0.3">
      <c r="A157" s="1" t="str">
        <f t="shared" si="2"/>
        <v/>
      </c>
      <c r="B1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8" spans="1:2" x14ac:dyDescent="0.3">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9" spans="1:2" x14ac:dyDescent="0.3">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0" spans="1:2" x14ac:dyDescent="0.3">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1" spans="1:2" x14ac:dyDescent="0.3">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2" spans="1:2" x14ac:dyDescent="0.3">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3" spans="1:2" x14ac:dyDescent="0.3">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4" spans="1:2" x14ac:dyDescent="0.3">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5" spans="1:2" x14ac:dyDescent="0.3">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6" spans="1:2" x14ac:dyDescent="0.3">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7" spans="1:2" x14ac:dyDescent="0.3">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8" spans="1:2" x14ac:dyDescent="0.3">
      <c r="A168" s="1" t="str">
        <f t="shared" si="2"/>
        <v/>
      </c>
      <c r="B1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9" spans="1:2" x14ac:dyDescent="0.3">
      <c r="A169" s="1" t="str">
        <f t="shared" si="2"/>
        <v/>
      </c>
      <c r="B1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0" spans="1:2" x14ac:dyDescent="0.3">
      <c r="A170" s="1" t="str">
        <f t="shared" si="2"/>
        <v/>
      </c>
      <c r="B1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1" spans="1:2" x14ac:dyDescent="0.3">
      <c r="A171" s="1" t="str">
        <f t="shared" si="2"/>
        <v/>
      </c>
      <c r="B1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2" spans="1:2" x14ac:dyDescent="0.3">
      <c r="A172" s="1" t="str">
        <f t="shared" si="2"/>
        <v/>
      </c>
      <c r="B1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3" spans="1:2" x14ac:dyDescent="0.3">
      <c r="A173" s="1" t="str">
        <f t="shared" si="2"/>
        <v/>
      </c>
      <c r="B1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4" spans="1:2" x14ac:dyDescent="0.3">
      <c r="A174" s="1" t="str">
        <f t="shared" si="2"/>
        <v/>
      </c>
      <c r="B1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5" spans="1:2" x14ac:dyDescent="0.3">
      <c r="A175" s="1" t="str">
        <f t="shared" si="2"/>
        <v/>
      </c>
      <c r="B1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6" spans="1:2" x14ac:dyDescent="0.3">
      <c r="A176" s="1" t="str">
        <f t="shared" si="2"/>
        <v/>
      </c>
      <c r="B1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7" spans="1:2" x14ac:dyDescent="0.3">
      <c r="A177" s="1" t="str">
        <f t="shared" si="2"/>
        <v/>
      </c>
      <c r="B1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8" spans="1:2" x14ac:dyDescent="0.3">
      <c r="A178" s="1" t="str">
        <f t="shared" si="2"/>
        <v/>
      </c>
      <c r="B1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9" spans="1:2" x14ac:dyDescent="0.3">
      <c r="A179" s="1" t="str">
        <f t="shared" si="2"/>
        <v/>
      </c>
      <c r="B1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0" spans="1:2" x14ac:dyDescent="0.3">
      <c r="A180" s="1" t="str">
        <f t="shared" si="2"/>
        <v/>
      </c>
      <c r="B1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1" spans="1:2" x14ac:dyDescent="0.3">
      <c r="A181" s="1" t="str">
        <f t="shared" si="2"/>
        <v/>
      </c>
      <c r="B1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2" spans="1:2" x14ac:dyDescent="0.3">
      <c r="A182" s="1" t="str">
        <f t="shared" si="2"/>
        <v/>
      </c>
      <c r="B1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3" spans="1:2" x14ac:dyDescent="0.3">
      <c r="A183" s="1" t="str">
        <f t="shared" si="2"/>
        <v/>
      </c>
      <c r="B1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4" spans="1:2" x14ac:dyDescent="0.3">
      <c r="A184" s="1" t="str">
        <f t="shared" si="2"/>
        <v/>
      </c>
      <c r="B1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5" spans="1:2" x14ac:dyDescent="0.3">
      <c r="A185" s="1" t="str">
        <f t="shared" si="2"/>
        <v/>
      </c>
      <c r="B1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6" spans="1:2" x14ac:dyDescent="0.3">
      <c r="A186" s="1" t="str">
        <f t="shared" si="2"/>
        <v/>
      </c>
      <c r="B1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7" spans="1:2" x14ac:dyDescent="0.3">
      <c r="A187" s="1" t="str">
        <f t="shared" si="2"/>
        <v/>
      </c>
      <c r="B1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8" spans="1:2" x14ac:dyDescent="0.3">
      <c r="A188" s="1" t="str">
        <f t="shared" si="2"/>
        <v/>
      </c>
      <c r="B1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9" spans="1:2" x14ac:dyDescent="0.3">
      <c r="A189" s="1" t="str">
        <f t="shared" si="2"/>
        <v/>
      </c>
      <c r="B1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0" spans="1:2" x14ac:dyDescent="0.3">
      <c r="A190" s="1" t="str">
        <f t="shared" si="2"/>
        <v/>
      </c>
      <c r="B1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1" spans="1:2" x14ac:dyDescent="0.3">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2" spans="1:2" x14ac:dyDescent="0.3">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3" spans="1:2" x14ac:dyDescent="0.3">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4" spans="1:2" x14ac:dyDescent="0.3">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5" spans="1:2" x14ac:dyDescent="0.3">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6" spans="1:2" x14ac:dyDescent="0.3">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7" spans="1:2" x14ac:dyDescent="0.3">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8" spans="1:2" x14ac:dyDescent="0.3">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9" spans="1:2" x14ac:dyDescent="0.3">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0" spans="1:2" x14ac:dyDescent="0.3">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1" spans="1:2" x14ac:dyDescent="0.3">
      <c r="A201" s="1" t="str">
        <f t="shared" si="3"/>
        <v/>
      </c>
      <c r="B2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2" spans="1:2" x14ac:dyDescent="0.3">
      <c r="A202" s="1" t="str">
        <f t="shared" si="3"/>
        <v/>
      </c>
      <c r="B2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3" spans="1:2" x14ac:dyDescent="0.3">
      <c r="A203" s="1" t="str">
        <f t="shared" si="3"/>
        <v/>
      </c>
      <c r="B2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4" spans="1:2" x14ac:dyDescent="0.3">
      <c r="A204" s="1" t="str">
        <f t="shared" si="3"/>
        <v/>
      </c>
      <c r="B2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5" spans="1:2" x14ac:dyDescent="0.3">
      <c r="A205" s="1" t="str">
        <f t="shared" si="3"/>
        <v/>
      </c>
      <c r="B2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6" spans="1:2" x14ac:dyDescent="0.3">
      <c r="A206" s="1" t="str">
        <f t="shared" si="3"/>
        <v/>
      </c>
      <c r="B2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7" spans="1:2" x14ac:dyDescent="0.3">
      <c r="A207" s="1" t="str">
        <f t="shared" si="3"/>
        <v/>
      </c>
      <c r="B2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8" spans="1:2" x14ac:dyDescent="0.3">
      <c r="A208" s="1" t="str">
        <f t="shared" si="3"/>
        <v/>
      </c>
      <c r="B2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9" spans="1:2" x14ac:dyDescent="0.3">
      <c r="A209" s="1" t="str">
        <f t="shared" si="3"/>
        <v/>
      </c>
      <c r="B2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0" spans="1:2" x14ac:dyDescent="0.3">
      <c r="A210" s="1" t="str">
        <f t="shared" si="3"/>
        <v/>
      </c>
      <c r="B2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1" spans="1:2" x14ac:dyDescent="0.3">
      <c r="A211" s="1" t="str">
        <f t="shared" si="3"/>
        <v/>
      </c>
      <c r="B2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2" spans="1:2" x14ac:dyDescent="0.3">
      <c r="A212" s="1" t="str">
        <f t="shared" si="3"/>
        <v/>
      </c>
      <c r="B2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3" spans="1:2" x14ac:dyDescent="0.3">
      <c r="A213" s="1" t="str">
        <f t="shared" si="3"/>
        <v/>
      </c>
      <c r="B2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4" spans="1:2" x14ac:dyDescent="0.3">
      <c r="A214" s="1" t="str">
        <f t="shared" si="3"/>
        <v/>
      </c>
      <c r="B2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5" spans="1:2" x14ac:dyDescent="0.3">
      <c r="A215" s="1" t="str">
        <f t="shared" si="3"/>
        <v/>
      </c>
      <c r="B2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6" spans="1:2" x14ac:dyDescent="0.3">
      <c r="A216" s="1" t="str">
        <f t="shared" si="3"/>
        <v/>
      </c>
      <c r="B2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7" spans="1:2" x14ac:dyDescent="0.3">
      <c r="A217" s="1" t="str">
        <f t="shared" si="3"/>
        <v/>
      </c>
      <c r="B2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8" spans="1:2" x14ac:dyDescent="0.3">
      <c r="A218" s="1" t="str">
        <f t="shared" si="3"/>
        <v/>
      </c>
      <c r="B2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9" spans="1:2" x14ac:dyDescent="0.3">
      <c r="A219" s="1" t="str">
        <f t="shared" si="3"/>
        <v/>
      </c>
      <c r="B2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0" spans="1:2" x14ac:dyDescent="0.3">
      <c r="A220" s="1" t="str">
        <f t="shared" si="3"/>
        <v/>
      </c>
      <c r="B2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1" spans="1:2" x14ac:dyDescent="0.3">
      <c r="A221" s="1" t="str">
        <f t="shared" si="3"/>
        <v/>
      </c>
      <c r="B2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2" spans="1:2" x14ac:dyDescent="0.3">
      <c r="A222" s="1" t="str">
        <f t="shared" si="3"/>
        <v/>
      </c>
      <c r="B2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3" spans="1:2" x14ac:dyDescent="0.3">
      <c r="A223" s="1" t="str">
        <f t="shared" si="3"/>
        <v/>
      </c>
      <c r="B2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4" spans="1:2" x14ac:dyDescent="0.3">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5" spans="1:2" x14ac:dyDescent="0.3">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6" spans="1:2" x14ac:dyDescent="0.3">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7" spans="1:2" x14ac:dyDescent="0.3">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8" spans="1:2" x14ac:dyDescent="0.3">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9" spans="1:2" x14ac:dyDescent="0.3">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0" spans="1:2" x14ac:dyDescent="0.3">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1" spans="1:2" x14ac:dyDescent="0.3">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2" spans="1:2" x14ac:dyDescent="0.3">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3" spans="1:2" x14ac:dyDescent="0.3">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4" spans="1:2" x14ac:dyDescent="0.3">
      <c r="A234" s="1" t="str">
        <f t="shared" si="3"/>
        <v/>
      </c>
      <c r="B2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5" spans="1:2" x14ac:dyDescent="0.3">
      <c r="A235" s="1" t="str">
        <f t="shared" si="3"/>
        <v/>
      </c>
      <c r="B2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6" spans="1:2" x14ac:dyDescent="0.3">
      <c r="A236" s="1" t="str">
        <f t="shared" si="3"/>
        <v/>
      </c>
      <c r="B2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7" spans="1:2" x14ac:dyDescent="0.3">
      <c r="A237" s="1" t="str">
        <f t="shared" si="3"/>
        <v/>
      </c>
      <c r="B2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8" spans="1:2" x14ac:dyDescent="0.3">
      <c r="A238" s="1" t="str">
        <f t="shared" si="3"/>
        <v/>
      </c>
      <c r="B2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9" spans="1:2" x14ac:dyDescent="0.3">
      <c r="A239" s="1" t="str">
        <f t="shared" si="3"/>
        <v/>
      </c>
      <c r="B2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0" spans="1:2" x14ac:dyDescent="0.3">
      <c r="A240" s="1" t="str">
        <f t="shared" si="3"/>
        <v/>
      </c>
      <c r="B2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1" spans="1:2" x14ac:dyDescent="0.3">
      <c r="A241" s="1" t="str">
        <f t="shared" si="3"/>
        <v/>
      </c>
      <c r="B2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2" spans="1:2" x14ac:dyDescent="0.3">
      <c r="A242" s="1" t="str">
        <f t="shared" si="3"/>
        <v/>
      </c>
      <c r="B2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3" spans="1:2" x14ac:dyDescent="0.3">
      <c r="A243" s="1" t="str">
        <f t="shared" si="3"/>
        <v/>
      </c>
      <c r="B2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4" spans="1:2" x14ac:dyDescent="0.3">
      <c r="A244" s="1" t="str">
        <f t="shared" si="3"/>
        <v/>
      </c>
      <c r="B2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5" spans="1:2" x14ac:dyDescent="0.3">
      <c r="A245" s="1" t="str">
        <f t="shared" si="3"/>
        <v/>
      </c>
      <c r="B2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6" spans="1:2" x14ac:dyDescent="0.3">
      <c r="A246" s="1" t="str">
        <f t="shared" si="3"/>
        <v/>
      </c>
      <c r="B2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7" spans="1:2" x14ac:dyDescent="0.3">
      <c r="A247" s="1" t="str">
        <f t="shared" si="3"/>
        <v/>
      </c>
      <c r="B2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8" spans="1:2" x14ac:dyDescent="0.3">
      <c r="A248" s="1" t="str">
        <f t="shared" si="3"/>
        <v/>
      </c>
      <c r="B2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9" spans="1:2" x14ac:dyDescent="0.3">
      <c r="A249" s="1" t="str">
        <f t="shared" si="3"/>
        <v/>
      </c>
      <c r="B2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0" spans="1:2" x14ac:dyDescent="0.3">
      <c r="A250" s="1" t="str">
        <f t="shared" si="3"/>
        <v/>
      </c>
      <c r="B2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1" spans="1:2" x14ac:dyDescent="0.3">
      <c r="A251" s="1" t="str">
        <f t="shared" si="3"/>
        <v/>
      </c>
      <c r="B2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2" spans="1:2" x14ac:dyDescent="0.3">
      <c r="A252" s="1" t="str">
        <f t="shared" si="3"/>
        <v/>
      </c>
      <c r="B2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3" spans="1:2" x14ac:dyDescent="0.3">
      <c r="A253" s="1" t="str">
        <f t="shared" si="3"/>
        <v/>
      </c>
      <c r="B2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4" spans="1:2" x14ac:dyDescent="0.3">
      <c r="A254" s="1" t="str">
        <f t="shared" si="3"/>
        <v/>
      </c>
      <c r="B2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5" spans="1:2" x14ac:dyDescent="0.3">
      <c r="A255" s="1" t="str">
        <f t="shared" si="3"/>
        <v/>
      </c>
      <c r="B2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6" spans="1:2" x14ac:dyDescent="0.3">
      <c r="A256" s="1" t="str">
        <f t="shared" si="3"/>
        <v/>
      </c>
      <c r="B2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7" spans="1:2" x14ac:dyDescent="0.3">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8" spans="1:2" x14ac:dyDescent="0.3">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9" spans="1:2" x14ac:dyDescent="0.3">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0" spans="1:2" x14ac:dyDescent="0.3">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1" spans="1:2" x14ac:dyDescent="0.3">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2" spans="1:2" x14ac:dyDescent="0.3">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3" spans="1:2" x14ac:dyDescent="0.3">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4" spans="1:2" x14ac:dyDescent="0.3">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5" spans="1:2" x14ac:dyDescent="0.3">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6" spans="1:2" x14ac:dyDescent="0.3">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7" spans="1:2" x14ac:dyDescent="0.3">
      <c r="A267" s="1" t="str">
        <f t="shared" si="4"/>
        <v/>
      </c>
      <c r="B2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8" spans="1:2" x14ac:dyDescent="0.3">
      <c r="A268" s="1" t="str">
        <f t="shared" si="4"/>
        <v/>
      </c>
      <c r="B2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9" spans="1:2" x14ac:dyDescent="0.3">
      <c r="A269" s="1" t="str">
        <f t="shared" si="4"/>
        <v/>
      </c>
      <c r="B2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0" spans="1:2" x14ac:dyDescent="0.3">
      <c r="A270" s="1" t="str">
        <f t="shared" si="4"/>
        <v/>
      </c>
      <c r="B2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1" spans="1:2" x14ac:dyDescent="0.3">
      <c r="A271" s="1" t="str">
        <f t="shared" si="4"/>
        <v/>
      </c>
      <c r="B2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2" spans="1:2" x14ac:dyDescent="0.3">
      <c r="A272" s="1" t="str">
        <f t="shared" si="4"/>
        <v/>
      </c>
      <c r="B2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3" spans="1:2" x14ac:dyDescent="0.3">
      <c r="A273" s="1" t="str">
        <f t="shared" si="4"/>
        <v/>
      </c>
      <c r="B2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4" spans="1:2" x14ac:dyDescent="0.3">
      <c r="A274" s="1" t="str">
        <f t="shared" si="4"/>
        <v/>
      </c>
      <c r="B2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5" spans="1:2" x14ac:dyDescent="0.3">
      <c r="A275" s="1" t="str">
        <f t="shared" si="4"/>
        <v/>
      </c>
      <c r="B2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6" spans="1:2" x14ac:dyDescent="0.3">
      <c r="A276" s="1" t="str">
        <f t="shared" si="4"/>
        <v/>
      </c>
      <c r="B2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7" spans="1:2" x14ac:dyDescent="0.3">
      <c r="A277" s="1" t="str">
        <f t="shared" si="4"/>
        <v/>
      </c>
      <c r="B2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8" spans="1:2" x14ac:dyDescent="0.3">
      <c r="A278" s="1" t="str">
        <f t="shared" si="4"/>
        <v/>
      </c>
      <c r="B2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9" spans="1:2" x14ac:dyDescent="0.3">
      <c r="A279" s="1" t="str">
        <f t="shared" si="4"/>
        <v/>
      </c>
      <c r="B2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0" spans="1:2" x14ac:dyDescent="0.3">
      <c r="A280" s="1" t="str">
        <f t="shared" si="4"/>
        <v/>
      </c>
      <c r="B2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1" spans="1:2" x14ac:dyDescent="0.3">
      <c r="A281" s="1" t="str">
        <f t="shared" si="4"/>
        <v/>
      </c>
      <c r="B2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2" spans="1:2" x14ac:dyDescent="0.3">
      <c r="A282" s="1" t="str">
        <f t="shared" si="4"/>
        <v/>
      </c>
      <c r="B2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3" spans="1:2" x14ac:dyDescent="0.3">
      <c r="A283" s="1" t="str">
        <f t="shared" si="4"/>
        <v/>
      </c>
      <c r="B2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4" spans="1:2" x14ac:dyDescent="0.3">
      <c r="A284" s="1" t="str">
        <f t="shared" si="4"/>
        <v/>
      </c>
      <c r="B2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5" spans="1:2" x14ac:dyDescent="0.3">
      <c r="A285" s="1" t="str">
        <f t="shared" si="4"/>
        <v/>
      </c>
      <c r="B2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6" spans="1:2" x14ac:dyDescent="0.3">
      <c r="A286" s="1" t="str">
        <f t="shared" si="4"/>
        <v/>
      </c>
      <c r="B2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7" spans="1:2" x14ac:dyDescent="0.3">
      <c r="A287" s="1" t="str">
        <f t="shared" si="4"/>
        <v/>
      </c>
      <c r="B2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8" spans="1:2" x14ac:dyDescent="0.3">
      <c r="A288" s="1" t="str">
        <f t="shared" si="4"/>
        <v/>
      </c>
      <c r="B2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9" spans="1:2" x14ac:dyDescent="0.3">
      <c r="A289" s="1" t="str">
        <f t="shared" si="4"/>
        <v/>
      </c>
      <c r="B2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0" spans="1:2" x14ac:dyDescent="0.3">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1" spans="1:2" x14ac:dyDescent="0.3">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2" spans="1:2" x14ac:dyDescent="0.3">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3" spans="1:2" x14ac:dyDescent="0.3">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4" spans="1:2" x14ac:dyDescent="0.3">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5" spans="1:2" x14ac:dyDescent="0.3">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6" spans="1:2" x14ac:dyDescent="0.3">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7" spans="1:2" x14ac:dyDescent="0.3">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8" spans="1:2" x14ac:dyDescent="0.3">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9" spans="1:2" x14ac:dyDescent="0.3">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0" spans="1:2" x14ac:dyDescent="0.3">
      <c r="A300" s="1" t="str">
        <f t="shared" si="4"/>
        <v/>
      </c>
      <c r="B3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1" spans="1:2" x14ac:dyDescent="0.3">
      <c r="A301" s="1" t="str">
        <f t="shared" si="4"/>
        <v/>
      </c>
      <c r="B3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2" spans="1:2" x14ac:dyDescent="0.3">
      <c r="A302" s="1" t="str">
        <f t="shared" si="4"/>
        <v/>
      </c>
      <c r="B3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3" spans="1:2" x14ac:dyDescent="0.3">
      <c r="A303" s="1" t="str">
        <f t="shared" si="4"/>
        <v/>
      </c>
      <c r="B3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4" spans="1:2" x14ac:dyDescent="0.3">
      <c r="A304" s="1" t="str">
        <f t="shared" si="4"/>
        <v/>
      </c>
      <c r="B3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5" spans="1:2" x14ac:dyDescent="0.3">
      <c r="A305" s="1" t="str">
        <f t="shared" si="4"/>
        <v/>
      </c>
      <c r="B3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6" spans="1:2" x14ac:dyDescent="0.3">
      <c r="A306" s="1" t="str">
        <f t="shared" si="4"/>
        <v/>
      </c>
      <c r="B3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7" spans="1:2" x14ac:dyDescent="0.3">
      <c r="A307" s="1" t="str">
        <f t="shared" si="4"/>
        <v/>
      </c>
      <c r="B3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8" spans="1:2" x14ac:dyDescent="0.3">
      <c r="A308" s="1" t="str">
        <f t="shared" si="4"/>
        <v/>
      </c>
      <c r="B3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9" spans="1:2" x14ac:dyDescent="0.3">
      <c r="A309" s="1" t="str">
        <f t="shared" si="4"/>
        <v/>
      </c>
      <c r="B3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0" spans="1:2" x14ac:dyDescent="0.3">
      <c r="A310" s="1" t="str">
        <f t="shared" si="4"/>
        <v/>
      </c>
      <c r="B3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1" spans="1:2" x14ac:dyDescent="0.3">
      <c r="A311" s="1" t="str">
        <f t="shared" si="4"/>
        <v/>
      </c>
      <c r="B3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2" spans="1:2" x14ac:dyDescent="0.3">
      <c r="A312" s="1" t="str">
        <f t="shared" si="4"/>
        <v/>
      </c>
      <c r="B3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3" spans="1:2" x14ac:dyDescent="0.3">
      <c r="A313" s="1" t="str">
        <f t="shared" si="4"/>
        <v/>
      </c>
      <c r="B3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4" spans="1:2" x14ac:dyDescent="0.3">
      <c r="A314" s="1" t="str">
        <f t="shared" si="4"/>
        <v/>
      </c>
      <c r="B3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5" spans="1:2" x14ac:dyDescent="0.3">
      <c r="A315" s="1" t="str">
        <f t="shared" si="4"/>
        <v/>
      </c>
      <c r="B3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6" spans="1:2" x14ac:dyDescent="0.3">
      <c r="A316" s="1" t="str">
        <f t="shared" si="4"/>
        <v/>
      </c>
      <c r="B3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7" spans="1:2" x14ac:dyDescent="0.3">
      <c r="A317" s="1" t="str">
        <f t="shared" si="4"/>
        <v/>
      </c>
      <c r="B3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8" spans="1:2" x14ac:dyDescent="0.3">
      <c r="A318" s="1" t="str">
        <f t="shared" si="4"/>
        <v/>
      </c>
      <c r="B3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9" spans="1:2" x14ac:dyDescent="0.3">
      <c r="A319" s="1" t="str">
        <f t="shared" si="4"/>
        <v/>
      </c>
      <c r="B3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0" spans="1:2" x14ac:dyDescent="0.3">
      <c r="A320" s="1" t="str">
        <f t="shared" si="4"/>
        <v/>
      </c>
      <c r="B3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1" spans="1:2" x14ac:dyDescent="0.3">
      <c r="A321" s="1" t="str">
        <f t="shared" si="4"/>
        <v/>
      </c>
      <c r="B3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2" spans="1:2" x14ac:dyDescent="0.3">
      <c r="A322" s="1" t="str">
        <f t="shared" ref="A322:A385" si="5">IFERROR(LEFT(RIGHT(C322,LEN(C322)-SEARCH("@",C322)),SEARCH("/",RIGHT(C322,LEN(C322)-SEARCH("@",C322)-1))),"")</f>
        <v/>
      </c>
      <c r="B3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3" spans="1:2" x14ac:dyDescent="0.3">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4" spans="1:2" x14ac:dyDescent="0.3">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5" spans="1:2" x14ac:dyDescent="0.3">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6" spans="1:2" x14ac:dyDescent="0.3">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7" spans="1:2" x14ac:dyDescent="0.3">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8" spans="1:2" x14ac:dyDescent="0.3">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9" spans="1:2" x14ac:dyDescent="0.3">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0" spans="1:2" x14ac:dyDescent="0.3">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1" spans="1:2" x14ac:dyDescent="0.3">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2" spans="1:2" x14ac:dyDescent="0.3">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3" spans="1:2" x14ac:dyDescent="0.3">
      <c r="A333" s="1" t="str">
        <f t="shared" si="5"/>
        <v/>
      </c>
      <c r="B3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4" spans="1:2" x14ac:dyDescent="0.3">
      <c r="A334" s="1" t="str">
        <f t="shared" si="5"/>
        <v/>
      </c>
      <c r="B3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5" spans="1:2" x14ac:dyDescent="0.3">
      <c r="A335" s="1" t="str">
        <f t="shared" si="5"/>
        <v/>
      </c>
      <c r="B3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6" spans="1:2" x14ac:dyDescent="0.3">
      <c r="A336" s="1" t="str">
        <f t="shared" si="5"/>
        <v/>
      </c>
      <c r="B3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7" spans="1:2" x14ac:dyDescent="0.3">
      <c r="A337" s="1" t="str">
        <f t="shared" si="5"/>
        <v/>
      </c>
      <c r="B3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8" spans="1:2" x14ac:dyDescent="0.3">
      <c r="A338" s="1" t="str">
        <f t="shared" si="5"/>
        <v/>
      </c>
      <c r="B3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9" spans="1:2" x14ac:dyDescent="0.3">
      <c r="A339" s="1" t="str">
        <f t="shared" si="5"/>
        <v/>
      </c>
      <c r="B3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0" spans="1:2" x14ac:dyDescent="0.3">
      <c r="A340" s="1" t="str">
        <f t="shared" si="5"/>
        <v/>
      </c>
      <c r="B3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1" spans="1:2" x14ac:dyDescent="0.3">
      <c r="A341" s="1" t="str">
        <f t="shared" si="5"/>
        <v/>
      </c>
      <c r="B3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2" spans="1:2" x14ac:dyDescent="0.3">
      <c r="A342" s="1" t="str">
        <f t="shared" si="5"/>
        <v/>
      </c>
      <c r="B3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3" spans="1:2" x14ac:dyDescent="0.3">
      <c r="A343" s="1" t="str">
        <f t="shared" si="5"/>
        <v/>
      </c>
      <c r="B3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4" spans="1:2" x14ac:dyDescent="0.3">
      <c r="A344" s="1" t="str">
        <f t="shared" si="5"/>
        <v/>
      </c>
      <c r="B3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5" spans="1:2" x14ac:dyDescent="0.3">
      <c r="A345" s="1" t="str">
        <f t="shared" si="5"/>
        <v/>
      </c>
      <c r="B3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6" spans="1:2" x14ac:dyDescent="0.3">
      <c r="A346" s="1" t="str">
        <f t="shared" si="5"/>
        <v/>
      </c>
      <c r="B3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7" spans="1:2" x14ac:dyDescent="0.3">
      <c r="A347" s="1" t="str">
        <f t="shared" si="5"/>
        <v/>
      </c>
      <c r="B3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8" spans="1:2" x14ac:dyDescent="0.3">
      <c r="A348" s="1" t="str">
        <f t="shared" si="5"/>
        <v/>
      </c>
      <c r="B3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9" spans="1:2" x14ac:dyDescent="0.3">
      <c r="A349" s="1" t="str">
        <f t="shared" si="5"/>
        <v/>
      </c>
      <c r="B3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0" spans="1:2" x14ac:dyDescent="0.3">
      <c r="A350" s="1" t="str">
        <f t="shared" si="5"/>
        <v/>
      </c>
      <c r="B3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1" spans="1:2" x14ac:dyDescent="0.3">
      <c r="A351" s="1" t="str">
        <f t="shared" si="5"/>
        <v/>
      </c>
      <c r="B3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2" spans="1:2" x14ac:dyDescent="0.3">
      <c r="A352" s="1" t="str">
        <f t="shared" si="5"/>
        <v/>
      </c>
      <c r="B3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3" spans="1:2" x14ac:dyDescent="0.3">
      <c r="A353" s="1" t="str">
        <f t="shared" si="5"/>
        <v/>
      </c>
      <c r="B3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4" spans="1:2" x14ac:dyDescent="0.3">
      <c r="A354" s="1" t="str">
        <f t="shared" si="5"/>
        <v/>
      </c>
      <c r="B3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5" spans="1:2" x14ac:dyDescent="0.3">
      <c r="A355" s="1" t="str">
        <f t="shared" si="5"/>
        <v/>
      </c>
      <c r="B3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6" spans="1:2" x14ac:dyDescent="0.3">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7" spans="1:2" x14ac:dyDescent="0.3">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8" spans="1:2" x14ac:dyDescent="0.3">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9" spans="1:2" x14ac:dyDescent="0.3">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0" spans="1:2" x14ac:dyDescent="0.3">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1" spans="1:2" x14ac:dyDescent="0.3">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2" spans="1:2" x14ac:dyDescent="0.3">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3" spans="1:2" x14ac:dyDescent="0.3">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4" spans="1:2" x14ac:dyDescent="0.3">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5" spans="1:2" x14ac:dyDescent="0.3">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6" spans="1:2" x14ac:dyDescent="0.3">
      <c r="A366" s="1" t="str">
        <f t="shared" si="5"/>
        <v/>
      </c>
      <c r="B3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7" spans="1:2" x14ac:dyDescent="0.3">
      <c r="A367" s="1" t="str">
        <f t="shared" si="5"/>
        <v/>
      </c>
      <c r="B3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8" spans="1:2" x14ac:dyDescent="0.3">
      <c r="A368" s="1" t="str">
        <f t="shared" si="5"/>
        <v/>
      </c>
      <c r="B3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9" spans="1:2" x14ac:dyDescent="0.3">
      <c r="A369" s="1" t="str">
        <f t="shared" si="5"/>
        <v/>
      </c>
      <c r="B3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0" spans="1:2" x14ac:dyDescent="0.3">
      <c r="A370" s="1" t="str">
        <f t="shared" si="5"/>
        <v/>
      </c>
      <c r="B3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1" spans="1:2" x14ac:dyDescent="0.3">
      <c r="A371" s="1" t="str">
        <f t="shared" si="5"/>
        <v/>
      </c>
      <c r="B3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2" spans="1:2" x14ac:dyDescent="0.3">
      <c r="A372" s="1" t="str">
        <f t="shared" si="5"/>
        <v/>
      </c>
      <c r="B3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3" spans="1:2" x14ac:dyDescent="0.3">
      <c r="A373" s="1" t="str">
        <f t="shared" si="5"/>
        <v/>
      </c>
      <c r="B3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4" spans="1:2" x14ac:dyDescent="0.3">
      <c r="A374" s="1" t="str">
        <f t="shared" si="5"/>
        <v/>
      </c>
      <c r="B3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5" spans="1:2" x14ac:dyDescent="0.3">
      <c r="A375" s="1" t="str">
        <f t="shared" si="5"/>
        <v/>
      </c>
      <c r="B3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6" spans="1:2" x14ac:dyDescent="0.3">
      <c r="A376" s="1" t="str">
        <f t="shared" si="5"/>
        <v/>
      </c>
      <c r="B3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7" spans="1:2" x14ac:dyDescent="0.3">
      <c r="A377" s="1" t="str">
        <f t="shared" si="5"/>
        <v/>
      </c>
      <c r="B3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8" spans="1:2" x14ac:dyDescent="0.3">
      <c r="A378" s="1" t="str">
        <f t="shared" si="5"/>
        <v/>
      </c>
      <c r="B3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9" spans="1:2" x14ac:dyDescent="0.3">
      <c r="A379" s="1" t="str">
        <f t="shared" si="5"/>
        <v/>
      </c>
      <c r="B3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0" spans="1:2" x14ac:dyDescent="0.3">
      <c r="A380" s="1" t="str">
        <f t="shared" si="5"/>
        <v/>
      </c>
      <c r="B3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1" spans="1:2" x14ac:dyDescent="0.3">
      <c r="A381" s="1" t="str">
        <f t="shared" si="5"/>
        <v/>
      </c>
      <c r="B3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2" spans="1:2" x14ac:dyDescent="0.3">
      <c r="A382" s="1" t="str">
        <f t="shared" si="5"/>
        <v/>
      </c>
      <c r="B3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3" spans="1:2" x14ac:dyDescent="0.3">
      <c r="A383" s="1" t="str">
        <f t="shared" si="5"/>
        <v/>
      </c>
      <c r="B3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4" spans="1:2" x14ac:dyDescent="0.3">
      <c r="A384" s="1" t="str">
        <f t="shared" si="5"/>
        <v/>
      </c>
      <c r="B3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5" spans="1:2" x14ac:dyDescent="0.3">
      <c r="A385" s="1" t="str">
        <f t="shared" si="5"/>
        <v/>
      </c>
      <c r="B3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6" spans="1:2" x14ac:dyDescent="0.3">
      <c r="A386" s="1" t="str">
        <f t="shared" ref="A386:A449" si="6">IFERROR(LEFT(RIGHT(C386,LEN(C386)-SEARCH("@",C386)),SEARCH("/",RIGHT(C386,LEN(C386)-SEARCH("@",C386)-1))),"")</f>
        <v/>
      </c>
      <c r="B3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7" spans="1:2" x14ac:dyDescent="0.3">
      <c r="A387" s="1" t="str">
        <f t="shared" si="6"/>
        <v/>
      </c>
      <c r="B3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8" spans="1:2" x14ac:dyDescent="0.3">
      <c r="A388" s="1" t="str">
        <f t="shared" si="6"/>
        <v/>
      </c>
      <c r="B3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9" spans="1:2" x14ac:dyDescent="0.3">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0" spans="1:2" x14ac:dyDescent="0.3">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1" spans="1:2" x14ac:dyDescent="0.3">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2" spans="1:2" x14ac:dyDescent="0.3">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3" spans="1:2" x14ac:dyDescent="0.3">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4" spans="1:2" x14ac:dyDescent="0.3">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5" spans="1:2" x14ac:dyDescent="0.3">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6" spans="1:2" x14ac:dyDescent="0.3">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7" spans="1:2" x14ac:dyDescent="0.3">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8" spans="1:2" x14ac:dyDescent="0.3">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9" spans="1:2" x14ac:dyDescent="0.3">
      <c r="A399" s="1" t="str">
        <f t="shared" si="6"/>
        <v/>
      </c>
      <c r="B3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0" spans="1:2" x14ac:dyDescent="0.3">
      <c r="A400" s="1" t="str">
        <f t="shared" si="6"/>
        <v/>
      </c>
      <c r="B4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1" spans="1:2" x14ac:dyDescent="0.3">
      <c r="A401" s="1" t="str">
        <f t="shared" si="6"/>
        <v/>
      </c>
      <c r="B4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2" spans="1:2" x14ac:dyDescent="0.3">
      <c r="A402" s="1" t="str">
        <f t="shared" si="6"/>
        <v/>
      </c>
      <c r="B4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3" spans="1:2" x14ac:dyDescent="0.3">
      <c r="A403" s="1" t="str">
        <f t="shared" si="6"/>
        <v/>
      </c>
      <c r="B4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4" spans="1:2" x14ac:dyDescent="0.3">
      <c r="A404" s="1" t="str">
        <f t="shared" si="6"/>
        <v/>
      </c>
      <c r="B4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5" spans="1:2" x14ac:dyDescent="0.3">
      <c r="A405" s="1" t="str">
        <f t="shared" si="6"/>
        <v/>
      </c>
      <c r="B4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6" spans="1:2" x14ac:dyDescent="0.3">
      <c r="A406" s="1" t="str">
        <f t="shared" si="6"/>
        <v/>
      </c>
      <c r="B4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7" spans="1:2" x14ac:dyDescent="0.3">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8" spans="1:2" x14ac:dyDescent="0.3">
      <c r="A408" s="1" t="str">
        <f t="shared" si="6"/>
        <v/>
      </c>
      <c r="B4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9" spans="1:2" x14ac:dyDescent="0.3">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0" spans="1:2" x14ac:dyDescent="0.3">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1" spans="1:2" x14ac:dyDescent="0.3">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2" spans="1:2" x14ac:dyDescent="0.3">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3" spans="1:2" x14ac:dyDescent="0.3">
      <c r="A413" s="1" t="str">
        <f t="shared" si="6"/>
        <v/>
      </c>
      <c r="B4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4" spans="1:2" x14ac:dyDescent="0.3">
      <c r="A414" s="1" t="str">
        <f t="shared" si="6"/>
        <v/>
      </c>
      <c r="B4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5" spans="1:2" x14ac:dyDescent="0.3">
      <c r="A415" s="1" t="str">
        <f t="shared" si="6"/>
        <v/>
      </c>
      <c r="B4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6" spans="1:2" x14ac:dyDescent="0.3">
      <c r="A416" s="1" t="str">
        <f t="shared" si="6"/>
        <v/>
      </c>
      <c r="B4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7" spans="1:2" x14ac:dyDescent="0.3">
      <c r="A417" s="1" t="str">
        <f t="shared" si="6"/>
        <v/>
      </c>
      <c r="B4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8" spans="1:2" x14ac:dyDescent="0.3">
      <c r="A418" s="1" t="str">
        <f t="shared" si="6"/>
        <v/>
      </c>
      <c r="B4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9" spans="1:2" x14ac:dyDescent="0.3">
      <c r="A419" s="1" t="str">
        <f t="shared" si="6"/>
        <v/>
      </c>
      <c r="B4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0" spans="1:2" x14ac:dyDescent="0.3">
      <c r="A420" s="1" t="str">
        <f t="shared" si="6"/>
        <v/>
      </c>
      <c r="B4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1" spans="1:2" x14ac:dyDescent="0.3">
      <c r="A421" s="1" t="str">
        <f t="shared" si="6"/>
        <v/>
      </c>
      <c r="B4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2" spans="1:2" x14ac:dyDescent="0.3">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3" spans="1:2" x14ac:dyDescent="0.3">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4" spans="1:2" x14ac:dyDescent="0.3">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5" spans="1:2" x14ac:dyDescent="0.3">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6" spans="1:2" x14ac:dyDescent="0.3">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7" spans="1:2" x14ac:dyDescent="0.3">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8" spans="1:2" x14ac:dyDescent="0.3">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9" spans="1:2" x14ac:dyDescent="0.3">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0" spans="1:2" x14ac:dyDescent="0.3">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1" spans="1:2" x14ac:dyDescent="0.3">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2" spans="1:2" x14ac:dyDescent="0.3">
      <c r="A432" s="1" t="str">
        <f t="shared" si="6"/>
        <v/>
      </c>
      <c r="B4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3" spans="1:2" x14ac:dyDescent="0.3">
      <c r="A433" s="1" t="str">
        <f t="shared" si="6"/>
        <v/>
      </c>
      <c r="B4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4" spans="1:2" x14ac:dyDescent="0.3">
      <c r="A434" s="1" t="str">
        <f t="shared" si="6"/>
        <v/>
      </c>
      <c r="B4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5" spans="1:2" x14ac:dyDescent="0.3">
      <c r="A435" s="1" t="str">
        <f t="shared" si="6"/>
        <v/>
      </c>
      <c r="B4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6" spans="1:2" x14ac:dyDescent="0.3">
      <c r="A436" s="1" t="str">
        <f t="shared" si="6"/>
        <v/>
      </c>
      <c r="B4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7" spans="1:2" x14ac:dyDescent="0.3">
      <c r="A437" s="1" t="str">
        <f t="shared" si="6"/>
        <v/>
      </c>
      <c r="B4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8" spans="1:2" x14ac:dyDescent="0.3">
      <c r="A438" s="1" t="str">
        <f t="shared" si="6"/>
        <v/>
      </c>
      <c r="B4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9" spans="1:2" x14ac:dyDescent="0.3">
      <c r="A439" s="1" t="str">
        <f t="shared" si="6"/>
        <v/>
      </c>
      <c r="B4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0" spans="1:2" x14ac:dyDescent="0.3">
      <c r="A440" s="1" t="str">
        <f t="shared" si="6"/>
        <v/>
      </c>
      <c r="B4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1" spans="1:2" x14ac:dyDescent="0.3">
      <c r="A441" s="1" t="str">
        <f t="shared" si="6"/>
        <v/>
      </c>
      <c r="B4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2" spans="1:2" x14ac:dyDescent="0.3">
      <c r="A442" s="1" t="str">
        <f t="shared" si="6"/>
        <v/>
      </c>
      <c r="B4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3" spans="1:2" x14ac:dyDescent="0.3">
      <c r="A443" s="1" t="str">
        <f t="shared" si="6"/>
        <v/>
      </c>
      <c r="B4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4" spans="1:2" x14ac:dyDescent="0.3">
      <c r="A444" s="1" t="str">
        <f t="shared" si="6"/>
        <v/>
      </c>
      <c r="B4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5" spans="1:2" x14ac:dyDescent="0.3">
      <c r="A445" s="1" t="str">
        <f t="shared" si="6"/>
        <v/>
      </c>
      <c r="B4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6" spans="1:2" x14ac:dyDescent="0.3">
      <c r="A446" s="1" t="str">
        <f t="shared" si="6"/>
        <v/>
      </c>
      <c r="B4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7" spans="1:2" x14ac:dyDescent="0.3">
      <c r="A447" s="1" t="str">
        <f t="shared" si="6"/>
        <v/>
      </c>
      <c r="B4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8" spans="1:2" x14ac:dyDescent="0.3">
      <c r="A448" s="1" t="str">
        <f t="shared" si="6"/>
        <v/>
      </c>
      <c r="B4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9" spans="1:2" x14ac:dyDescent="0.3">
      <c r="A449" s="1" t="str">
        <f t="shared" si="6"/>
        <v/>
      </c>
      <c r="B4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0" spans="1:2" x14ac:dyDescent="0.3">
      <c r="A450" s="1" t="str">
        <f t="shared" ref="A450:A513" si="7">IFERROR(LEFT(RIGHT(C450,LEN(C450)-SEARCH("@",C450)),SEARCH("/",RIGHT(C450,LEN(C450)-SEARCH("@",C450)-1))),"")</f>
        <v/>
      </c>
      <c r="B4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1" spans="1:2" x14ac:dyDescent="0.3">
      <c r="A451" s="1" t="str">
        <f t="shared" si="7"/>
        <v/>
      </c>
      <c r="B4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2" spans="1:2" x14ac:dyDescent="0.3">
      <c r="A452" s="1" t="str">
        <f t="shared" si="7"/>
        <v/>
      </c>
      <c r="B4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3" spans="1:2" x14ac:dyDescent="0.3">
      <c r="A453" s="1" t="str">
        <f t="shared" si="7"/>
        <v/>
      </c>
      <c r="B4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4" spans="1:2" x14ac:dyDescent="0.3">
      <c r="A454" s="1" t="str">
        <f t="shared" si="7"/>
        <v/>
      </c>
      <c r="B4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5" spans="1:2" x14ac:dyDescent="0.3">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6" spans="1:2" x14ac:dyDescent="0.3">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7" spans="1:2" x14ac:dyDescent="0.3">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8" spans="1:2" x14ac:dyDescent="0.3">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9" spans="1:2" x14ac:dyDescent="0.3">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0" spans="1:2" x14ac:dyDescent="0.3">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1" spans="1:2" x14ac:dyDescent="0.3">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2" spans="1:2" x14ac:dyDescent="0.3">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3" spans="1:2" x14ac:dyDescent="0.3">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4" spans="1:2" x14ac:dyDescent="0.3">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5" spans="1:2" x14ac:dyDescent="0.3">
      <c r="A465" s="1" t="str">
        <f t="shared" si="7"/>
        <v/>
      </c>
      <c r="B4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6" spans="1:2" x14ac:dyDescent="0.3">
      <c r="A466" s="1" t="str">
        <f t="shared" si="7"/>
        <v/>
      </c>
      <c r="B4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7" spans="1:2" x14ac:dyDescent="0.3">
      <c r="A467" s="1" t="str">
        <f t="shared" si="7"/>
        <v/>
      </c>
      <c r="B4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8" spans="1:2" x14ac:dyDescent="0.3">
      <c r="A468" s="1" t="str">
        <f t="shared" si="7"/>
        <v/>
      </c>
      <c r="B4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9" spans="1:2" x14ac:dyDescent="0.3">
      <c r="A469" s="1" t="str">
        <f t="shared" si="7"/>
        <v/>
      </c>
      <c r="B4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0" spans="1:2" x14ac:dyDescent="0.3">
      <c r="A470" s="1" t="str">
        <f t="shared" si="7"/>
        <v/>
      </c>
      <c r="B4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1" spans="1:2" x14ac:dyDescent="0.3">
      <c r="A471" s="1" t="str">
        <f t="shared" si="7"/>
        <v/>
      </c>
      <c r="B4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2" spans="1:2" x14ac:dyDescent="0.3">
      <c r="A472" s="1" t="str">
        <f t="shared" si="7"/>
        <v/>
      </c>
      <c r="B4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3" spans="1:2" x14ac:dyDescent="0.3">
      <c r="A473" s="1" t="str">
        <f t="shared" si="7"/>
        <v/>
      </c>
      <c r="B4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4" spans="1:2" x14ac:dyDescent="0.3">
      <c r="A474" s="1" t="str">
        <f t="shared" si="7"/>
        <v/>
      </c>
      <c r="B4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5" spans="1:2" x14ac:dyDescent="0.3">
      <c r="A475" s="1" t="str">
        <f t="shared" si="7"/>
        <v/>
      </c>
      <c r="B4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6" spans="1:2" x14ac:dyDescent="0.3">
      <c r="A476" s="1" t="str">
        <f t="shared" si="7"/>
        <v/>
      </c>
      <c r="B4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7" spans="1:2" x14ac:dyDescent="0.3">
      <c r="A477" s="1" t="str">
        <f t="shared" si="7"/>
        <v/>
      </c>
      <c r="B4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8" spans="1:2" x14ac:dyDescent="0.3">
      <c r="A478" s="1" t="str">
        <f t="shared" si="7"/>
        <v/>
      </c>
      <c r="B4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9" spans="1:2" x14ac:dyDescent="0.3">
      <c r="A479" s="1" t="str">
        <f t="shared" si="7"/>
        <v/>
      </c>
      <c r="B4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0" spans="1:2" x14ac:dyDescent="0.3">
      <c r="A480" s="1" t="str">
        <f t="shared" si="7"/>
        <v/>
      </c>
      <c r="B4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1" spans="1:2" x14ac:dyDescent="0.3">
      <c r="A481" s="1" t="str">
        <f t="shared" si="7"/>
        <v/>
      </c>
      <c r="B4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2" spans="1:2" x14ac:dyDescent="0.3">
      <c r="A482" s="1" t="str">
        <f t="shared" si="7"/>
        <v/>
      </c>
      <c r="B4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3" spans="1:2" x14ac:dyDescent="0.3">
      <c r="A483" s="1" t="str">
        <f t="shared" si="7"/>
        <v/>
      </c>
      <c r="B4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4" spans="1:2" x14ac:dyDescent="0.3">
      <c r="A484" s="1" t="str">
        <f t="shared" si="7"/>
        <v/>
      </c>
      <c r="B4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5" spans="1:2" x14ac:dyDescent="0.3">
      <c r="A485" s="1" t="str">
        <f t="shared" si="7"/>
        <v/>
      </c>
      <c r="B4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6" spans="1:2" x14ac:dyDescent="0.3">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7" spans="1:2" x14ac:dyDescent="0.3">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8" spans="1:2" x14ac:dyDescent="0.3">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9" spans="1:2" x14ac:dyDescent="0.3">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0" spans="1:2" x14ac:dyDescent="0.3">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1" spans="1:2" x14ac:dyDescent="0.3">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2" spans="1:2" x14ac:dyDescent="0.3">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3" spans="1:2" x14ac:dyDescent="0.3">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4" spans="1:2" x14ac:dyDescent="0.3">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5" spans="1:2" x14ac:dyDescent="0.3">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6" spans="1:2" x14ac:dyDescent="0.3">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7" spans="1:2" x14ac:dyDescent="0.3">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8" spans="1:2" x14ac:dyDescent="0.3">
      <c r="A498" s="1" t="str">
        <f t="shared" si="7"/>
        <v/>
      </c>
      <c r="B4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9" spans="1:2" x14ac:dyDescent="0.3">
      <c r="A499" s="1" t="str">
        <f t="shared" si="7"/>
        <v/>
      </c>
      <c r="B4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0" spans="1:2" x14ac:dyDescent="0.3">
      <c r="A500" s="1" t="str">
        <f t="shared" si="7"/>
        <v/>
      </c>
      <c r="B5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1" spans="1:2" x14ac:dyDescent="0.3">
      <c r="A501" s="1" t="str">
        <f t="shared" si="7"/>
        <v/>
      </c>
      <c r="B5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2" spans="1:2" x14ac:dyDescent="0.3">
      <c r="A502" s="1" t="str">
        <f t="shared" si="7"/>
        <v/>
      </c>
      <c r="B5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3" spans="1:2" x14ac:dyDescent="0.3">
      <c r="A503" s="1" t="str">
        <f t="shared" si="7"/>
        <v/>
      </c>
      <c r="B5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4" spans="1:2" x14ac:dyDescent="0.3">
      <c r="A504" s="1" t="str">
        <f t="shared" si="7"/>
        <v/>
      </c>
      <c r="B5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5" spans="1:2" x14ac:dyDescent="0.3">
      <c r="A505" s="1" t="str">
        <f t="shared" si="7"/>
        <v/>
      </c>
      <c r="B5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6" spans="1:2" x14ac:dyDescent="0.3">
      <c r="A506" s="1" t="str">
        <f t="shared" si="7"/>
        <v/>
      </c>
      <c r="B5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7" spans="1:2" x14ac:dyDescent="0.3">
      <c r="A507" s="1" t="str">
        <f t="shared" si="7"/>
        <v/>
      </c>
      <c r="B5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8" spans="1:2" x14ac:dyDescent="0.3">
      <c r="A508" s="1" t="str">
        <f t="shared" si="7"/>
        <v/>
      </c>
      <c r="B5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9" spans="1:2" x14ac:dyDescent="0.3">
      <c r="A509" s="1" t="str">
        <f t="shared" si="7"/>
        <v/>
      </c>
      <c r="B5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0" spans="1:2" x14ac:dyDescent="0.3">
      <c r="A510" s="1" t="str">
        <f t="shared" si="7"/>
        <v/>
      </c>
      <c r="B5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1" spans="1:2" x14ac:dyDescent="0.3">
      <c r="A511" s="1" t="str">
        <f t="shared" si="7"/>
        <v/>
      </c>
      <c r="B5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2" spans="1:2" x14ac:dyDescent="0.3">
      <c r="A512" s="1" t="str">
        <f t="shared" si="7"/>
        <v/>
      </c>
      <c r="B5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3" spans="1:2" x14ac:dyDescent="0.3">
      <c r="A513" s="1" t="str">
        <f t="shared" si="7"/>
        <v/>
      </c>
      <c r="B5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4" spans="1:2" x14ac:dyDescent="0.3">
      <c r="A514" s="1" t="str">
        <f t="shared" ref="A514:A577" si="8">IFERROR(LEFT(RIGHT(C514,LEN(C514)-SEARCH("@",C514)),SEARCH("/",RIGHT(C514,LEN(C514)-SEARCH("@",C514)-1))),"")</f>
        <v/>
      </c>
      <c r="B5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5" spans="1:2" x14ac:dyDescent="0.3">
      <c r="A515" s="1" t="str">
        <f t="shared" si="8"/>
        <v/>
      </c>
      <c r="B5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6" spans="1:2" x14ac:dyDescent="0.3">
      <c r="A516" s="1" t="str">
        <f t="shared" si="8"/>
        <v/>
      </c>
      <c r="B5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7" spans="1:2" x14ac:dyDescent="0.3">
      <c r="A517" s="1" t="str">
        <f t="shared" si="8"/>
        <v/>
      </c>
      <c r="B5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8" spans="1:2" x14ac:dyDescent="0.3">
      <c r="A518" s="1" t="str">
        <f t="shared" si="8"/>
        <v/>
      </c>
      <c r="B5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9" spans="1:2" x14ac:dyDescent="0.3">
      <c r="A519" s="1" t="str">
        <f t="shared" si="8"/>
        <v/>
      </c>
      <c r="B5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0" spans="1:2" x14ac:dyDescent="0.3">
      <c r="A520" s="1" t="str">
        <f t="shared" si="8"/>
        <v/>
      </c>
      <c r="B5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1" spans="1:2" x14ac:dyDescent="0.3">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2" spans="1:2" x14ac:dyDescent="0.3">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3" spans="1:2" x14ac:dyDescent="0.3">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4" spans="1:2" x14ac:dyDescent="0.3">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5" spans="1:2" x14ac:dyDescent="0.3">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6" spans="1:2" x14ac:dyDescent="0.3">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7" spans="1:2" x14ac:dyDescent="0.3">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8" spans="1:2" x14ac:dyDescent="0.3">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9" spans="1:2" x14ac:dyDescent="0.3">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0" spans="1:2" x14ac:dyDescent="0.3">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1" spans="1:2" x14ac:dyDescent="0.3">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2" spans="1:2" x14ac:dyDescent="0.3">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3" spans="1:2" x14ac:dyDescent="0.3">
      <c r="A533" s="1" t="str">
        <f t="shared" si="8"/>
        <v/>
      </c>
      <c r="B5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4" spans="1:2" x14ac:dyDescent="0.3">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5" spans="1:2" x14ac:dyDescent="0.3">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6" spans="1:2" x14ac:dyDescent="0.3">
      <c r="A536" s="1" t="str">
        <f t="shared" si="8"/>
        <v/>
      </c>
      <c r="B5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7" spans="1:2" x14ac:dyDescent="0.3">
      <c r="A537" s="1" t="str">
        <f t="shared" si="8"/>
        <v/>
      </c>
      <c r="B5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8" spans="1:2" x14ac:dyDescent="0.3">
      <c r="A538" s="1" t="str">
        <f t="shared" si="8"/>
        <v/>
      </c>
      <c r="B5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9" spans="1:2" x14ac:dyDescent="0.3">
      <c r="A539" s="1" t="str">
        <f t="shared" si="8"/>
        <v/>
      </c>
      <c r="B5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0" spans="1:2" x14ac:dyDescent="0.3">
      <c r="A540" s="1" t="str">
        <f t="shared" si="8"/>
        <v/>
      </c>
      <c r="B5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1" spans="1:2" x14ac:dyDescent="0.3">
      <c r="A541" s="1" t="str">
        <f t="shared" si="8"/>
        <v/>
      </c>
      <c r="B5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2" spans="1:2" x14ac:dyDescent="0.3">
      <c r="A542" s="1" t="str">
        <f t="shared" si="8"/>
        <v/>
      </c>
      <c r="B5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3" spans="1:2" x14ac:dyDescent="0.3">
      <c r="A543" s="1" t="str">
        <f t="shared" si="8"/>
        <v/>
      </c>
      <c r="B5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4" spans="1:2" x14ac:dyDescent="0.3">
      <c r="A544" s="1" t="str">
        <f t="shared" si="8"/>
        <v/>
      </c>
      <c r="B5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5" spans="1:2" x14ac:dyDescent="0.3">
      <c r="A545" s="1" t="str">
        <f t="shared" si="8"/>
        <v/>
      </c>
      <c r="B5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6" spans="1:2" x14ac:dyDescent="0.3">
      <c r="A546" s="1" t="str">
        <f t="shared" si="8"/>
        <v/>
      </c>
      <c r="B5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7" spans="1:2" x14ac:dyDescent="0.3">
      <c r="A547" s="1" t="str">
        <f t="shared" si="8"/>
        <v/>
      </c>
      <c r="B5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8" spans="1:2" x14ac:dyDescent="0.3">
      <c r="A548" s="1" t="str">
        <f t="shared" si="8"/>
        <v/>
      </c>
      <c r="B5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9" spans="1:2" x14ac:dyDescent="0.3">
      <c r="A549" s="1" t="str">
        <f t="shared" si="8"/>
        <v/>
      </c>
      <c r="B5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0" spans="1:2" x14ac:dyDescent="0.3">
      <c r="A550" s="1" t="str">
        <f t="shared" si="8"/>
        <v/>
      </c>
      <c r="B5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1" spans="1:2" x14ac:dyDescent="0.3">
      <c r="A551" s="1" t="str">
        <f t="shared" si="8"/>
        <v/>
      </c>
      <c r="B5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2" spans="1:2" x14ac:dyDescent="0.3">
      <c r="A552" s="1" t="str">
        <f t="shared" si="8"/>
        <v/>
      </c>
      <c r="B5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3" spans="1:2" x14ac:dyDescent="0.3">
      <c r="A553" s="1" t="str">
        <f t="shared" si="8"/>
        <v/>
      </c>
      <c r="B5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4" spans="1:2" x14ac:dyDescent="0.3">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5" spans="1:2" x14ac:dyDescent="0.3">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6" spans="1:2" x14ac:dyDescent="0.3">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7" spans="1:2" x14ac:dyDescent="0.3">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8" spans="1:2" x14ac:dyDescent="0.3">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9" spans="1:2" x14ac:dyDescent="0.3">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0" spans="1:2" x14ac:dyDescent="0.3">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1" spans="1:2" x14ac:dyDescent="0.3">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2" spans="1:2" x14ac:dyDescent="0.3">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3" spans="1:2" x14ac:dyDescent="0.3">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4" spans="1:2" x14ac:dyDescent="0.3">
      <c r="A564" s="1" t="str">
        <f t="shared" si="8"/>
        <v/>
      </c>
      <c r="B5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5" spans="1:2" x14ac:dyDescent="0.3">
      <c r="A565" s="1" t="str">
        <f t="shared" si="8"/>
        <v/>
      </c>
      <c r="B5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6" spans="1:2" x14ac:dyDescent="0.3">
      <c r="A566" s="1" t="str">
        <f t="shared" si="8"/>
        <v/>
      </c>
      <c r="B5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7" spans="1:2" x14ac:dyDescent="0.3">
      <c r="A567" s="1" t="str">
        <f t="shared" si="8"/>
        <v/>
      </c>
      <c r="B5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8" spans="1:2" x14ac:dyDescent="0.3">
      <c r="A568" s="1" t="str">
        <f t="shared" si="8"/>
        <v/>
      </c>
      <c r="B5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9" spans="1:2" x14ac:dyDescent="0.3">
      <c r="A569" s="1" t="str">
        <f t="shared" si="8"/>
        <v/>
      </c>
      <c r="B5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0" spans="1:2" x14ac:dyDescent="0.3">
      <c r="A570" s="1" t="str">
        <f t="shared" si="8"/>
        <v/>
      </c>
      <c r="B5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1" spans="1:2" x14ac:dyDescent="0.3">
      <c r="A571" s="1" t="str">
        <f t="shared" si="8"/>
        <v/>
      </c>
      <c r="B5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2" spans="1:2" x14ac:dyDescent="0.3">
      <c r="A572" s="1" t="str">
        <f t="shared" si="8"/>
        <v/>
      </c>
      <c r="B5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3" spans="1:2" x14ac:dyDescent="0.3">
      <c r="A573" s="1" t="str">
        <f t="shared" si="8"/>
        <v/>
      </c>
      <c r="B5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4" spans="1:2" x14ac:dyDescent="0.3">
      <c r="A574" s="1" t="str">
        <f t="shared" si="8"/>
        <v/>
      </c>
      <c r="B5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5" spans="1:2" x14ac:dyDescent="0.3">
      <c r="A575" s="1" t="str">
        <f t="shared" si="8"/>
        <v/>
      </c>
      <c r="B5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6" spans="1:2" x14ac:dyDescent="0.3">
      <c r="A576" s="1" t="str">
        <f t="shared" si="8"/>
        <v/>
      </c>
      <c r="B5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7" spans="1:2" x14ac:dyDescent="0.3">
      <c r="A577" s="1" t="str">
        <f t="shared" si="8"/>
        <v/>
      </c>
      <c r="B5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8" spans="1:2" x14ac:dyDescent="0.3">
      <c r="A578" s="1" t="str">
        <f t="shared" ref="A578:A641" si="9">IFERROR(LEFT(RIGHT(C578,LEN(C578)-SEARCH("@",C578)),SEARCH("/",RIGHT(C578,LEN(C578)-SEARCH("@",C578)-1))),"")</f>
        <v/>
      </c>
      <c r="B5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9" spans="1:2" x14ac:dyDescent="0.3">
      <c r="A579" s="1" t="str">
        <f t="shared" si="9"/>
        <v/>
      </c>
      <c r="B5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0" spans="1:2" x14ac:dyDescent="0.3">
      <c r="A580" s="1" t="str">
        <f t="shared" si="9"/>
        <v/>
      </c>
      <c r="B5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1" spans="1:2" x14ac:dyDescent="0.3">
      <c r="A581" s="1" t="str">
        <f t="shared" si="9"/>
        <v/>
      </c>
      <c r="B5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2" spans="1:2" x14ac:dyDescent="0.3">
      <c r="A582" s="1" t="str">
        <f t="shared" si="9"/>
        <v/>
      </c>
      <c r="B5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3" spans="1:2" x14ac:dyDescent="0.3">
      <c r="A583" s="1" t="str">
        <f t="shared" si="9"/>
        <v/>
      </c>
      <c r="B5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4" spans="1:2" x14ac:dyDescent="0.3">
      <c r="A584" s="1" t="str">
        <f t="shared" si="9"/>
        <v/>
      </c>
      <c r="B5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5" spans="1:2" x14ac:dyDescent="0.3">
      <c r="A585" s="1" t="str">
        <f t="shared" si="9"/>
        <v/>
      </c>
      <c r="B5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6" spans="1:2" x14ac:dyDescent="0.3">
      <c r="A586" s="1" t="str">
        <f t="shared" si="9"/>
        <v/>
      </c>
      <c r="B5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7" spans="1:2" x14ac:dyDescent="0.3">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8" spans="1:2" x14ac:dyDescent="0.3">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9" spans="1:2" x14ac:dyDescent="0.3">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0" spans="1:2" x14ac:dyDescent="0.3">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1" spans="1:2" x14ac:dyDescent="0.3">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2" spans="1:2" x14ac:dyDescent="0.3">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3" spans="1:2" x14ac:dyDescent="0.3">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4" spans="1:2" x14ac:dyDescent="0.3">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5" spans="1:2" x14ac:dyDescent="0.3">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6" spans="1:2" x14ac:dyDescent="0.3">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7" spans="1:2" x14ac:dyDescent="0.3">
      <c r="A597" s="1" t="str">
        <f t="shared" si="9"/>
        <v/>
      </c>
      <c r="B5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8" spans="1:2" x14ac:dyDescent="0.3">
      <c r="A598" s="1" t="str">
        <f t="shared" si="9"/>
        <v/>
      </c>
      <c r="B5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9" spans="1:2" x14ac:dyDescent="0.3">
      <c r="A599" s="1" t="str">
        <f t="shared" si="9"/>
        <v/>
      </c>
      <c r="B5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0" spans="1:2" x14ac:dyDescent="0.3">
      <c r="A600" s="1" t="str">
        <f t="shared" si="9"/>
        <v/>
      </c>
      <c r="B6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1" spans="1:2" x14ac:dyDescent="0.3">
      <c r="A601" s="1" t="str">
        <f t="shared" si="9"/>
        <v/>
      </c>
      <c r="B6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2" spans="1:2" x14ac:dyDescent="0.3">
      <c r="A602" s="1" t="str">
        <f t="shared" si="9"/>
        <v/>
      </c>
      <c r="B6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3" spans="1:2" x14ac:dyDescent="0.3">
      <c r="A603" s="1" t="str">
        <f t="shared" si="9"/>
        <v/>
      </c>
      <c r="B6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4" spans="1:2" x14ac:dyDescent="0.3">
      <c r="A604" s="1" t="str">
        <f t="shared" si="9"/>
        <v/>
      </c>
      <c r="B6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5" spans="1:2" x14ac:dyDescent="0.3">
      <c r="A605" s="1" t="str">
        <f t="shared" si="9"/>
        <v/>
      </c>
      <c r="B6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6" spans="1:2" x14ac:dyDescent="0.3">
      <c r="A606" s="1" t="str">
        <f t="shared" si="9"/>
        <v/>
      </c>
      <c r="B6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7" spans="1:2" x14ac:dyDescent="0.3">
      <c r="A607" s="1" t="str">
        <f t="shared" si="9"/>
        <v/>
      </c>
      <c r="B6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8" spans="1:2" x14ac:dyDescent="0.3">
      <c r="A608" s="1" t="str">
        <f t="shared" si="9"/>
        <v/>
      </c>
      <c r="B6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9" spans="1:2" x14ac:dyDescent="0.3">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0" spans="1:2" x14ac:dyDescent="0.3">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1" spans="1:2" x14ac:dyDescent="0.3">
      <c r="A611" s="1" t="str">
        <f t="shared" si="9"/>
        <v/>
      </c>
      <c r="B6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2" spans="1:2" x14ac:dyDescent="0.3">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3" spans="1:2" x14ac:dyDescent="0.3">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4" spans="1:2" x14ac:dyDescent="0.3">
      <c r="A614" s="1" t="str">
        <f t="shared" si="9"/>
        <v/>
      </c>
      <c r="B6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5" spans="1:2" x14ac:dyDescent="0.3">
      <c r="A615" s="1" t="str">
        <f t="shared" si="9"/>
        <v/>
      </c>
      <c r="B6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6" spans="1:2" x14ac:dyDescent="0.3">
      <c r="A616" s="1" t="str">
        <f t="shared" si="9"/>
        <v/>
      </c>
      <c r="B6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7" spans="1:2" x14ac:dyDescent="0.3">
      <c r="A617" s="1" t="str">
        <f t="shared" si="9"/>
        <v/>
      </c>
      <c r="B6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8" spans="1:2" x14ac:dyDescent="0.3">
      <c r="A618" s="1" t="str">
        <f t="shared" si="9"/>
        <v/>
      </c>
      <c r="B6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9" spans="1:2" x14ac:dyDescent="0.3">
      <c r="A619" s="1" t="str">
        <f t="shared" si="9"/>
        <v/>
      </c>
      <c r="B6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0" spans="1:2" x14ac:dyDescent="0.3">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1" spans="1:2" x14ac:dyDescent="0.3">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2" spans="1:2" x14ac:dyDescent="0.3">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3" spans="1:2" x14ac:dyDescent="0.3">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4" spans="1:2" x14ac:dyDescent="0.3">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5" spans="1:2" x14ac:dyDescent="0.3">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6" spans="1:2" x14ac:dyDescent="0.3">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7" spans="1:2" x14ac:dyDescent="0.3">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8" spans="1:2" x14ac:dyDescent="0.3">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9" spans="1:2" x14ac:dyDescent="0.3">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0" spans="1:2" x14ac:dyDescent="0.3">
      <c r="A630" s="1" t="str">
        <f t="shared" si="9"/>
        <v/>
      </c>
      <c r="B6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1" spans="1:2" x14ac:dyDescent="0.3">
      <c r="A631" s="1" t="str">
        <f t="shared" si="9"/>
        <v/>
      </c>
      <c r="B6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2" spans="1:2" x14ac:dyDescent="0.3">
      <c r="A632" s="1" t="str">
        <f t="shared" si="9"/>
        <v/>
      </c>
      <c r="B6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3" spans="1:2" x14ac:dyDescent="0.3">
      <c r="A633" s="1" t="str">
        <f t="shared" si="9"/>
        <v/>
      </c>
      <c r="B6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4" spans="1:2" x14ac:dyDescent="0.3">
      <c r="A634" s="1" t="str">
        <f t="shared" si="9"/>
        <v/>
      </c>
      <c r="B6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5" spans="1:2" x14ac:dyDescent="0.3">
      <c r="A635" s="1" t="str">
        <f t="shared" si="9"/>
        <v/>
      </c>
      <c r="B6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6" spans="1:2" x14ac:dyDescent="0.3">
      <c r="A636" s="1" t="str">
        <f t="shared" si="9"/>
        <v/>
      </c>
      <c r="B6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7" spans="1:2" x14ac:dyDescent="0.3">
      <c r="A637" s="1" t="str">
        <f t="shared" si="9"/>
        <v/>
      </c>
      <c r="B6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8" spans="1:2" x14ac:dyDescent="0.3">
      <c r="A638" s="1" t="str">
        <f t="shared" si="9"/>
        <v/>
      </c>
      <c r="B6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9" spans="1:2" x14ac:dyDescent="0.3">
      <c r="A639" s="1" t="str">
        <f t="shared" si="9"/>
        <v/>
      </c>
      <c r="B6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0" spans="1:2" x14ac:dyDescent="0.3">
      <c r="A640" s="1" t="str">
        <f t="shared" si="9"/>
        <v/>
      </c>
      <c r="B6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1" spans="1:2" x14ac:dyDescent="0.3">
      <c r="A641" s="1" t="str">
        <f t="shared" si="9"/>
        <v/>
      </c>
      <c r="B6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2" spans="1:2" x14ac:dyDescent="0.3">
      <c r="A642" s="1" t="str">
        <f t="shared" ref="A642:A705" si="10">IFERROR(LEFT(RIGHT(C642,LEN(C642)-SEARCH("@",C642)),SEARCH("/",RIGHT(C642,LEN(C642)-SEARCH("@",C642)-1))),"")</f>
        <v/>
      </c>
      <c r="B6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3" spans="1:2" x14ac:dyDescent="0.3">
      <c r="A643" s="1" t="str">
        <f t="shared" si="10"/>
        <v/>
      </c>
      <c r="B6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4" spans="1:2" x14ac:dyDescent="0.3">
      <c r="A644" s="1" t="str">
        <f t="shared" si="10"/>
        <v/>
      </c>
      <c r="B6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5" spans="1:2" x14ac:dyDescent="0.3">
      <c r="A645" s="1" t="str">
        <f t="shared" si="10"/>
        <v/>
      </c>
      <c r="B6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6" spans="1:2" x14ac:dyDescent="0.3">
      <c r="A646" s="1" t="str">
        <f t="shared" si="10"/>
        <v/>
      </c>
      <c r="B6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7" spans="1:2" x14ac:dyDescent="0.3">
      <c r="A647" s="1" t="str">
        <f t="shared" si="10"/>
        <v/>
      </c>
      <c r="B6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8" spans="1:2" x14ac:dyDescent="0.3">
      <c r="A648" s="1" t="str">
        <f t="shared" si="10"/>
        <v/>
      </c>
      <c r="B6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9" spans="1:2" x14ac:dyDescent="0.3">
      <c r="A649" s="1" t="str">
        <f t="shared" si="10"/>
        <v/>
      </c>
      <c r="B6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0" spans="1:2" x14ac:dyDescent="0.3">
      <c r="A650" s="1" t="str">
        <f t="shared" si="10"/>
        <v/>
      </c>
      <c r="B6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1" spans="1:2" x14ac:dyDescent="0.3">
      <c r="A651" s="1" t="str">
        <f t="shared" si="10"/>
        <v/>
      </c>
      <c r="B6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2" spans="1:2" x14ac:dyDescent="0.3">
      <c r="A652" s="1" t="str">
        <f t="shared" si="10"/>
        <v/>
      </c>
      <c r="B6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3" spans="1:2" x14ac:dyDescent="0.3">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4" spans="1:2" x14ac:dyDescent="0.3">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5" spans="1:2" x14ac:dyDescent="0.3">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6" spans="1:2" x14ac:dyDescent="0.3">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7" spans="1:2" x14ac:dyDescent="0.3">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8" spans="1:2" x14ac:dyDescent="0.3">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9" spans="1:2" x14ac:dyDescent="0.3">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0" spans="1:2" x14ac:dyDescent="0.3">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1" spans="1:2" x14ac:dyDescent="0.3">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2" spans="1:2" x14ac:dyDescent="0.3">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3" spans="1:2" x14ac:dyDescent="0.3">
      <c r="A663" s="1" t="str">
        <f t="shared" si="10"/>
        <v/>
      </c>
      <c r="B6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4" spans="1:2" x14ac:dyDescent="0.3">
      <c r="A664" s="1" t="str">
        <f t="shared" si="10"/>
        <v/>
      </c>
      <c r="B6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5" spans="1:2" x14ac:dyDescent="0.3">
      <c r="A665" s="1" t="str">
        <f t="shared" si="10"/>
        <v/>
      </c>
      <c r="B6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6" spans="1:2" x14ac:dyDescent="0.3">
      <c r="A666" s="1" t="str">
        <f t="shared" si="10"/>
        <v/>
      </c>
      <c r="B6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7" spans="1:2" x14ac:dyDescent="0.3">
      <c r="A667" s="1" t="str">
        <f t="shared" si="10"/>
        <v/>
      </c>
      <c r="B6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8" spans="1:2" x14ac:dyDescent="0.3">
      <c r="A668" s="1" t="str">
        <f t="shared" si="10"/>
        <v/>
      </c>
      <c r="B6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9" spans="1:2" x14ac:dyDescent="0.3">
      <c r="A669" s="1" t="str">
        <f t="shared" si="10"/>
        <v/>
      </c>
      <c r="B6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0" spans="1:2" x14ac:dyDescent="0.3">
      <c r="A670" s="1" t="str">
        <f t="shared" si="10"/>
        <v/>
      </c>
      <c r="B6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1" spans="1:2" x14ac:dyDescent="0.3">
      <c r="A671" s="1" t="str">
        <f t="shared" si="10"/>
        <v/>
      </c>
      <c r="B6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2" spans="1:2" x14ac:dyDescent="0.3">
      <c r="A672" s="1" t="str">
        <f t="shared" si="10"/>
        <v/>
      </c>
      <c r="B6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3" spans="1:2" x14ac:dyDescent="0.3">
      <c r="A673" s="1" t="str">
        <f t="shared" si="10"/>
        <v/>
      </c>
      <c r="B6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4" spans="1:2" x14ac:dyDescent="0.3">
      <c r="A674" s="1" t="str">
        <f t="shared" si="10"/>
        <v/>
      </c>
      <c r="B6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5" spans="1:2" x14ac:dyDescent="0.3">
      <c r="A675" s="1" t="str">
        <f t="shared" si="10"/>
        <v/>
      </c>
      <c r="B6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6" spans="1:2" x14ac:dyDescent="0.3">
      <c r="A676" s="1" t="str">
        <f t="shared" si="10"/>
        <v/>
      </c>
      <c r="B6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7" spans="1:2" x14ac:dyDescent="0.3">
      <c r="A677" s="1" t="str">
        <f t="shared" si="10"/>
        <v/>
      </c>
      <c r="B6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8" spans="1:2" x14ac:dyDescent="0.3">
      <c r="A678" s="1" t="str">
        <f t="shared" si="10"/>
        <v/>
      </c>
      <c r="B6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9" spans="1:2" x14ac:dyDescent="0.3">
      <c r="A679" s="1" t="str">
        <f t="shared" si="10"/>
        <v/>
      </c>
      <c r="B6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0" spans="1:2" x14ac:dyDescent="0.3">
      <c r="A680" s="1" t="str">
        <f t="shared" si="10"/>
        <v/>
      </c>
      <c r="B6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1" spans="1:2" x14ac:dyDescent="0.3">
      <c r="A681" s="1" t="str">
        <f t="shared" si="10"/>
        <v/>
      </c>
      <c r="B6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2" spans="1:2" x14ac:dyDescent="0.3">
      <c r="A682" s="1" t="str">
        <f t="shared" si="10"/>
        <v/>
      </c>
      <c r="B6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3" spans="1:2" x14ac:dyDescent="0.3">
      <c r="A683" s="1" t="str">
        <f t="shared" si="10"/>
        <v/>
      </c>
      <c r="B6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4" spans="1:2" x14ac:dyDescent="0.3">
      <c r="A684" s="1" t="str">
        <f t="shared" si="10"/>
        <v/>
      </c>
      <c r="B6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5" spans="1:2" x14ac:dyDescent="0.3">
      <c r="A685" s="1" t="str">
        <f t="shared" si="10"/>
        <v/>
      </c>
      <c r="B6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6" spans="1:2" x14ac:dyDescent="0.3">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7" spans="1:2" x14ac:dyDescent="0.3">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8" spans="1:2" x14ac:dyDescent="0.3">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9" spans="1:2" x14ac:dyDescent="0.3">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3">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3">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3">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3">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3">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3">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3">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3">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3">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3">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3">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3">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3">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3">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3">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B11:K11 M11:XFD11 A1:J2 EO1:XFD10 B12:XFD13 K1:L4 A1532:XFD1048576 M14:XFD19 K6:L6 B14:J19 K5 B3:J10 B20:XFD1531 A3:A1531">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zoomScale="70" zoomScaleNormal="70" zoomScaleSheetLayoutView="40" zoomScalePageLayoutView="30" workbookViewId="0">
      <selection activeCell="V5" sqref="V5:V12"/>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3" t="s">
        <v>43</v>
      </c>
      <c r="B1" s="214"/>
      <c r="C1" s="214"/>
      <c r="D1" s="214"/>
      <c r="E1" s="214"/>
      <c r="F1" s="214"/>
      <c r="G1" s="214"/>
      <c r="H1" s="214"/>
      <c r="I1" s="214"/>
      <c r="J1" s="214"/>
      <c r="K1" s="214"/>
      <c r="L1" s="214"/>
      <c r="M1" s="214"/>
      <c r="N1" s="214"/>
      <c r="O1" s="214"/>
      <c r="P1" s="214"/>
      <c r="Q1" s="214"/>
      <c r="R1" s="214"/>
      <c r="S1" s="214"/>
      <c r="T1" s="214"/>
      <c r="U1" s="214"/>
      <c r="V1" s="214"/>
    </row>
    <row r="2" spans="1:22" customFormat="1" ht="15" thickBot="1" x14ac:dyDescent="0.35"/>
    <row r="3" spans="1:22" ht="15" thickBot="1" x14ac:dyDescent="0.35">
      <c r="A3" s="51" t="s">
        <v>18</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BPA-1mg/L</v>
      </c>
      <c r="J4" s="35" t="str">
        <f>'Page de garde'!A16</f>
        <v>BPA-2mg/L</v>
      </c>
      <c r="K4" s="35" t="str">
        <f>'Page de garde'!A17</f>
        <v>BPA-3mg/L</v>
      </c>
      <c r="L4" s="35" t="str">
        <f>'Page de garde'!A18</f>
        <v>BPA-4mg/L</v>
      </c>
      <c r="M4" s="35" t="str">
        <f>'Page de garde'!A19</f>
        <v>BPA-5mg/L</v>
      </c>
      <c r="N4" s="3"/>
      <c r="O4" s="36" t="str">
        <f>'Page de garde'!A36</f>
        <v>Testo -30µg/L</v>
      </c>
      <c r="P4" s="36" t="str">
        <f>'Page de garde'!A37</f>
        <v>Testo 30µg/L + EE2 -64ng/L</v>
      </c>
      <c r="Q4" s="36" t="str">
        <f>'Page de garde'!A38</f>
        <v>Testo 30µg/L + FAD-10µg/L</v>
      </c>
      <c r="R4" s="36" t="str">
        <f>'Page de garde'!A39</f>
        <v>BPA-1mg/L + Testostérone</v>
      </c>
      <c r="S4" s="36" t="str">
        <f>'Page de garde'!A40</f>
        <v>BPA-2mg/L + Testostérone</v>
      </c>
      <c r="T4" s="36" t="str">
        <f>'Page de garde'!A41</f>
        <v>BPA-3mg/L + Testostérone</v>
      </c>
      <c r="U4" s="36" t="str">
        <f>'Page de garde'!A42</f>
        <v>BPA-4mg/L + Testostérone</v>
      </c>
      <c r="V4" s="36" t="str">
        <f>'Page de garde'!A43</f>
        <v>BPA-5mg/L + Testostérone</v>
      </c>
    </row>
    <row r="5" spans="1:22" x14ac:dyDescent="0.3">
      <c r="A5" s="223" t="s">
        <v>33</v>
      </c>
      <c r="B5" s="32">
        <v>341346</v>
      </c>
      <c r="C5" s="32">
        <v>49962</v>
      </c>
      <c r="D5" s="32">
        <v>46002</v>
      </c>
      <c r="E5" s="32">
        <v>859704</v>
      </c>
      <c r="F5" s="32">
        <v>2582836</v>
      </c>
      <c r="G5" s="32">
        <v>5162975</v>
      </c>
      <c r="H5" s="32">
        <v>9612003</v>
      </c>
      <c r="I5" s="32">
        <v>89289</v>
      </c>
      <c r="J5" s="32">
        <v>43930</v>
      </c>
      <c r="K5" s="13">
        <v>53287</v>
      </c>
      <c r="L5" s="13">
        <v>113970</v>
      </c>
      <c r="M5" s="13">
        <v>3350107</v>
      </c>
      <c r="N5" s="3"/>
      <c r="O5" s="32">
        <v>139897</v>
      </c>
      <c r="P5" s="13">
        <v>6654239</v>
      </c>
      <c r="Q5" s="13">
        <v>486365</v>
      </c>
      <c r="R5" s="32">
        <v>5823564</v>
      </c>
      <c r="S5" s="32">
        <v>660827</v>
      </c>
      <c r="T5" s="32">
        <v>2500405</v>
      </c>
      <c r="U5" s="32">
        <v>2824785</v>
      </c>
      <c r="V5" s="32">
        <v>2806386</v>
      </c>
    </row>
    <row r="6" spans="1:22" ht="16.8" x14ac:dyDescent="0.3">
      <c r="A6" s="223"/>
      <c r="B6" s="14">
        <v>85962</v>
      </c>
      <c r="C6" s="13">
        <v>50766</v>
      </c>
      <c r="D6" s="32">
        <v>198878</v>
      </c>
      <c r="E6" s="32">
        <v>3492845</v>
      </c>
      <c r="F6" s="32">
        <v>1023201</v>
      </c>
      <c r="G6" s="32">
        <v>6215654</v>
      </c>
      <c r="H6" s="32">
        <v>9051795</v>
      </c>
      <c r="I6" s="32">
        <v>23573</v>
      </c>
      <c r="J6" s="32">
        <v>846429</v>
      </c>
      <c r="K6" s="13">
        <v>123069</v>
      </c>
      <c r="L6" s="13">
        <v>149786</v>
      </c>
      <c r="M6" s="13">
        <v>494877</v>
      </c>
      <c r="N6" s="3"/>
      <c r="O6" s="32">
        <v>217163</v>
      </c>
      <c r="P6" s="13">
        <v>6248328</v>
      </c>
      <c r="Q6" s="13">
        <v>55985</v>
      </c>
      <c r="R6" s="32">
        <v>125320</v>
      </c>
      <c r="S6" s="32">
        <v>1450280</v>
      </c>
      <c r="T6" s="32">
        <v>1778733</v>
      </c>
      <c r="U6" s="32">
        <v>7407366</v>
      </c>
      <c r="V6" s="32">
        <v>3307501</v>
      </c>
    </row>
    <row r="7" spans="1:22" ht="16.8" x14ac:dyDescent="0.3">
      <c r="A7" s="223"/>
      <c r="B7" s="14">
        <v>58616</v>
      </c>
      <c r="C7" s="13">
        <v>202708</v>
      </c>
      <c r="D7" s="32">
        <v>142140</v>
      </c>
      <c r="E7" s="32">
        <v>2056087</v>
      </c>
      <c r="F7" s="32">
        <v>1901571</v>
      </c>
      <c r="G7" s="32">
        <v>5698899</v>
      </c>
      <c r="H7" s="32">
        <v>8528732</v>
      </c>
      <c r="I7" s="32">
        <v>164825</v>
      </c>
      <c r="J7" s="32">
        <v>150643</v>
      </c>
      <c r="K7" s="13">
        <v>78864</v>
      </c>
      <c r="L7" s="13">
        <v>920894</v>
      </c>
      <c r="M7" s="13">
        <v>180068</v>
      </c>
      <c r="N7" s="3"/>
      <c r="O7" s="32">
        <v>110923</v>
      </c>
      <c r="P7" s="13">
        <v>8850646</v>
      </c>
      <c r="Q7" s="13">
        <v>181854</v>
      </c>
      <c r="R7" s="32">
        <v>305069</v>
      </c>
      <c r="S7" s="32">
        <v>1932572</v>
      </c>
      <c r="T7" s="32">
        <v>3375797</v>
      </c>
      <c r="U7" s="32">
        <v>6969120</v>
      </c>
      <c r="V7" s="32">
        <v>7404935</v>
      </c>
    </row>
    <row r="8" spans="1:22" ht="16.8" x14ac:dyDescent="0.3">
      <c r="A8" s="223"/>
      <c r="B8" s="14">
        <v>77241</v>
      </c>
      <c r="C8" s="13">
        <v>32261</v>
      </c>
      <c r="D8" s="32">
        <v>84557</v>
      </c>
      <c r="E8" s="32">
        <v>1696581</v>
      </c>
      <c r="F8" s="32">
        <v>3053297</v>
      </c>
      <c r="G8" s="32">
        <v>6080086</v>
      </c>
      <c r="H8" s="32">
        <v>19764273</v>
      </c>
      <c r="I8" s="32">
        <v>332263</v>
      </c>
      <c r="J8" s="32">
        <v>14139</v>
      </c>
      <c r="K8" s="13">
        <v>157159</v>
      </c>
      <c r="L8" s="13">
        <v>146712</v>
      </c>
      <c r="M8" s="13">
        <v>1978513</v>
      </c>
      <c r="N8" s="3"/>
      <c r="O8" s="32">
        <v>120070</v>
      </c>
      <c r="P8" s="13">
        <v>6435481</v>
      </c>
      <c r="Q8" s="13">
        <v>35208</v>
      </c>
      <c r="R8" s="32">
        <v>14010</v>
      </c>
      <c r="S8" s="32">
        <v>3297498</v>
      </c>
      <c r="T8" s="32">
        <v>241509</v>
      </c>
      <c r="U8" s="32">
        <v>4409046</v>
      </c>
      <c r="V8" s="32">
        <v>4009701</v>
      </c>
    </row>
    <row r="9" spans="1:22" ht="16.8" x14ac:dyDescent="0.3">
      <c r="A9" s="223"/>
      <c r="B9" s="14">
        <v>155715</v>
      </c>
      <c r="C9" s="13">
        <v>34456</v>
      </c>
      <c r="D9" s="32">
        <v>86266</v>
      </c>
      <c r="E9" s="32">
        <v>3760830</v>
      </c>
      <c r="F9" s="32">
        <v>5746894</v>
      </c>
      <c r="G9" s="32">
        <v>8378617</v>
      </c>
      <c r="H9" s="32">
        <v>11624024</v>
      </c>
      <c r="I9" s="32">
        <v>133770</v>
      </c>
      <c r="J9" s="32">
        <v>81458</v>
      </c>
      <c r="K9" s="13">
        <v>113369</v>
      </c>
      <c r="L9" s="13">
        <v>773415</v>
      </c>
      <c r="M9" s="13">
        <v>6366489</v>
      </c>
      <c r="N9" s="3"/>
      <c r="O9" s="32">
        <v>1228892</v>
      </c>
      <c r="P9" s="13">
        <v>7287235</v>
      </c>
      <c r="Q9" s="13">
        <v>263194</v>
      </c>
      <c r="R9" s="32">
        <v>3134116</v>
      </c>
      <c r="S9" s="32">
        <v>418966</v>
      </c>
      <c r="T9" s="32">
        <v>2639225</v>
      </c>
      <c r="U9" s="32">
        <v>4873243</v>
      </c>
      <c r="V9" s="32">
        <v>2418238</v>
      </c>
    </row>
    <row r="10" spans="1:22" ht="16.8" x14ac:dyDescent="0.3">
      <c r="A10" s="223"/>
      <c r="B10" s="14">
        <v>148514</v>
      </c>
      <c r="C10" s="13">
        <v>96871</v>
      </c>
      <c r="D10" s="32">
        <v>43949</v>
      </c>
      <c r="E10" s="32">
        <v>668770</v>
      </c>
      <c r="F10" s="32">
        <v>9227517</v>
      </c>
      <c r="G10" s="32">
        <v>2631251</v>
      </c>
      <c r="H10" s="32">
        <v>8905748</v>
      </c>
      <c r="I10" s="32">
        <v>378477</v>
      </c>
      <c r="J10" s="32">
        <v>4446</v>
      </c>
      <c r="K10" s="13">
        <v>76702</v>
      </c>
      <c r="L10" s="13">
        <v>10964</v>
      </c>
      <c r="M10" s="13">
        <v>48912</v>
      </c>
      <c r="N10" s="3"/>
      <c r="O10" s="32">
        <v>450016</v>
      </c>
      <c r="P10" s="13">
        <v>4463677</v>
      </c>
      <c r="Q10" s="13">
        <v>390024</v>
      </c>
      <c r="R10" s="32">
        <v>185294</v>
      </c>
      <c r="S10" s="32">
        <v>952931</v>
      </c>
      <c r="T10" s="32">
        <v>4588873</v>
      </c>
      <c r="U10" s="32">
        <v>10642563</v>
      </c>
      <c r="V10" s="32">
        <v>2258995</v>
      </c>
    </row>
    <row r="11" spans="1:22" ht="16.8" x14ac:dyDescent="0.3">
      <c r="A11" s="223"/>
      <c r="B11" s="14">
        <v>7253</v>
      </c>
      <c r="C11" s="13">
        <v>54971</v>
      </c>
      <c r="D11" s="32">
        <v>48908</v>
      </c>
      <c r="E11" s="32">
        <v>2967954</v>
      </c>
      <c r="F11" s="32">
        <v>6165683</v>
      </c>
      <c r="G11" s="32">
        <v>3948149</v>
      </c>
      <c r="H11" s="32">
        <v>14310533</v>
      </c>
      <c r="I11" s="32">
        <v>73674</v>
      </c>
      <c r="J11" s="32">
        <v>34310</v>
      </c>
      <c r="K11" s="13">
        <v>100845</v>
      </c>
      <c r="L11" s="13">
        <v>225691</v>
      </c>
      <c r="M11" s="13">
        <v>295160</v>
      </c>
      <c r="N11" s="3"/>
      <c r="O11" s="32">
        <v>81341</v>
      </c>
      <c r="P11" s="13">
        <v>5810268</v>
      </c>
      <c r="Q11" s="13">
        <v>105669</v>
      </c>
      <c r="R11" s="32">
        <v>1083991</v>
      </c>
      <c r="S11" s="32">
        <v>633322</v>
      </c>
      <c r="T11" s="32">
        <v>1120718</v>
      </c>
      <c r="U11" s="32">
        <v>4773935</v>
      </c>
      <c r="V11" s="32">
        <v>2185283</v>
      </c>
    </row>
    <row r="12" spans="1:22" ht="16.8" x14ac:dyDescent="0.3">
      <c r="A12" s="223"/>
      <c r="B12" s="14">
        <v>87950</v>
      </c>
      <c r="C12" s="13">
        <v>44256</v>
      </c>
      <c r="D12" s="32"/>
      <c r="E12" s="32">
        <v>357171</v>
      </c>
      <c r="F12" s="32">
        <v>4988230</v>
      </c>
      <c r="G12" s="32">
        <v>8204967</v>
      </c>
      <c r="H12" s="32">
        <v>14371213</v>
      </c>
      <c r="I12" s="32">
        <v>238119</v>
      </c>
      <c r="J12" s="32">
        <v>148157</v>
      </c>
      <c r="K12" s="13">
        <v>73620</v>
      </c>
      <c r="L12" s="13">
        <v>2698199</v>
      </c>
      <c r="M12" s="13">
        <v>6944491</v>
      </c>
      <c r="N12" s="3"/>
      <c r="O12" s="32">
        <v>1335327</v>
      </c>
      <c r="P12" s="13"/>
      <c r="Q12" s="13">
        <v>262441</v>
      </c>
      <c r="R12" s="32">
        <v>483685</v>
      </c>
      <c r="S12" s="32">
        <v>179130</v>
      </c>
      <c r="T12" s="32">
        <v>895643</v>
      </c>
      <c r="U12" s="32">
        <v>1070572</v>
      </c>
      <c r="V12" s="32">
        <v>3656079</v>
      </c>
    </row>
    <row r="13" spans="1:22" ht="16.8" x14ac:dyDescent="0.3">
      <c r="A13" s="223"/>
      <c r="B13" s="14"/>
      <c r="C13" s="13"/>
      <c r="D13" s="32"/>
      <c r="E13" s="32"/>
      <c r="F13" s="32"/>
      <c r="G13" s="32"/>
      <c r="H13" s="32"/>
      <c r="I13" s="32"/>
      <c r="J13" s="32"/>
      <c r="K13" s="13"/>
      <c r="L13" s="13"/>
      <c r="M13" s="13"/>
      <c r="N13" s="3"/>
      <c r="O13" s="32">
        <v>52306</v>
      </c>
      <c r="P13" s="13"/>
      <c r="Q13" s="13"/>
      <c r="R13" s="32"/>
      <c r="S13" s="32"/>
      <c r="T13" s="32"/>
      <c r="U13" s="32"/>
      <c r="V13" s="32"/>
    </row>
    <row r="14" spans="1:22" ht="16.8" x14ac:dyDescent="0.3">
      <c r="A14" s="223"/>
      <c r="B14" s="14"/>
      <c r="C14" s="32"/>
      <c r="D14" s="32"/>
      <c r="E14" s="32"/>
      <c r="F14" s="32"/>
      <c r="G14" s="32"/>
      <c r="H14" s="32"/>
      <c r="I14" s="32"/>
      <c r="J14" s="32"/>
      <c r="K14" s="13"/>
      <c r="L14" s="13"/>
      <c r="M14" s="13"/>
      <c r="N14" s="3"/>
      <c r="O14" s="32">
        <v>218248</v>
      </c>
      <c r="P14" s="13"/>
      <c r="Q14" s="13"/>
      <c r="R14" s="32"/>
      <c r="S14" s="32"/>
      <c r="T14" s="32"/>
      <c r="U14" s="32"/>
      <c r="V14" s="32"/>
    </row>
    <row r="15" spans="1:22" ht="16.8" x14ac:dyDescent="0.3">
      <c r="A15" s="223"/>
      <c r="B15" s="14"/>
      <c r="C15" s="32"/>
      <c r="D15" s="32"/>
      <c r="E15" s="32"/>
      <c r="F15" s="32"/>
      <c r="G15" s="32"/>
      <c r="H15" s="32"/>
      <c r="I15" s="32"/>
      <c r="J15" s="32"/>
      <c r="K15" s="13"/>
      <c r="L15" s="13"/>
      <c r="M15" s="13"/>
      <c r="N15" s="3"/>
      <c r="O15" s="32">
        <v>449155</v>
      </c>
      <c r="P15" s="13"/>
      <c r="Q15" s="13"/>
      <c r="R15" s="32"/>
      <c r="S15" s="32"/>
      <c r="T15" s="32"/>
      <c r="U15" s="32"/>
      <c r="V15" s="32"/>
    </row>
    <row r="16" spans="1:22" ht="16.8" x14ac:dyDescent="0.3">
      <c r="A16" s="223"/>
      <c r="B16" s="14"/>
      <c r="C16" s="32"/>
      <c r="D16" s="32"/>
      <c r="E16" s="32"/>
      <c r="F16" s="32"/>
      <c r="G16" s="32"/>
      <c r="H16" s="32"/>
      <c r="I16" s="32"/>
      <c r="J16" s="32"/>
      <c r="K16" s="13"/>
      <c r="L16" s="13"/>
      <c r="M16" s="13"/>
      <c r="N16" s="3"/>
      <c r="O16" s="32">
        <v>1439472</v>
      </c>
      <c r="P16" s="13"/>
      <c r="Q16" s="13"/>
      <c r="R16" s="32"/>
      <c r="S16" s="32"/>
      <c r="T16" s="32"/>
      <c r="U16" s="32"/>
      <c r="V16" s="32"/>
    </row>
    <row r="17" spans="1:22" ht="16.8" x14ac:dyDescent="0.3">
      <c r="A17" s="223"/>
      <c r="B17" s="14"/>
      <c r="C17" s="32"/>
      <c r="D17" s="32"/>
      <c r="E17" s="32"/>
      <c r="F17" s="32"/>
      <c r="G17" s="32"/>
      <c r="H17" s="32"/>
      <c r="I17" s="32"/>
      <c r="J17" s="32"/>
      <c r="K17" s="13"/>
      <c r="L17" s="13"/>
      <c r="M17" s="13"/>
      <c r="N17" s="3"/>
      <c r="O17" s="32">
        <v>26769</v>
      </c>
      <c r="P17" s="13"/>
      <c r="Q17" s="13"/>
      <c r="R17" s="32"/>
      <c r="S17" s="32"/>
      <c r="T17" s="32"/>
      <c r="U17" s="32"/>
      <c r="V17" s="32"/>
    </row>
    <row r="18" spans="1:22" ht="16.8" x14ac:dyDescent="0.3">
      <c r="A18" s="223"/>
      <c r="B18" s="14"/>
      <c r="C18" s="32"/>
      <c r="D18" s="32"/>
      <c r="E18" s="32"/>
      <c r="F18" s="32"/>
      <c r="G18" s="32"/>
      <c r="H18" s="32"/>
      <c r="I18" s="32"/>
      <c r="J18" s="32"/>
      <c r="K18" s="13"/>
      <c r="L18" s="13"/>
      <c r="M18" s="13"/>
      <c r="N18" s="3"/>
      <c r="O18" s="32">
        <v>16708</v>
      </c>
      <c r="P18" s="13"/>
      <c r="Q18" s="13"/>
      <c r="R18" s="32"/>
      <c r="S18" s="32"/>
      <c r="T18" s="32"/>
      <c r="U18" s="32"/>
      <c r="V18" s="32"/>
    </row>
    <row r="19" spans="1:22" ht="16.8" x14ac:dyDescent="0.3">
      <c r="A19" s="223"/>
      <c r="B19" s="14"/>
      <c r="C19" s="32"/>
      <c r="D19" s="32"/>
      <c r="E19" s="32"/>
      <c r="F19" s="32"/>
      <c r="G19" s="32"/>
      <c r="H19" s="32"/>
      <c r="I19" s="32"/>
      <c r="J19" s="32"/>
      <c r="K19" s="13"/>
      <c r="L19" s="13"/>
      <c r="M19" s="13"/>
      <c r="N19" s="3"/>
      <c r="O19" s="32">
        <v>53538</v>
      </c>
      <c r="P19" s="13"/>
      <c r="Q19" s="13"/>
      <c r="R19" s="32"/>
      <c r="S19" s="32"/>
      <c r="T19" s="32"/>
      <c r="U19" s="32"/>
      <c r="V19" s="32"/>
    </row>
    <row r="20" spans="1:22" ht="16.8" x14ac:dyDescent="0.3">
      <c r="A20" s="223"/>
      <c r="B20" s="14"/>
      <c r="C20" s="32"/>
      <c r="D20" s="32"/>
      <c r="E20" s="32"/>
      <c r="F20" s="32"/>
      <c r="G20" s="32"/>
      <c r="H20" s="32"/>
      <c r="I20" s="32"/>
      <c r="J20" s="32"/>
      <c r="K20" s="13"/>
      <c r="L20" s="13"/>
      <c r="M20" s="13"/>
      <c r="N20" s="3"/>
      <c r="O20" s="32">
        <v>6596512</v>
      </c>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BPA-1mg/L</v>
      </c>
      <c r="J22" s="3" t="str">
        <f t="shared" si="0"/>
        <v>BPA-2mg/L</v>
      </c>
      <c r="K22" s="3" t="str">
        <f t="shared" si="0"/>
        <v>BPA-3mg/L</v>
      </c>
      <c r="L22" s="3" t="str">
        <f t="shared" si="0"/>
        <v>BPA-4mg/L</v>
      </c>
      <c r="M22" s="3" t="str">
        <f t="shared" si="0"/>
        <v>BPA-5mg/L</v>
      </c>
      <c r="N22" s="3" t="s">
        <v>41</v>
      </c>
      <c r="O22" s="3" t="str">
        <f t="shared" si="0"/>
        <v>Testo -30µg/L</v>
      </c>
      <c r="P22" s="3" t="str">
        <f t="shared" si="0"/>
        <v>Testo 30µg/L + EE2 -64ng/L</v>
      </c>
      <c r="Q22" s="3" t="str">
        <f t="shared" si="0"/>
        <v>Testo 30µg/L + FAD-10µg/L</v>
      </c>
      <c r="R22" s="3" t="str">
        <f t="shared" si="0"/>
        <v>BPA-1mg/L + Testostérone</v>
      </c>
      <c r="S22" s="3" t="str">
        <f t="shared" si="0"/>
        <v>BPA-2mg/L + Testostérone</v>
      </c>
      <c r="T22" s="3" t="str">
        <f t="shared" si="0"/>
        <v>BPA-3mg/L + Testostérone</v>
      </c>
      <c r="U22" s="3" t="str">
        <f t="shared" si="0"/>
        <v>BPA-4mg/L + Testostérone</v>
      </c>
      <c r="V22" s="3" t="str">
        <f t="shared" si="0"/>
        <v>BPA-5mg/L + Testostérone</v>
      </c>
    </row>
    <row r="23" spans="1:22" x14ac:dyDescent="0.3">
      <c r="A23" s="5" t="s">
        <v>0</v>
      </c>
      <c r="B23" s="5">
        <f t="shared" ref="B23:J23" si="1">AVERAGE(B5:B20)</f>
        <v>120324.625</v>
      </c>
      <c r="C23" s="5">
        <f t="shared" si="1"/>
        <v>70781.375</v>
      </c>
      <c r="D23" s="5">
        <f t="shared" si="1"/>
        <v>92957.142857142855</v>
      </c>
      <c r="E23" s="5">
        <f t="shared" si="1"/>
        <v>1982492.75</v>
      </c>
      <c r="F23" s="5">
        <f t="shared" si="1"/>
        <v>4336153.625</v>
      </c>
      <c r="G23" s="5">
        <f t="shared" si="1"/>
        <v>5790074.75</v>
      </c>
      <c r="H23" s="5">
        <f t="shared" si="1"/>
        <v>12021040.125</v>
      </c>
      <c r="I23" s="5">
        <f t="shared" si="1"/>
        <v>179248.75</v>
      </c>
      <c r="J23" s="5">
        <f t="shared" si="1"/>
        <v>165439</v>
      </c>
      <c r="K23" s="5"/>
      <c r="L23" s="5">
        <f>AVERAGE(L5:L20)</f>
        <v>629953.875</v>
      </c>
      <c r="M23" s="5"/>
      <c r="N23" s="5" t="s">
        <v>0</v>
      </c>
      <c r="O23" s="5">
        <f>AVERAGE(O5:O20)</f>
        <v>783521.0625</v>
      </c>
      <c r="P23" s="5">
        <f>AVERAGE(P5:P20)</f>
        <v>6535696.2857142854</v>
      </c>
      <c r="Q23" s="5">
        <f>AVERAGE(Q5:Q20)</f>
        <v>222592.5</v>
      </c>
      <c r="R23" s="5">
        <f>AVERAGE(R5:R20)</f>
        <v>1394381.125</v>
      </c>
      <c r="S23" s="5">
        <f>AVERAGE(S5:S20)</f>
        <v>1190690.75</v>
      </c>
      <c r="T23" s="5">
        <f t="shared" ref="T23:V23" si="2">AVERAGE(T5:T20)</f>
        <v>2142612.875</v>
      </c>
      <c r="U23" s="5">
        <f t="shared" si="2"/>
        <v>5371328.75</v>
      </c>
      <c r="V23" s="5">
        <f t="shared" si="2"/>
        <v>3505889.75</v>
      </c>
    </row>
    <row r="24" spans="1:22" x14ac:dyDescent="0.3">
      <c r="A24" s="3" t="s">
        <v>1</v>
      </c>
      <c r="B24" s="3">
        <f t="shared" ref="B24:J24" si="3">STDEV(B5:B20)</f>
        <v>101119.32101368095</v>
      </c>
      <c r="C24" s="3">
        <f t="shared" si="3"/>
        <v>56916.329773091362</v>
      </c>
      <c r="D24" s="3">
        <f t="shared" si="3"/>
        <v>58167.037774638222</v>
      </c>
      <c r="E24" s="3">
        <f t="shared" si="3"/>
        <v>1316387.6786498236</v>
      </c>
      <c r="F24" s="3">
        <f t="shared" si="3"/>
        <v>2707415.6594872079</v>
      </c>
      <c r="G24" s="3">
        <f t="shared" si="3"/>
        <v>1948255.8077938585</v>
      </c>
      <c r="H24" s="3">
        <f t="shared" si="3"/>
        <v>3917023.3755647559</v>
      </c>
      <c r="I24" s="3">
        <f t="shared" si="3"/>
        <v>126672.26976814731</v>
      </c>
      <c r="J24" s="3">
        <f t="shared" si="3"/>
        <v>280837.38695245993</v>
      </c>
      <c r="K24" s="3"/>
      <c r="L24" s="3">
        <f>STDEV(L5:L20)</f>
        <v>899187.35871093825</v>
      </c>
      <c r="M24" s="3"/>
      <c r="N24" s="3" t="s">
        <v>1</v>
      </c>
      <c r="O24" s="3">
        <f>STDEV(O5:O20)</f>
        <v>1625123.4343520072</v>
      </c>
      <c r="P24" s="3">
        <f>STDEV(P5:P20)</f>
        <v>1344742.1529214834</v>
      </c>
      <c r="Q24" s="3">
        <f>STDEV(Q5:Q20)</f>
        <v>159931.8443382323</v>
      </c>
      <c r="R24" s="3">
        <f>STDEV(R5:R20)</f>
        <v>2061015.0412047275</v>
      </c>
      <c r="S24" s="3">
        <f>STDEV(S5:S20)</f>
        <v>1022823.1667395256</v>
      </c>
      <c r="T24" s="3">
        <f t="shared" ref="T24:V24" si="4">STDEV(T5:T20)</f>
        <v>1425551.4223528118</v>
      </c>
      <c r="U24" s="3">
        <f t="shared" si="4"/>
        <v>2951915.7356225345</v>
      </c>
      <c r="V24" s="3">
        <f t="shared" si="4"/>
        <v>1710861.7325522373</v>
      </c>
    </row>
    <row r="25" spans="1:22" ht="15" thickBot="1" x14ac:dyDescent="0.35"/>
    <row r="26" spans="1:22" ht="15" thickBot="1" x14ac:dyDescent="0.35">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BPA-1mg/L</v>
      </c>
      <c r="J27" s="35" t="str">
        <f t="shared" si="5"/>
        <v>BPA-2mg/L</v>
      </c>
      <c r="K27" s="35" t="str">
        <f t="shared" si="5"/>
        <v>BPA-3mg/L</v>
      </c>
      <c r="L27" s="35" t="str">
        <f t="shared" si="5"/>
        <v>BPA-4mg/L</v>
      </c>
      <c r="M27" s="35" t="str">
        <f t="shared" si="5"/>
        <v>BPA-5mg/L</v>
      </c>
      <c r="N27" s="3"/>
      <c r="O27" s="36" t="str">
        <f>O4</f>
        <v>Testo -30µg/L</v>
      </c>
      <c r="P27" s="36" t="str">
        <f t="shared" ref="P27:R27" si="6">P4</f>
        <v>Testo 30µg/L + EE2 -64ng/L</v>
      </c>
      <c r="Q27" s="36" t="str">
        <f t="shared" si="6"/>
        <v>Testo 30µg/L + FAD-10µg/L</v>
      </c>
      <c r="R27" s="36" t="str">
        <f t="shared" si="6"/>
        <v>BPA-1mg/L + Testostérone</v>
      </c>
      <c r="S27" s="36" t="str">
        <f t="shared" ref="S27:V27" si="7">S4</f>
        <v>BPA-2mg/L + Testostérone</v>
      </c>
      <c r="T27" s="36" t="str">
        <f t="shared" si="7"/>
        <v>BPA-3mg/L + Testostérone</v>
      </c>
      <c r="U27" s="36" t="str">
        <f t="shared" si="7"/>
        <v>BPA-4mg/L + Testostérone</v>
      </c>
      <c r="V27" s="36" t="str">
        <f t="shared" si="7"/>
        <v>BPA-5mg/L + Testostérone</v>
      </c>
    </row>
    <row r="28" spans="1:22" x14ac:dyDescent="0.3">
      <c r="A28" s="224" t="s">
        <v>34</v>
      </c>
      <c r="B28" s="11">
        <f t="shared" ref="B28:M28" si="8">IF(B5="","",(B5/$O$23))</f>
        <v>0.4356564441431337</v>
      </c>
      <c r="C28" s="11">
        <f t="shared" si="8"/>
        <v>6.3765994803745299E-2</v>
      </c>
      <c r="D28" s="11">
        <f t="shared" si="8"/>
        <v>5.8711886893276721E-2</v>
      </c>
      <c r="E28" s="11">
        <f t="shared" si="8"/>
        <v>1.0972315118842131</v>
      </c>
      <c r="F28" s="11">
        <f t="shared" si="8"/>
        <v>3.2964474391522818</v>
      </c>
      <c r="G28" s="11">
        <f t="shared" si="8"/>
        <v>6.5894527245079644</v>
      </c>
      <c r="H28" s="11">
        <f t="shared" si="8"/>
        <v>12.267702120643374</v>
      </c>
      <c r="I28" s="11">
        <f t="shared" si="8"/>
        <v>0.11395864677217915</v>
      </c>
      <c r="J28" s="11">
        <f t="shared" si="8"/>
        <v>5.6067414269415382E-2</v>
      </c>
      <c r="K28" s="11">
        <f t="shared" si="8"/>
        <v>6.8009658642711981E-2</v>
      </c>
      <c r="L28" s="11">
        <f t="shared" si="8"/>
        <v>0.14545875721113752</v>
      </c>
      <c r="M28" s="11">
        <f t="shared" si="8"/>
        <v>4.2757076488929737</v>
      </c>
      <c r="N28" s="6"/>
      <c r="O28" s="11">
        <f t="shared" ref="O28:S37" si="9">IF(O5="","",(O5/$O$23))</f>
        <v>0.17854912483606655</v>
      </c>
      <c r="P28" s="11">
        <f t="shared" si="9"/>
        <v>8.4927378707193331</v>
      </c>
      <c r="Q28" s="11">
        <f t="shared" si="9"/>
        <v>0.62074272572602351</v>
      </c>
      <c r="R28" s="11">
        <f t="shared" si="9"/>
        <v>7.4325557776565834</v>
      </c>
      <c r="S28" s="11">
        <f t="shared" si="9"/>
        <v>0.84340681013919772</v>
      </c>
      <c r="T28" s="11">
        <f t="shared" ref="T28:V43" si="10">IF(T5="","",(T5/$O$23))</f>
        <v>3.1912415883523235</v>
      </c>
      <c r="U28" s="11">
        <f t="shared" si="10"/>
        <v>3.6052444984527776</v>
      </c>
      <c r="V28" s="11">
        <f t="shared" si="10"/>
        <v>3.5817620410172446</v>
      </c>
    </row>
    <row r="29" spans="1:22" x14ac:dyDescent="0.3">
      <c r="A29" s="224"/>
      <c r="B29" s="11">
        <f t="shared" ref="B29:M29" si="11">IF(B6="","",(B6/$O$23))</f>
        <v>0.10971243035345971</v>
      </c>
      <c r="C29" s="11">
        <f t="shared" si="11"/>
        <v>6.479213186435559E-2</v>
      </c>
      <c r="D29" s="11">
        <f t="shared" si="11"/>
        <v>0.25382597803489171</v>
      </c>
      <c r="E29" s="11">
        <f t="shared" si="11"/>
        <v>4.4578827132678391</v>
      </c>
      <c r="F29" s="11">
        <f t="shared" si="11"/>
        <v>1.3059010778028701</v>
      </c>
      <c r="G29" s="11">
        <f t="shared" si="11"/>
        <v>7.9329762752867925</v>
      </c>
      <c r="H29" s="11">
        <f t="shared" si="11"/>
        <v>11.552714321575753</v>
      </c>
      <c r="I29" s="11">
        <f t="shared" si="11"/>
        <v>3.0085981255928266E-2</v>
      </c>
      <c r="J29" s="11">
        <f t="shared" si="11"/>
        <v>1.0802887637752558</v>
      </c>
      <c r="K29" s="11">
        <f t="shared" si="11"/>
        <v>0.15707171879632784</v>
      </c>
      <c r="L29" s="11">
        <f t="shared" si="11"/>
        <v>0.19117035542359781</v>
      </c>
      <c r="M29" s="11">
        <f t="shared" si="11"/>
        <v>0.63160650515377814</v>
      </c>
      <c r="N29" s="6"/>
      <c r="O29" s="11">
        <f t="shared" si="9"/>
        <v>0.27716293842451745</v>
      </c>
      <c r="P29" s="11">
        <f t="shared" si="9"/>
        <v>7.9746777707076637</v>
      </c>
      <c r="Q29" s="11">
        <f t="shared" si="9"/>
        <v>7.1453088729187805E-2</v>
      </c>
      <c r="R29" s="11">
        <f t="shared" si="9"/>
        <v>0.15994464730806135</v>
      </c>
      <c r="S29" s="11">
        <f t="shared" si="9"/>
        <v>1.8509776819177723</v>
      </c>
      <c r="T29" s="11">
        <f t="shared" si="10"/>
        <v>2.2701789206847263</v>
      </c>
      <c r="U29" s="11">
        <f t="shared" si="10"/>
        <v>9.453946236448493</v>
      </c>
      <c r="V29" s="11">
        <f t="shared" si="10"/>
        <v>4.2213300424198872</v>
      </c>
    </row>
    <row r="30" spans="1:22" x14ac:dyDescent="0.3">
      <c r="A30" s="224"/>
      <c r="B30" s="11">
        <f t="shared" ref="B30:M30" si="12">IF(B7="","",(B7/$O$23))</f>
        <v>7.4811007393946097E-2</v>
      </c>
      <c r="C30" s="11">
        <f t="shared" si="12"/>
        <v>0.25871416826143073</v>
      </c>
      <c r="D30" s="11">
        <f t="shared" si="12"/>
        <v>0.18141184302878904</v>
      </c>
      <c r="E30" s="11">
        <f t="shared" si="12"/>
        <v>2.62416302305849</v>
      </c>
      <c r="F30" s="11">
        <f t="shared" si="12"/>
        <v>2.4269558165196101</v>
      </c>
      <c r="G30" s="11">
        <f t="shared" si="12"/>
        <v>7.2734471002175516</v>
      </c>
      <c r="H30" s="11">
        <f t="shared" si="12"/>
        <v>10.8851343099663</v>
      </c>
      <c r="I30" s="11">
        <f t="shared" si="12"/>
        <v>0.210364478874491</v>
      </c>
      <c r="J30" s="11">
        <f t="shared" si="12"/>
        <v>0.19226413584765631</v>
      </c>
      <c r="K30" s="11">
        <f t="shared" si="12"/>
        <v>0.10065332481090769</v>
      </c>
      <c r="L30" s="11">
        <f t="shared" si="12"/>
        <v>1.1753276894199638</v>
      </c>
      <c r="M30" s="11">
        <f t="shared" si="12"/>
        <v>0.22981896546016592</v>
      </c>
      <c r="N30" s="6"/>
      <c r="O30" s="11">
        <f t="shared" si="9"/>
        <v>0.14156990195780475</v>
      </c>
      <c r="P30" s="11">
        <f t="shared" si="9"/>
        <v>11.295989889231599</v>
      </c>
      <c r="Q30" s="11">
        <f t="shared" si="9"/>
        <v>0.23209841917938231</v>
      </c>
      <c r="R30" s="11">
        <f t="shared" si="9"/>
        <v>0.38935647629766174</v>
      </c>
      <c r="S30" s="11">
        <f t="shared" si="9"/>
        <v>2.4665220789772961</v>
      </c>
      <c r="T30" s="11">
        <f t="shared" si="10"/>
        <v>4.308495535817201</v>
      </c>
      <c r="U30" s="11">
        <f t="shared" si="10"/>
        <v>8.8946173032840452</v>
      </c>
      <c r="V30" s="11">
        <f t="shared" si="10"/>
        <v>9.450843575759011</v>
      </c>
    </row>
    <row r="31" spans="1:22" x14ac:dyDescent="0.3">
      <c r="A31" s="224"/>
      <c r="B31" s="11">
        <f t="shared" ref="B31:M31" si="13">IF(B8="","",(B8/$O$23))</f>
        <v>9.8581906341541389E-2</v>
      </c>
      <c r="C31" s="11">
        <f t="shared" si="13"/>
        <v>4.117438770192601E-2</v>
      </c>
      <c r="D31" s="11">
        <f t="shared" si="13"/>
        <v>0.10791924307714447</v>
      </c>
      <c r="E31" s="11">
        <f t="shared" si="13"/>
        <v>2.1653291547602782</v>
      </c>
      <c r="F31" s="11">
        <f t="shared" si="13"/>
        <v>3.8968920506843427</v>
      </c>
      <c r="G31" s="11">
        <f t="shared" si="13"/>
        <v>7.7599522093255793</v>
      </c>
      <c r="H31" s="11">
        <f t="shared" si="13"/>
        <v>25.224941543929457</v>
      </c>
      <c r="I31" s="11">
        <f t="shared" si="13"/>
        <v>0.42406390319596543</v>
      </c>
      <c r="J31" s="11">
        <f t="shared" si="13"/>
        <v>1.8045462562150331E-2</v>
      </c>
      <c r="K31" s="11">
        <f t="shared" si="13"/>
        <v>0.20058044068215461</v>
      </c>
      <c r="L31" s="11">
        <f t="shared" si="13"/>
        <v>0.18724704034360276</v>
      </c>
      <c r="M31" s="11">
        <f t="shared" si="13"/>
        <v>2.5251561121881134</v>
      </c>
      <c r="N31" s="6"/>
      <c r="O31" s="11">
        <f t="shared" si="9"/>
        <v>0.15324412545706134</v>
      </c>
      <c r="P31" s="11">
        <f t="shared" si="9"/>
        <v>8.2135392499419879</v>
      </c>
      <c r="Q31" s="11">
        <f t="shared" si="9"/>
        <v>4.4935613967620684E-2</v>
      </c>
      <c r="R31" s="11">
        <f t="shared" si="9"/>
        <v>1.7880821168097187E-2</v>
      </c>
      <c r="S31" s="11">
        <f t="shared" si="9"/>
        <v>4.2085633147864483</v>
      </c>
      <c r="T31" s="11">
        <f t="shared" si="10"/>
        <v>0.30823549175488824</v>
      </c>
      <c r="U31" s="11">
        <f t="shared" si="10"/>
        <v>5.627220774297947</v>
      </c>
      <c r="V31" s="11">
        <f t="shared" si="10"/>
        <v>5.1175407936145945</v>
      </c>
    </row>
    <row r="32" spans="1:22" x14ac:dyDescent="0.3">
      <c r="A32" s="224"/>
      <c r="B32" s="11">
        <f t="shared" ref="B32:M32" si="14">IF(B9="","",(B9/$O$23))</f>
        <v>0.1987374781006605</v>
      </c>
      <c r="C32" s="11">
        <f t="shared" si="14"/>
        <v>4.3975843980582206E-2</v>
      </c>
      <c r="D32" s="11">
        <f t="shared" si="14"/>
        <v>0.11010042247587952</v>
      </c>
      <c r="E32" s="11">
        <f t="shared" si="14"/>
        <v>4.7999092557897889</v>
      </c>
      <c r="F32" s="11">
        <f t="shared" si="14"/>
        <v>7.3347026328344551</v>
      </c>
      <c r="G32" s="11">
        <f t="shared" si="14"/>
        <v>10.693544055173373</v>
      </c>
      <c r="H32" s="11">
        <f t="shared" si="14"/>
        <v>14.835624154009261</v>
      </c>
      <c r="I32" s="11">
        <f t="shared" si="14"/>
        <v>0.17072929676348042</v>
      </c>
      <c r="J32" s="11">
        <f t="shared" si="14"/>
        <v>0.10396402075023989</v>
      </c>
      <c r="K32" s="11">
        <f t="shared" si="14"/>
        <v>0.14469170699543255</v>
      </c>
      <c r="L32" s="11">
        <f t="shared" si="14"/>
        <v>0.9871017347411768</v>
      </c>
      <c r="M32" s="11">
        <f t="shared" si="14"/>
        <v>8.1254854587907133</v>
      </c>
      <c r="N32" s="6"/>
      <c r="O32" s="11">
        <f t="shared" si="9"/>
        <v>1.5684224187655453</v>
      </c>
      <c r="P32" s="11">
        <f t="shared" si="9"/>
        <v>9.3006242573089732</v>
      </c>
      <c r="Q32" s="11">
        <f t="shared" si="9"/>
        <v>0.33591183772420924</v>
      </c>
      <c r="R32" s="11">
        <f t="shared" si="9"/>
        <v>4.0000405222035749</v>
      </c>
      <c r="S32" s="11">
        <f t="shared" si="9"/>
        <v>0.53472206434782343</v>
      </c>
      <c r="T32" s="11">
        <f t="shared" si="10"/>
        <v>3.3684161489915274</v>
      </c>
      <c r="U32" s="11">
        <f t="shared" si="10"/>
        <v>6.219670706044357</v>
      </c>
      <c r="V32" s="11">
        <f t="shared" si="10"/>
        <v>3.0863726780797291</v>
      </c>
    </row>
    <row r="33" spans="1:22" x14ac:dyDescent="0.3">
      <c r="A33" s="224"/>
      <c r="B33" s="11">
        <f t="shared" ref="B33:M33" si="15">IF(B10="","",(B10/$O$23))</f>
        <v>0.18954691470084123</v>
      </c>
      <c r="C33" s="11">
        <f t="shared" si="15"/>
        <v>0.12363547661489956</v>
      </c>
      <c r="D33" s="11">
        <f t="shared" si="15"/>
        <v>5.6091663777066619E-2</v>
      </c>
      <c r="E33" s="11">
        <f t="shared" si="15"/>
        <v>0.85354438062729165</v>
      </c>
      <c r="F33" s="11">
        <f t="shared" si="15"/>
        <v>11.776986531233167</v>
      </c>
      <c r="G33" s="11">
        <f t="shared" si="15"/>
        <v>3.3582390135172657</v>
      </c>
      <c r="H33" s="11">
        <f t="shared" si="15"/>
        <v>11.366316013999942</v>
      </c>
      <c r="I33" s="11">
        <f t="shared" si="15"/>
        <v>0.48304636354303493</v>
      </c>
      <c r="J33" s="11">
        <f t="shared" si="15"/>
        <v>5.6743847903897287E-3</v>
      </c>
      <c r="K33" s="11">
        <f t="shared" si="15"/>
        <v>9.7893986098172056E-2</v>
      </c>
      <c r="L33" s="11">
        <f t="shared" si="15"/>
        <v>1.3993242204640797E-2</v>
      </c>
      <c r="M33" s="11">
        <f t="shared" si="15"/>
        <v>6.2425890433545302E-2</v>
      </c>
      <c r="N33" s="6"/>
      <c r="O33" s="11">
        <f t="shared" si="9"/>
        <v>0.57435086500945209</v>
      </c>
      <c r="P33" s="11">
        <f t="shared" si="9"/>
        <v>5.6969457665345145</v>
      </c>
      <c r="Q33" s="11">
        <f t="shared" si="9"/>
        <v>0.49778368274560586</v>
      </c>
      <c r="R33" s="11">
        <f t="shared" si="9"/>
        <v>0.2364888563541328</v>
      </c>
      <c r="S33" s="11">
        <f t="shared" si="9"/>
        <v>1.2162161881895803</v>
      </c>
      <c r="T33" s="11">
        <f t="shared" si="10"/>
        <v>5.8567321538979051</v>
      </c>
      <c r="U33" s="11">
        <f t="shared" si="10"/>
        <v>13.582995415646533</v>
      </c>
      <c r="V33" s="11">
        <f t="shared" si="10"/>
        <v>2.8831324492951969</v>
      </c>
    </row>
    <row r="34" spans="1:22" x14ac:dyDescent="0.3">
      <c r="A34" s="224"/>
      <c r="B34" s="11">
        <f t="shared" ref="B34:M34" si="16">IF(B11="","",(B11/$O$23))</f>
        <v>9.2569304733910712E-3</v>
      </c>
      <c r="C34" s="11">
        <f t="shared" si="16"/>
        <v>7.0158930794537513E-2</v>
      </c>
      <c r="D34" s="11">
        <f t="shared" si="16"/>
        <v>6.2420785274039776E-2</v>
      </c>
      <c r="E34" s="11">
        <f t="shared" si="16"/>
        <v>3.7879696437643626</v>
      </c>
      <c r="F34" s="11">
        <f t="shared" si="16"/>
        <v>7.8691987938741592</v>
      </c>
      <c r="G34" s="11">
        <f t="shared" si="16"/>
        <v>5.0389825991435933</v>
      </c>
      <c r="H34" s="11">
        <f t="shared" si="16"/>
        <v>18.264388393515585</v>
      </c>
      <c r="I34" s="11">
        <f t="shared" si="16"/>
        <v>9.4029380352490519E-2</v>
      </c>
      <c r="J34" s="11">
        <f t="shared" si="16"/>
        <v>4.3789505658630587E-2</v>
      </c>
      <c r="K34" s="11">
        <f t="shared" si="16"/>
        <v>0.12870745258363747</v>
      </c>
      <c r="L34" s="11">
        <f t="shared" si="16"/>
        <v>0.28804713849029423</v>
      </c>
      <c r="M34" s="11">
        <f t="shared" si="16"/>
        <v>0.37670971991260288</v>
      </c>
      <c r="N34" s="6"/>
      <c r="O34" s="11">
        <f t="shared" si="9"/>
        <v>0.10381469483470331</v>
      </c>
      <c r="P34" s="11">
        <f t="shared" si="9"/>
        <v>7.4155862274602224</v>
      </c>
      <c r="Q34" s="11">
        <f t="shared" si="9"/>
        <v>0.13486427494729919</v>
      </c>
      <c r="R34" s="11">
        <f t="shared" si="9"/>
        <v>1.3834867393880685</v>
      </c>
      <c r="S34" s="11">
        <f t="shared" si="9"/>
        <v>0.80830245708933957</v>
      </c>
      <c r="T34" s="11">
        <f t="shared" si="10"/>
        <v>1.4303610376779119</v>
      </c>
      <c r="U34" s="11">
        <f t="shared" si="10"/>
        <v>6.0929249110007175</v>
      </c>
      <c r="V34" s="11">
        <f t="shared" si="10"/>
        <v>2.7890545699274036</v>
      </c>
    </row>
    <row r="35" spans="1:22" x14ac:dyDescent="0.3">
      <c r="A35" s="224"/>
      <c r="B35" s="11">
        <f t="shared" ref="B35:M35" si="17">IF(B12="","",(B12/$O$23))</f>
        <v>0.11224969462770505</v>
      </c>
      <c r="C35" s="11">
        <f t="shared" si="17"/>
        <v>5.648348476911557E-2</v>
      </c>
      <c r="D35" s="11" t="str">
        <f t="shared" si="17"/>
        <v/>
      </c>
      <c r="E35" s="11">
        <f t="shared" si="17"/>
        <v>0.45585373143686231</v>
      </c>
      <c r="F35" s="11">
        <f t="shared" si="17"/>
        <v>6.3664274500597742</v>
      </c>
      <c r="G35" s="11">
        <f t="shared" si="17"/>
        <v>10.47191631813982</v>
      </c>
      <c r="H35" s="11">
        <f t="shared" si="17"/>
        <v>18.341833663214381</v>
      </c>
      <c r="I35" s="11">
        <f t="shared" si="17"/>
        <v>0.30390886907395676</v>
      </c>
      <c r="J35" s="11">
        <f t="shared" si="17"/>
        <v>0.18909127921497323</v>
      </c>
      <c r="K35" s="11">
        <f t="shared" si="17"/>
        <v>9.3960460699165957E-2</v>
      </c>
      <c r="L35" s="11">
        <f t="shared" si="17"/>
        <v>3.4436840681612182</v>
      </c>
      <c r="M35" s="11">
        <f t="shared" si="17"/>
        <v>8.8631835599186584</v>
      </c>
      <c r="N35" s="6"/>
      <c r="O35" s="11">
        <f t="shared" si="9"/>
        <v>1.7042643317581523</v>
      </c>
      <c r="P35" s="11" t="str">
        <f t="shared" si="9"/>
        <v/>
      </c>
      <c r="Q35" s="11">
        <f t="shared" si="9"/>
        <v>0.33495079144729439</v>
      </c>
      <c r="R35" s="11">
        <f t="shared" si="9"/>
        <v>0.61732226885732255</v>
      </c>
      <c r="S35" s="11">
        <f t="shared" si="9"/>
        <v>0.22862180555612058</v>
      </c>
      <c r="T35" s="11">
        <f t="shared" si="10"/>
        <v>1.1431000937514681</v>
      </c>
      <c r="U35" s="11">
        <f t="shared" si="10"/>
        <v>1.3663602055369124</v>
      </c>
      <c r="V35" s="11">
        <f t="shared" si="10"/>
        <v>4.6662166149490076</v>
      </c>
    </row>
    <row r="36" spans="1:22" x14ac:dyDescent="0.3">
      <c r="A36" s="224"/>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6.6757618273982258E-2</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3">
      <c r="A37" s="224"/>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0.27854771294039082</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3">
      <c r="A38" s="224"/>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0.57325197942588813</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3">
      <c r="A39" s="224"/>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1.8371835409338468</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3">
      <c r="A40" s="224"/>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3.4165003700841801E-2</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3">
      <c r="A41" s="224"/>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2.1324251254573007E-2</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3">
      <c r="A42" s="224"/>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6.8330007401683601E-2</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3">
      <c r="A43" s="224"/>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f t="shared" si="21"/>
        <v>8.419061485025491</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BPA-1mg/L</v>
      </c>
      <c r="J45" s="7" t="str">
        <f t="shared" si="27"/>
        <v>BPA-2mg/L</v>
      </c>
      <c r="K45" s="7" t="str">
        <f t="shared" ref="K45:M45" si="28">K4</f>
        <v>BPA-3mg/L</v>
      </c>
      <c r="L45" s="7" t="str">
        <f t="shared" si="28"/>
        <v>BPA-4mg/L</v>
      </c>
      <c r="M45" s="7" t="str">
        <f t="shared" si="28"/>
        <v>BPA-5mg/L</v>
      </c>
      <c r="N45" s="7"/>
      <c r="O45" s="7" t="str">
        <f t="shared" si="27"/>
        <v>Testo -30µg/L</v>
      </c>
      <c r="P45" s="7" t="str">
        <f t="shared" si="27"/>
        <v>Testo 30µg/L + EE2 -64ng/L</v>
      </c>
      <c r="Q45" s="7" t="str">
        <f t="shared" si="27"/>
        <v>Testo 30µg/L + FAD-10µg/L</v>
      </c>
      <c r="R45" s="7" t="str">
        <f t="shared" si="27"/>
        <v>BPA-1mg/L + Testostérone</v>
      </c>
      <c r="S45" s="7" t="str">
        <f t="shared" ref="S45:V45" si="29">S4</f>
        <v>BPA-2mg/L + Testostérone</v>
      </c>
      <c r="T45" s="7" t="str">
        <f t="shared" si="29"/>
        <v>BPA-3mg/L + Testostérone</v>
      </c>
      <c r="U45" s="7" t="str">
        <f t="shared" si="29"/>
        <v>BPA-4mg/L + Testostérone</v>
      </c>
      <c r="V45" s="7" t="str">
        <f t="shared" si="29"/>
        <v>BPA-5mg/L + Testostérone</v>
      </c>
    </row>
    <row r="46" spans="1:22" x14ac:dyDescent="0.3">
      <c r="A46" s="8" t="s">
        <v>0</v>
      </c>
      <c r="B46" s="10">
        <f t="shared" ref="B46:H46" si="30">AVERAGE(B28:B43)</f>
        <v>0.15356910076683486</v>
      </c>
      <c r="C46" s="10">
        <f t="shared" si="30"/>
        <v>9.0337552348824054E-2</v>
      </c>
      <c r="D46" s="10">
        <f t="shared" si="30"/>
        <v>0.11864026036586971</v>
      </c>
      <c r="E46" s="10">
        <f t="shared" si="30"/>
        <v>2.5302354268236407</v>
      </c>
      <c r="F46" s="10">
        <f t="shared" si="30"/>
        <v>5.5341889740200827</v>
      </c>
      <c r="G46" s="10">
        <f t="shared" si="30"/>
        <v>7.3898137869139919</v>
      </c>
      <c r="H46" s="10">
        <f t="shared" si="30"/>
        <v>15.342331815106757</v>
      </c>
      <c r="I46" s="10">
        <f>AVERAGE(I28:I43)</f>
        <v>0.2287733649789408</v>
      </c>
      <c r="J46" s="9">
        <f>AVERAGE(J28:J43)</f>
        <v>0.21114812085858889</v>
      </c>
      <c r="K46" s="9">
        <f t="shared" ref="K46:M46" si="31">AVERAGE(K28:K43)</f>
        <v>0.12394609366356377</v>
      </c>
      <c r="L46" s="9">
        <f t="shared" si="31"/>
        <v>0.80400375324945395</v>
      </c>
      <c r="M46" s="9">
        <f t="shared" si="31"/>
        <v>3.1362617325938187</v>
      </c>
      <c r="N46" s="8" t="s">
        <v>0</v>
      </c>
      <c r="O46" s="10">
        <f t="shared" ref="O46:R46" si="32">AVERAGE(O28:O43)</f>
        <v>1</v>
      </c>
      <c r="P46" s="10">
        <f t="shared" si="32"/>
        <v>8.3414430045577568</v>
      </c>
      <c r="Q46" s="10">
        <f t="shared" si="32"/>
        <v>0.28409255430832786</v>
      </c>
      <c r="R46" s="10">
        <f t="shared" si="32"/>
        <v>1.7796345136541878</v>
      </c>
      <c r="S46" s="10">
        <f t="shared" ref="S46:V46" si="33">AVERAGE(S28:S43)</f>
        <v>1.5196665501254472</v>
      </c>
      <c r="T46" s="10">
        <f t="shared" si="33"/>
        <v>2.7345951213659938</v>
      </c>
      <c r="U46" s="10">
        <f t="shared" si="33"/>
        <v>6.8553725063389717</v>
      </c>
      <c r="V46" s="10">
        <f t="shared" si="33"/>
        <v>4.4745315956327598</v>
      </c>
    </row>
    <row r="47" spans="1:22" x14ac:dyDescent="0.3">
      <c r="A47" s="8" t="s">
        <v>1</v>
      </c>
      <c r="B47" s="8">
        <f t="shared" ref="B47:J47" si="34">STDEV(B28:B43)</f>
        <v>0.12905756571627702</v>
      </c>
      <c r="C47" s="8">
        <f t="shared" si="34"/>
        <v>7.2641735490156498E-2</v>
      </c>
      <c r="D47" s="8">
        <f t="shared" si="34"/>
        <v>7.4238001450839378E-2</v>
      </c>
      <c r="E47" s="8">
        <f t="shared" si="34"/>
        <v>1.6800922676533969</v>
      </c>
      <c r="F47" s="8">
        <f t="shared" si="34"/>
        <v>3.4554471973587928</v>
      </c>
      <c r="G47" s="8">
        <f t="shared" si="34"/>
        <v>2.4865391640877044</v>
      </c>
      <c r="H47" s="8">
        <f t="shared" si="34"/>
        <v>4.9992572797808537</v>
      </c>
      <c r="I47" s="8">
        <f t="shared" si="34"/>
        <v>0.16167053552328378</v>
      </c>
      <c r="J47" s="8">
        <f t="shared" si="34"/>
        <v>0.3584299138767057</v>
      </c>
      <c r="K47" s="8">
        <f t="shared" ref="K47:M47" si="35">STDEV(K28:K43)</f>
        <v>4.2548240741242291E-2</v>
      </c>
      <c r="L47" s="8">
        <f t="shared" si="35"/>
        <v>1.1476237228925015</v>
      </c>
      <c r="M47" s="8">
        <f t="shared" si="35"/>
        <v>3.6084439769598817</v>
      </c>
      <c r="N47" s="8" t="s">
        <v>1</v>
      </c>
      <c r="O47" s="8">
        <f t="shared" ref="O47:R47" si="36">STDEV(O28:O43)</f>
        <v>2.0741285871329174</v>
      </c>
      <c r="P47" s="8">
        <f t="shared" si="36"/>
        <v>1.7162807961164175</v>
      </c>
      <c r="Q47" s="8">
        <f t="shared" si="36"/>
        <v>0.20411939383982081</v>
      </c>
      <c r="R47" s="8">
        <f t="shared" si="36"/>
        <v>2.6304526321584722</v>
      </c>
      <c r="S47" s="8">
        <f t="shared" ref="S47:V47" si="37">STDEV(S28:S43)</f>
        <v>1.305418853037567</v>
      </c>
      <c r="T47" s="8">
        <f t="shared" si="37"/>
        <v>1.819416848609366</v>
      </c>
      <c r="U47" s="8">
        <f t="shared" si="37"/>
        <v>3.7675001693046855</v>
      </c>
      <c r="V47" s="8">
        <f t="shared" si="37"/>
        <v>2.1835555091440009</v>
      </c>
    </row>
    <row r="48" spans="1:22" x14ac:dyDescent="0.3">
      <c r="A48" s="8" t="s">
        <v>2</v>
      </c>
      <c r="B48" s="8">
        <f t="shared" ref="B48:J48" si="38" xml:space="preserve"> B47/SQRT(COUNT(B28:B43))</f>
        <v>4.5628739940703981E-2</v>
      </c>
      <c r="C48" s="8">
        <f t="shared" si="38"/>
        <v>2.5682731881124576E-2</v>
      </c>
      <c r="D48" s="8">
        <f t="shared" si="38"/>
        <v>2.805932709562475E-2</v>
      </c>
      <c r="E48" s="8">
        <f t="shared" si="38"/>
        <v>0.5940023177384004</v>
      </c>
      <c r="F48" s="8">
        <f t="shared" si="38"/>
        <v>1.2216850726422264</v>
      </c>
      <c r="G48" s="8">
        <f t="shared" si="38"/>
        <v>0.87912435230617247</v>
      </c>
      <c r="H48" s="8">
        <f t="shared" si="38"/>
        <v>1.7675043617146273</v>
      </c>
      <c r="I48" s="8">
        <f t="shared" si="38"/>
        <v>5.7159165993287291E-2</v>
      </c>
      <c r="J48" s="8">
        <f t="shared" si="38"/>
        <v>0.1267241113411644</v>
      </c>
      <c r="K48" s="8">
        <f t="shared" ref="K48:M48" si="39" xml:space="preserve"> K47/SQRT(COUNT(K28:K43))</f>
        <v>1.5043074777845078E-2</v>
      </c>
      <c r="L48" s="8">
        <f t="shared" si="39"/>
        <v>0.40574625835391953</v>
      </c>
      <c r="M48" s="8">
        <f t="shared" si="39"/>
        <v>1.2757776028200432</v>
      </c>
      <c r="N48" s="8" t="s">
        <v>2</v>
      </c>
      <c r="O48" s="8">
        <f t="shared" ref="O48:R48" si="40" xml:space="preserve"> O47/SQRT(COUNT(O28:O43))</f>
        <v>0.51853214678322934</v>
      </c>
      <c r="P48" s="8">
        <f t="shared" si="40"/>
        <v>0.64869316663999865</v>
      </c>
      <c r="Q48" s="8">
        <f t="shared" si="40"/>
        <v>7.2167103777912439E-2</v>
      </c>
      <c r="R48" s="8">
        <f t="shared" si="40"/>
        <v>0.93000544689462938</v>
      </c>
      <c r="S48" s="8">
        <f t="shared" ref="S48:V48" si="41" xml:space="preserve"> S47/SQRT(COUNT(S28:S43))</f>
        <v>0.46153526163581432</v>
      </c>
      <c r="T48" s="8">
        <f t="shared" si="41"/>
        <v>0.64326099572837037</v>
      </c>
      <c r="U48" s="8">
        <f t="shared" si="41"/>
        <v>1.3320124589184044</v>
      </c>
      <c r="V48" s="8">
        <f t="shared" si="41"/>
        <v>0.77200345380648361</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customFormat="1" ht="15" thickBot="1" x14ac:dyDescent="0.35"/>
    <row r="52" spans="1:22" x14ac:dyDescent="0.3">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BPA-1mg/L</v>
      </c>
      <c r="J52" s="46" t="str">
        <f>J4</f>
        <v>BPA-2mg/L</v>
      </c>
      <c r="K52" s="46" t="str">
        <f t="shared" ref="K52:M52" si="43">K4</f>
        <v>BPA-3mg/L</v>
      </c>
      <c r="L52" s="46" t="str">
        <f t="shared" si="43"/>
        <v>BPA-4mg/L</v>
      </c>
      <c r="M52" s="46" t="str">
        <f t="shared" si="43"/>
        <v>BPA-5mg/L</v>
      </c>
      <c r="N52" s="47"/>
      <c r="O52" s="46" t="str">
        <f>O27</f>
        <v>Testo -30µg/L</v>
      </c>
      <c r="P52" s="46" t="str">
        <f>P27</f>
        <v>Testo 30µg/L + EE2 -64ng/L</v>
      </c>
      <c r="Q52" s="46" t="str">
        <f>Q27</f>
        <v>Testo 30µg/L + FAD-10µg/L</v>
      </c>
      <c r="R52" s="46" t="str">
        <f>R27</f>
        <v>BPA-1mg/L + Testostérone</v>
      </c>
      <c r="S52" s="46" t="str">
        <f t="shared" ref="S52:V52" si="44">S27</f>
        <v>BPA-2mg/L + Testostérone</v>
      </c>
      <c r="T52" s="46" t="str">
        <f t="shared" si="44"/>
        <v>BPA-3mg/L + Testostérone</v>
      </c>
      <c r="U52" s="46" t="str">
        <f t="shared" si="44"/>
        <v>BPA-4mg/L + Testostérone</v>
      </c>
      <c r="V52" s="46" t="str">
        <f t="shared" si="44"/>
        <v>BPA-5mg/L + Testostérone</v>
      </c>
    </row>
    <row r="53" spans="1:22" s="3" customFormat="1" x14ac:dyDescent="0.3">
      <c r="A53" s="61" t="s">
        <v>32</v>
      </c>
      <c r="B53" s="141">
        <f t="shared" ref="B53" si="45">B46</f>
        <v>0.15356910076683486</v>
      </c>
      <c r="C53" s="141">
        <f t="shared" ref="C53:V53" si="46">C46</f>
        <v>9.0337552348824054E-2</v>
      </c>
      <c r="D53" s="141">
        <f t="shared" si="46"/>
        <v>0.11864026036586971</v>
      </c>
      <c r="E53" s="141">
        <f t="shared" si="46"/>
        <v>2.5302354268236407</v>
      </c>
      <c r="F53" s="141">
        <f t="shared" si="46"/>
        <v>5.5341889740200827</v>
      </c>
      <c r="G53" s="141">
        <f t="shared" si="46"/>
        <v>7.3898137869139919</v>
      </c>
      <c r="H53" s="141">
        <f t="shared" si="46"/>
        <v>15.342331815106757</v>
      </c>
      <c r="I53" s="141">
        <f t="shared" si="46"/>
        <v>0.2287733649789408</v>
      </c>
      <c r="J53" s="141">
        <f t="shared" si="46"/>
        <v>0.21114812085858889</v>
      </c>
      <c r="K53" s="141">
        <f t="shared" si="46"/>
        <v>0.12394609366356377</v>
      </c>
      <c r="L53" s="141">
        <f t="shared" si="46"/>
        <v>0.80400375324945395</v>
      </c>
      <c r="M53" s="141">
        <f t="shared" si="46"/>
        <v>3.1362617325938187</v>
      </c>
      <c r="N53" s="141"/>
      <c r="O53" s="141">
        <f t="shared" si="46"/>
        <v>1</v>
      </c>
      <c r="P53" s="141">
        <f t="shared" si="46"/>
        <v>8.3414430045577568</v>
      </c>
      <c r="Q53" s="141">
        <f t="shared" si="46"/>
        <v>0.28409255430832786</v>
      </c>
      <c r="R53" s="141">
        <f t="shared" si="46"/>
        <v>1.7796345136541878</v>
      </c>
      <c r="S53" s="141">
        <f t="shared" si="46"/>
        <v>1.5196665501254472</v>
      </c>
      <c r="T53" s="141">
        <f t="shared" si="46"/>
        <v>2.7345951213659938</v>
      </c>
      <c r="U53" s="141">
        <f t="shared" si="46"/>
        <v>6.8553725063389717</v>
      </c>
      <c r="V53" s="141">
        <f t="shared" si="46"/>
        <v>4.4745315956327598</v>
      </c>
    </row>
    <row r="54" spans="1:22" s="3" customFormat="1" x14ac:dyDescent="0.3">
      <c r="A54" s="61" t="s">
        <v>2</v>
      </c>
      <c r="B54" s="141">
        <f t="shared" ref="B54" si="47">B48</f>
        <v>4.5628739940703981E-2</v>
      </c>
      <c r="C54" s="141">
        <f t="shared" ref="C54:V54" si="48">C48</f>
        <v>2.5682731881124576E-2</v>
      </c>
      <c r="D54" s="141">
        <f t="shared" si="48"/>
        <v>2.805932709562475E-2</v>
      </c>
      <c r="E54" s="141">
        <f t="shared" si="48"/>
        <v>0.5940023177384004</v>
      </c>
      <c r="F54" s="141">
        <f t="shared" si="48"/>
        <v>1.2216850726422264</v>
      </c>
      <c r="G54" s="141">
        <f t="shared" si="48"/>
        <v>0.87912435230617247</v>
      </c>
      <c r="H54" s="141">
        <f t="shared" si="48"/>
        <v>1.7675043617146273</v>
      </c>
      <c r="I54" s="141">
        <f t="shared" si="48"/>
        <v>5.7159165993287291E-2</v>
      </c>
      <c r="J54" s="141">
        <f t="shared" si="48"/>
        <v>0.1267241113411644</v>
      </c>
      <c r="K54" s="141">
        <f t="shared" si="48"/>
        <v>1.5043074777845078E-2</v>
      </c>
      <c r="L54" s="141">
        <f t="shared" si="48"/>
        <v>0.40574625835391953</v>
      </c>
      <c r="M54" s="141">
        <f t="shared" si="48"/>
        <v>1.2757776028200432</v>
      </c>
      <c r="N54" s="141"/>
      <c r="O54" s="141">
        <f t="shared" si="48"/>
        <v>0.51853214678322934</v>
      </c>
      <c r="P54" s="141">
        <f t="shared" si="48"/>
        <v>0.64869316663999865</v>
      </c>
      <c r="Q54" s="141">
        <f t="shared" si="48"/>
        <v>7.2167103777912439E-2</v>
      </c>
      <c r="R54" s="141">
        <f t="shared" si="48"/>
        <v>0.93000544689462938</v>
      </c>
      <c r="S54" s="141">
        <f t="shared" si="48"/>
        <v>0.46153526163581432</v>
      </c>
      <c r="T54" s="141">
        <f t="shared" si="48"/>
        <v>0.64326099572837037</v>
      </c>
      <c r="U54" s="141">
        <f t="shared" si="48"/>
        <v>1.3320124589184044</v>
      </c>
      <c r="V54" s="141">
        <f t="shared" si="48"/>
        <v>0.77200345380648361</v>
      </c>
    </row>
    <row r="55" spans="1:22" s="3" customFormat="1" x14ac:dyDescent="0.3">
      <c r="A55" s="61" t="s">
        <v>79</v>
      </c>
      <c r="B55" s="141">
        <f>(B53*100/$B53)-100</f>
        <v>0</v>
      </c>
      <c r="C55" s="141">
        <f t="shared" ref="C55:M55" si="49">(C53*100/$B53)-100</f>
        <v>-41.174655645093438</v>
      </c>
      <c r="D55" s="141">
        <f t="shared" si="49"/>
        <v>-22.744705950969831</v>
      </c>
      <c r="E55" s="141">
        <f t="shared" si="49"/>
        <v>1547.6201359447409</v>
      </c>
      <c r="F55" s="141">
        <f t="shared" si="49"/>
        <v>3503.7125609159384</v>
      </c>
      <c r="G55" s="141">
        <f t="shared" si="49"/>
        <v>4712.0447082216124</v>
      </c>
      <c r="H55" s="141">
        <f t="shared" si="49"/>
        <v>9890.5070346157299</v>
      </c>
      <c r="I55" s="141">
        <f t="shared" si="49"/>
        <v>48.970960848620962</v>
      </c>
      <c r="J55" s="141">
        <f t="shared" si="49"/>
        <v>37.49388373327568</v>
      </c>
      <c r="K55" s="141">
        <f t="shared" si="49"/>
        <v>-19.289692363470905</v>
      </c>
      <c r="L55" s="141">
        <f t="shared" si="49"/>
        <v>423.54526349032869</v>
      </c>
      <c r="M55" s="141">
        <f t="shared" si="49"/>
        <v>1942.2478981339018</v>
      </c>
      <c r="N55" s="141"/>
      <c r="O55" s="141">
        <f t="shared" ref="O55:V55" si="50">(O53*100/$O53)-100</f>
        <v>0</v>
      </c>
      <c r="P55" s="141">
        <f t="shared" si="50"/>
        <v>734.14430045577569</v>
      </c>
      <c r="Q55" s="141">
        <f t="shared" si="50"/>
        <v>-71.590744569167214</v>
      </c>
      <c r="R55" s="141">
        <f t="shared" si="50"/>
        <v>77.963451365418791</v>
      </c>
      <c r="S55" s="141">
        <f t="shared" si="50"/>
        <v>51.96665501254472</v>
      </c>
      <c r="T55" s="141">
        <f t="shared" si="50"/>
        <v>173.45951213659936</v>
      </c>
      <c r="U55" s="141">
        <f t="shared" si="50"/>
        <v>585.5372506338972</v>
      </c>
      <c r="V55" s="141">
        <f t="shared" si="50"/>
        <v>347.45315956327596</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51">IF(C56&gt;0.05,"Oui","Non")</f>
        <v>#NAME?</v>
      </c>
      <c r="D57" s="141" t="e">
        <f t="shared" ca="1" si="51"/>
        <v>#NAME?</v>
      </c>
      <c r="E57" s="141" t="e">
        <f t="shared" ca="1" si="51"/>
        <v>#NAME?</v>
      </c>
      <c r="F57" s="141" t="e">
        <f t="shared" ca="1" si="51"/>
        <v>#NAME?</v>
      </c>
      <c r="G57" s="141" t="e">
        <f t="shared" ca="1" si="51"/>
        <v>#NAME?</v>
      </c>
      <c r="H57" s="141" t="e">
        <f t="shared" ca="1" si="51"/>
        <v>#NAME?</v>
      </c>
      <c r="I57" s="141" t="e">
        <f t="shared" ca="1" si="51"/>
        <v>#NAME?</v>
      </c>
      <c r="J57" s="141" t="e">
        <f t="shared" ca="1" si="51"/>
        <v>#NAME?</v>
      </c>
      <c r="K57" s="141" t="e">
        <f t="shared" ca="1" si="51"/>
        <v>#NAME?</v>
      </c>
      <c r="L57" s="141" t="e">
        <f t="shared" ca="1" si="51"/>
        <v>#NAME?</v>
      </c>
      <c r="M57" s="141" t="e">
        <f t="shared" ca="1" si="51"/>
        <v>#NAME?</v>
      </c>
      <c r="N57" s="141"/>
      <c r="O57" s="141" t="e">
        <f t="shared" ca="1" si="51"/>
        <v>#NAME?</v>
      </c>
      <c r="P57" s="141" t="e">
        <f t="shared" ca="1" si="51"/>
        <v>#NAME?</v>
      </c>
      <c r="Q57" s="141" t="e">
        <f t="shared" ca="1" si="51"/>
        <v>#NAME?</v>
      </c>
      <c r="R57" s="141" t="e">
        <f t="shared" ca="1" si="51"/>
        <v>#NAME?</v>
      </c>
      <c r="S57" s="141" t="e">
        <f t="shared" ca="1" si="51"/>
        <v>#NAME?</v>
      </c>
      <c r="T57" s="141" t="e">
        <f t="shared" ca="1" si="51"/>
        <v>#NAME?</v>
      </c>
      <c r="U57" s="141" t="e">
        <f t="shared" ca="1" si="51"/>
        <v>#NAME?</v>
      </c>
      <c r="V57" s="141" t="e">
        <f t="shared" ca="1" si="51"/>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O59" ca="1" si="52">IF($B57="Non",IF(C57="Non","MW",IF(C57="Oui","MW","")),IF($B57="Oui",IF(C57="Oui","T-Test Welch",IF(C57="Non","MW",""))))</f>
        <v>#NAME?</v>
      </c>
      <c r="D59" s="150" t="e">
        <f t="shared" ca="1" si="52"/>
        <v>#NAME?</v>
      </c>
      <c r="E59" s="150" t="e">
        <f t="shared" ca="1" si="52"/>
        <v>#NAME?</v>
      </c>
      <c r="F59" s="150" t="e">
        <f t="shared" ca="1" si="52"/>
        <v>#NAME?</v>
      </c>
      <c r="G59" s="150" t="e">
        <f t="shared" ca="1" si="52"/>
        <v>#NAME?</v>
      </c>
      <c r="H59" s="150" t="e">
        <f t="shared" ca="1" si="52"/>
        <v>#NAME?</v>
      </c>
      <c r="I59" s="150" t="e">
        <f t="shared" ca="1" si="52"/>
        <v>#NAME?</v>
      </c>
      <c r="J59" s="150" t="e">
        <f t="shared" ca="1" si="52"/>
        <v>#NAME?</v>
      </c>
      <c r="K59" s="150" t="e">
        <f t="shared" ca="1" si="52"/>
        <v>#NAME?</v>
      </c>
      <c r="L59" s="150" t="e">
        <f t="shared" ca="1" si="52"/>
        <v>#NAME?</v>
      </c>
      <c r="M59" s="150" t="e">
        <f t="shared" ca="1" si="52"/>
        <v>#NAME?</v>
      </c>
      <c r="N59" s="150"/>
      <c r="O59" s="150" t="e">
        <f t="shared" ca="1" si="52"/>
        <v>#NAME?</v>
      </c>
      <c r="P59" s="150" t="e">
        <f t="shared" ref="P59:V59" ca="1" si="53">IF($O57="Non",IF(P57="Non","MW",IF(P57="Oui","MW","")),IF($O57="Oui",IF(P57="Oui","T-Test Welch",IF(P57="Non","MW",""))))</f>
        <v>#NAME?</v>
      </c>
      <c r="Q59" s="150" t="e">
        <f t="shared" ca="1" si="53"/>
        <v>#NAME?</v>
      </c>
      <c r="R59" s="150" t="e">
        <f t="shared" ca="1" si="53"/>
        <v>#NAME?</v>
      </c>
      <c r="S59" s="150" t="e">
        <f t="shared" ca="1" si="53"/>
        <v>#NAME?</v>
      </c>
      <c r="T59" s="150" t="e">
        <f t="shared" ca="1" si="53"/>
        <v>#NAME?</v>
      </c>
      <c r="U59" s="150" t="e">
        <f t="shared" ca="1" si="53"/>
        <v>#NAME?</v>
      </c>
      <c r="V59" s="150" t="e">
        <f t="shared" ca="1" si="53"/>
        <v>#NAME?</v>
      </c>
    </row>
    <row r="60" spans="1:22" s="3" customFormat="1" x14ac:dyDescent="0.3">
      <c r="A60" s="61" t="s">
        <v>83</v>
      </c>
      <c r="B60" s="151"/>
      <c r="C60" s="151" t="e">
        <f ca="1">IF(C59="MW",[1]!MTEST($B28:$B43,C28:C43,2), IF(C59="T-Test Welch",_xlfn.T.TEST($B28:$B43,C28:C43,2,3),""))</f>
        <v>#NAME?</v>
      </c>
      <c r="D60" s="151" t="e">
        <f ca="1">IF(D59="MW",[1]!MTEST($B28:$B43,D28:D43,2), IF(D59="T-Test Welch",_xlfn.T.TEST($B28:$B43,D28:D43,2,3),""))</f>
        <v>#NAME?</v>
      </c>
      <c r="E60" s="151" t="e">
        <f ca="1">IF(E59="MW",[1]!MTEST($B28:$B43,E28:E43,2), IF(E59="T-Test Welch",_xlfn.T.TEST($B28:$B43,E28:E43,2,3),""))</f>
        <v>#NAME?</v>
      </c>
      <c r="F60" s="151" t="e">
        <f ca="1">IF(F59="MW",[1]!MTEST($B28:$B43,F28:F43,2), IF(F59="T-Test Welch",_xlfn.T.TEST($B28:$B43,F28:F43,2,3),""))</f>
        <v>#NAME?</v>
      </c>
      <c r="G60" s="151" t="e">
        <f ca="1">IF(G59="MW",[1]!MTEST($B28:$B43,G28:G43,2), IF(G59="T-Test Welch",_xlfn.T.TEST($B28:$B43,G28:G43,2,3),""))</f>
        <v>#NAME?</v>
      </c>
      <c r="H60" s="151" t="e">
        <f ca="1">IF(H59="MW",[1]!MTEST($B28:$B43,H28:H43,2), IF(H59="T-Test Welch",_xlfn.T.TEST($B28:$B43,H28:H43,2,3),""))</f>
        <v>#NAME?</v>
      </c>
      <c r="I60" s="151" t="e">
        <f ca="1">IF(I59="MW",[1]!MTEST($B28:$B43,I28:I43,2), IF(I59="T-Test Welch",_xlfn.T.TEST($B28:$B43,I28:I43,2,3),""))</f>
        <v>#NAME?</v>
      </c>
      <c r="J60" s="151" t="e">
        <f ca="1">IF(J59="MW",[1]!MTEST($B28:$B43,J28:J43,2), IF(J59="T-Test Welch",_xlfn.T.TEST($B28:$B43,J28:J43,2,3),""))</f>
        <v>#NAME?</v>
      </c>
      <c r="K60" s="151" t="e">
        <f ca="1">IF(K59="MW",[1]!MTEST($B28:$B43,K28:K43,2), IF(K59="T-Test Welch",_xlfn.T.TEST($B28:$B43,K28:K43,2,3),""))</f>
        <v>#NAME?</v>
      </c>
      <c r="L60" s="151" t="e">
        <f ca="1">IF(L59="MW",[1]!MTEST($B28:$B43,L28:L43,2), IF(L59="T-Test Welch",_xlfn.T.TEST($B28:$B43,L28:L43,2,3),""))</f>
        <v>#NAME?</v>
      </c>
      <c r="M60" s="151" t="e">
        <f ca="1">IF(M59="MW",[1]!MTEST($B28:$B43,M28:M43,2), IF(M59="T-Test Welch",_xlfn.T.TEST($B28:$B43,M28:M43,2,3),""))</f>
        <v>#NAME?</v>
      </c>
      <c r="N60" s="151"/>
      <c r="O60" s="151" t="e">
        <f ca="1">IF(O59="MW",[1]!MTEST($B28:$B43,O28:O43,2), IF(O59="T-Test Welch",_xlfn.T.TEST($B28:$B43,O28:O43,2,3),""))</f>
        <v>#NAME?</v>
      </c>
      <c r="P60" s="151" t="e">
        <f ca="1">IF(P59="MW",[1]!MTEST($O28:$O43,P28:P43,2), IF(P59="T-Test Welch",_xlfn.T.TEST($O28:$O43,P28:P43,2,3),""))</f>
        <v>#NAME?</v>
      </c>
      <c r="Q60" s="151" t="e">
        <f ca="1">IF(Q59="MW",[1]!MTEST($O28:$O43,Q28:Q43,2), IF(Q59="T-Test Welch",_xlfn.T.TEST($O28:$O43,Q28:Q43,2,3),""))</f>
        <v>#NAME?</v>
      </c>
      <c r="R60" s="151" t="e">
        <f ca="1">IF(R59="MW",[1]!MTEST($O28:$O43,R28:R43,2), IF(R59="T-Test Welch",_xlfn.T.TEST($O28:$O43,R28:R43,2,3),""))</f>
        <v>#NAME?</v>
      </c>
      <c r="S60" s="151" t="e">
        <f ca="1">IF(S59="MW",[1]!MTEST($O28:$O43,S28:S43,2), IF(S59="T-Test Welch",_xlfn.T.TEST($O28:$O43,S28:S43,2,3),""))</f>
        <v>#NAME?</v>
      </c>
      <c r="T60" s="151" t="e">
        <f ca="1">IF(T59="MW",[1]!MTEST($O28:$O43,T28:T43,2), IF(T59="T-Test Welch",_xlfn.T.TEST($O28:$O43,T28:T43,2,3),""))</f>
        <v>#NAME?</v>
      </c>
      <c r="U60" s="151" t="e">
        <f ca="1">IF(U59="MW",[1]!MTEST($O28:$O43,U28:U43,2), IF(U59="T-Test Welch",_xlfn.T.TEST($O28:$O43,U28:U43,2,3),""))</f>
        <v>#NAME?</v>
      </c>
      <c r="V60" s="151" t="e">
        <f ca="1">IF(V59="MW",[1]!MTEST($O28:$O43,V28:V43,2), IF(V59="T-Test Welch",_xlfn.T.TEST($O28:$O43,V28:V43,2,3),""))</f>
        <v>#NAME?</v>
      </c>
    </row>
    <row r="61" spans="1:22" s="3" customFormat="1" ht="15" thickBot="1" x14ac:dyDescent="0.35">
      <c r="A61" s="62" t="s">
        <v>84</v>
      </c>
      <c r="B61" s="142"/>
      <c r="C61" s="142" t="e">
        <f t="shared" ref="C61:O61" ca="1" si="54">IF(C60&gt;0.05,"NS",IF(C60&gt;0.01,"*",IF(C60&gt;0.001,"**","***")))</f>
        <v>#NAME?</v>
      </c>
      <c r="D61" s="142" t="e">
        <f t="shared" ca="1" si="54"/>
        <v>#NAME?</v>
      </c>
      <c r="E61" s="142" t="e">
        <f t="shared" ca="1" si="54"/>
        <v>#NAME?</v>
      </c>
      <c r="F61" s="142" t="e">
        <f t="shared" ca="1" si="54"/>
        <v>#NAME?</v>
      </c>
      <c r="G61" s="142" t="e">
        <f t="shared" ca="1" si="54"/>
        <v>#NAME?</v>
      </c>
      <c r="H61" s="142" t="e">
        <f t="shared" ca="1" si="54"/>
        <v>#NAME?</v>
      </c>
      <c r="I61" s="142" t="e">
        <f t="shared" ca="1" si="54"/>
        <v>#NAME?</v>
      </c>
      <c r="J61" s="142" t="e">
        <f t="shared" ca="1" si="54"/>
        <v>#NAME?</v>
      </c>
      <c r="K61" s="142" t="e">
        <f t="shared" ca="1" si="54"/>
        <v>#NAME?</v>
      </c>
      <c r="L61" s="142" t="e">
        <f t="shared" ca="1" si="54"/>
        <v>#NAME?</v>
      </c>
      <c r="M61" s="142" t="e">
        <f t="shared" ca="1" si="54"/>
        <v>#NAME?</v>
      </c>
      <c r="N61" s="142"/>
      <c r="O61" s="142" t="e">
        <f t="shared" ca="1" si="54"/>
        <v>#NAME?</v>
      </c>
      <c r="P61" s="142" t="e">
        <f ca="1">IF(P60&gt;0.05,"NS",IF(P60&gt;0.01,"*",IF(P60&gt;0.001,"**","***")))</f>
        <v>#NAME?</v>
      </c>
      <c r="Q61" s="142" t="e">
        <f t="shared" ref="Q61:V61" ca="1" si="55">IF(Q60&gt;0.05,"NS",IF(Q60&gt;0.01,"*",IF(Q60&gt;0.001,"**","***")))</f>
        <v>#NAME?</v>
      </c>
      <c r="R61" s="142" t="e">
        <f t="shared" ca="1" si="55"/>
        <v>#NAME?</v>
      </c>
      <c r="S61" s="142" t="e">
        <f t="shared" ca="1" si="55"/>
        <v>#NAME?</v>
      </c>
      <c r="T61" s="142" t="e">
        <f t="shared" ca="1" si="55"/>
        <v>#NAME?</v>
      </c>
      <c r="U61" s="142" t="e">
        <f t="shared" ca="1" si="55"/>
        <v>#NAME?</v>
      </c>
      <c r="V61" s="142" t="e">
        <f t="shared" ca="1" si="55"/>
        <v>#NAME?</v>
      </c>
    </row>
    <row r="63" spans="1:22" x14ac:dyDescent="0.3">
      <c r="A63" s="2" t="s">
        <v>39</v>
      </c>
    </row>
    <row r="64" spans="1:22" x14ac:dyDescent="0.3">
      <c r="A64" s="1" t="s">
        <v>23</v>
      </c>
      <c r="B64" s="1">
        <f>B46+(3*B47)</f>
        <v>0.5407417979156659</v>
      </c>
    </row>
    <row r="65" spans="1:22" x14ac:dyDescent="0.3">
      <c r="A65" s="1" t="s">
        <v>24</v>
      </c>
      <c r="B65" s="1">
        <f>B46+(10*B47)</f>
        <v>1.4441447579296052</v>
      </c>
    </row>
    <row r="66" spans="1:22" ht="15" thickBot="1" x14ac:dyDescent="0.35"/>
    <row r="67" spans="1:22" ht="26.4" thickBot="1" x14ac:dyDescent="0.55000000000000004">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A1686" zoomScale="80" zoomScaleNormal="80" workbookViewId="0">
      <selection activeCell="A1010" sqref="A1010:I1711"/>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 spans="1:144" x14ac:dyDescent="0.3">
      <c r="A12" s="1" t="str">
        <f t="shared" si="0"/>
        <v/>
      </c>
      <c r="B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 spans="1:144" x14ac:dyDescent="0.3">
      <c r="A13" s="1" t="str">
        <f t="shared" si="0"/>
        <v/>
      </c>
      <c r="B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 spans="1:144" x14ac:dyDescent="0.3">
      <c r="A14" s="1" t="str">
        <f t="shared" si="0"/>
        <v/>
      </c>
      <c r="B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 spans="1:144" x14ac:dyDescent="0.3">
      <c r="A15" s="1" t="str">
        <f t="shared" si="0"/>
        <v/>
      </c>
      <c r="B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 spans="1:144" x14ac:dyDescent="0.3">
      <c r="A16" s="1" t="str">
        <f t="shared" si="0"/>
        <v/>
      </c>
      <c r="B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 spans="1:2" x14ac:dyDescent="0.3">
      <c r="A17" s="1" t="str">
        <f t="shared" si="0"/>
        <v/>
      </c>
      <c r="B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 spans="1:2" x14ac:dyDescent="0.3">
      <c r="A18" s="1" t="str">
        <f t="shared" si="0"/>
        <v/>
      </c>
      <c r="B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 spans="1:2" x14ac:dyDescent="0.3">
      <c r="A19" s="1" t="str">
        <f t="shared" si="0"/>
        <v/>
      </c>
      <c r="B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 spans="1:2" x14ac:dyDescent="0.3">
      <c r="A20" s="1" t="str">
        <f t="shared" si="0"/>
        <v/>
      </c>
      <c r="B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 spans="1:2" x14ac:dyDescent="0.3">
      <c r="A21" s="1" t="str">
        <f t="shared" si="0"/>
        <v/>
      </c>
      <c r="B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 spans="1:2" x14ac:dyDescent="0.3">
      <c r="A22" s="1" t="str">
        <f t="shared" si="0"/>
        <v/>
      </c>
      <c r="B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 spans="1:2" x14ac:dyDescent="0.3">
      <c r="A23" s="1" t="str">
        <f t="shared" si="0"/>
        <v/>
      </c>
      <c r="B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 spans="1:2" x14ac:dyDescent="0.3">
      <c r="A24" s="1" t="str">
        <f t="shared" si="0"/>
        <v/>
      </c>
      <c r="B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 spans="1:2" x14ac:dyDescent="0.3">
      <c r="A25" s="1" t="str">
        <f t="shared" si="0"/>
        <v/>
      </c>
      <c r="B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 spans="1:2" x14ac:dyDescent="0.3">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 spans="1:2" x14ac:dyDescent="0.3">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 spans="1:2" x14ac:dyDescent="0.3">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 spans="1:2" x14ac:dyDescent="0.3">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 spans="1:2" x14ac:dyDescent="0.3">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 spans="1:2" x14ac:dyDescent="0.3">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 spans="1:2" x14ac:dyDescent="0.3">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 spans="1:2" x14ac:dyDescent="0.3">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 spans="1:2" x14ac:dyDescent="0.3">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 spans="1:2" x14ac:dyDescent="0.3">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 spans="1:2" x14ac:dyDescent="0.3">
      <c r="A36" s="1" t="str">
        <f t="shared" si="0"/>
        <v/>
      </c>
      <c r="B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 spans="1:2" x14ac:dyDescent="0.3">
      <c r="A37" s="1" t="str">
        <f t="shared" si="0"/>
        <v/>
      </c>
      <c r="B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 spans="1:2" x14ac:dyDescent="0.3">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 spans="1:2" x14ac:dyDescent="0.3">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 spans="1:2" x14ac:dyDescent="0.3">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 spans="1:2" x14ac:dyDescent="0.3">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 spans="1:2" x14ac:dyDescent="0.3">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 spans="1:2" x14ac:dyDescent="0.3">
      <c r="A43" s="1" t="str">
        <f t="shared" si="0"/>
        <v/>
      </c>
      <c r="B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 spans="1:2" x14ac:dyDescent="0.3">
      <c r="A44" s="1" t="str">
        <f t="shared" si="0"/>
        <v/>
      </c>
      <c r="B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 spans="1:2" x14ac:dyDescent="0.3">
      <c r="A45" s="1" t="str">
        <f t="shared" si="0"/>
        <v/>
      </c>
      <c r="B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 spans="1:2" x14ac:dyDescent="0.3">
      <c r="A46" s="1" t="str">
        <f t="shared" si="0"/>
        <v/>
      </c>
      <c r="B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 spans="1:2" x14ac:dyDescent="0.3">
      <c r="A47" s="1" t="str">
        <f t="shared" si="0"/>
        <v/>
      </c>
      <c r="B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 spans="1:2" x14ac:dyDescent="0.3">
      <c r="A48" s="1" t="str">
        <f t="shared" si="0"/>
        <v/>
      </c>
      <c r="B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 spans="1:2" x14ac:dyDescent="0.3">
      <c r="A49" s="1" t="str">
        <f t="shared" si="0"/>
        <v/>
      </c>
      <c r="B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 spans="1:2" x14ac:dyDescent="0.3">
      <c r="A50" s="1" t="str">
        <f t="shared" si="0"/>
        <v/>
      </c>
      <c r="B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 spans="1:2" x14ac:dyDescent="0.3">
      <c r="A51" s="1" t="str">
        <f t="shared" si="0"/>
        <v/>
      </c>
      <c r="B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 spans="1:2" x14ac:dyDescent="0.3">
      <c r="A52" s="1" t="str">
        <f t="shared" si="0"/>
        <v/>
      </c>
      <c r="B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 spans="1:2" x14ac:dyDescent="0.3">
      <c r="A53" s="1" t="str">
        <f t="shared" si="0"/>
        <v/>
      </c>
      <c r="B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 spans="1:2" x14ac:dyDescent="0.3">
      <c r="A54" s="1" t="str">
        <f t="shared" si="0"/>
        <v/>
      </c>
      <c r="B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 spans="1:2" x14ac:dyDescent="0.3">
      <c r="A55" s="1" t="str">
        <f t="shared" si="0"/>
        <v/>
      </c>
      <c r="B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 spans="1:2" x14ac:dyDescent="0.3">
      <c r="A56" s="1" t="str">
        <f t="shared" si="0"/>
        <v/>
      </c>
      <c r="B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 spans="1:2" x14ac:dyDescent="0.3">
      <c r="A57" s="1" t="str">
        <f t="shared" si="0"/>
        <v/>
      </c>
      <c r="B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 spans="1:2" x14ac:dyDescent="0.3">
      <c r="A58" s="1" t="str">
        <f t="shared" si="0"/>
        <v/>
      </c>
      <c r="B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 spans="1:2" x14ac:dyDescent="0.3">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 spans="1:2" x14ac:dyDescent="0.3">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 spans="1:2" x14ac:dyDescent="0.3">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 spans="1:2" x14ac:dyDescent="0.3">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 spans="1:2" x14ac:dyDescent="0.3">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 spans="1:2" x14ac:dyDescent="0.3">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 spans="1:2" x14ac:dyDescent="0.3">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 spans="1:2" x14ac:dyDescent="0.3">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 spans="1:2" x14ac:dyDescent="0.3">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 spans="1:2" x14ac:dyDescent="0.3">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 spans="1:2" x14ac:dyDescent="0.3">
      <c r="A69" s="1" t="str">
        <f t="shared" si="1"/>
        <v/>
      </c>
      <c r="B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 spans="1:2" x14ac:dyDescent="0.3">
      <c r="A70" s="1" t="str">
        <f t="shared" si="1"/>
        <v/>
      </c>
      <c r="B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 spans="1:2" x14ac:dyDescent="0.3">
      <c r="A71" s="1" t="str">
        <f t="shared" si="1"/>
        <v/>
      </c>
      <c r="B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 spans="1:2" x14ac:dyDescent="0.3">
      <c r="A72" s="1" t="str">
        <f t="shared" si="1"/>
        <v/>
      </c>
      <c r="B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 spans="1:2" x14ac:dyDescent="0.3">
      <c r="A73" s="1" t="str">
        <f t="shared" si="1"/>
        <v/>
      </c>
      <c r="B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 spans="1:2" x14ac:dyDescent="0.3">
      <c r="A74" s="1" t="str">
        <f t="shared" si="1"/>
        <v/>
      </c>
      <c r="B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 spans="1:2" x14ac:dyDescent="0.3">
      <c r="A75" s="1" t="str">
        <f t="shared" si="1"/>
        <v/>
      </c>
      <c r="B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 spans="1:2" x14ac:dyDescent="0.3">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 spans="1:2" x14ac:dyDescent="0.3">
      <c r="A77" s="1" t="str">
        <f t="shared" si="1"/>
        <v/>
      </c>
      <c r="B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 spans="1:2" x14ac:dyDescent="0.3">
      <c r="A78" s="1" t="str">
        <f t="shared" si="1"/>
        <v/>
      </c>
      <c r="B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 spans="1:2" x14ac:dyDescent="0.3">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 spans="1:2" x14ac:dyDescent="0.3">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 spans="1:2" x14ac:dyDescent="0.3">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 spans="1:2" x14ac:dyDescent="0.3">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 spans="1:2" x14ac:dyDescent="0.3">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 spans="1:2" x14ac:dyDescent="0.3">
      <c r="A84" s="1" t="str">
        <f t="shared" si="1"/>
        <v/>
      </c>
      <c r="B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 spans="1:2" x14ac:dyDescent="0.3">
      <c r="A85" s="1" t="str">
        <f t="shared" si="1"/>
        <v/>
      </c>
      <c r="B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 spans="1:2" x14ac:dyDescent="0.3">
      <c r="A86" s="1" t="str">
        <f t="shared" si="1"/>
        <v/>
      </c>
      <c r="B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 spans="1:2" x14ac:dyDescent="0.3">
      <c r="A87" s="1" t="str">
        <f t="shared" si="1"/>
        <v/>
      </c>
      <c r="B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 spans="1:2" x14ac:dyDescent="0.3">
      <c r="A88" s="1" t="str">
        <f t="shared" si="1"/>
        <v/>
      </c>
      <c r="B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 spans="1:2" x14ac:dyDescent="0.3">
      <c r="A89" s="1" t="str">
        <f t="shared" si="1"/>
        <v/>
      </c>
      <c r="B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 spans="1:2" x14ac:dyDescent="0.3">
      <c r="A90" s="1" t="str">
        <f t="shared" si="1"/>
        <v/>
      </c>
      <c r="B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 spans="1:2" x14ac:dyDescent="0.3">
      <c r="A91" s="1" t="str">
        <f t="shared" si="1"/>
        <v/>
      </c>
      <c r="B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 spans="1:2" x14ac:dyDescent="0.3">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 spans="1:2" x14ac:dyDescent="0.3">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 spans="1:2" x14ac:dyDescent="0.3">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 spans="1:2" x14ac:dyDescent="0.3">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 spans="1:2" x14ac:dyDescent="0.3">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 spans="1:2" x14ac:dyDescent="0.3">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 spans="1:2" x14ac:dyDescent="0.3">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 spans="1:2" x14ac:dyDescent="0.3">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 spans="1:2" x14ac:dyDescent="0.3">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 spans="1:2" x14ac:dyDescent="0.3">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 spans="1:2" x14ac:dyDescent="0.3">
      <c r="A102" s="1" t="str">
        <f t="shared" si="1"/>
        <v/>
      </c>
      <c r="B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 spans="1:2" x14ac:dyDescent="0.3">
      <c r="A103" s="1" t="str">
        <f t="shared" si="1"/>
        <v/>
      </c>
      <c r="B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 spans="1:2" x14ac:dyDescent="0.3">
      <c r="A104" s="1" t="str">
        <f t="shared" si="1"/>
        <v/>
      </c>
      <c r="B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 spans="1:2" x14ac:dyDescent="0.3">
      <c r="A105" s="1" t="str">
        <f t="shared" si="1"/>
        <v/>
      </c>
      <c r="B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 spans="1:2" x14ac:dyDescent="0.3">
      <c r="A106" s="1" t="str">
        <f t="shared" si="1"/>
        <v/>
      </c>
      <c r="B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 spans="1:2" x14ac:dyDescent="0.3">
      <c r="A107" s="1" t="str">
        <f t="shared" si="1"/>
        <v/>
      </c>
      <c r="B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 spans="1:2" x14ac:dyDescent="0.3">
      <c r="A108" s="1" t="str">
        <f t="shared" si="1"/>
        <v/>
      </c>
      <c r="B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 spans="1:2" x14ac:dyDescent="0.3">
      <c r="A109" s="1" t="str">
        <f t="shared" si="1"/>
        <v/>
      </c>
      <c r="B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 spans="1:2" x14ac:dyDescent="0.3">
      <c r="A110" s="1" t="str">
        <f t="shared" si="1"/>
        <v/>
      </c>
      <c r="B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 spans="1:2" x14ac:dyDescent="0.3">
      <c r="A111" s="1" t="str">
        <f t="shared" si="1"/>
        <v/>
      </c>
      <c r="B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 spans="1:2" x14ac:dyDescent="0.3">
      <c r="A112" s="1" t="str">
        <f t="shared" si="1"/>
        <v/>
      </c>
      <c r="B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 spans="1:2" x14ac:dyDescent="0.3">
      <c r="A113" s="1" t="str">
        <f t="shared" si="1"/>
        <v/>
      </c>
      <c r="B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 spans="1:2" x14ac:dyDescent="0.3">
      <c r="A114" s="1" t="str">
        <f t="shared" si="1"/>
        <v/>
      </c>
      <c r="B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 spans="1:2" x14ac:dyDescent="0.3">
      <c r="A115" s="1" t="str">
        <f t="shared" si="1"/>
        <v/>
      </c>
      <c r="B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 spans="1:2" x14ac:dyDescent="0.3">
      <c r="A116" s="1" t="str">
        <f t="shared" si="1"/>
        <v/>
      </c>
      <c r="B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 spans="1:2" x14ac:dyDescent="0.3">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 spans="1:2" x14ac:dyDescent="0.3">
      <c r="A118" s="1" t="str">
        <f t="shared" si="1"/>
        <v/>
      </c>
      <c r="B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 spans="1:2" x14ac:dyDescent="0.3">
      <c r="A119" s="1" t="str">
        <f t="shared" si="1"/>
        <v/>
      </c>
      <c r="B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 spans="1:2" x14ac:dyDescent="0.3">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 spans="1:2" x14ac:dyDescent="0.3">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 spans="1:2" x14ac:dyDescent="0.3">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 spans="1:2" x14ac:dyDescent="0.3">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 spans="1:2" x14ac:dyDescent="0.3">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 spans="1:2" x14ac:dyDescent="0.3">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 spans="1:2" x14ac:dyDescent="0.3">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 spans="1:2" x14ac:dyDescent="0.3">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 spans="1:2" x14ac:dyDescent="0.3">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 spans="1:2" x14ac:dyDescent="0.3">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 spans="1:2" x14ac:dyDescent="0.3">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 spans="1:2" x14ac:dyDescent="0.3">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 spans="1:2" x14ac:dyDescent="0.3">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 spans="1:2" x14ac:dyDescent="0.3">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 spans="1:2" x14ac:dyDescent="0.3">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 spans="1:2" x14ac:dyDescent="0.3">
      <c r="A135" s="1" t="str">
        <f t="shared" si="2"/>
        <v/>
      </c>
      <c r="B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 spans="1:2" x14ac:dyDescent="0.3">
      <c r="A136" s="1" t="str">
        <f t="shared" si="2"/>
        <v/>
      </c>
      <c r="B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 spans="1:2" x14ac:dyDescent="0.3">
      <c r="A137" s="1" t="str">
        <f t="shared" si="2"/>
        <v/>
      </c>
      <c r="B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 spans="1:2" x14ac:dyDescent="0.3">
      <c r="A138" s="1" t="str">
        <f t="shared" si="2"/>
        <v/>
      </c>
      <c r="B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 spans="1:2" x14ac:dyDescent="0.3">
      <c r="A139" s="1" t="str">
        <f t="shared" si="2"/>
        <v/>
      </c>
      <c r="B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 spans="1:2" x14ac:dyDescent="0.3">
      <c r="A140" s="1" t="str">
        <f t="shared" si="2"/>
        <v/>
      </c>
      <c r="B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 spans="1:2" x14ac:dyDescent="0.3">
      <c r="A141" s="1" t="str">
        <f t="shared" si="2"/>
        <v/>
      </c>
      <c r="B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 spans="1:2" x14ac:dyDescent="0.3">
      <c r="A142" s="1" t="str">
        <f t="shared" si="2"/>
        <v/>
      </c>
      <c r="B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 spans="1:2" x14ac:dyDescent="0.3">
      <c r="A143" s="1" t="str">
        <f t="shared" si="2"/>
        <v/>
      </c>
      <c r="B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 spans="1:2" x14ac:dyDescent="0.3">
      <c r="A144" s="1" t="str">
        <f t="shared" si="2"/>
        <v/>
      </c>
      <c r="B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 spans="1:2" x14ac:dyDescent="0.3">
      <c r="A145" s="1" t="str">
        <f t="shared" si="2"/>
        <v/>
      </c>
      <c r="B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 spans="1:2" x14ac:dyDescent="0.3">
      <c r="A146" s="1" t="str">
        <f t="shared" si="2"/>
        <v/>
      </c>
      <c r="B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 spans="1:2" x14ac:dyDescent="0.3">
      <c r="A147" s="1" t="str">
        <f t="shared" si="2"/>
        <v/>
      </c>
      <c r="B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 spans="1:2" x14ac:dyDescent="0.3">
      <c r="A148" s="1" t="str">
        <f t="shared" si="2"/>
        <v/>
      </c>
      <c r="B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 spans="1:2" x14ac:dyDescent="0.3">
      <c r="A149" s="1" t="str">
        <f t="shared" si="2"/>
        <v/>
      </c>
      <c r="B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 spans="1:2" x14ac:dyDescent="0.3">
      <c r="A150" s="1" t="str">
        <f t="shared" si="2"/>
        <v/>
      </c>
      <c r="B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 spans="1:2" x14ac:dyDescent="0.3">
      <c r="A151" s="1" t="str">
        <f t="shared" si="2"/>
        <v/>
      </c>
      <c r="B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 spans="1:2" x14ac:dyDescent="0.3">
      <c r="A152" s="1" t="str">
        <f t="shared" si="2"/>
        <v/>
      </c>
      <c r="B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 spans="1:2" x14ac:dyDescent="0.3">
      <c r="A153" s="1" t="str">
        <f t="shared" si="2"/>
        <v/>
      </c>
      <c r="B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 spans="1:2" x14ac:dyDescent="0.3">
      <c r="A154" s="1" t="str">
        <f t="shared" si="2"/>
        <v/>
      </c>
      <c r="B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 spans="1:2" x14ac:dyDescent="0.3">
      <c r="A155" s="1" t="str">
        <f t="shared" si="2"/>
        <v/>
      </c>
      <c r="B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 spans="1:2" x14ac:dyDescent="0.3">
      <c r="A156" s="1" t="str">
        <f t="shared" si="2"/>
        <v/>
      </c>
      <c r="B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 spans="1:2" x14ac:dyDescent="0.3">
      <c r="A157" s="1" t="str">
        <f t="shared" si="2"/>
        <v/>
      </c>
      <c r="B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 spans="1:2" x14ac:dyDescent="0.3">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 spans="1:2" x14ac:dyDescent="0.3">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 spans="1:2" x14ac:dyDescent="0.3">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 spans="1:2" x14ac:dyDescent="0.3">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 spans="1:2" x14ac:dyDescent="0.3">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 spans="1:2" x14ac:dyDescent="0.3">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 spans="1:2" x14ac:dyDescent="0.3">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 spans="1:2" x14ac:dyDescent="0.3">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 spans="1:2" x14ac:dyDescent="0.3">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 spans="1:2" x14ac:dyDescent="0.3">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 spans="1:2" x14ac:dyDescent="0.3">
      <c r="A168" s="1" t="str">
        <f t="shared" si="2"/>
        <v/>
      </c>
      <c r="B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 spans="1:2" x14ac:dyDescent="0.3">
      <c r="A169" s="1" t="str">
        <f t="shared" si="2"/>
        <v/>
      </c>
      <c r="B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 spans="1:2" x14ac:dyDescent="0.3">
      <c r="A170" s="1" t="str">
        <f t="shared" si="2"/>
        <v/>
      </c>
      <c r="B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 spans="1:2" x14ac:dyDescent="0.3">
      <c r="A171" s="1" t="str">
        <f t="shared" si="2"/>
        <v/>
      </c>
      <c r="B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2" spans="1:2" x14ac:dyDescent="0.3">
      <c r="A172" s="1" t="str">
        <f t="shared" si="2"/>
        <v/>
      </c>
      <c r="B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3" spans="1:2" x14ac:dyDescent="0.3">
      <c r="A173" s="1" t="str">
        <f t="shared" si="2"/>
        <v/>
      </c>
      <c r="B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4" spans="1:2" x14ac:dyDescent="0.3">
      <c r="A174" s="1" t="str">
        <f t="shared" si="2"/>
        <v/>
      </c>
      <c r="B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5" spans="1:2" x14ac:dyDescent="0.3">
      <c r="A175" s="1" t="str">
        <f t="shared" si="2"/>
        <v/>
      </c>
      <c r="B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6" spans="1:2" x14ac:dyDescent="0.3">
      <c r="A176" s="1" t="str">
        <f t="shared" si="2"/>
        <v/>
      </c>
      <c r="B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7" spans="1:2" x14ac:dyDescent="0.3">
      <c r="A177" s="1" t="str">
        <f t="shared" si="2"/>
        <v/>
      </c>
      <c r="B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8" spans="1:2" x14ac:dyDescent="0.3">
      <c r="A178" s="1" t="str">
        <f t="shared" si="2"/>
        <v/>
      </c>
      <c r="B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9" spans="1:2" x14ac:dyDescent="0.3">
      <c r="A179" s="1" t="str">
        <f t="shared" si="2"/>
        <v/>
      </c>
      <c r="B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0" spans="1:2" x14ac:dyDescent="0.3">
      <c r="A180" s="1" t="str">
        <f t="shared" si="2"/>
        <v/>
      </c>
      <c r="B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1" spans="1:2" x14ac:dyDescent="0.3">
      <c r="A181" s="1" t="str">
        <f t="shared" si="2"/>
        <v/>
      </c>
      <c r="B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2" spans="1:2" x14ac:dyDescent="0.3">
      <c r="A182" s="1" t="str">
        <f t="shared" si="2"/>
        <v/>
      </c>
      <c r="B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3" spans="1:2" x14ac:dyDescent="0.3">
      <c r="A183" s="1" t="str">
        <f t="shared" si="2"/>
        <v/>
      </c>
      <c r="B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4" spans="1:2" x14ac:dyDescent="0.3">
      <c r="A184" s="1" t="str">
        <f t="shared" si="2"/>
        <v/>
      </c>
      <c r="B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5" spans="1:2" x14ac:dyDescent="0.3">
      <c r="A185" s="1" t="str">
        <f t="shared" si="2"/>
        <v/>
      </c>
      <c r="B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6" spans="1:2" x14ac:dyDescent="0.3">
      <c r="A186" s="1" t="str">
        <f t="shared" si="2"/>
        <v/>
      </c>
      <c r="B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7" spans="1:2" x14ac:dyDescent="0.3">
      <c r="A187" s="1" t="str">
        <f t="shared" si="2"/>
        <v/>
      </c>
      <c r="B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8" spans="1:2" x14ac:dyDescent="0.3">
      <c r="A188" s="1" t="str">
        <f t="shared" si="2"/>
        <v/>
      </c>
      <c r="B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9" spans="1:2" x14ac:dyDescent="0.3">
      <c r="A189" s="1" t="str">
        <f t="shared" si="2"/>
        <v/>
      </c>
      <c r="B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0" spans="1:2" x14ac:dyDescent="0.3">
      <c r="A190" s="1" t="str">
        <f t="shared" si="2"/>
        <v/>
      </c>
      <c r="B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1" spans="1:2" x14ac:dyDescent="0.3">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2" spans="1:2" x14ac:dyDescent="0.3">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3" spans="1:2" x14ac:dyDescent="0.3">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4" spans="1:2" x14ac:dyDescent="0.3">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5" spans="1:2" x14ac:dyDescent="0.3">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6" spans="1:2" x14ac:dyDescent="0.3">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7" spans="1:2" x14ac:dyDescent="0.3">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8" spans="1:2" x14ac:dyDescent="0.3">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9" spans="1:2" x14ac:dyDescent="0.3">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0" spans="1:2" x14ac:dyDescent="0.3">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1" spans="1:2" x14ac:dyDescent="0.3">
      <c r="A201" s="1" t="str">
        <f t="shared" si="3"/>
        <v/>
      </c>
      <c r="B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2" spans="1:2" x14ac:dyDescent="0.3">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3" spans="1:2" x14ac:dyDescent="0.3">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4" spans="1:2" x14ac:dyDescent="0.3">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5" spans="1:2" x14ac:dyDescent="0.3">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6" spans="1:2" x14ac:dyDescent="0.3">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7" spans="1:2" x14ac:dyDescent="0.3">
      <c r="A207" s="1" t="str">
        <f t="shared" si="3"/>
        <v/>
      </c>
      <c r="B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8" spans="1:2" x14ac:dyDescent="0.3">
      <c r="A208" s="1" t="str">
        <f t="shared" si="3"/>
        <v/>
      </c>
      <c r="B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9" spans="1:2" x14ac:dyDescent="0.3">
      <c r="A209" s="1" t="str">
        <f t="shared" si="3"/>
        <v/>
      </c>
      <c r="B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0" spans="1:2" x14ac:dyDescent="0.3">
      <c r="A210" s="1" t="str">
        <f t="shared" si="3"/>
        <v/>
      </c>
      <c r="B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1" spans="1:2" x14ac:dyDescent="0.3">
      <c r="A211" s="1" t="str">
        <f t="shared" si="3"/>
        <v/>
      </c>
      <c r="B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2" spans="1:2" x14ac:dyDescent="0.3">
      <c r="A212" s="1" t="str">
        <f t="shared" si="3"/>
        <v/>
      </c>
      <c r="B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3" spans="1:2" x14ac:dyDescent="0.3">
      <c r="A213" s="1" t="str">
        <f t="shared" si="3"/>
        <v/>
      </c>
      <c r="B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4" spans="1:2" x14ac:dyDescent="0.3">
      <c r="A214" s="1" t="str">
        <f t="shared" si="3"/>
        <v/>
      </c>
      <c r="B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5" spans="1:2" x14ac:dyDescent="0.3">
      <c r="A215" s="1" t="str">
        <f t="shared" si="3"/>
        <v/>
      </c>
      <c r="B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6" spans="1:2" x14ac:dyDescent="0.3">
      <c r="A216" s="1" t="str">
        <f t="shared" si="3"/>
        <v/>
      </c>
      <c r="B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7" spans="1:2" x14ac:dyDescent="0.3">
      <c r="A217" s="1" t="str">
        <f t="shared" si="3"/>
        <v/>
      </c>
      <c r="B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8" spans="1:2" x14ac:dyDescent="0.3">
      <c r="A218" s="1" t="str">
        <f t="shared" si="3"/>
        <v/>
      </c>
      <c r="B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9" spans="1:2" x14ac:dyDescent="0.3">
      <c r="A219" s="1" t="str">
        <f t="shared" si="3"/>
        <v/>
      </c>
      <c r="B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0" spans="1:2" x14ac:dyDescent="0.3">
      <c r="A220" s="1" t="str">
        <f t="shared" si="3"/>
        <v/>
      </c>
      <c r="B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1" spans="1:2" x14ac:dyDescent="0.3">
      <c r="A221" s="1" t="str">
        <f t="shared" si="3"/>
        <v/>
      </c>
      <c r="B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2" spans="1:2" x14ac:dyDescent="0.3">
      <c r="A222" s="1" t="str">
        <f t="shared" si="3"/>
        <v/>
      </c>
      <c r="B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3" spans="1:2" x14ac:dyDescent="0.3">
      <c r="A223" s="1" t="str">
        <f t="shared" si="3"/>
        <v/>
      </c>
      <c r="B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4" spans="1:2" x14ac:dyDescent="0.3">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5" spans="1:2" x14ac:dyDescent="0.3">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6" spans="1:2" x14ac:dyDescent="0.3">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7" spans="1:2" x14ac:dyDescent="0.3">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8" spans="1:2" x14ac:dyDescent="0.3">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9" spans="1:2" x14ac:dyDescent="0.3">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0" spans="1:2" x14ac:dyDescent="0.3">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1" spans="1:2" x14ac:dyDescent="0.3">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2" spans="1:2" x14ac:dyDescent="0.3">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3" spans="1:2" x14ac:dyDescent="0.3">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4" spans="1:2" x14ac:dyDescent="0.3">
      <c r="A234" s="1" t="str">
        <f t="shared" si="3"/>
        <v/>
      </c>
      <c r="B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5" spans="1:2" x14ac:dyDescent="0.3">
      <c r="A235" s="1" t="str">
        <f t="shared" si="3"/>
        <v/>
      </c>
      <c r="B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6" spans="1:2" x14ac:dyDescent="0.3">
      <c r="A236" s="1" t="str">
        <f t="shared" si="3"/>
        <v/>
      </c>
      <c r="B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7" spans="1:2" x14ac:dyDescent="0.3">
      <c r="A237" s="1" t="str">
        <f t="shared" si="3"/>
        <v/>
      </c>
      <c r="B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8" spans="1:2" x14ac:dyDescent="0.3">
      <c r="A238" s="1" t="str">
        <f t="shared" si="3"/>
        <v/>
      </c>
      <c r="B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9" spans="1:2" x14ac:dyDescent="0.3">
      <c r="A239" s="1" t="str">
        <f t="shared" si="3"/>
        <v/>
      </c>
      <c r="B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0" spans="1:2" x14ac:dyDescent="0.3">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1" spans="1:2" x14ac:dyDescent="0.3">
      <c r="A241" s="1" t="str">
        <f t="shared" si="3"/>
        <v/>
      </c>
      <c r="B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2" spans="1:2" x14ac:dyDescent="0.3">
      <c r="A242" s="1" t="str">
        <f t="shared" si="3"/>
        <v/>
      </c>
      <c r="B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3" spans="1:2" x14ac:dyDescent="0.3">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4" spans="1:2" x14ac:dyDescent="0.3">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5" spans="1:2" x14ac:dyDescent="0.3">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6" spans="1:2" x14ac:dyDescent="0.3">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7" spans="1:2" x14ac:dyDescent="0.3">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8" spans="1:2" x14ac:dyDescent="0.3">
      <c r="A248" s="1" t="str">
        <f t="shared" si="3"/>
        <v/>
      </c>
      <c r="B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9" spans="1:2" x14ac:dyDescent="0.3">
      <c r="A249" s="1" t="str">
        <f t="shared" si="3"/>
        <v/>
      </c>
      <c r="B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0" spans="1:2" x14ac:dyDescent="0.3">
      <c r="A250" s="1" t="str">
        <f t="shared" si="3"/>
        <v/>
      </c>
      <c r="B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1" spans="1:2" x14ac:dyDescent="0.3">
      <c r="A251" s="1" t="str">
        <f t="shared" si="3"/>
        <v/>
      </c>
      <c r="B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2" spans="1:2" x14ac:dyDescent="0.3">
      <c r="A252" s="1" t="str">
        <f t="shared" si="3"/>
        <v/>
      </c>
      <c r="B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3" spans="1:2" x14ac:dyDescent="0.3">
      <c r="A253" s="1" t="str">
        <f t="shared" si="3"/>
        <v/>
      </c>
      <c r="B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4" spans="1:2" x14ac:dyDescent="0.3">
      <c r="A254" s="1" t="str">
        <f t="shared" si="3"/>
        <v/>
      </c>
      <c r="B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5" spans="1:2" x14ac:dyDescent="0.3">
      <c r="A255" s="1" t="str">
        <f t="shared" si="3"/>
        <v/>
      </c>
      <c r="B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6" spans="1:2" x14ac:dyDescent="0.3">
      <c r="A256" s="1" t="str">
        <f t="shared" si="3"/>
        <v/>
      </c>
      <c r="B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7" spans="1:2" x14ac:dyDescent="0.3">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8" spans="1:2" x14ac:dyDescent="0.3">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9" spans="1:2" x14ac:dyDescent="0.3">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0" spans="1:2" x14ac:dyDescent="0.3">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1" spans="1:2" x14ac:dyDescent="0.3">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2" spans="1:2" x14ac:dyDescent="0.3">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3" spans="1:2" x14ac:dyDescent="0.3">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4" spans="1:2" x14ac:dyDescent="0.3">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5" spans="1:2" x14ac:dyDescent="0.3">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6" spans="1:2" x14ac:dyDescent="0.3">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7" spans="1:2" x14ac:dyDescent="0.3">
      <c r="A267" s="1" t="str">
        <f t="shared" si="4"/>
        <v/>
      </c>
      <c r="B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8" spans="1:2" x14ac:dyDescent="0.3">
      <c r="A268" s="1" t="str">
        <f t="shared" si="4"/>
        <v/>
      </c>
      <c r="B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9" spans="1:2" x14ac:dyDescent="0.3">
      <c r="A269" s="1" t="str">
        <f t="shared" si="4"/>
        <v/>
      </c>
      <c r="B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0" spans="1:2" x14ac:dyDescent="0.3">
      <c r="A270" s="1" t="str">
        <f t="shared" si="4"/>
        <v/>
      </c>
      <c r="B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1" spans="1:2" x14ac:dyDescent="0.3">
      <c r="A271" s="1" t="str">
        <f t="shared" si="4"/>
        <v/>
      </c>
      <c r="B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2" spans="1:2" x14ac:dyDescent="0.3">
      <c r="A272" s="1" t="str">
        <f t="shared" si="4"/>
        <v/>
      </c>
      <c r="B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3" spans="1:2" x14ac:dyDescent="0.3">
      <c r="A273" s="1" t="str">
        <f t="shared" si="4"/>
        <v/>
      </c>
      <c r="B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4" spans="1:2" x14ac:dyDescent="0.3">
      <c r="A274" s="1" t="str">
        <f t="shared" si="4"/>
        <v/>
      </c>
      <c r="B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5" spans="1:2" x14ac:dyDescent="0.3">
      <c r="A275" s="1" t="str">
        <f t="shared" si="4"/>
        <v/>
      </c>
      <c r="B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6" spans="1:2" x14ac:dyDescent="0.3">
      <c r="A276" s="1" t="str">
        <f t="shared" si="4"/>
        <v/>
      </c>
      <c r="B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7" spans="1:2" x14ac:dyDescent="0.3">
      <c r="A277" s="1" t="str">
        <f t="shared" si="4"/>
        <v/>
      </c>
      <c r="B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8" spans="1:2" x14ac:dyDescent="0.3">
      <c r="A278" s="1" t="str">
        <f t="shared" si="4"/>
        <v/>
      </c>
      <c r="B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9" spans="1:2" x14ac:dyDescent="0.3">
      <c r="A279" s="1" t="str">
        <f t="shared" si="4"/>
        <v/>
      </c>
      <c r="B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0" spans="1:2" x14ac:dyDescent="0.3">
      <c r="A280" s="1" t="str">
        <f t="shared" si="4"/>
        <v/>
      </c>
      <c r="B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1" spans="1:2" x14ac:dyDescent="0.3">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2" spans="1:2" x14ac:dyDescent="0.3">
      <c r="A282" s="1" t="str">
        <f t="shared" si="4"/>
        <v/>
      </c>
      <c r="B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3" spans="1:2" x14ac:dyDescent="0.3">
      <c r="A283" s="1" t="str">
        <f t="shared" si="4"/>
        <v/>
      </c>
      <c r="B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4" spans="1:2" x14ac:dyDescent="0.3">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5" spans="1:2" x14ac:dyDescent="0.3">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6" spans="1:2" x14ac:dyDescent="0.3">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7" spans="1:2" x14ac:dyDescent="0.3">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8" spans="1:2" x14ac:dyDescent="0.3">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9" spans="1:2" x14ac:dyDescent="0.3">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0" spans="1:2" x14ac:dyDescent="0.3">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1" spans="1:2" x14ac:dyDescent="0.3">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2" spans="1:2" x14ac:dyDescent="0.3">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3" spans="1:2" x14ac:dyDescent="0.3">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4" spans="1:2" x14ac:dyDescent="0.3">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5" spans="1:2" x14ac:dyDescent="0.3">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6" spans="1:2" x14ac:dyDescent="0.3">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7" spans="1:2" x14ac:dyDescent="0.3">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8" spans="1:2" x14ac:dyDescent="0.3">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9" spans="1:2" x14ac:dyDescent="0.3">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0" spans="1:2" x14ac:dyDescent="0.3">
      <c r="A300" s="1" t="str">
        <f t="shared" si="4"/>
        <v/>
      </c>
      <c r="B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1" spans="1:2" x14ac:dyDescent="0.3">
      <c r="A301" s="1" t="str">
        <f t="shared" si="4"/>
        <v/>
      </c>
      <c r="B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2" spans="1:2" x14ac:dyDescent="0.3">
      <c r="A302" s="1" t="str">
        <f t="shared" si="4"/>
        <v/>
      </c>
      <c r="B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3" spans="1:2" x14ac:dyDescent="0.3">
      <c r="A303" s="1" t="str">
        <f t="shared" si="4"/>
        <v/>
      </c>
      <c r="B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4" spans="1:2" x14ac:dyDescent="0.3">
      <c r="A304" s="1" t="str">
        <f t="shared" si="4"/>
        <v/>
      </c>
      <c r="B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5" spans="1:2" x14ac:dyDescent="0.3">
      <c r="A305" s="1" t="str">
        <f t="shared" si="4"/>
        <v/>
      </c>
      <c r="B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6" spans="1:2" x14ac:dyDescent="0.3">
      <c r="A306" s="1" t="str">
        <f t="shared" si="4"/>
        <v/>
      </c>
      <c r="B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7" spans="1:2" x14ac:dyDescent="0.3">
      <c r="A307" s="1" t="str">
        <f t="shared" si="4"/>
        <v/>
      </c>
      <c r="B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8" spans="1:2" x14ac:dyDescent="0.3">
      <c r="A308" s="1" t="str">
        <f t="shared" si="4"/>
        <v/>
      </c>
      <c r="B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9" spans="1:2" x14ac:dyDescent="0.3">
      <c r="A309" s="1" t="str">
        <f t="shared" si="4"/>
        <v/>
      </c>
      <c r="B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0" spans="1:2" x14ac:dyDescent="0.3">
      <c r="A310" s="1" t="str">
        <f t="shared" si="4"/>
        <v/>
      </c>
      <c r="B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1" spans="1:2" x14ac:dyDescent="0.3">
      <c r="A311" s="1" t="str">
        <f t="shared" si="4"/>
        <v/>
      </c>
      <c r="B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2" spans="1:2" x14ac:dyDescent="0.3">
      <c r="A312" s="1" t="str">
        <f t="shared" si="4"/>
        <v/>
      </c>
      <c r="B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3" spans="1:2" x14ac:dyDescent="0.3">
      <c r="A313" s="1" t="str">
        <f t="shared" si="4"/>
        <v/>
      </c>
      <c r="B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4" spans="1:2" x14ac:dyDescent="0.3">
      <c r="A314" s="1" t="str">
        <f t="shared" si="4"/>
        <v/>
      </c>
      <c r="B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5" spans="1:2" x14ac:dyDescent="0.3">
      <c r="A315" s="1" t="str">
        <f t="shared" si="4"/>
        <v/>
      </c>
      <c r="B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6" spans="1:2" x14ac:dyDescent="0.3">
      <c r="A316" s="1" t="str">
        <f t="shared" si="4"/>
        <v/>
      </c>
      <c r="B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7" spans="1:2" x14ac:dyDescent="0.3">
      <c r="A317" s="1" t="str">
        <f t="shared" si="4"/>
        <v/>
      </c>
      <c r="B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8" spans="1:2" x14ac:dyDescent="0.3">
      <c r="A318" s="1" t="str">
        <f t="shared" si="4"/>
        <v/>
      </c>
      <c r="B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9" spans="1:2" x14ac:dyDescent="0.3">
      <c r="A319" s="1" t="str">
        <f t="shared" si="4"/>
        <v/>
      </c>
      <c r="B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0" spans="1:2" x14ac:dyDescent="0.3">
      <c r="A320" s="1" t="str">
        <f t="shared" si="4"/>
        <v/>
      </c>
      <c r="B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1" spans="1:2" x14ac:dyDescent="0.3">
      <c r="A321" s="1" t="str">
        <f t="shared" si="4"/>
        <v/>
      </c>
      <c r="B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2" spans="1:2" x14ac:dyDescent="0.3">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3" spans="1:2" x14ac:dyDescent="0.3">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4" spans="1:2" x14ac:dyDescent="0.3">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5" spans="1:2" x14ac:dyDescent="0.3">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6" spans="1:2" x14ac:dyDescent="0.3">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7" spans="1:2" x14ac:dyDescent="0.3">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8" spans="1:2" x14ac:dyDescent="0.3">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9" spans="1:2" x14ac:dyDescent="0.3">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0" spans="1:2" x14ac:dyDescent="0.3">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1" spans="1:2" x14ac:dyDescent="0.3">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2" spans="1:2" x14ac:dyDescent="0.3">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3" spans="1:2" x14ac:dyDescent="0.3">
      <c r="A333" s="1" t="str">
        <f t="shared" si="5"/>
        <v/>
      </c>
      <c r="B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4" spans="1:2" x14ac:dyDescent="0.3">
      <c r="A334" s="1" t="str">
        <f t="shared" si="5"/>
        <v/>
      </c>
      <c r="B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5" spans="1:2" x14ac:dyDescent="0.3">
      <c r="A335" s="1" t="str">
        <f t="shared" si="5"/>
        <v/>
      </c>
      <c r="B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6" spans="1:2" x14ac:dyDescent="0.3">
      <c r="A336" s="1" t="str">
        <f t="shared" si="5"/>
        <v/>
      </c>
      <c r="B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7" spans="1:2" x14ac:dyDescent="0.3">
      <c r="A337" s="1" t="str">
        <f t="shared" si="5"/>
        <v/>
      </c>
      <c r="B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8" spans="1:2" x14ac:dyDescent="0.3">
      <c r="A338" s="1" t="str">
        <f t="shared" si="5"/>
        <v/>
      </c>
      <c r="B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9" spans="1:2" x14ac:dyDescent="0.3">
      <c r="A339" s="1" t="str">
        <f t="shared" si="5"/>
        <v/>
      </c>
      <c r="B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0" spans="1:2" x14ac:dyDescent="0.3">
      <c r="A340" s="1" t="str">
        <f t="shared" si="5"/>
        <v/>
      </c>
      <c r="B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1" spans="1:2" x14ac:dyDescent="0.3">
      <c r="A341" s="1" t="str">
        <f t="shared" si="5"/>
        <v/>
      </c>
      <c r="B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2" spans="1:2" x14ac:dyDescent="0.3">
      <c r="A342" s="1" t="str">
        <f t="shared" si="5"/>
        <v/>
      </c>
      <c r="B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3" spans="1:2" x14ac:dyDescent="0.3">
      <c r="A343" s="1" t="str">
        <f t="shared" si="5"/>
        <v/>
      </c>
      <c r="B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4" spans="1:2" x14ac:dyDescent="0.3">
      <c r="A344" s="1" t="str">
        <f t="shared" si="5"/>
        <v/>
      </c>
      <c r="B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5" spans="1:2" x14ac:dyDescent="0.3">
      <c r="A345" s="1" t="str">
        <f t="shared" si="5"/>
        <v/>
      </c>
      <c r="B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6" spans="1:2" x14ac:dyDescent="0.3">
      <c r="A346" s="1" t="str">
        <f t="shared" si="5"/>
        <v/>
      </c>
      <c r="B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7" spans="1:2" x14ac:dyDescent="0.3">
      <c r="A347" s="1" t="str">
        <f t="shared" si="5"/>
        <v/>
      </c>
      <c r="B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8" spans="1:2" x14ac:dyDescent="0.3">
      <c r="A348" s="1" t="str">
        <f t="shared" si="5"/>
        <v/>
      </c>
      <c r="B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9" spans="1:2" x14ac:dyDescent="0.3">
      <c r="A349" s="1" t="str">
        <f t="shared" si="5"/>
        <v/>
      </c>
      <c r="B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0" spans="1:2" x14ac:dyDescent="0.3">
      <c r="A350" s="1" t="str">
        <f t="shared" si="5"/>
        <v/>
      </c>
      <c r="B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1" spans="1:2" x14ac:dyDescent="0.3">
      <c r="A351" s="1" t="str">
        <f t="shared" si="5"/>
        <v/>
      </c>
      <c r="B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2" spans="1:2" x14ac:dyDescent="0.3">
      <c r="A352" s="1" t="str">
        <f t="shared" si="5"/>
        <v/>
      </c>
      <c r="B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3" spans="1:2" x14ac:dyDescent="0.3">
      <c r="A353" s="1" t="str">
        <f t="shared" si="5"/>
        <v/>
      </c>
      <c r="B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4" spans="1:2" x14ac:dyDescent="0.3">
      <c r="A354" s="1" t="str">
        <f t="shared" si="5"/>
        <v/>
      </c>
      <c r="B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5" spans="1:2" x14ac:dyDescent="0.3">
      <c r="A355" s="1" t="str">
        <f t="shared" si="5"/>
        <v/>
      </c>
      <c r="B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6" spans="1:2" x14ac:dyDescent="0.3">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7" spans="1:2" x14ac:dyDescent="0.3">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8" spans="1:2" x14ac:dyDescent="0.3">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9" spans="1:2" x14ac:dyDescent="0.3">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0" spans="1:2" x14ac:dyDescent="0.3">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1" spans="1:2" x14ac:dyDescent="0.3">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2" spans="1:2" x14ac:dyDescent="0.3">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3" spans="1:2" x14ac:dyDescent="0.3">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4" spans="1:2" x14ac:dyDescent="0.3">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5" spans="1:2" x14ac:dyDescent="0.3">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6" spans="1:2" x14ac:dyDescent="0.3">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7" spans="1:2" x14ac:dyDescent="0.3">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8" spans="1:2" x14ac:dyDescent="0.3">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9" spans="1:2" x14ac:dyDescent="0.3">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0" spans="1:2" x14ac:dyDescent="0.3">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1" spans="1:2" x14ac:dyDescent="0.3">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2" spans="1:2" x14ac:dyDescent="0.3">
      <c r="A372" s="1" t="str">
        <f t="shared" si="5"/>
        <v/>
      </c>
      <c r="B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3" spans="1:2" x14ac:dyDescent="0.3">
      <c r="A373" s="1" t="str">
        <f t="shared" si="5"/>
        <v/>
      </c>
      <c r="B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4" spans="1:2" x14ac:dyDescent="0.3">
      <c r="A374" s="1" t="str">
        <f t="shared" si="5"/>
        <v/>
      </c>
      <c r="B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5" spans="1:2" x14ac:dyDescent="0.3">
      <c r="A375" s="1" t="str">
        <f t="shared" si="5"/>
        <v/>
      </c>
      <c r="B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6" spans="1:2" x14ac:dyDescent="0.3">
      <c r="A376" s="1" t="str">
        <f t="shared" si="5"/>
        <v/>
      </c>
      <c r="B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7" spans="1:2" x14ac:dyDescent="0.3">
      <c r="A377" s="1" t="str">
        <f t="shared" si="5"/>
        <v/>
      </c>
      <c r="B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8" spans="1:2" x14ac:dyDescent="0.3">
      <c r="A378" s="1" t="str">
        <f t="shared" si="5"/>
        <v/>
      </c>
      <c r="B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9" spans="1:2" x14ac:dyDescent="0.3">
      <c r="A379" s="1" t="str">
        <f t="shared" si="5"/>
        <v/>
      </c>
      <c r="B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0" spans="1:2" x14ac:dyDescent="0.3">
      <c r="A380" s="1" t="str">
        <f t="shared" si="5"/>
        <v/>
      </c>
      <c r="B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1" spans="1:2" x14ac:dyDescent="0.3">
      <c r="A381" s="1" t="str">
        <f t="shared" si="5"/>
        <v/>
      </c>
      <c r="B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2" spans="1:2" x14ac:dyDescent="0.3">
      <c r="A382" s="1" t="str">
        <f t="shared" si="5"/>
        <v/>
      </c>
      <c r="B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3" spans="1:2" x14ac:dyDescent="0.3">
      <c r="A383" s="1" t="str">
        <f t="shared" si="5"/>
        <v/>
      </c>
      <c r="B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4" spans="1:2" x14ac:dyDescent="0.3">
      <c r="A384" s="1" t="str">
        <f t="shared" si="5"/>
        <v/>
      </c>
      <c r="B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5" spans="1:2" x14ac:dyDescent="0.3">
      <c r="A385" s="1" t="str">
        <f t="shared" si="5"/>
        <v/>
      </c>
      <c r="B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6" spans="1:2" x14ac:dyDescent="0.3">
      <c r="A386" s="1" t="str">
        <f t="shared" ref="A386:A449" si="6">IFERROR(LEFT(RIGHT(C386,LEN(C386)-SEARCH("@",C386)),SEARCH("/",RIGHT(C386,LEN(C386)-SEARCH("@",C386)-1))),"")</f>
        <v/>
      </c>
      <c r="B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7" spans="1:2" x14ac:dyDescent="0.3">
      <c r="A387" s="1" t="str">
        <f t="shared" si="6"/>
        <v/>
      </c>
      <c r="B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8" spans="1:2" x14ac:dyDescent="0.3">
      <c r="A388" s="1" t="str">
        <f t="shared" si="6"/>
        <v/>
      </c>
      <c r="B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9" spans="1:2" x14ac:dyDescent="0.3">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0" spans="1:2" x14ac:dyDescent="0.3">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1" spans="1:2" x14ac:dyDescent="0.3">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2" spans="1:2" x14ac:dyDescent="0.3">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3" spans="1:2" x14ac:dyDescent="0.3">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4" spans="1:2" x14ac:dyDescent="0.3">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5" spans="1:2" x14ac:dyDescent="0.3">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6" spans="1:2" x14ac:dyDescent="0.3">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7" spans="1:2" x14ac:dyDescent="0.3">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8" spans="1:2" x14ac:dyDescent="0.3">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9" spans="1:2" x14ac:dyDescent="0.3">
      <c r="A399" s="1" t="str">
        <f t="shared" si="6"/>
        <v/>
      </c>
      <c r="B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0" spans="1:2" x14ac:dyDescent="0.3">
      <c r="A400" s="1" t="str">
        <f t="shared" si="6"/>
        <v/>
      </c>
      <c r="B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1" spans="1:2" x14ac:dyDescent="0.3">
      <c r="A401" s="1" t="str">
        <f t="shared" si="6"/>
        <v/>
      </c>
      <c r="B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2" spans="1:2" x14ac:dyDescent="0.3">
      <c r="A402" s="1" t="str">
        <f t="shared" si="6"/>
        <v/>
      </c>
      <c r="B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3" spans="1:2" x14ac:dyDescent="0.3">
      <c r="A403" s="1" t="str">
        <f t="shared" si="6"/>
        <v/>
      </c>
      <c r="B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4" spans="1:2" x14ac:dyDescent="0.3">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5" spans="1:2" x14ac:dyDescent="0.3">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6" spans="1:2" x14ac:dyDescent="0.3">
      <c r="A406" s="1" t="str">
        <f t="shared" si="6"/>
        <v/>
      </c>
      <c r="B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7" spans="1:2" x14ac:dyDescent="0.3">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8" spans="1:2" x14ac:dyDescent="0.3">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9" spans="1:2" x14ac:dyDescent="0.3">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0" spans="1:2" x14ac:dyDescent="0.3">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1" spans="1:2" x14ac:dyDescent="0.3">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2" spans="1:2" x14ac:dyDescent="0.3">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3" spans="1:2" x14ac:dyDescent="0.3">
      <c r="A413" s="1" t="str">
        <f t="shared" si="6"/>
        <v/>
      </c>
      <c r="B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4" spans="1:2" x14ac:dyDescent="0.3">
      <c r="A414" s="1" t="str">
        <f t="shared" si="6"/>
        <v/>
      </c>
      <c r="B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5" spans="1:2" x14ac:dyDescent="0.3">
      <c r="A415" s="1" t="str">
        <f t="shared" si="6"/>
        <v/>
      </c>
      <c r="B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6" spans="1:2" x14ac:dyDescent="0.3">
      <c r="A416" s="1" t="str">
        <f t="shared" si="6"/>
        <v/>
      </c>
      <c r="B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7" spans="1:2" x14ac:dyDescent="0.3">
      <c r="A417" s="1" t="str">
        <f t="shared" si="6"/>
        <v/>
      </c>
      <c r="B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8" spans="1:2" x14ac:dyDescent="0.3">
      <c r="A418" s="1" t="str">
        <f t="shared" si="6"/>
        <v/>
      </c>
      <c r="B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9" spans="1:2" x14ac:dyDescent="0.3">
      <c r="A419" s="1" t="str">
        <f t="shared" si="6"/>
        <v/>
      </c>
      <c r="B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0" spans="1:2" x14ac:dyDescent="0.3">
      <c r="A420" s="1" t="str">
        <f t="shared" si="6"/>
        <v/>
      </c>
      <c r="B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1" spans="1:2" x14ac:dyDescent="0.3">
      <c r="A421" s="1" t="str">
        <f t="shared" si="6"/>
        <v/>
      </c>
      <c r="B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2" spans="1:2" x14ac:dyDescent="0.3">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3" spans="1:2" x14ac:dyDescent="0.3">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4" spans="1:2" x14ac:dyDescent="0.3">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5" spans="1:2" x14ac:dyDescent="0.3">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6" spans="1:2" x14ac:dyDescent="0.3">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7" spans="1:2" x14ac:dyDescent="0.3">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8" spans="1:2" x14ac:dyDescent="0.3">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9" spans="1:2" x14ac:dyDescent="0.3">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0" spans="1:2" x14ac:dyDescent="0.3">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1" spans="1:2" x14ac:dyDescent="0.3">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2" spans="1:2" x14ac:dyDescent="0.3">
      <c r="A432" s="1" t="str">
        <f t="shared" si="6"/>
        <v/>
      </c>
      <c r="B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3" spans="1:2" x14ac:dyDescent="0.3">
      <c r="A433" s="1" t="str">
        <f t="shared" si="6"/>
        <v/>
      </c>
      <c r="B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4" spans="1:2" x14ac:dyDescent="0.3">
      <c r="A434" s="1" t="str">
        <f t="shared" si="6"/>
        <v/>
      </c>
      <c r="B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5" spans="1:2" x14ac:dyDescent="0.3">
      <c r="A435" s="1" t="str">
        <f t="shared" si="6"/>
        <v/>
      </c>
      <c r="B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6" spans="1:2" x14ac:dyDescent="0.3">
      <c r="A436" s="1" t="str">
        <f t="shared" si="6"/>
        <v/>
      </c>
      <c r="B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7" spans="1:2" x14ac:dyDescent="0.3">
      <c r="A437" s="1" t="str">
        <f t="shared" si="6"/>
        <v/>
      </c>
      <c r="B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8" spans="1:2" x14ac:dyDescent="0.3">
      <c r="A438" s="1" t="str">
        <f t="shared" si="6"/>
        <v/>
      </c>
      <c r="B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9" spans="1:2" x14ac:dyDescent="0.3">
      <c r="A439" s="1" t="str">
        <f t="shared" si="6"/>
        <v/>
      </c>
      <c r="B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0" spans="1:2" x14ac:dyDescent="0.3">
      <c r="A440" s="1" t="str">
        <f t="shared" si="6"/>
        <v/>
      </c>
      <c r="B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1" spans="1:2" x14ac:dyDescent="0.3">
      <c r="A441" s="1" t="str">
        <f t="shared" si="6"/>
        <v/>
      </c>
      <c r="B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2" spans="1:2" x14ac:dyDescent="0.3">
      <c r="A442" s="1" t="str">
        <f t="shared" si="6"/>
        <v/>
      </c>
      <c r="B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3" spans="1:2" x14ac:dyDescent="0.3">
      <c r="A443" s="1" t="str">
        <f t="shared" si="6"/>
        <v/>
      </c>
      <c r="B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4" spans="1:2" x14ac:dyDescent="0.3">
      <c r="A444" s="1" t="str">
        <f t="shared" si="6"/>
        <v/>
      </c>
      <c r="B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5" spans="1:2" x14ac:dyDescent="0.3">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6" spans="1:2" x14ac:dyDescent="0.3">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7" spans="1:2" x14ac:dyDescent="0.3">
      <c r="A447" s="1" t="str">
        <f t="shared" si="6"/>
        <v/>
      </c>
      <c r="B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8" spans="1:2" x14ac:dyDescent="0.3">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9" spans="1:2" x14ac:dyDescent="0.3">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0" spans="1:2" x14ac:dyDescent="0.3">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1" spans="1:2" x14ac:dyDescent="0.3">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2" spans="1:2" x14ac:dyDescent="0.3">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3" spans="1:2" x14ac:dyDescent="0.3">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4" spans="1:2" x14ac:dyDescent="0.3">
      <c r="A454" s="1" t="str">
        <f t="shared" si="7"/>
        <v/>
      </c>
      <c r="B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5" spans="1:2" x14ac:dyDescent="0.3">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6" spans="1:2" x14ac:dyDescent="0.3">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7" spans="1:2" x14ac:dyDescent="0.3">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8" spans="1:2" x14ac:dyDescent="0.3">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9" spans="1:2" x14ac:dyDescent="0.3">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0" spans="1:2" x14ac:dyDescent="0.3">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1" spans="1:2" x14ac:dyDescent="0.3">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2" spans="1:2" x14ac:dyDescent="0.3">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3" spans="1:2" x14ac:dyDescent="0.3">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4" spans="1:2" x14ac:dyDescent="0.3">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5" spans="1:2" x14ac:dyDescent="0.3">
      <c r="A465" s="1" t="str">
        <f t="shared" si="7"/>
        <v/>
      </c>
      <c r="B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6" spans="1:2" x14ac:dyDescent="0.3">
      <c r="A466" s="1" t="str">
        <f t="shared" si="7"/>
        <v/>
      </c>
      <c r="B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7" spans="1:2" x14ac:dyDescent="0.3">
      <c r="A467" s="1" t="str">
        <f t="shared" si="7"/>
        <v/>
      </c>
      <c r="B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8" spans="1:2" x14ac:dyDescent="0.3">
      <c r="A468" s="1" t="str">
        <f t="shared" si="7"/>
        <v/>
      </c>
      <c r="B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9" spans="1:2" x14ac:dyDescent="0.3">
      <c r="A469" s="1" t="str">
        <f t="shared" si="7"/>
        <v/>
      </c>
      <c r="B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0" spans="1:2" x14ac:dyDescent="0.3">
      <c r="A470" s="1" t="str">
        <f t="shared" si="7"/>
        <v/>
      </c>
      <c r="B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1" spans="1:2" x14ac:dyDescent="0.3">
      <c r="A471" s="1" t="str">
        <f t="shared" si="7"/>
        <v/>
      </c>
      <c r="B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2" spans="1:2" x14ac:dyDescent="0.3">
      <c r="A472" s="1" t="str">
        <f t="shared" si="7"/>
        <v/>
      </c>
      <c r="B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3" spans="1:2" x14ac:dyDescent="0.3">
      <c r="A473" s="1" t="str">
        <f t="shared" si="7"/>
        <v/>
      </c>
      <c r="B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4" spans="1:2" x14ac:dyDescent="0.3">
      <c r="A474" s="1" t="str">
        <f t="shared" si="7"/>
        <v/>
      </c>
      <c r="B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5" spans="1:2" x14ac:dyDescent="0.3">
      <c r="A475" s="1" t="str">
        <f t="shared" si="7"/>
        <v/>
      </c>
      <c r="B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6" spans="1:2" x14ac:dyDescent="0.3">
      <c r="A476" s="1" t="str">
        <f t="shared" si="7"/>
        <v/>
      </c>
      <c r="B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7" spans="1:2" x14ac:dyDescent="0.3">
      <c r="A477" s="1" t="str">
        <f t="shared" si="7"/>
        <v/>
      </c>
      <c r="B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8" spans="1:2" x14ac:dyDescent="0.3">
      <c r="A478" s="1" t="str">
        <f t="shared" si="7"/>
        <v/>
      </c>
      <c r="B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9" spans="1:2" x14ac:dyDescent="0.3">
      <c r="A479" s="1" t="str">
        <f t="shared" si="7"/>
        <v/>
      </c>
      <c r="B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0" spans="1:2" x14ac:dyDescent="0.3">
      <c r="A480" s="1" t="str">
        <f t="shared" si="7"/>
        <v/>
      </c>
      <c r="B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1" spans="1:2" x14ac:dyDescent="0.3">
      <c r="A481" s="1" t="str">
        <f t="shared" si="7"/>
        <v/>
      </c>
      <c r="B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2" spans="1:2" x14ac:dyDescent="0.3">
      <c r="A482" s="1" t="str">
        <f t="shared" si="7"/>
        <v/>
      </c>
      <c r="B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3" spans="1:2" x14ac:dyDescent="0.3">
      <c r="A483" s="1" t="str">
        <f t="shared" si="7"/>
        <v/>
      </c>
      <c r="B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4" spans="1:2" x14ac:dyDescent="0.3">
      <c r="A484" s="1" t="str">
        <f t="shared" si="7"/>
        <v/>
      </c>
      <c r="B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5" spans="1:2" x14ac:dyDescent="0.3">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6" spans="1:2" x14ac:dyDescent="0.3">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7" spans="1:2" x14ac:dyDescent="0.3">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8" spans="1:2" x14ac:dyDescent="0.3">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9" spans="1:2" x14ac:dyDescent="0.3">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0" spans="1:2" x14ac:dyDescent="0.3">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1" spans="1:2" x14ac:dyDescent="0.3">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2" spans="1:2" x14ac:dyDescent="0.3">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3" spans="1:2" x14ac:dyDescent="0.3">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4" spans="1:2" x14ac:dyDescent="0.3">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5" spans="1:2" x14ac:dyDescent="0.3">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6" spans="1:2" x14ac:dyDescent="0.3">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7" spans="1:2" x14ac:dyDescent="0.3">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8" spans="1:2" x14ac:dyDescent="0.3">
      <c r="A498" s="1" t="str">
        <f t="shared" si="7"/>
        <v/>
      </c>
      <c r="B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9" spans="1:2" x14ac:dyDescent="0.3">
      <c r="A499" s="1" t="str">
        <f t="shared" si="7"/>
        <v/>
      </c>
      <c r="B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0" spans="1:2" x14ac:dyDescent="0.3">
      <c r="A500" s="1" t="str">
        <f t="shared" si="7"/>
        <v/>
      </c>
      <c r="B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1" spans="1:2" x14ac:dyDescent="0.3">
      <c r="A501" s="1" t="str">
        <f t="shared" si="7"/>
        <v/>
      </c>
      <c r="B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2" spans="1:2" x14ac:dyDescent="0.3">
      <c r="A502" s="1" t="str">
        <f t="shared" si="7"/>
        <v/>
      </c>
      <c r="B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3" spans="1:2" x14ac:dyDescent="0.3">
      <c r="A503" s="1" t="str">
        <f t="shared" si="7"/>
        <v/>
      </c>
      <c r="B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4" spans="1:2" x14ac:dyDescent="0.3">
      <c r="A504" s="1" t="str">
        <f t="shared" si="7"/>
        <v/>
      </c>
      <c r="B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5" spans="1:2" x14ac:dyDescent="0.3">
      <c r="A505" s="1" t="str">
        <f t="shared" si="7"/>
        <v/>
      </c>
      <c r="B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6" spans="1:2" x14ac:dyDescent="0.3">
      <c r="A506" s="1" t="str">
        <f t="shared" si="7"/>
        <v/>
      </c>
      <c r="B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7" spans="1:2" x14ac:dyDescent="0.3">
      <c r="A507" s="1" t="str">
        <f t="shared" si="7"/>
        <v/>
      </c>
      <c r="B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8" spans="1:2" x14ac:dyDescent="0.3">
      <c r="A508" s="1" t="str">
        <f t="shared" si="7"/>
        <v/>
      </c>
      <c r="B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9" spans="1:2" x14ac:dyDescent="0.3">
      <c r="A509" s="1" t="str">
        <f t="shared" si="7"/>
        <v/>
      </c>
      <c r="B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0" spans="1:2" x14ac:dyDescent="0.3">
      <c r="A510" s="1" t="str">
        <f t="shared" si="7"/>
        <v/>
      </c>
      <c r="B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1" spans="1:2" x14ac:dyDescent="0.3">
      <c r="A511" s="1" t="str">
        <f t="shared" si="7"/>
        <v/>
      </c>
      <c r="B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2" spans="1:2" x14ac:dyDescent="0.3">
      <c r="A512" s="1" t="str">
        <f t="shared" si="7"/>
        <v/>
      </c>
      <c r="B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3" spans="1:2" x14ac:dyDescent="0.3">
      <c r="A513" s="1" t="str">
        <f t="shared" si="7"/>
        <v/>
      </c>
      <c r="B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4" spans="1:2" x14ac:dyDescent="0.3">
      <c r="A514" s="1" t="str">
        <f t="shared" ref="A514:A577" si="8">IFERROR(LEFT(RIGHT(C514,LEN(C514)-SEARCH("@",C514)),SEARCH("/",RIGHT(C514,LEN(C514)-SEARCH("@",C514)-1))),"")</f>
        <v/>
      </c>
      <c r="B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5" spans="1:2" x14ac:dyDescent="0.3">
      <c r="A515" s="1" t="str">
        <f t="shared" si="8"/>
        <v/>
      </c>
      <c r="B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6" spans="1:2" x14ac:dyDescent="0.3">
      <c r="A516" s="1" t="str">
        <f t="shared" si="8"/>
        <v/>
      </c>
      <c r="B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7" spans="1:2" x14ac:dyDescent="0.3">
      <c r="A517" s="1" t="str">
        <f t="shared" si="8"/>
        <v/>
      </c>
      <c r="B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8" spans="1:2" x14ac:dyDescent="0.3">
      <c r="A518" s="1" t="str">
        <f t="shared" si="8"/>
        <v/>
      </c>
      <c r="B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9" spans="1:2" x14ac:dyDescent="0.3">
      <c r="A519" s="1" t="str">
        <f t="shared" si="8"/>
        <v/>
      </c>
      <c r="B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0" spans="1:2" x14ac:dyDescent="0.3">
      <c r="A520" s="1" t="str">
        <f t="shared" si="8"/>
        <v/>
      </c>
      <c r="B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1" spans="1:2" x14ac:dyDescent="0.3">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2" spans="1:2" x14ac:dyDescent="0.3">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3" spans="1:2" x14ac:dyDescent="0.3">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4" spans="1:2" x14ac:dyDescent="0.3">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5" spans="1:2" x14ac:dyDescent="0.3">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6" spans="1:2" x14ac:dyDescent="0.3">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7" spans="1:2" x14ac:dyDescent="0.3">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8" spans="1:2" x14ac:dyDescent="0.3">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9" spans="1:2" x14ac:dyDescent="0.3">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0" spans="1:2" x14ac:dyDescent="0.3">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1" spans="1:2" x14ac:dyDescent="0.3">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2" spans="1:2" x14ac:dyDescent="0.3">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3" spans="1:2" x14ac:dyDescent="0.3">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4" spans="1:2" x14ac:dyDescent="0.3">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5" spans="1:2" x14ac:dyDescent="0.3">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6" spans="1:2" x14ac:dyDescent="0.3">
      <c r="A536" s="1" t="str">
        <f t="shared" si="8"/>
        <v/>
      </c>
      <c r="B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7" spans="1:2" x14ac:dyDescent="0.3">
      <c r="A537" s="1" t="str">
        <f t="shared" si="8"/>
        <v/>
      </c>
      <c r="B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8" spans="1:2" x14ac:dyDescent="0.3">
      <c r="A538" s="1" t="str">
        <f t="shared" si="8"/>
        <v/>
      </c>
      <c r="B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9" spans="1:2" x14ac:dyDescent="0.3">
      <c r="A539" s="1" t="str">
        <f t="shared" si="8"/>
        <v/>
      </c>
      <c r="B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0" spans="1:2" x14ac:dyDescent="0.3">
      <c r="A540" s="1" t="str">
        <f t="shared" si="8"/>
        <v/>
      </c>
      <c r="B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1" spans="1:2" x14ac:dyDescent="0.3">
      <c r="A541" s="1" t="str">
        <f t="shared" si="8"/>
        <v/>
      </c>
      <c r="B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2" spans="1:2" x14ac:dyDescent="0.3">
      <c r="A542" s="1" t="str">
        <f t="shared" si="8"/>
        <v/>
      </c>
      <c r="B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3" spans="1:2" x14ac:dyDescent="0.3">
      <c r="A543" s="1" t="str">
        <f t="shared" si="8"/>
        <v/>
      </c>
      <c r="B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4" spans="1:2" x14ac:dyDescent="0.3">
      <c r="A544" s="1" t="str">
        <f t="shared" si="8"/>
        <v/>
      </c>
      <c r="B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5" spans="1:2" x14ac:dyDescent="0.3">
      <c r="A545" s="1" t="str">
        <f t="shared" si="8"/>
        <v/>
      </c>
      <c r="B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6" spans="1:2" x14ac:dyDescent="0.3">
      <c r="A546" s="1" t="str">
        <f t="shared" si="8"/>
        <v/>
      </c>
      <c r="B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7" spans="1:2" x14ac:dyDescent="0.3">
      <c r="A547" s="1" t="str">
        <f t="shared" si="8"/>
        <v/>
      </c>
      <c r="B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8" spans="1:2" x14ac:dyDescent="0.3">
      <c r="A548" s="1" t="str">
        <f t="shared" si="8"/>
        <v/>
      </c>
      <c r="B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9" spans="1:2" x14ac:dyDescent="0.3">
      <c r="A549" s="1" t="str">
        <f t="shared" si="8"/>
        <v/>
      </c>
      <c r="B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0" spans="1:2" x14ac:dyDescent="0.3">
      <c r="A550" s="1" t="str">
        <f t="shared" si="8"/>
        <v/>
      </c>
      <c r="B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1" spans="1:2" x14ac:dyDescent="0.3">
      <c r="A551" s="1" t="str">
        <f t="shared" si="8"/>
        <v/>
      </c>
      <c r="B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2" spans="1:2" x14ac:dyDescent="0.3">
      <c r="A552" s="1" t="str">
        <f t="shared" si="8"/>
        <v/>
      </c>
      <c r="B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3" spans="1:2" x14ac:dyDescent="0.3">
      <c r="A553" s="1" t="str">
        <f t="shared" si="8"/>
        <v/>
      </c>
      <c r="B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4" spans="1:2" x14ac:dyDescent="0.3">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5" spans="1:2" x14ac:dyDescent="0.3">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6" spans="1:2" x14ac:dyDescent="0.3">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7" spans="1:2" x14ac:dyDescent="0.3">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8" spans="1:2" x14ac:dyDescent="0.3">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9" spans="1:2" x14ac:dyDescent="0.3">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0" spans="1:2" x14ac:dyDescent="0.3">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1" spans="1:2" x14ac:dyDescent="0.3">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2" spans="1:2" x14ac:dyDescent="0.3">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3" spans="1:2" x14ac:dyDescent="0.3">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4" spans="1:2" x14ac:dyDescent="0.3">
      <c r="A564" s="1" t="str">
        <f t="shared" si="8"/>
        <v/>
      </c>
      <c r="B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5" spans="1:2" x14ac:dyDescent="0.3">
      <c r="A565" s="1" t="str">
        <f t="shared" si="8"/>
        <v/>
      </c>
      <c r="B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6" spans="1:2" x14ac:dyDescent="0.3">
      <c r="A566" s="1" t="str">
        <f t="shared" si="8"/>
        <v/>
      </c>
      <c r="B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7" spans="1:2" x14ac:dyDescent="0.3">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8" spans="1:2" x14ac:dyDescent="0.3">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9" spans="1:2" x14ac:dyDescent="0.3">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0" spans="1:2" x14ac:dyDescent="0.3">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1" spans="1:2" x14ac:dyDescent="0.3">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2" spans="1:2" x14ac:dyDescent="0.3">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3" spans="1:2" x14ac:dyDescent="0.3">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4" spans="1:2" x14ac:dyDescent="0.3">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5" spans="1:2" x14ac:dyDescent="0.3">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6" spans="1:2" x14ac:dyDescent="0.3">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7" spans="1:2" x14ac:dyDescent="0.3">
      <c r="A577" s="1" t="str">
        <f t="shared" si="8"/>
        <v/>
      </c>
      <c r="B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8" spans="1:2" x14ac:dyDescent="0.3">
      <c r="A578" s="1" t="str">
        <f t="shared" ref="A578:A641" si="9">IFERROR(LEFT(RIGHT(C578,LEN(C578)-SEARCH("@",C578)),SEARCH("/",RIGHT(C578,LEN(C578)-SEARCH("@",C578)-1))),"")</f>
        <v/>
      </c>
      <c r="B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9" spans="1:2" x14ac:dyDescent="0.3">
      <c r="A579" s="1" t="str">
        <f t="shared" si="9"/>
        <v/>
      </c>
      <c r="B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0" spans="1:2" x14ac:dyDescent="0.3">
      <c r="A580" s="1" t="str">
        <f t="shared" si="9"/>
        <v/>
      </c>
      <c r="B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1" spans="1:2" x14ac:dyDescent="0.3">
      <c r="A581" s="1" t="str">
        <f t="shared" si="9"/>
        <v/>
      </c>
      <c r="B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2" spans="1:2" x14ac:dyDescent="0.3">
      <c r="A582" s="1" t="str">
        <f t="shared" si="9"/>
        <v/>
      </c>
      <c r="B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3" spans="1:2" x14ac:dyDescent="0.3">
      <c r="A583" s="1" t="str">
        <f t="shared" si="9"/>
        <v/>
      </c>
      <c r="B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4" spans="1:2" x14ac:dyDescent="0.3">
      <c r="A584" s="1" t="str">
        <f t="shared" si="9"/>
        <v/>
      </c>
      <c r="B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5" spans="1:2" x14ac:dyDescent="0.3">
      <c r="A585" s="1" t="str">
        <f t="shared" si="9"/>
        <v/>
      </c>
      <c r="B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6" spans="1:2" x14ac:dyDescent="0.3">
      <c r="A586" s="1" t="str">
        <f t="shared" si="9"/>
        <v/>
      </c>
      <c r="B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7" spans="1:2" x14ac:dyDescent="0.3">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8" spans="1:2" x14ac:dyDescent="0.3">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9" spans="1:2" x14ac:dyDescent="0.3">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0" spans="1:2" x14ac:dyDescent="0.3">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1" spans="1:2" x14ac:dyDescent="0.3">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2" spans="1:2" x14ac:dyDescent="0.3">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3" spans="1:2" x14ac:dyDescent="0.3">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4" spans="1:2" x14ac:dyDescent="0.3">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5" spans="1:2" x14ac:dyDescent="0.3">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6" spans="1:2" x14ac:dyDescent="0.3">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7" spans="1:2" x14ac:dyDescent="0.3">
      <c r="A597" s="1" t="str">
        <f t="shared" si="9"/>
        <v/>
      </c>
      <c r="B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8" spans="1:2" x14ac:dyDescent="0.3">
      <c r="A598" s="1" t="str">
        <f t="shared" si="9"/>
        <v/>
      </c>
      <c r="B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9" spans="1:2" x14ac:dyDescent="0.3">
      <c r="A599" s="1" t="str">
        <f t="shared" si="9"/>
        <v/>
      </c>
      <c r="B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0" spans="1:2" x14ac:dyDescent="0.3">
      <c r="A600" s="1" t="str">
        <f t="shared" si="9"/>
        <v/>
      </c>
      <c r="B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1" spans="1:2" x14ac:dyDescent="0.3">
      <c r="A601" s="1" t="str">
        <f t="shared" si="9"/>
        <v/>
      </c>
      <c r="B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2" spans="1:2" x14ac:dyDescent="0.3">
      <c r="A602" s="1" t="str">
        <f t="shared" si="9"/>
        <v/>
      </c>
      <c r="B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3" spans="1:2" x14ac:dyDescent="0.3">
      <c r="A603" s="1" t="str">
        <f t="shared" si="9"/>
        <v/>
      </c>
      <c r="B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4" spans="1:2" x14ac:dyDescent="0.3">
      <c r="A604" s="1" t="str">
        <f t="shared" si="9"/>
        <v/>
      </c>
      <c r="B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5" spans="1:2" x14ac:dyDescent="0.3">
      <c r="A605" s="1" t="str">
        <f t="shared" si="9"/>
        <v/>
      </c>
      <c r="B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6" spans="1:2" x14ac:dyDescent="0.3">
      <c r="A606" s="1" t="str">
        <f t="shared" si="9"/>
        <v/>
      </c>
      <c r="B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7" spans="1:2" x14ac:dyDescent="0.3">
      <c r="A607" s="1" t="str">
        <f t="shared" si="9"/>
        <v/>
      </c>
      <c r="B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8" spans="1:2" x14ac:dyDescent="0.3">
      <c r="A608" s="1" t="str">
        <f t="shared" si="9"/>
        <v/>
      </c>
      <c r="B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9" spans="1:2" x14ac:dyDescent="0.3">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0" spans="1:2" x14ac:dyDescent="0.3">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1" spans="1:2" x14ac:dyDescent="0.3">
      <c r="A611" s="1" t="str">
        <f t="shared" si="9"/>
        <v/>
      </c>
      <c r="B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2" spans="1:2" x14ac:dyDescent="0.3">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3" spans="1:2" x14ac:dyDescent="0.3">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4" spans="1:2" x14ac:dyDescent="0.3">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5" spans="1:2" x14ac:dyDescent="0.3">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6" spans="1:2" x14ac:dyDescent="0.3">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7" spans="1:2" x14ac:dyDescent="0.3">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8" spans="1:2" x14ac:dyDescent="0.3">
      <c r="A618" s="1" t="str">
        <f t="shared" si="9"/>
        <v/>
      </c>
      <c r="B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9" spans="1:2" x14ac:dyDescent="0.3">
      <c r="A619" s="1" t="str">
        <f t="shared" si="9"/>
        <v/>
      </c>
      <c r="B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0" spans="1:2" x14ac:dyDescent="0.3">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1" spans="1:2" x14ac:dyDescent="0.3">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2" spans="1:2" x14ac:dyDescent="0.3">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3" spans="1:2" x14ac:dyDescent="0.3">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4" spans="1:2" x14ac:dyDescent="0.3">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5" spans="1:2" x14ac:dyDescent="0.3">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6" spans="1:2" x14ac:dyDescent="0.3">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7" spans="1:2" x14ac:dyDescent="0.3">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8" spans="1:2" x14ac:dyDescent="0.3">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9" spans="1:2" x14ac:dyDescent="0.3">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0" spans="1:2" x14ac:dyDescent="0.3">
      <c r="A630" s="1" t="str">
        <f t="shared" si="9"/>
        <v/>
      </c>
      <c r="B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1" spans="1:2" x14ac:dyDescent="0.3">
      <c r="A631" s="1" t="str">
        <f t="shared" si="9"/>
        <v/>
      </c>
      <c r="B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2" spans="1:2" x14ac:dyDescent="0.3">
      <c r="A632" s="1" t="str">
        <f t="shared" si="9"/>
        <v/>
      </c>
      <c r="B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3" spans="1:2" x14ac:dyDescent="0.3">
      <c r="A633" s="1" t="str">
        <f t="shared" si="9"/>
        <v/>
      </c>
      <c r="B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4" spans="1:2" x14ac:dyDescent="0.3">
      <c r="A634" s="1" t="str">
        <f t="shared" si="9"/>
        <v/>
      </c>
      <c r="B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5" spans="1:2" x14ac:dyDescent="0.3">
      <c r="A635" s="1" t="str">
        <f t="shared" si="9"/>
        <v/>
      </c>
      <c r="B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6" spans="1:2" x14ac:dyDescent="0.3">
      <c r="A636" s="1" t="str">
        <f t="shared" si="9"/>
        <v/>
      </c>
      <c r="B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7" spans="1:2" x14ac:dyDescent="0.3">
      <c r="A637" s="1" t="str">
        <f t="shared" si="9"/>
        <v/>
      </c>
      <c r="B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8" spans="1:2" x14ac:dyDescent="0.3">
      <c r="A638" s="1" t="str">
        <f t="shared" si="9"/>
        <v/>
      </c>
      <c r="B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9" spans="1:2" x14ac:dyDescent="0.3">
      <c r="A639" s="1" t="str">
        <f t="shared" si="9"/>
        <v/>
      </c>
      <c r="B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0" spans="1:2" x14ac:dyDescent="0.3">
      <c r="A640" s="1" t="str">
        <f t="shared" si="9"/>
        <v/>
      </c>
      <c r="B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1" spans="1:2" x14ac:dyDescent="0.3">
      <c r="A641" s="1" t="str">
        <f t="shared" si="9"/>
        <v/>
      </c>
      <c r="B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2" spans="1:2" x14ac:dyDescent="0.3">
      <c r="A642" s="1" t="str">
        <f t="shared" ref="A642:A705" si="10">IFERROR(LEFT(RIGHT(C642,LEN(C642)-SEARCH("@",C642)),SEARCH("/",RIGHT(C642,LEN(C642)-SEARCH("@",C642)-1))),"")</f>
        <v/>
      </c>
      <c r="B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3" spans="1:2" x14ac:dyDescent="0.3">
      <c r="A643" s="1" t="str">
        <f t="shared" si="10"/>
        <v/>
      </c>
      <c r="B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4" spans="1:2" x14ac:dyDescent="0.3">
      <c r="A644" s="1" t="str">
        <f t="shared" si="10"/>
        <v/>
      </c>
      <c r="B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5" spans="1:2" x14ac:dyDescent="0.3">
      <c r="A645" s="1" t="str">
        <f t="shared" si="10"/>
        <v/>
      </c>
      <c r="B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6" spans="1:2" x14ac:dyDescent="0.3">
      <c r="A646" s="1" t="str">
        <f t="shared" si="10"/>
        <v/>
      </c>
      <c r="B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7" spans="1:2" x14ac:dyDescent="0.3">
      <c r="A647" s="1" t="str">
        <f t="shared" si="10"/>
        <v/>
      </c>
      <c r="B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8" spans="1:2" x14ac:dyDescent="0.3">
      <c r="A648" s="1" t="str">
        <f t="shared" si="10"/>
        <v/>
      </c>
      <c r="B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9" spans="1:2" x14ac:dyDescent="0.3">
      <c r="A649" s="1" t="str">
        <f t="shared" si="10"/>
        <v/>
      </c>
      <c r="B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0" spans="1:2" x14ac:dyDescent="0.3">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1" spans="1:2" x14ac:dyDescent="0.3">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2" spans="1:2" x14ac:dyDescent="0.3">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3" spans="1:2" x14ac:dyDescent="0.3">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4" spans="1:2" x14ac:dyDescent="0.3">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5" spans="1:2" x14ac:dyDescent="0.3">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6" spans="1:2" x14ac:dyDescent="0.3">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7" spans="1:2" x14ac:dyDescent="0.3">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8" spans="1:2" x14ac:dyDescent="0.3">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9" spans="1:2" x14ac:dyDescent="0.3">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0" spans="1:2" x14ac:dyDescent="0.3">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1" spans="1:2" x14ac:dyDescent="0.3">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2" spans="1:2" x14ac:dyDescent="0.3">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3" spans="1:2" x14ac:dyDescent="0.3">
      <c r="A663" s="1" t="str">
        <f t="shared" si="10"/>
        <v/>
      </c>
      <c r="B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4" spans="1:2" x14ac:dyDescent="0.3">
      <c r="A664" s="1" t="str">
        <f t="shared" si="10"/>
        <v/>
      </c>
      <c r="B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5" spans="1:2" x14ac:dyDescent="0.3">
      <c r="A665" s="1" t="str">
        <f t="shared" si="10"/>
        <v/>
      </c>
      <c r="B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6" spans="1:2" x14ac:dyDescent="0.3">
      <c r="A666" s="1" t="str">
        <f t="shared" si="10"/>
        <v/>
      </c>
      <c r="B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7" spans="1:2" x14ac:dyDescent="0.3">
      <c r="A667" s="1" t="str">
        <f t="shared" si="10"/>
        <v/>
      </c>
      <c r="B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8" spans="1:2" x14ac:dyDescent="0.3">
      <c r="A668" s="1" t="str">
        <f t="shared" si="10"/>
        <v/>
      </c>
      <c r="B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9" spans="1:2" x14ac:dyDescent="0.3">
      <c r="A669" s="1" t="str">
        <f t="shared" si="10"/>
        <v/>
      </c>
      <c r="B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0" spans="1:2" x14ac:dyDescent="0.3">
      <c r="A670" s="1" t="str">
        <f t="shared" si="10"/>
        <v/>
      </c>
      <c r="B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1" spans="1:2" x14ac:dyDescent="0.3">
      <c r="A671" s="1" t="str">
        <f t="shared" si="10"/>
        <v/>
      </c>
      <c r="B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2" spans="1:2" x14ac:dyDescent="0.3">
      <c r="A672" s="1" t="str">
        <f t="shared" si="10"/>
        <v/>
      </c>
      <c r="B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3" spans="1:2" x14ac:dyDescent="0.3">
      <c r="A673" s="1" t="str">
        <f t="shared" si="10"/>
        <v/>
      </c>
      <c r="B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4" spans="1:2" x14ac:dyDescent="0.3">
      <c r="A674" s="1" t="str">
        <f t="shared" si="10"/>
        <v/>
      </c>
      <c r="B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5" spans="1:2" x14ac:dyDescent="0.3">
      <c r="A675" s="1" t="str">
        <f t="shared" si="10"/>
        <v/>
      </c>
      <c r="B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6" spans="1:2" x14ac:dyDescent="0.3">
      <c r="A676" s="1" t="str">
        <f t="shared" si="10"/>
        <v/>
      </c>
      <c r="B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7" spans="1:2" x14ac:dyDescent="0.3">
      <c r="A677" s="1" t="str">
        <f t="shared" si="10"/>
        <v/>
      </c>
      <c r="B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8" spans="1:2" x14ac:dyDescent="0.3">
      <c r="A678" s="1" t="str">
        <f t="shared" si="10"/>
        <v/>
      </c>
      <c r="B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9" spans="1:2" x14ac:dyDescent="0.3">
      <c r="A679" s="1" t="str">
        <f t="shared" si="10"/>
        <v/>
      </c>
      <c r="B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0" spans="1:2" x14ac:dyDescent="0.3">
      <c r="A680" s="1" t="str">
        <f t="shared" si="10"/>
        <v/>
      </c>
      <c r="B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1" spans="1:2" x14ac:dyDescent="0.3">
      <c r="A681" s="1" t="str">
        <f t="shared" si="10"/>
        <v/>
      </c>
      <c r="B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2" spans="1:2" x14ac:dyDescent="0.3">
      <c r="A682" s="1" t="str">
        <f t="shared" si="10"/>
        <v/>
      </c>
      <c r="B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3" spans="1:2" x14ac:dyDescent="0.3">
      <c r="A683" s="1" t="str">
        <f t="shared" si="10"/>
        <v/>
      </c>
      <c r="B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4" spans="1:2" x14ac:dyDescent="0.3">
      <c r="A684" s="1" t="str">
        <f t="shared" si="10"/>
        <v/>
      </c>
      <c r="B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5" spans="1:2" x14ac:dyDescent="0.3">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6" spans="1:2" x14ac:dyDescent="0.3">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7" spans="1:2" x14ac:dyDescent="0.3">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8" spans="1:2" x14ac:dyDescent="0.3">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3">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1:K11 M11:XFD11 A1:J10 EO1:XFD10 A12:XFD13 M14:XFD18 K1:L4 A14:J18 K5 A19:XFD1048576">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zoomScale="70" zoomScaleNormal="70" zoomScaleSheetLayoutView="40" zoomScalePageLayoutView="30" workbookViewId="0">
      <selection activeCell="V5" sqref="V5:V12"/>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3" t="s">
        <v>43</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35"/>
    <row r="3" spans="1:22" ht="15" thickBot="1" x14ac:dyDescent="0.35">
      <c r="A3" s="153" t="s">
        <v>22</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BPA-1mg/L</v>
      </c>
      <c r="J4" s="35" t="str">
        <f>'Page de garde'!A16</f>
        <v>BPA-2mg/L</v>
      </c>
      <c r="K4" s="35" t="str">
        <f>'Page de garde'!A17</f>
        <v>BPA-3mg/L</v>
      </c>
      <c r="L4" s="35" t="str">
        <f>'Page de garde'!A18</f>
        <v>BPA-4mg/L</v>
      </c>
      <c r="M4" s="35" t="str">
        <f>'Page de garde'!A19</f>
        <v>BPA-5mg/L</v>
      </c>
      <c r="N4" s="3"/>
      <c r="O4" s="36" t="str">
        <f>'Page de garde'!A36</f>
        <v>Testo -30µg/L</v>
      </c>
      <c r="P4" s="36" t="str">
        <f>'Page de garde'!A37</f>
        <v>Testo 30µg/L + EE2 -64ng/L</v>
      </c>
      <c r="Q4" s="36" t="str">
        <f>'Page de garde'!A38</f>
        <v>Testo 30µg/L + FAD-10µg/L</v>
      </c>
      <c r="R4" s="36" t="str">
        <f>'Page de garde'!A39</f>
        <v>BPA-1mg/L + Testostérone</v>
      </c>
      <c r="S4" s="36" t="str">
        <f>'Page de garde'!A40</f>
        <v>BPA-2mg/L + Testostérone</v>
      </c>
      <c r="T4" s="36" t="str">
        <f>'Page de garde'!A41</f>
        <v>BPA-3mg/L + Testostérone</v>
      </c>
      <c r="U4" s="36" t="str">
        <f>'Page de garde'!A42</f>
        <v>BPA-4mg/L + Testostérone</v>
      </c>
      <c r="V4" s="36" t="str">
        <f>'Page de garde'!A43</f>
        <v>BPA-5mg/L + Testostérone</v>
      </c>
    </row>
    <row r="5" spans="1:22" x14ac:dyDescent="0.3">
      <c r="A5" s="223" t="s">
        <v>33</v>
      </c>
      <c r="B5" s="32">
        <v>48001</v>
      </c>
      <c r="C5" s="32">
        <v>138126</v>
      </c>
      <c r="D5" s="32">
        <v>857600</v>
      </c>
      <c r="E5" s="32">
        <v>2318491</v>
      </c>
      <c r="F5" s="32">
        <v>6946848</v>
      </c>
      <c r="G5" s="32">
        <v>9030355</v>
      </c>
      <c r="H5" s="32">
        <v>9967032</v>
      </c>
      <c r="I5" s="32">
        <v>192481</v>
      </c>
      <c r="J5" s="32">
        <v>122949</v>
      </c>
      <c r="K5" s="13">
        <v>603326</v>
      </c>
      <c r="L5" s="13">
        <v>5926531</v>
      </c>
      <c r="M5" s="13">
        <v>3880523</v>
      </c>
      <c r="N5" s="3"/>
      <c r="O5" s="32">
        <v>544674</v>
      </c>
      <c r="P5" s="13">
        <v>5695292</v>
      </c>
      <c r="Q5" s="13">
        <v>175090</v>
      </c>
      <c r="R5" s="32">
        <v>858472</v>
      </c>
      <c r="S5" s="32">
        <v>392060</v>
      </c>
      <c r="T5" s="32">
        <v>2807365</v>
      </c>
      <c r="U5" s="32">
        <v>692740</v>
      </c>
      <c r="V5" s="32">
        <v>6533198</v>
      </c>
    </row>
    <row r="6" spans="1:22" ht="16.8" x14ac:dyDescent="0.3">
      <c r="A6" s="223"/>
      <c r="B6" s="14">
        <v>240663</v>
      </c>
      <c r="C6" s="13">
        <v>3003</v>
      </c>
      <c r="D6" s="32">
        <v>119273</v>
      </c>
      <c r="E6" s="32">
        <v>1138116</v>
      </c>
      <c r="F6" s="32">
        <v>12808177</v>
      </c>
      <c r="G6" s="32">
        <v>6858609</v>
      </c>
      <c r="H6" s="32">
        <v>8947695</v>
      </c>
      <c r="I6" s="32">
        <v>286812</v>
      </c>
      <c r="J6" s="32">
        <v>286193</v>
      </c>
      <c r="K6" s="13">
        <v>107590</v>
      </c>
      <c r="L6" s="13">
        <v>3682746</v>
      </c>
      <c r="M6" s="13">
        <v>1868509</v>
      </c>
      <c r="N6" s="3"/>
      <c r="O6" s="32">
        <v>726220</v>
      </c>
      <c r="P6" s="13">
        <v>2784297</v>
      </c>
      <c r="Q6" s="13">
        <v>224003</v>
      </c>
      <c r="R6" s="32">
        <v>54435</v>
      </c>
      <c r="S6" s="32">
        <v>1058757</v>
      </c>
      <c r="T6" s="32">
        <v>5347024</v>
      </c>
      <c r="U6" s="32">
        <v>7476765</v>
      </c>
      <c r="V6" s="32">
        <v>7235216</v>
      </c>
    </row>
    <row r="7" spans="1:22" ht="16.8" x14ac:dyDescent="0.3">
      <c r="A7" s="223"/>
      <c r="B7" s="14">
        <v>396000</v>
      </c>
      <c r="C7" s="13">
        <v>175198</v>
      </c>
      <c r="D7" s="32">
        <v>160631</v>
      </c>
      <c r="E7" s="32">
        <v>1611123</v>
      </c>
      <c r="F7" s="32">
        <v>4266387</v>
      </c>
      <c r="G7" s="32">
        <v>11353185</v>
      </c>
      <c r="H7" s="32">
        <v>18180232</v>
      </c>
      <c r="I7" s="32">
        <v>13116</v>
      </c>
      <c r="J7" s="32">
        <v>53993</v>
      </c>
      <c r="K7" s="13">
        <v>49042</v>
      </c>
      <c r="L7" s="13">
        <v>2526716</v>
      </c>
      <c r="M7" s="13">
        <v>5594623</v>
      </c>
      <c r="N7" s="3"/>
      <c r="O7" s="32">
        <v>2420609</v>
      </c>
      <c r="P7" s="13">
        <v>3636272</v>
      </c>
      <c r="Q7" s="13">
        <v>52684</v>
      </c>
      <c r="R7" s="32">
        <v>4507831</v>
      </c>
      <c r="S7" s="32">
        <v>863103</v>
      </c>
      <c r="T7" s="32">
        <v>2669364</v>
      </c>
      <c r="U7" s="32">
        <v>3972637</v>
      </c>
      <c r="V7" s="32">
        <v>4836985</v>
      </c>
    </row>
    <row r="8" spans="1:22" ht="16.8" x14ac:dyDescent="0.3">
      <c r="A8" s="223"/>
      <c r="B8" s="14">
        <v>143925</v>
      </c>
      <c r="C8" s="13">
        <v>244741</v>
      </c>
      <c r="D8" s="32">
        <v>214272</v>
      </c>
      <c r="E8" s="32">
        <v>2331440</v>
      </c>
      <c r="F8" s="32">
        <v>6224820</v>
      </c>
      <c r="G8" s="32">
        <v>13387294</v>
      </c>
      <c r="H8" s="32">
        <v>16046437</v>
      </c>
      <c r="I8" s="32">
        <v>116793</v>
      </c>
      <c r="J8" s="32">
        <v>46787</v>
      </c>
      <c r="K8" s="13">
        <v>220392</v>
      </c>
      <c r="L8" s="13">
        <v>4928481</v>
      </c>
      <c r="M8" s="13">
        <v>4357378</v>
      </c>
      <c r="N8" s="3"/>
      <c r="O8" s="32">
        <v>289987</v>
      </c>
      <c r="P8" s="13">
        <v>9821042</v>
      </c>
      <c r="Q8" s="13">
        <v>129903</v>
      </c>
      <c r="R8" s="32">
        <v>271711</v>
      </c>
      <c r="S8" s="32">
        <v>119622</v>
      </c>
      <c r="T8" s="32">
        <v>1018646</v>
      </c>
      <c r="U8" s="32">
        <v>3597501</v>
      </c>
      <c r="V8" s="32">
        <v>8547048</v>
      </c>
    </row>
    <row r="9" spans="1:22" ht="16.8" x14ac:dyDescent="0.3">
      <c r="A9" s="223"/>
      <c r="B9" s="14">
        <v>293654</v>
      </c>
      <c r="C9" s="13">
        <v>425140</v>
      </c>
      <c r="D9" s="32">
        <v>216539</v>
      </c>
      <c r="E9" s="32">
        <v>5572016</v>
      </c>
      <c r="F9" s="32">
        <v>5832274</v>
      </c>
      <c r="G9" s="32">
        <v>9530218</v>
      </c>
      <c r="H9" s="32">
        <v>18689961</v>
      </c>
      <c r="I9" s="32">
        <v>482253</v>
      </c>
      <c r="J9" s="32">
        <v>201710</v>
      </c>
      <c r="K9" s="13">
        <v>44109</v>
      </c>
      <c r="L9" s="13">
        <v>100235</v>
      </c>
      <c r="M9" s="13">
        <v>4850134</v>
      </c>
      <c r="N9" s="3"/>
      <c r="O9" s="32">
        <v>2441257</v>
      </c>
      <c r="P9" s="13">
        <v>8014440</v>
      </c>
      <c r="Q9" s="13">
        <v>466872</v>
      </c>
      <c r="R9" s="32">
        <v>1265664</v>
      </c>
      <c r="S9" s="32">
        <v>396187</v>
      </c>
      <c r="T9" s="32">
        <v>3759401</v>
      </c>
      <c r="U9" s="32">
        <v>2084839</v>
      </c>
      <c r="V9" s="32">
        <v>1364018</v>
      </c>
    </row>
    <row r="10" spans="1:22" ht="16.8" x14ac:dyDescent="0.3">
      <c r="A10" s="223"/>
      <c r="B10" s="14">
        <v>4171</v>
      </c>
      <c r="C10" s="13">
        <v>1339897</v>
      </c>
      <c r="D10" s="32">
        <v>367066</v>
      </c>
      <c r="E10" s="32">
        <v>1575868</v>
      </c>
      <c r="F10" s="32">
        <v>8809433</v>
      </c>
      <c r="G10" s="32">
        <v>5358844</v>
      </c>
      <c r="H10" s="32">
        <v>8931123</v>
      </c>
      <c r="I10" s="32">
        <v>51212</v>
      </c>
      <c r="J10" s="32">
        <v>108126</v>
      </c>
      <c r="K10" s="13">
        <v>89591</v>
      </c>
      <c r="L10" s="13">
        <v>3500211</v>
      </c>
      <c r="M10" s="13">
        <v>3140822</v>
      </c>
      <c r="N10" s="3"/>
      <c r="O10" s="32">
        <v>209930</v>
      </c>
      <c r="P10" s="13">
        <v>4749642</v>
      </c>
      <c r="Q10" s="13">
        <v>18468</v>
      </c>
      <c r="R10" s="32">
        <v>886104</v>
      </c>
      <c r="S10" s="32">
        <v>1151063</v>
      </c>
      <c r="T10" s="32">
        <v>5221253</v>
      </c>
      <c r="U10" s="32">
        <v>378256</v>
      </c>
      <c r="V10" s="32">
        <v>1932910</v>
      </c>
    </row>
    <row r="11" spans="1:22" ht="16.8" x14ac:dyDescent="0.3">
      <c r="A11" s="223"/>
      <c r="B11" s="14">
        <v>108672</v>
      </c>
      <c r="C11" s="13">
        <v>186603</v>
      </c>
      <c r="D11" s="32">
        <v>466742</v>
      </c>
      <c r="E11" s="32">
        <v>4195838</v>
      </c>
      <c r="F11" s="32">
        <v>4369270</v>
      </c>
      <c r="G11" s="32">
        <v>7633605</v>
      </c>
      <c r="H11" s="32">
        <v>12897906</v>
      </c>
      <c r="I11" s="32">
        <v>137011</v>
      </c>
      <c r="J11" s="32">
        <v>17773</v>
      </c>
      <c r="K11" s="13">
        <v>492352</v>
      </c>
      <c r="L11" s="13">
        <v>890926</v>
      </c>
      <c r="M11" s="13">
        <v>243793</v>
      </c>
      <c r="N11" s="3"/>
      <c r="O11" s="32">
        <v>293019</v>
      </c>
      <c r="P11" s="13">
        <v>10084973</v>
      </c>
      <c r="Q11" s="13">
        <v>346292</v>
      </c>
      <c r="R11" s="32">
        <v>1021743</v>
      </c>
      <c r="S11" s="32">
        <v>2677703</v>
      </c>
      <c r="T11" s="32">
        <v>97572</v>
      </c>
      <c r="U11" s="32">
        <v>6169428</v>
      </c>
      <c r="V11" s="32">
        <v>146031</v>
      </c>
    </row>
    <row r="12" spans="1:22" ht="16.8" x14ac:dyDescent="0.3">
      <c r="A12" s="223"/>
      <c r="B12" s="14">
        <v>210888</v>
      </c>
      <c r="C12" s="13">
        <v>267211</v>
      </c>
      <c r="D12" s="32">
        <v>114111</v>
      </c>
      <c r="E12" s="32"/>
      <c r="F12" s="32">
        <v>6169881</v>
      </c>
      <c r="G12" s="32">
        <v>8473237</v>
      </c>
      <c r="H12" s="32">
        <v>9075722</v>
      </c>
      <c r="I12" s="32">
        <v>258663</v>
      </c>
      <c r="J12" s="32">
        <v>116353</v>
      </c>
      <c r="K12" s="13">
        <v>14458307</v>
      </c>
      <c r="L12" s="13">
        <v>279198</v>
      </c>
      <c r="M12" s="13"/>
      <c r="N12" s="3"/>
      <c r="O12" s="32">
        <v>552708</v>
      </c>
      <c r="P12" s="13">
        <v>5737468</v>
      </c>
      <c r="Q12" s="13"/>
      <c r="R12" s="32">
        <v>1005506</v>
      </c>
      <c r="S12" s="32">
        <v>818428</v>
      </c>
      <c r="T12" s="32">
        <v>1901491</v>
      </c>
      <c r="U12" s="32">
        <v>4705607</v>
      </c>
      <c r="V12" s="32">
        <v>11775851</v>
      </c>
    </row>
    <row r="13" spans="1:22" ht="16.8" x14ac:dyDescent="0.3">
      <c r="A13" s="223"/>
      <c r="B13" s="14"/>
      <c r="C13" s="13"/>
      <c r="D13" s="32"/>
      <c r="E13" s="32"/>
      <c r="F13" s="32"/>
      <c r="G13" s="32"/>
      <c r="H13" s="32"/>
      <c r="I13" s="32"/>
      <c r="J13" s="32"/>
      <c r="K13" s="13"/>
      <c r="L13" s="13"/>
      <c r="M13" s="13"/>
      <c r="N13" s="3"/>
      <c r="O13" s="32">
        <v>333057</v>
      </c>
      <c r="P13" s="13"/>
      <c r="Q13" s="13"/>
      <c r="R13" s="32"/>
      <c r="S13" s="32"/>
      <c r="T13" s="32"/>
      <c r="U13" s="32"/>
      <c r="V13" s="32"/>
    </row>
    <row r="14" spans="1:22" ht="16.8" x14ac:dyDescent="0.3">
      <c r="A14" s="223"/>
      <c r="B14" s="14"/>
      <c r="C14" s="32"/>
      <c r="D14" s="32"/>
      <c r="E14" s="32"/>
      <c r="F14" s="32"/>
      <c r="G14" s="32"/>
      <c r="H14" s="32"/>
      <c r="I14" s="32"/>
      <c r="J14" s="32"/>
      <c r="K14" s="13"/>
      <c r="L14" s="13"/>
      <c r="M14" s="13"/>
      <c r="N14" s="3"/>
      <c r="O14" s="32">
        <v>110613</v>
      </c>
      <c r="P14" s="13"/>
      <c r="Q14" s="13"/>
      <c r="R14" s="32"/>
      <c r="S14" s="32"/>
      <c r="T14" s="32"/>
      <c r="U14" s="32"/>
      <c r="V14" s="32"/>
    </row>
    <row r="15" spans="1:22" ht="16.8" x14ac:dyDescent="0.3">
      <c r="A15" s="223"/>
      <c r="B15" s="14"/>
      <c r="C15" s="32"/>
      <c r="D15" s="32"/>
      <c r="E15" s="32"/>
      <c r="F15" s="32"/>
      <c r="G15" s="32"/>
      <c r="H15" s="32"/>
      <c r="I15" s="32"/>
      <c r="J15" s="32"/>
      <c r="K15" s="13"/>
      <c r="L15" s="13"/>
      <c r="M15" s="13"/>
      <c r="N15" s="3"/>
      <c r="O15" s="32">
        <v>2818156</v>
      </c>
      <c r="P15" s="13"/>
      <c r="Q15" s="13"/>
      <c r="R15" s="32"/>
      <c r="S15" s="32"/>
      <c r="T15" s="32"/>
      <c r="U15" s="32"/>
      <c r="V15" s="32"/>
    </row>
    <row r="16" spans="1:22" ht="16.8" x14ac:dyDescent="0.3">
      <c r="A16" s="223"/>
      <c r="B16" s="14"/>
      <c r="C16" s="32"/>
      <c r="D16" s="32"/>
      <c r="E16" s="32"/>
      <c r="F16" s="32"/>
      <c r="G16" s="32"/>
      <c r="H16" s="32"/>
      <c r="I16" s="32"/>
      <c r="J16" s="32"/>
      <c r="K16" s="13"/>
      <c r="L16" s="13"/>
      <c r="M16" s="13"/>
      <c r="N16" s="3"/>
      <c r="O16" s="32">
        <v>346885</v>
      </c>
      <c r="P16" s="13"/>
      <c r="Q16" s="13"/>
      <c r="R16" s="32"/>
      <c r="S16" s="32"/>
      <c r="T16" s="32"/>
      <c r="U16" s="32"/>
      <c r="V16" s="32"/>
    </row>
    <row r="17" spans="1:22" ht="16.8" x14ac:dyDescent="0.3">
      <c r="A17" s="223"/>
      <c r="B17" s="14"/>
      <c r="C17" s="32"/>
      <c r="D17" s="32"/>
      <c r="E17" s="32"/>
      <c r="F17" s="32"/>
      <c r="G17" s="32"/>
      <c r="H17" s="32"/>
      <c r="I17" s="32"/>
      <c r="J17" s="32"/>
      <c r="K17" s="13"/>
      <c r="L17" s="13"/>
      <c r="M17" s="13"/>
      <c r="N17" s="3"/>
      <c r="O17" s="32">
        <v>140177</v>
      </c>
      <c r="P17" s="13"/>
      <c r="Q17" s="13"/>
      <c r="R17" s="32"/>
      <c r="S17" s="32"/>
      <c r="T17" s="32"/>
      <c r="U17" s="32"/>
      <c r="V17" s="32"/>
    </row>
    <row r="18" spans="1:22" ht="16.8" x14ac:dyDescent="0.3">
      <c r="A18" s="223"/>
      <c r="B18" s="14"/>
      <c r="C18" s="32"/>
      <c r="D18" s="32"/>
      <c r="E18" s="32"/>
      <c r="F18" s="32"/>
      <c r="G18" s="32"/>
      <c r="H18" s="32"/>
      <c r="I18" s="32"/>
      <c r="J18" s="32"/>
      <c r="K18" s="13"/>
      <c r="L18" s="13"/>
      <c r="M18" s="13"/>
      <c r="N18" s="3"/>
      <c r="O18" s="32">
        <v>45057</v>
      </c>
      <c r="P18" s="13"/>
      <c r="Q18" s="13"/>
      <c r="R18" s="32"/>
      <c r="S18" s="32"/>
      <c r="T18" s="32"/>
      <c r="U18" s="32"/>
      <c r="V18" s="32"/>
    </row>
    <row r="19" spans="1:22" ht="16.8" x14ac:dyDescent="0.3">
      <c r="A19" s="223"/>
      <c r="B19" s="14"/>
      <c r="C19" s="32"/>
      <c r="D19" s="32"/>
      <c r="E19" s="32"/>
      <c r="F19" s="32"/>
      <c r="G19" s="32"/>
      <c r="H19" s="32"/>
      <c r="I19" s="32"/>
      <c r="J19" s="32"/>
      <c r="K19" s="13"/>
      <c r="L19" s="13"/>
      <c r="M19" s="13"/>
      <c r="N19" s="3"/>
      <c r="O19" s="32">
        <v>43237</v>
      </c>
      <c r="P19" s="13"/>
      <c r="Q19" s="13"/>
      <c r="R19" s="32"/>
      <c r="S19" s="32"/>
      <c r="T19" s="32"/>
      <c r="U19" s="32"/>
      <c r="V19" s="32"/>
    </row>
    <row r="20" spans="1:22" ht="16.8" x14ac:dyDescent="0.3">
      <c r="A20" s="223"/>
      <c r="B20" s="14"/>
      <c r="C20" s="32"/>
      <c r="D20" s="32"/>
      <c r="E20" s="32"/>
      <c r="F20" s="32"/>
      <c r="G20" s="32"/>
      <c r="H20" s="32"/>
      <c r="I20" s="32"/>
      <c r="J20" s="32"/>
      <c r="K20" s="13"/>
      <c r="L20" s="13"/>
      <c r="M20" s="13"/>
      <c r="N20" s="3"/>
      <c r="O20" s="32">
        <v>29101</v>
      </c>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BPA-1mg/L</v>
      </c>
      <c r="J22" s="3" t="str">
        <f t="shared" si="0"/>
        <v>BPA-2mg/L</v>
      </c>
      <c r="K22" s="3" t="str">
        <f t="shared" si="0"/>
        <v>BPA-3mg/L</v>
      </c>
      <c r="L22" s="3" t="str">
        <f t="shared" si="0"/>
        <v>BPA-4mg/L</v>
      </c>
      <c r="M22" s="3" t="str">
        <f t="shared" si="0"/>
        <v>BPA-5mg/L</v>
      </c>
      <c r="N22" s="3" t="s">
        <v>41</v>
      </c>
      <c r="O22" s="3" t="str">
        <f t="shared" si="0"/>
        <v>Testo -30µg/L</v>
      </c>
      <c r="P22" s="3" t="str">
        <f t="shared" si="0"/>
        <v>Testo 30µg/L + EE2 -64ng/L</v>
      </c>
      <c r="Q22" s="3" t="str">
        <f t="shared" si="0"/>
        <v>Testo 30µg/L + FAD-10µg/L</v>
      </c>
      <c r="R22" s="3" t="str">
        <f t="shared" si="0"/>
        <v>BPA-1mg/L + Testostérone</v>
      </c>
      <c r="S22" s="3" t="str">
        <f t="shared" si="0"/>
        <v>BPA-2mg/L + Testostérone</v>
      </c>
      <c r="T22" s="3" t="str">
        <f t="shared" si="0"/>
        <v>BPA-3mg/L + Testostérone</v>
      </c>
      <c r="U22" s="3" t="str">
        <f t="shared" si="0"/>
        <v>BPA-4mg/L + Testostérone</v>
      </c>
      <c r="V22" s="3" t="str">
        <f t="shared" si="0"/>
        <v>BPA-5mg/L + Testostérone</v>
      </c>
    </row>
    <row r="23" spans="1:22" x14ac:dyDescent="0.3">
      <c r="A23" s="5" t="s">
        <v>0</v>
      </c>
      <c r="B23" s="5">
        <f t="shared" ref="B23:J23" si="1">AVERAGE(B5:B20)</f>
        <v>180746.75</v>
      </c>
      <c r="C23" s="5">
        <f t="shared" si="1"/>
        <v>347489.875</v>
      </c>
      <c r="D23" s="5">
        <f t="shared" si="1"/>
        <v>314529.25</v>
      </c>
      <c r="E23" s="5">
        <f t="shared" si="1"/>
        <v>2677556</v>
      </c>
      <c r="F23" s="5">
        <f t="shared" si="1"/>
        <v>6928386.25</v>
      </c>
      <c r="G23" s="5">
        <f t="shared" si="1"/>
        <v>8953168.375</v>
      </c>
      <c r="H23" s="5">
        <f t="shared" si="1"/>
        <v>12842013.5</v>
      </c>
      <c r="I23" s="5">
        <f t="shared" si="1"/>
        <v>192292.625</v>
      </c>
      <c r="J23" s="5">
        <f t="shared" si="1"/>
        <v>119235.5</v>
      </c>
      <c r="K23" s="5"/>
      <c r="L23" s="5">
        <f>AVERAGE(L5:L20)</f>
        <v>2729380.5</v>
      </c>
      <c r="M23" s="5"/>
      <c r="N23" s="5" t="s">
        <v>0</v>
      </c>
      <c r="O23" s="5">
        <f>AVERAGE(O5:O20)</f>
        <v>709042.9375</v>
      </c>
      <c r="P23" s="5">
        <f>AVERAGE(P5:P20)</f>
        <v>6315428.25</v>
      </c>
      <c r="Q23" s="5">
        <f>AVERAGE(Q5:Q20)</f>
        <v>201901.71428571429</v>
      </c>
      <c r="R23" s="5">
        <f>AVERAGE(R5:R20)</f>
        <v>1233933.25</v>
      </c>
      <c r="S23" s="5">
        <f>AVERAGE(S5:S20)</f>
        <v>934615.375</v>
      </c>
      <c r="T23" s="5">
        <f t="shared" ref="T23:V23" si="2">AVERAGE(T5:T20)</f>
        <v>2852764.5</v>
      </c>
      <c r="U23" s="5">
        <f t="shared" si="2"/>
        <v>3634721.625</v>
      </c>
      <c r="V23" s="5">
        <f t="shared" si="2"/>
        <v>5296407.125</v>
      </c>
    </row>
    <row r="24" spans="1:22" x14ac:dyDescent="0.3">
      <c r="A24" s="3" t="s">
        <v>1</v>
      </c>
      <c r="B24" s="3">
        <f t="shared" ref="B24:J24" si="3">STDEV(B5:B20)</f>
        <v>130346.51685603264</v>
      </c>
      <c r="C24" s="3">
        <f t="shared" si="3"/>
        <v>418496.79785238078</v>
      </c>
      <c r="D24" s="3">
        <f t="shared" si="3"/>
        <v>251420.37239636842</v>
      </c>
      <c r="E24" s="3">
        <f t="shared" si="3"/>
        <v>1615171.5176846285</v>
      </c>
      <c r="F24" s="3">
        <f t="shared" si="3"/>
        <v>2777916.2465703241</v>
      </c>
      <c r="G24" s="3">
        <f t="shared" si="3"/>
        <v>2536544.956567605</v>
      </c>
      <c r="H24" s="3">
        <f t="shared" si="3"/>
        <v>4240582.3728444595</v>
      </c>
      <c r="I24" s="3">
        <f t="shared" si="3"/>
        <v>150323.57985258478</v>
      </c>
      <c r="J24" s="3">
        <f t="shared" si="3"/>
        <v>88335.705206251194</v>
      </c>
      <c r="K24" s="3"/>
      <c r="L24" s="3">
        <f>STDEV(L5:L20)</f>
        <v>2167872.1613824135</v>
      </c>
      <c r="M24" s="3"/>
      <c r="N24" s="3" t="s">
        <v>1</v>
      </c>
      <c r="O24" s="3">
        <f>STDEV(O5:O20)</f>
        <v>942644.46243282116</v>
      </c>
      <c r="P24" s="3">
        <f>STDEV(P5:P20)</f>
        <v>2730842.2570323166</v>
      </c>
      <c r="Q24" s="3">
        <f>STDEV(Q5:Q20)</f>
        <v>159876.41603513039</v>
      </c>
      <c r="R24" s="3">
        <f>STDEV(R5:R20)</f>
        <v>1383353.1284653191</v>
      </c>
      <c r="S24" s="3">
        <f>STDEV(S5:S20)</f>
        <v>789910.87770184327</v>
      </c>
      <c r="T24" s="3">
        <f t="shared" ref="T24:V24" si="4">STDEV(T5:T20)</f>
        <v>1872689.1468460918</v>
      </c>
      <c r="U24" s="3">
        <f t="shared" si="4"/>
        <v>2510274.9355610968</v>
      </c>
      <c r="V24" s="3">
        <f t="shared" si="4"/>
        <v>3988424.8700452605</v>
      </c>
    </row>
    <row r="25" spans="1:22" ht="15" thickBot="1" x14ac:dyDescent="0.35"/>
    <row r="26" spans="1:22" ht="15" thickBot="1" x14ac:dyDescent="0.35">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BPA-1mg/L</v>
      </c>
      <c r="J27" s="35" t="str">
        <f t="shared" si="5"/>
        <v>BPA-2mg/L</v>
      </c>
      <c r="K27" s="35" t="str">
        <f t="shared" si="5"/>
        <v>BPA-3mg/L</v>
      </c>
      <c r="L27" s="35" t="str">
        <f t="shared" si="5"/>
        <v>BPA-4mg/L</v>
      </c>
      <c r="M27" s="35" t="str">
        <f t="shared" si="5"/>
        <v>BPA-5mg/L</v>
      </c>
      <c r="N27" s="3"/>
      <c r="O27" s="36" t="str">
        <f>O4</f>
        <v>Testo -30µg/L</v>
      </c>
      <c r="P27" s="36" t="str">
        <f t="shared" ref="P27:V27" si="6">P4</f>
        <v>Testo 30µg/L + EE2 -64ng/L</v>
      </c>
      <c r="Q27" s="36" t="str">
        <f t="shared" si="6"/>
        <v>Testo 30µg/L + FAD-10µg/L</v>
      </c>
      <c r="R27" s="36" t="str">
        <f t="shared" si="6"/>
        <v>BPA-1mg/L + Testostérone</v>
      </c>
      <c r="S27" s="36" t="str">
        <f t="shared" si="6"/>
        <v>BPA-2mg/L + Testostérone</v>
      </c>
      <c r="T27" s="36" t="str">
        <f t="shared" si="6"/>
        <v>BPA-3mg/L + Testostérone</v>
      </c>
      <c r="U27" s="36" t="str">
        <f t="shared" si="6"/>
        <v>BPA-4mg/L + Testostérone</v>
      </c>
      <c r="V27" s="36" t="str">
        <f t="shared" si="6"/>
        <v>BPA-5mg/L + Testostérone</v>
      </c>
    </row>
    <row r="28" spans="1:22" x14ac:dyDescent="0.3">
      <c r="A28" s="224" t="s">
        <v>34</v>
      </c>
      <c r="B28" s="11">
        <f t="shared" ref="B28:M28" si="7">IF(B5="","",(B5/$O$23))</f>
        <v>6.7698297890457448E-2</v>
      </c>
      <c r="C28" s="11">
        <f t="shared" si="7"/>
        <v>0.19480625600336088</v>
      </c>
      <c r="D28" s="11">
        <f t="shared" si="7"/>
        <v>1.2095177240235893</v>
      </c>
      <c r="E28" s="11">
        <f t="shared" si="7"/>
        <v>3.2698880101319676</v>
      </c>
      <c r="F28" s="11">
        <f t="shared" si="7"/>
        <v>9.7974997459163049</v>
      </c>
      <c r="G28" s="11">
        <f t="shared" si="7"/>
        <v>12.73597764310289</v>
      </c>
      <c r="H28" s="11">
        <f t="shared" si="7"/>
        <v>14.057021758290908</v>
      </c>
      <c r="I28" s="11">
        <f t="shared" si="7"/>
        <v>0.27146592938174496</v>
      </c>
      <c r="J28" s="11">
        <f t="shared" si="7"/>
        <v>0.17340134637473911</v>
      </c>
      <c r="K28" s="11">
        <f t="shared" si="7"/>
        <v>0.85090192439861934</v>
      </c>
      <c r="L28" s="11">
        <f t="shared" si="7"/>
        <v>8.3584938041922179</v>
      </c>
      <c r="M28" s="11">
        <f t="shared" si="7"/>
        <v>5.4729026900433659</v>
      </c>
      <c r="N28" s="6"/>
      <c r="O28" s="11">
        <f t="shared" ref="O28:V39" si="8">IF(O5="","",(O5/$O$23))</f>
        <v>0.76818196923370385</v>
      </c>
      <c r="P28" s="11">
        <f t="shared" si="8"/>
        <v>8.0323654588266731</v>
      </c>
      <c r="Q28" s="11">
        <f t="shared" si="8"/>
        <v>0.24693850081540372</v>
      </c>
      <c r="R28" s="11">
        <f t="shared" si="8"/>
        <v>1.2107475508138743</v>
      </c>
      <c r="S28" s="11">
        <f t="shared" si="8"/>
        <v>0.55294253600826537</v>
      </c>
      <c r="T28" s="11">
        <f t="shared" si="8"/>
        <v>3.9593723476020095</v>
      </c>
      <c r="U28" s="11">
        <f t="shared" si="8"/>
        <v>0.97700712236485676</v>
      </c>
      <c r="V28" s="11">
        <f t="shared" si="8"/>
        <v>9.2141077140338901</v>
      </c>
    </row>
    <row r="29" spans="1:22" x14ac:dyDescent="0.3">
      <c r="A29" s="224"/>
      <c r="B29" s="11">
        <f t="shared" ref="B29:M29" si="9">IF(B6="","",(B6/$O$23))</f>
        <v>0.339419500952296</v>
      </c>
      <c r="C29" s="11">
        <f t="shared" si="9"/>
        <v>4.2352865266357727E-3</v>
      </c>
      <c r="D29" s="11">
        <f t="shared" si="9"/>
        <v>0.16821689307073875</v>
      </c>
      <c r="E29" s="11">
        <f t="shared" si="9"/>
        <v>1.6051439762066595</v>
      </c>
      <c r="F29" s="11">
        <f t="shared" si="9"/>
        <v>18.064035790498231</v>
      </c>
      <c r="G29" s="11">
        <f t="shared" si="9"/>
        <v>9.6730517113429393</v>
      </c>
      <c r="H29" s="11">
        <f t="shared" si="9"/>
        <v>12.619397961354068</v>
      </c>
      <c r="I29" s="11">
        <f t="shared" si="9"/>
        <v>0.40450582726522116</v>
      </c>
      <c r="J29" s="11">
        <f t="shared" si="9"/>
        <v>0.4036328194863375</v>
      </c>
      <c r="K29" s="11">
        <f t="shared" si="9"/>
        <v>0.15173975271420004</v>
      </c>
      <c r="L29" s="11">
        <f t="shared" si="9"/>
        <v>5.1939675374031911</v>
      </c>
      <c r="M29" s="11">
        <f t="shared" si="9"/>
        <v>2.6352550757901034</v>
      </c>
      <c r="N29" s="6"/>
      <c r="O29" s="11">
        <f t="shared" si="8"/>
        <v>1.0242257014230538</v>
      </c>
      <c r="P29" s="11">
        <f t="shared" si="8"/>
        <v>3.926838351732401</v>
      </c>
      <c r="Q29" s="11">
        <f t="shared" si="8"/>
        <v>0.31592303956909523</v>
      </c>
      <c r="R29" s="11">
        <f t="shared" si="8"/>
        <v>7.6772501524281805E-2</v>
      </c>
      <c r="S29" s="11">
        <f t="shared" si="8"/>
        <v>1.4932198658279421</v>
      </c>
      <c r="T29" s="11">
        <f t="shared" si="8"/>
        <v>7.5411850498828219</v>
      </c>
      <c r="U29" s="11">
        <f t="shared" si="8"/>
        <v>10.544869153287349</v>
      </c>
      <c r="V29" s="11">
        <f t="shared" si="8"/>
        <v>10.204200080619236</v>
      </c>
    </row>
    <row r="30" spans="1:22" x14ac:dyDescent="0.3">
      <c r="A30" s="224"/>
      <c r="B30" s="11">
        <f t="shared" ref="B30:M30" si="10">IF(B7="","",(B7/$O$23))</f>
        <v>0.55849932219372822</v>
      </c>
      <c r="C30" s="11">
        <f t="shared" si="10"/>
        <v>0.24709081881236564</v>
      </c>
      <c r="D30" s="11">
        <f t="shared" si="10"/>
        <v>0.22654622379621403</v>
      </c>
      <c r="E30" s="11">
        <f t="shared" si="10"/>
        <v>2.2722502612897122</v>
      </c>
      <c r="F30" s="11">
        <f t="shared" si="10"/>
        <v>6.0171066861518527</v>
      </c>
      <c r="G30" s="11">
        <f t="shared" si="10"/>
        <v>16.011985169797985</v>
      </c>
      <c r="H30" s="11">
        <f t="shared" si="10"/>
        <v>25.640523356880625</v>
      </c>
      <c r="I30" s="11">
        <f t="shared" si="10"/>
        <v>1.8498174519931666E-2</v>
      </c>
      <c r="J30" s="11">
        <f t="shared" si="10"/>
        <v>7.6149126018196886E-2</v>
      </c>
      <c r="K30" s="11">
        <f t="shared" si="10"/>
        <v>6.9166474138951564E-2</v>
      </c>
      <c r="L30" s="11">
        <f t="shared" si="10"/>
        <v>3.5635585186263845</v>
      </c>
      <c r="M30" s="11">
        <f t="shared" si="10"/>
        <v>7.8903867510844501</v>
      </c>
      <c r="N30" s="6"/>
      <c r="O30" s="11">
        <f t="shared" si="8"/>
        <v>3.4139103176667631</v>
      </c>
      <c r="P30" s="11">
        <f t="shared" si="8"/>
        <v>5.128422846747557</v>
      </c>
      <c r="Q30" s="11">
        <f t="shared" si="8"/>
        <v>7.4302975480945402E-2</v>
      </c>
      <c r="R30" s="11">
        <f t="shared" si="8"/>
        <v>6.3576276718784746</v>
      </c>
      <c r="S30" s="11">
        <f t="shared" si="8"/>
        <v>1.2172788901095288</v>
      </c>
      <c r="T30" s="11">
        <f t="shared" si="8"/>
        <v>3.7647423855766138</v>
      </c>
      <c r="U30" s="11">
        <f t="shared" si="8"/>
        <v>5.602815837933651</v>
      </c>
      <c r="V30" s="11">
        <f t="shared" si="8"/>
        <v>6.8218506160637133</v>
      </c>
    </row>
    <row r="31" spans="1:22" x14ac:dyDescent="0.3">
      <c r="A31" s="224"/>
      <c r="B31" s="11">
        <f t="shared" ref="B31:M31" si="11">IF(B8="","",(B8/$O$23))</f>
        <v>0.20298488622912206</v>
      </c>
      <c r="C31" s="11">
        <f t="shared" si="11"/>
        <v>0.34517091568943242</v>
      </c>
      <c r="D31" s="11">
        <f t="shared" si="11"/>
        <v>0.30219890597246096</v>
      </c>
      <c r="E31" s="11">
        <f t="shared" si="11"/>
        <v>3.2881506558973377</v>
      </c>
      <c r="F31" s="11">
        <f t="shared" si="11"/>
        <v>8.7791862393382907</v>
      </c>
      <c r="G31" s="11">
        <f t="shared" si="11"/>
        <v>18.880794507596374</v>
      </c>
      <c r="H31" s="11">
        <f t="shared" si="11"/>
        <v>22.631121687182731</v>
      </c>
      <c r="I31" s="11">
        <f t="shared" si="11"/>
        <v>0.16471922054790936</v>
      </c>
      <c r="J31" s="11">
        <f t="shared" si="11"/>
        <v>6.5986130776459498E-2</v>
      </c>
      <c r="K31" s="11">
        <f t="shared" si="11"/>
        <v>0.31083025913363677</v>
      </c>
      <c r="L31" s="11">
        <f t="shared" si="11"/>
        <v>6.9508921665269394</v>
      </c>
      <c r="M31" s="11">
        <f t="shared" si="11"/>
        <v>6.1454360089440989</v>
      </c>
      <c r="N31" s="6"/>
      <c r="O31" s="11">
        <f t="shared" si="8"/>
        <v>0.40898369430553705</v>
      </c>
      <c r="P31" s="11">
        <f t="shared" si="8"/>
        <v>13.8511244955458</v>
      </c>
      <c r="Q31" s="11">
        <f t="shared" si="8"/>
        <v>0.18320893295689869</v>
      </c>
      <c r="R31" s="11">
        <f t="shared" si="8"/>
        <v>0.38320810437520225</v>
      </c>
      <c r="S31" s="11">
        <f t="shared" si="8"/>
        <v>0.16870910585721757</v>
      </c>
      <c r="T31" s="11">
        <f t="shared" si="8"/>
        <v>1.4366492438266476</v>
      </c>
      <c r="U31" s="11">
        <f t="shared" si="8"/>
        <v>5.073742096190049</v>
      </c>
      <c r="V31" s="11">
        <f t="shared" si="8"/>
        <v>12.054344734235507</v>
      </c>
    </row>
    <row r="32" spans="1:22" x14ac:dyDescent="0.3">
      <c r="A32" s="224"/>
      <c r="B32" s="11">
        <f t="shared" ref="B32:M32" si="12">IF(B9="","",(B9/$O$23))</f>
        <v>0.4141554544431239</v>
      </c>
      <c r="C32" s="11">
        <f t="shared" si="12"/>
        <v>0.59959697433697379</v>
      </c>
      <c r="D32" s="11">
        <f t="shared" si="12"/>
        <v>0.30539617355683768</v>
      </c>
      <c r="E32" s="11">
        <f t="shared" si="12"/>
        <v>7.8585029274055778</v>
      </c>
      <c r="F32" s="11">
        <f t="shared" si="12"/>
        <v>8.2255582723436973</v>
      </c>
      <c r="G32" s="11">
        <f t="shared" si="12"/>
        <v>13.440960336763808</v>
      </c>
      <c r="H32" s="11">
        <f t="shared" si="12"/>
        <v>26.359420581634382</v>
      </c>
      <c r="I32" s="11">
        <f t="shared" si="12"/>
        <v>0.68014639804518184</v>
      </c>
      <c r="J32" s="11">
        <f t="shared" si="12"/>
        <v>0.28448206636287099</v>
      </c>
      <c r="K32" s="11">
        <f t="shared" si="12"/>
        <v>6.2209208592533226E-2</v>
      </c>
      <c r="L32" s="11">
        <f t="shared" si="12"/>
        <v>0.14136661505072814</v>
      </c>
      <c r="M32" s="11">
        <f t="shared" si="12"/>
        <v>6.840395332193828</v>
      </c>
      <c r="N32" s="6"/>
      <c r="O32" s="11">
        <f t="shared" si="8"/>
        <v>3.4430312621229655</v>
      </c>
      <c r="P32" s="11">
        <f t="shared" si="8"/>
        <v>11.303180070106826</v>
      </c>
      <c r="Q32" s="11">
        <f t="shared" si="8"/>
        <v>0.65845377664452087</v>
      </c>
      <c r="R32" s="11">
        <f t="shared" si="8"/>
        <v>1.7850315306186941</v>
      </c>
      <c r="S32" s="11">
        <f t="shared" si="8"/>
        <v>0.55876305798476411</v>
      </c>
      <c r="T32" s="11">
        <f t="shared" si="8"/>
        <v>5.3020780564505658</v>
      </c>
      <c r="U32" s="11">
        <f t="shared" si="8"/>
        <v>2.9403564858157831</v>
      </c>
      <c r="V32" s="11">
        <f t="shared" si="8"/>
        <v>1.923745273889002</v>
      </c>
    </row>
    <row r="33" spans="1:22" x14ac:dyDescent="0.3">
      <c r="A33" s="224"/>
      <c r="B33" s="11">
        <f t="shared" ref="B33:M33" si="13">IF(B10="","",(B10/$O$23))</f>
        <v>5.8825774567425266E-3</v>
      </c>
      <c r="C33" s="11">
        <f t="shared" si="13"/>
        <v>1.8897261775490148</v>
      </c>
      <c r="D33" s="11">
        <f t="shared" si="13"/>
        <v>0.51769220252616932</v>
      </c>
      <c r="E33" s="11">
        <f t="shared" si="13"/>
        <v>2.2225283077444091</v>
      </c>
      <c r="F33" s="11">
        <f t="shared" si="13"/>
        <v>12.424399897502681</v>
      </c>
      <c r="G33" s="11">
        <f t="shared" si="13"/>
        <v>7.5578554084392104</v>
      </c>
      <c r="H33" s="11">
        <f t="shared" si="13"/>
        <v>12.596025610931354</v>
      </c>
      <c r="I33" s="11">
        <f t="shared" si="13"/>
        <v>7.2226937596427301E-2</v>
      </c>
      <c r="J33" s="11">
        <f t="shared" si="13"/>
        <v>0.1524957012917148</v>
      </c>
      <c r="K33" s="11">
        <f t="shared" si="13"/>
        <v>0.12635483023903613</v>
      </c>
      <c r="L33" s="11">
        <f t="shared" si="13"/>
        <v>4.9365289672601813</v>
      </c>
      <c r="M33" s="11">
        <f t="shared" si="13"/>
        <v>4.4296640356847217</v>
      </c>
      <c r="N33" s="6"/>
      <c r="O33" s="11">
        <f t="shared" si="8"/>
        <v>0.29607515835386206</v>
      </c>
      <c r="P33" s="11">
        <f t="shared" si="8"/>
        <v>6.6986662567244029</v>
      </c>
      <c r="Q33" s="11">
        <f t="shared" si="8"/>
        <v>2.6046377480489324E-2</v>
      </c>
      <c r="R33" s="11">
        <f t="shared" si="8"/>
        <v>1.2497183924069479</v>
      </c>
      <c r="S33" s="11">
        <f t="shared" si="8"/>
        <v>1.6234038012683822</v>
      </c>
      <c r="T33" s="11">
        <f t="shared" si="8"/>
        <v>7.3638036906615403</v>
      </c>
      <c r="U33" s="11">
        <f t="shared" si="8"/>
        <v>0.53347403943361327</v>
      </c>
      <c r="V33" s="11">
        <f t="shared" si="8"/>
        <v>2.726083143589594</v>
      </c>
    </row>
    <row r="34" spans="1:22" x14ac:dyDescent="0.3">
      <c r="A34" s="224"/>
      <c r="B34" s="11">
        <f t="shared" ref="B34:M34" si="14">IF(B11="","",(B11/$O$23))</f>
        <v>0.15326575338746676</v>
      </c>
      <c r="C34" s="11">
        <f t="shared" si="14"/>
        <v>0.26317588136190978</v>
      </c>
      <c r="D34" s="11">
        <f t="shared" si="14"/>
        <v>0.65827043090743709</v>
      </c>
      <c r="E34" s="11">
        <f t="shared" si="14"/>
        <v>5.9176077753401222</v>
      </c>
      <c r="F34" s="11">
        <f t="shared" si="14"/>
        <v>6.1622079128317955</v>
      </c>
      <c r="G34" s="11">
        <f t="shared" si="14"/>
        <v>10.766068733319836</v>
      </c>
      <c r="H34" s="11">
        <f t="shared" si="14"/>
        <v>18.19058524928894</v>
      </c>
      <c r="I34" s="11">
        <f t="shared" si="14"/>
        <v>0.19323371371991135</v>
      </c>
      <c r="J34" s="11">
        <f t="shared" si="14"/>
        <v>2.5066182963002857E-2</v>
      </c>
      <c r="K34" s="11">
        <f t="shared" si="14"/>
        <v>0.6943895411129456</v>
      </c>
      <c r="L34" s="11">
        <f t="shared" si="14"/>
        <v>1.2565191089009331</v>
      </c>
      <c r="M34" s="11">
        <f t="shared" si="14"/>
        <v>0.34383390216054438</v>
      </c>
      <c r="N34" s="6"/>
      <c r="O34" s="11">
        <f t="shared" si="8"/>
        <v>0.41325988103506073</v>
      </c>
      <c r="P34" s="11">
        <f t="shared" si="8"/>
        <v>14.22336006273245</v>
      </c>
      <c r="Q34" s="11">
        <f t="shared" si="8"/>
        <v>0.48839355374017812</v>
      </c>
      <c r="R34" s="11">
        <f t="shared" si="8"/>
        <v>1.4410171034247132</v>
      </c>
      <c r="S34" s="11">
        <f t="shared" si="8"/>
        <v>3.7765033094346276</v>
      </c>
      <c r="T34" s="11">
        <f t="shared" si="8"/>
        <v>0.13761084814415769</v>
      </c>
      <c r="U34" s="11">
        <f t="shared" si="8"/>
        <v>8.7010640311187082</v>
      </c>
      <c r="V34" s="11">
        <f t="shared" si="8"/>
        <v>0.20595508716987962</v>
      </c>
    </row>
    <row r="35" spans="1:22" x14ac:dyDescent="0.3">
      <c r="A35" s="224"/>
      <c r="B35" s="11">
        <f t="shared" ref="B35:M35" si="15">IF(B12="","",(B12/$O$23))</f>
        <v>0.29742627540098726</v>
      </c>
      <c r="C35" s="11">
        <f t="shared" si="15"/>
        <v>0.37686152116845534</v>
      </c>
      <c r="D35" s="11">
        <f t="shared" si="15"/>
        <v>0.16093665695668818</v>
      </c>
      <c r="E35" s="11" t="str">
        <f t="shared" si="15"/>
        <v/>
      </c>
      <c r="F35" s="11">
        <f t="shared" si="15"/>
        <v>8.7017029204948528</v>
      </c>
      <c r="G35" s="11">
        <f t="shared" si="15"/>
        <v>11.950245255774796</v>
      </c>
      <c r="H35" s="11">
        <f t="shared" si="15"/>
        <v>12.799961074289666</v>
      </c>
      <c r="I35" s="11">
        <f t="shared" si="15"/>
        <v>0.36480583377928366</v>
      </c>
      <c r="J35" s="11">
        <f t="shared" si="15"/>
        <v>0.16409866574547186</v>
      </c>
      <c r="K35" s="11">
        <f t="shared" si="15"/>
        <v>20.391299645375849</v>
      </c>
      <c r="L35" s="11">
        <f t="shared" si="15"/>
        <v>0.39376740847940539</v>
      </c>
      <c r="M35" s="11" t="str">
        <f t="shared" si="15"/>
        <v/>
      </c>
      <c r="N35" s="6"/>
      <c r="O35" s="11">
        <f t="shared" si="8"/>
        <v>0.77951273578548264</v>
      </c>
      <c r="P35" s="11">
        <f t="shared" si="8"/>
        <v>8.0918484573439535</v>
      </c>
      <c r="Q35" s="11" t="str">
        <f t="shared" si="8"/>
        <v/>
      </c>
      <c r="R35" s="11">
        <f t="shared" si="8"/>
        <v>1.4181172208629467</v>
      </c>
      <c r="S35" s="11">
        <f t="shared" si="8"/>
        <v>1.1542714223847692</v>
      </c>
      <c r="T35" s="11">
        <f t="shared" si="8"/>
        <v>2.6817712996400869</v>
      </c>
      <c r="U35" s="11">
        <f t="shared" si="8"/>
        <v>6.6365614141668257</v>
      </c>
      <c r="V35" s="11">
        <f t="shared" si="8"/>
        <v>16.608092933723071</v>
      </c>
    </row>
    <row r="36" spans="1:22" x14ac:dyDescent="0.3">
      <c r="A36" s="224"/>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0.46972754735322358</v>
      </c>
      <c r="P36" s="11" t="str">
        <f t="shared" si="8"/>
        <v/>
      </c>
      <c r="Q36" s="11" t="str">
        <f t="shared" si="8"/>
        <v/>
      </c>
      <c r="R36" s="11" t="str">
        <f t="shared" si="8"/>
        <v/>
      </c>
      <c r="S36" s="11" t="str">
        <f t="shared" si="8"/>
        <v/>
      </c>
      <c r="T36" s="11" t="str">
        <f t="shared" si="8"/>
        <v/>
      </c>
      <c r="U36" s="11" t="str">
        <f t="shared" si="8"/>
        <v/>
      </c>
      <c r="V36" s="11" t="str">
        <f t="shared" si="8"/>
        <v/>
      </c>
    </row>
    <row r="37" spans="1:22" x14ac:dyDescent="0.3">
      <c r="A37" s="224"/>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0.15600324627731024</v>
      </c>
      <c r="P37" s="11" t="str">
        <f t="shared" si="8"/>
        <v/>
      </c>
      <c r="Q37" s="11" t="str">
        <f t="shared" si="8"/>
        <v/>
      </c>
      <c r="R37" s="11" t="str">
        <f t="shared" si="8"/>
        <v/>
      </c>
      <c r="S37" s="11" t="str">
        <f t="shared" si="8"/>
        <v/>
      </c>
      <c r="T37" s="11" t="str">
        <f t="shared" si="8"/>
        <v/>
      </c>
      <c r="U37" s="11" t="str">
        <f t="shared" si="8"/>
        <v/>
      </c>
      <c r="V37" s="11" t="str">
        <f t="shared" si="8"/>
        <v/>
      </c>
    </row>
    <row r="38" spans="1:22" x14ac:dyDescent="0.3">
      <c r="A38" s="224"/>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3.9745914541317888</v>
      </c>
      <c r="P38" s="11" t="str">
        <f t="shared" si="8"/>
        <v/>
      </c>
      <c r="Q38" s="11" t="str">
        <f t="shared" si="8"/>
        <v/>
      </c>
      <c r="R38" s="11" t="str">
        <f t="shared" si="8"/>
        <v/>
      </c>
      <c r="S38" s="11" t="str">
        <f t="shared" si="8"/>
        <v/>
      </c>
      <c r="T38" s="11" t="str">
        <f t="shared" si="8"/>
        <v/>
      </c>
      <c r="U38" s="11" t="str">
        <f t="shared" si="8"/>
        <v/>
      </c>
      <c r="V38" s="11" t="str">
        <f t="shared" si="8"/>
        <v/>
      </c>
    </row>
    <row r="39" spans="1:22" x14ac:dyDescent="0.3">
      <c r="A39" s="224"/>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0.48922989237164499</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
      <c r="A40" s="224"/>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0.19769888759381374</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
      <c r="A41" s="224"/>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6.3546222121421247E-2</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
      <c r="A42" s="224"/>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6.0979381802248045E-2</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
      <c r="A43" s="224"/>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4.1042648422120416E-2</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BPA-1mg/L</v>
      </c>
      <c r="J45" s="7" t="str">
        <f t="shared" si="26"/>
        <v>BPA-2mg/L</v>
      </c>
      <c r="K45" s="7" t="str">
        <f t="shared" si="26"/>
        <v>BPA-3mg/L</v>
      </c>
      <c r="L45" s="7" t="str">
        <f t="shared" si="26"/>
        <v>BPA-4mg/L</v>
      </c>
      <c r="M45" s="7" t="str">
        <f t="shared" si="26"/>
        <v>BPA-5mg/L</v>
      </c>
      <c r="N45" s="7"/>
      <c r="O45" s="7" t="str">
        <f t="shared" si="26"/>
        <v>Testo -30µg/L</v>
      </c>
      <c r="P45" s="7" t="str">
        <f t="shared" si="26"/>
        <v>Testo 30µg/L + EE2 -64ng/L</v>
      </c>
      <c r="Q45" s="7" t="str">
        <f t="shared" si="26"/>
        <v>Testo 30µg/L + FAD-10µg/L</v>
      </c>
      <c r="R45" s="7" t="str">
        <f t="shared" si="26"/>
        <v>BPA-1mg/L + Testostérone</v>
      </c>
      <c r="S45" s="7" t="str">
        <f t="shared" si="26"/>
        <v>BPA-2mg/L + Testostérone</v>
      </c>
      <c r="T45" s="7" t="str">
        <f t="shared" si="26"/>
        <v>BPA-3mg/L + Testostérone</v>
      </c>
      <c r="U45" s="7" t="str">
        <f t="shared" si="26"/>
        <v>BPA-4mg/L + Testostérone</v>
      </c>
      <c r="V45" s="7" t="str">
        <f t="shared" si="26"/>
        <v>BPA-5mg/L + Testostérone</v>
      </c>
    </row>
    <row r="46" spans="1:22" x14ac:dyDescent="0.3">
      <c r="A46" s="8" t="s">
        <v>0</v>
      </c>
      <c r="B46" s="10">
        <f t="shared" ref="B46:H46" si="27">AVERAGE(B28:B43)</f>
        <v>0.25491650849424052</v>
      </c>
      <c r="C46" s="10">
        <f t="shared" si="27"/>
        <v>0.49008297893101854</v>
      </c>
      <c r="D46" s="10">
        <f t="shared" si="27"/>
        <v>0.44359690135126695</v>
      </c>
      <c r="E46" s="10">
        <f t="shared" si="27"/>
        <v>3.7762959877165407</v>
      </c>
      <c r="F46" s="10">
        <f t="shared" si="27"/>
        <v>9.7714621831347142</v>
      </c>
      <c r="G46" s="10">
        <f t="shared" si="27"/>
        <v>12.627117345767232</v>
      </c>
      <c r="H46" s="10">
        <f t="shared" si="27"/>
        <v>18.111757159981583</v>
      </c>
      <c r="I46" s="10">
        <f>AVERAGE(I28:I43)</f>
        <v>0.27120025435695139</v>
      </c>
      <c r="J46" s="9">
        <f>AVERAGE(J28:J43)</f>
        <v>0.16816400487734917</v>
      </c>
      <c r="K46" s="9">
        <f t="shared" ref="K46:M46" si="28">AVERAGE(K28:K43)</f>
        <v>2.8321114544632215</v>
      </c>
      <c r="L46" s="9">
        <f t="shared" si="28"/>
        <v>3.8493867658049972</v>
      </c>
      <c r="M46" s="9">
        <f t="shared" si="28"/>
        <v>4.8225533994144456</v>
      </c>
      <c r="N46" s="8" t="s">
        <v>0</v>
      </c>
      <c r="O46" s="10">
        <f t="shared" ref="O46:V46" si="29">AVERAGE(O28:O43)</f>
        <v>0.99999999999999989</v>
      </c>
      <c r="P46" s="10">
        <f t="shared" si="29"/>
        <v>8.9069757499700088</v>
      </c>
      <c r="Q46" s="10">
        <f t="shared" si="29"/>
        <v>0.28475245095536161</v>
      </c>
      <c r="R46" s="10">
        <f t="shared" si="29"/>
        <v>1.7402800094881417</v>
      </c>
      <c r="S46" s="10">
        <f t="shared" si="29"/>
        <v>1.318136498609437</v>
      </c>
      <c r="T46" s="10">
        <f t="shared" si="29"/>
        <v>4.0234016152230554</v>
      </c>
      <c r="U46" s="10">
        <f t="shared" si="29"/>
        <v>5.1262362725388551</v>
      </c>
      <c r="V46" s="10">
        <f t="shared" si="29"/>
        <v>7.4697974479154858</v>
      </c>
    </row>
    <row r="47" spans="1:22" x14ac:dyDescent="0.3">
      <c r="A47" s="8" t="s">
        <v>1</v>
      </c>
      <c r="B47" s="8">
        <f t="shared" ref="B47:M47" si="30">STDEV(B28:B43)</f>
        <v>0.18383444776365554</v>
      </c>
      <c r="C47" s="8">
        <f t="shared" si="30"/>
        <v>0.59022772207272811</v>
      </c>
      <c r="D47" s="8">
        <f t="shared" si="30"/>
        <v>0.35459118072996582</v>
      </c>
      <c r="E47" s="8">
        <f t="shared" si="30"/>
        <v>2.2779600955895969</v>
      </c>
      <c r="F47" s="8">
        <f t="shared" si="30"/>
        <v>3.9178392444961379</v>
      </c>
      <c r="G47" s="8">
        <f t="shared" si="30"/>
        <v>3.5774208054467787</v>
      </c>
      <c r="H47" s="8">
        <f t="shared" si="30"/>
        <v>5.9807130831825859</v>
      </c>
      <c r="I47" s="8">
        <f t="shared" si="30"/>
        <v>0.21200913499344284</v>
      </c>
      <c r="J47" s="8">
        <f t="shared" si="30"/>
        <v>0.12458442293736437</v>
      </c>
      <c r="K47" s="8">
        <f t="shared" si="30"/>
        <v>7.1011943638848862</v>
      </c>
      <c r="L47" s="8">
        <f t="shared" si="30"/>
        <v>3.0574624564008359</v>
      </c>
      <c r="M47" s="8">
        <f t="shared" si="30"/>
        <v>2.6030054578462156</v>
      </c>
      <c r="N47" s="8" t="s">
        <v>1</v>
      </c>
      <c r="O47" s="8">
        <f t="shared" ref="O47:V47" si="31">STDEV(O28:O43)</f>
        <v>1.3294603367131363</v>
      </c>
      <c r="P47" s="8">
        <f t="shared" si="31"/>
        <v>3.8514483575013618</v>
      </c>
      <c r="Q47" s="8">
        <f t="shared" si="31"/>
        <v>0.22548199492520912</v>
      </c>
      <c r="R47" s="8">
        <f t="shared" si="31"/>
        <v>1.951014607581955</v>
      </c>
      <c r="S47" s="8">
        <f t="shared" si="31"/>
        <v>1.1140522469442737</v>
      </c>
      <c r="T47" s="8">
        <f t="shared" si="31"/>
        <v>2.6411505535179129</v>
      </c>
      <c r="U47" s="8">
        <f t="shared" si="31"/>
        <v>3.5403708334110524</v>
      </c>
      <c r="V47" s="8">
        <f t="shared" si="31"/>
        <v>5.6250822892446646</v>
      </c>
    </row>
    <row r="48" spans="1:22" x14ac:dyDescent="0.3">
      <c r="A48" s="8" t="s">
        <v>2</v>
      </c>
      <c r="B48" s="8">
        <f t="shared" ref="B48:M48" si="32" xml:space="preserve"> B47/SQRT(COUNT(B28:B43))</f>
        <v>6.4995292314682485E-2</v>
      </c>
      <c r="C48" s="8">
        <f t="shared" si="32"/>
        <v>0.20867701236095745</v>
      </c>
      <c r="D48" s="8">
        <f t="shared" si="32"/>
        <v>0.12536691422155172</v>
      </c>
      <c r="E48" s="8">
        <f t="shared" si="32"/>
        <v>0.86098798706557078</v>
      </c>
      <c r="F48" s="8">
        <f t="shared" si="32"/>
        <v>1.3851653486909996</v>
      </c>
      <c r="G48" s="8">
        <f t="shared" si="32"/>
        <v>1.2648092553446288</v>
      </c>
      <c r="H48" s="8">
        <f t="shared" si="32"/>
        <v>2.1145013887247552</v>
      </c>
      <c r="I48" s="8">
        <f t="shared" si="32"/>
        <v>7.4956548513678792E-2</v>
      </c>
      <c r="J48" s="8">
        <f t="shared" si="32"/>
        <v>4.4047245144611599E-2</v>
      </c>
      <c r="K48" s="8">
        <f t="shared" si="32"/>
        <v>2.5106513446133474</v>
      </c>
      <c r="L48" s="8">
        <f t="shared" si="32"/>
        <v>1.0809762180721549</v>
      </c>
      <c r="M48" s="8">
        <f t="shared" si="32"/>
        <v>0.98384358611498712</v>
      </c>
      <c r="N48" s="8" t="s">
        <v>2</v>
      </c>
      <c r="O48" s="8">
        <f t="shared" ref="O48:V48" si="33" xml:space="preserve"> O47/SQRT(COUNT(O28:O43))</f>
        <v>0.33236508417828409</v>
      </c>
      <c r="P48" s="8">
        <f t="shared" si="33"/>
        <v>1.3616926254895017</v>
      </c>
      <c r="Q48" s="8">
        <f t="shared" si="33"/>
        <v>8.5224183384975907E-2</v>
      </c>
      <c r="R48" s="8">
        <f t="shared" si="33"/>
        <v>0.68978782960760565</v>
      </c>
      <c r="S48" s="8">
        <f t="shared" si="33"/>
        <v>0.39387694920520305</v>
      </c>
      <c r="T48" s="8">
        <f t="shared" si="33"/>
        <v>0.93378773326355979</v>
      </c>
      <c r="U48" s="8">
        <f t="shared" si="33"/>
        <v>1.2517101121100118</v>
      </c>
      <c r="V48" s="8">
        <f t="shared" si="33"/>
        <v>1.9887669157286254</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35"/>
    <row r="52" spans="1:22" x14ac:dyDescent="0.3">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BPA-1mg/L</v>
      </c>
      <c r="J52" s="46" t="str">
        <f>J4</f>
        <v>BPA-2mg/L</v>
      </c>
      <c r="K52" s="46" t="str">
        <f t="shared" ref="K52:M52" si="35">K4</f>
        <v>BPA-3mg/L</v>
      </c>
      <c r="L52" s="46" t="str">
        <f t="shared" si="35"/>
        <v>BPA-4mg/L</v>
      </c>
      <c r="M52" s="46" t="str">
        <f t="shared" si="35"/>
        <v>BPA-5mg/L</v>
      </c>
      <c r="N52" s="47"/>
      <c r="O52" s="46" t="str">
        <f>O27</f>
        <v>Testo -30µg/L</v>
      </c>
      <c r="P52" s="46" t="str">
        <f>P27</f>
        <v>Testo 30µg/L + EE2 -64ng/L</v>
      </c>
      <c r="Q52" s="46" t="str">
        <f>Q27</f>
        <v>Testo 30µg/L + FAD-10µg/L</v>
      </c>
      <c r="R52" s="46" t="str">
        <f>R27</f>
        <v>BPA-1mg/L + Testostérone</v>
      </c>
      <c r="S52" s="46" t="str">
        <f t="shared" ref="S52:V52" si="36">S27</f>
        <v>BPA-2mg/L + Testostérone</v>
      </c>
      <c r="T52" s="46" t="str">
        <f t="shared" si="36"/>
        <v>BPA-3mg/L + Testostérone</v>
      </c>
      <c r="U52" s="46" t="str">
        <f t="shared" si="36"/>
        <v>BPA-4mg/L + Testostérone</v>
      </c>
      <c r="V52" s="46" t="str">
        <f t="shared" si="36"/>
        <v>BPA-5mg/L + Testostérone</v>
      </c>
    </row>
    <row r="53" spans="1:22" s="3" customFormat="1" x14ac:dyDescent="0.3">
      <c r="A53" s="61" t="s">
        <v>32</v>
      </c>
      <c r="B53" s="141">
        <f t="shared" ref="B53:V53" si="37">B46</f>
        <v>0.25491650849424052</v>
      </c>
      <c r="C53" s="141">
        <f t="shared" si="37"/>
        <v>0.49008297893101854</v>
      </c>
      <c r="D53" s="141">
        <f t="shared" si="37"/>
        <v>0.44359690135126695</v>
      </c>
      <c r="E53" s="141">
        <f t="shared" si="37"/>
        <v>3.7762959877165407</v>
      </c>
      <c r="F53" s="141">
        <f t="shared" si="37"/>
        <v>9.7714621831347142</v>
      </c>
      <c r="G53" s="141">
        <f t="shared" si="37"/>
        <v>12.627117345767232</v>
      </c>
      <c r="H53" s="141">
        <f t="shared" si="37"/>
        <v>18.111757159981583</v>
      </c>
      <c r="I53" s="141">
        <f t="shared" si="37"/>
        <v>0.27120025435695139</v>
      </c>
      <c r="J53" s="141">
        <f t="shared" si="37"/>
        <v>0.16816400487734917</v>
      </c>
      <c r="K53" s="141">
        <f t="shared" si="37"/>
        <v>2.8321114544632215</v>
      </c>
      <c r="L53" s="141">
        <f t="shared" si="37"/>
        <v>3.8493867658049972</v>
      </c>
      <c r="M53" s="141">
        <f t="shared" si="37"/>
        <v>4.8225533994144456</v>
      </c>
      <c r="N53" s="141"/>
      <c r="O53" s="141">
        <f t="shared" si="37"/>
        <v>0.99999999999999989</v>
      </c>
      <c r="P53" s="141">
        <f t="shared" si="37"/>
        <v>8.9069757499700088</v>
      </c>
      <c r="Q53" s="141">
        <f t="shared" si="37"/>
        <v>0.28475245095536161</v>
      </c>
      <c r="R53" s="141">
        <f t="shared" si="37"/>
        <v>1.7402800094881417</v>
      </c>
      <c r="S53" s="141">
        <f t="shared" si="37"/>
        <v>1.318136498609437</v>
      </c>
      <c r="T53" s="141">
        <f t="shared" si="37"/>
        <v>4.0234016152230554</v>
      </c>
      <c r="U53" s="141">
        <f t="shared" si="37"/>
        <v>5.1262362725388551</v>
      </c>
      <c r="V53" s="141">
        <f t="shared" si="37"/>
        <v>7.4697974479154858</v>
      </c>
    </row>
    <row r="54" spans="1:22" s="3" customFormat="1" x14ac:dyDescent="0.3">
      <c r="A54" s="61" t="s">
        <v>2</v>
      </c>
      <c r="B54" s="141">
        <f t="shared" ref="B54:V54" si="38">B48</f>
        <v>6.4995292314682485E-2</v>
      </c>
      <c r="C54" s="141">
        <f t="shared" si="38"/>
        <v>0.20867701236095745</v>
      </c>
      <c r="D54" s="141">
        <f t="shared" si="38"/>
        <v>0.12536691422155172</v>
      </c>
      <c r="E54" s="141">
        <f t="shared" si="38"/>
        <v>0.86098798706557078</v>
      </c>
      <c r="F54" s="141">
        <f t="shared" si="38"/>
        <v>1.3851653486909996</v>
      </c>
      <c r="G54" s="141">
        <f t="shared" si="38"/>
        <v>1.2648092553446288</v>
      </c>
      <c r="H54" s="141">
        <f t="shared" si="38"/>
        <v>2.1145013887247552</v>
      </c>
      <c r="I54" s="141">
        <f t="shared" si="38"/>
        <v>7.4956548513678792E-2</v>
      </c>
      <c r="J54" s="141">
        <f t="shared" si="38"/>
        <v>4.4047245144611599E-2</v>
      </c>
      <c r="K54" s="141">
        <f t="shared" si="38"/>
        <v>2.5106513446133474</v>
      </c>
      <c r="L54" s="141">
        <f t="shared" si="38"/>
        <v>1.0809762180721549</v>
      </c>
      <c r="M54" s="141">
        <f t="shared" si="38"/>
        <v>0.98384358611498712</v>
      </c>
      <c r="N54" s="141"/>
      <c r="O54" s="141">
        <f t="shared" si="38"/>
        <v>0.33236508417828409</v>
      </c>
      <c r="P54" s="141">
        <f t="shared" si="38"/>
        <v>1.3616926254895017</v>
      </c>
      <c r="Q54" s="141">
        <f t="shared" si="38"/>
        <v>8.5224183384975907E-2</v>
      </c>
      <c r="R54" s="141">
        <f t="shared" si="38"/>
        <v>0.68978782960760565</v>
      </c>
      <c r="S54" s="141">
        <f t="shared" si="38"/>
        <v>0.39387694920520305</v>
      </c>
      <c r="T54" s="141">
        <f t="shared" si="38"/>
        <v>0.93378773326355979</v>
      </c>
      <c r="U54" s="141">
        <f t="shared" si="38"/>
        <v>1.2517101121100118</v>
      </c>
      <c r="V54" s="141">
        <f t="shared" si="38"/>
        <v>1.9887669157286254</v>
      </c>
    </row>
    <row r="55" spans="1:22" s="3" customFormat="1" x14ac:dyDescent="0.3">
      <c r="A55" s="61" t="s">
        <v>79</v>
      </c>
      <c r="B55" s="141">
        <f>(B53*100/$B53)-100</f>
        <v>0</v>
      </c>
      <c r="C55" s="141">
        <f t="shared" ref="C55:M55" si="39">(C53*100/$B53)-100</f>
        <v>92.252350318885391</v>
      </c>
      <c r="D55" s="141">
        <f t="shared" si="39"/>
        <v>74.016545249084743</v>
      </c>
      <c r="E55" s="141">
        <f t="shared" si="39"/>
        <v>1381.3854191015882</v>
      </c>
      <c r="F55" s="141">
        <f t="shared" si="39"/>
        <v>3733.2010119130778</v>
      </c>
      <c r="G55" s="141">
        <f t="shared" si="39"/>
        <v>4853.4325651775216</v>
      </c>
      <c r="H55" s="141">
        <f t="shared" si="39"/>
        <v>7004.9761613970923</v>
      </c>
      <c r="I55" s="141">
        <f t="shared" si="39"/>
        <v>6.3878741941418014</v>
      </c>
      <c r="J55" s="141">
        <f t="shared" si="39"/>
        <v>-34.031732244148245</v>
      </c>
      <c r="K55" s="141">
        <f t="shared" si="39"/>
        <v>1010.9957025506683</v>
      </c>
      <c r="L55" s="141">
        <f t="shared" si="39"/>
        <v>1410.057857195219</v>
      </c>
      <c r="M55" s="141">
        <f t="shared" si="39"/>
        <v>1791.8168257915727</v>
      </c>
      <c r="N55" s="141"/>
      <c r="O55" s="141">
        <f>(O53*100/$O53)-100</f>
        <v>0</v>
      </c>
      <c r="P55" s="141">
        <f t="shared" ref="P55:V55" si="40">(P53*100/$O53)-100</f>
        <v>790.69757499700097</v>
      </c>
      <c r="Q55" s="141">
        <f t="shared" si="40"/>
        <v>-71.524754904463833</v>
      </c>
      <c r="R55" s="141">
        <f t="shared" si="40"/>
        <v>74.028000948814196</v>
      </c>
      <c r="S55" s="141">
        <f t="shared" si="40"/>
        <v>31.813649860943741</v>
      </c>
      <c r="T55" s="141">
        <f t="shared" si="40"/>
        <v>302.34016152230561</v>
      </c>
      <c r="U55" s="141">
        <f t="shared" si="40"/>
        <v>412.62362725388562</v>
      </c>
      <c r="V55" s="141">
        <f t="shared" si="40"/>
        <v>646.97974479154868</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41">IF(C56&gt;0.05,"Oui","Non")</f>
        <v>#NAME?</v>
      </c>
      <c r="D57" s="141" t="e">
        <f t="shared" ca="1" si="41"/>
        <v>#NAME?</v>
      </c>
      <c r="E57" s="141" t="e">
        <f t="shared" ca="1" si="41"/>
        <v>#NAME?</v>
      </c>
      <c r="F57" s="141" t="e">
        <f t="shared" ca="1" si="41"/>
        <v>#NAME?</v>
      </c>
      <c r="G57" s="141" t="e">
        <f t="shared" ca="1" si="41"/>
        <v>#NAME?</v>
      </c>
      <c r="H57" s="141" t="e">
        <f t="shared" ca="1" si="41"/>
        <v>#NAME?</v>
      </c>
      <c r="I57" s="141" t="e">
        <f t="shared" ca="1" si="41"/>
        <v>#NAME?</v>
      </c>
      <c r="J57" s="141" t="e">
        <f t="shared" ca="1" si="41"/>
        <v>#NAME?</v>
      </c>
      <c r="K57" s="141" t="e">
        <f t="shared" ca="1" si="41"/>
        <v>#NAME?</v>
      </c>
      <c r="L57" s="141" t="e">
        <f t="shared" ca="1" si="41"/>
        <v>#NAME?</v>
      </c>
      <c r="M57" s="141" t="e">
        <f t="shared" ca="1" si="41"/>
        <v>#NAME?</v>
      </c>
      <c r="N57" s="141"/>
      <c r="O57" s="141" t="e">
        <f t="shared" ca="1" si="41"/>
        <v>#NAME?</v>
      </c>
      <c r="P57" s="141" t="e">
        <f t="shared" ca="1" si="41"/>
        <v>#NAME?</v>
      </c>
      <c r="Q57" s="141" t="e">
        <f t="shared" ca="1" si="41"/>
        <v>#NAME?</v>
      </c>
      <c r="R57" s="141" t="e">
        <f t="shared" ca="1" si="41"/>
        <v>#NAME?</v>
      </c>
      <c r="S57" s="141" t="e">
        <f t="shared" ca="1" si="41"/>
        <v>#NAME?</v>
      </c>
      <c r="T57" s="141" t="e">
        <f t="shared" ca="1" si="41"/>
        <v>#NAME?</v>
      </c>
      <c r="U57" s="141" t="e">
        <f t="shared" ca="1" si="41"/>
        <v>#NAME?</v>
      </c>
      <c r="V57" s="141" t="e">
        <f t="shared" ca="1" si="41"/>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O59" ca="1" si="42">IF($B57="Non",IF(C57="Non","MW",IF(C57="Oui","MW","")),IF($B57="Oui",IF(C57="Oui","T-Test Welch",IF(C57="Non","MW",""))))</f>
        <v>#NAME?</v>
      </c>
      <c r="D59" s="150" t="e">
        <f t="shared" ca="1" si="42"/>
        <v>#NAME?</v>
      </c>
      <c r="E59" s="150" t="e">
        <f t="shared" ca="1" si="42"/>
        <v>#NAME?</v>
      </c>
      <c r="F59" s="150" t="e">
        <f t="shared" ca="1" si="42"/>
        <v>#NAME?</v>
      </c>
      <c r="G59" s="150" t="e">
        <f t="shared" ca="1" si="42"/>
        <v>#NAME?</v>
      </c>
      <c r="H59" s="150" t="e">
        <f t="shared" ca="1" si="42"/>
        <v>#NAME?</v>
      </c>
      <c r="I59" s="150" t="e">
        <f t="shared" ca="1" si="42"/>
        <v>#NAME?</v>
      </c>
      <c r="J59" s="150" t="e">
        <f t="shared" ca="1" si="42"/>
        <v>#NAME?</v>
      </c>
      <c r="K59" s="150" t="e">
        <f t="shared" ca="1" si="42"/>
        <v>#NAME?</v>
      </c>
      <c r="L59" s="150" t="e">
        <f t="shared" ca="1" si="42"/>
        <v>#NAME?</v>
      </c>
      <c r="M59" s="150" t="e">
        <f t="shared" ca="1" si="42"/>
        <v>#NAME?</v>
      </c>
      <c r="N59" s="150"/>
      <c r="O59" s="150" t="e">
        <f t="shared" ca="1" si="42"/>
        <v>#NAME?</v>
      </c>
      <c r="P59" s="150" t="e">
        <f ca="1">IF($O57="Non",IF(P57="Non","MW",IF(P57="Oui","MW","")),IF($O57="Oui",IF(P57="Oui","T-Test Welch",IF(P57="Non","MW",""))))</f>
        <v>#NAME?</v>
      </c>
      <c r="Q59" s="150" t="e">
        <f t="shared" ref="Q59:V59" ca="1" si="43">IF($O57="Non",IF(Q57="Non","MW",IF(Q57="Oui","MW","")),IF($O57="Oui",IF(Q57="Oui","T-Test Welch",IF(Q57="Non","MW",""))))</f>
        <v>#NAME?</v>
      </c>
      <c r="R59" s="150" t="e">
        <f t="shared" ca="1" si="43"/>
        <v>#NAME?</v>
      </c>
      <c r="S59" s="150" t="e">
        <f t="shared" ca="1" si="43"/>
        <v>#NAME?</v>
      </c>
      <c r="T59" s="150" t="e">
        <f t="shared" ca="1" si="43"/>
        <v>#NAME?</v>
      </c>
      <c r="U59" s="150" t="e">
        <f t="shared" ca="1" si="43"/>
        <v>#NAME?</v>
      </c>
      <c r="V59" s="150" t="e">
        <f t="shared" ca="1" si="43"/>
        <v>#NAME?</v>
      </c>
    </row>
    <row r="60" spans="1:22" s="3" customFormat="1" x14ac:dyDescent="0.3">
      <c r="A60" s="61" t="s">
        <v>83</v>
      </c>
      <c r="B60" s="151"/>
      <c r="C60" s="151" t="e">
        <f ca="1">IF(C59="MW",[1]!MTEST($B28:$B43,C28:C43,2), IF(C59="T-Test Welch",_xlfn.T.TEST($B28:$B43,C28:C43,2,3),""))</f>
        <v>#NAME?</v>
      </c>
      <c r="D60" s="151" t="e">
        <f ca="1">IF(D59="MW",[1]!MTEST($B28:$B43,D28:D43,2), IF(D59="T-Test Welch",_xlfn.T.TEST($B28:$B43,D28:D43,2,3),""))</f>
        <v>#NAME?</v>
      </c>
      <c r="E60" s="151" t="e">
        <f ca="1">IF(E59="MW",[1]!MTEST($B28:$B43,E28:E43,2), IF(E59="T-Test Welch",_xlfn.T.TEST($B28:$B43,E28:E43,2,3),""))</f>
        <v>#NAME?</v>
      </c>
      <c r="F60" s="151" t="e">
        <f ca="1">IF(F59="MW",[1]!MTEST($B28:$B43,F28:F43,2), IF(F59="T-Test Welch",_xlfn.T.TEST($B28:$B43,F28:F43,2,3),""))</f>
        <v>#NAME?</v>
      </c>
      <c r="G60" s="151" t="e">
        <f ca="1">IF(G59="MW",[1]!MTEST($B28:$B43,G28:G43,2), IF(G59="T-Test Welch",_xlfn.T.TEST($B28:$B43,G28:G43,2,3),""))</f>
        <v>#NAME?</v>
      </c>
      <c r="H60" s="151" t="e">
        <f ca="1">IF(H59="MW",[1]!MTEST($B28:$B43,H28:H43,2), IF(H59="T-Test Welch",_xlfn.T.TEST($B28:$B43,H28:H43,2,3),""))</f>
        <v>#NAME?</v>
      </c>
      <c r="I60" s="151" t="e">
        <f ca="1">IF(I59="MW",[1]!MTEST($B28:$B43,I28:I43,2), IF(I59="T-Test Welch",_xlfn.T.TEST($B28:$B43,I28:I43,2,3),""))</f>
        <v>#NAME?</v>
      </c>
      <c r="J60" s="151" t="e">
        <f ca="1">IF(J59="MW",[1]!MTEST($B28:$B43,J28:J43,2), IF(J59="T-Test Welch",_xlfn.T.TEST($B28:$B43,J28:J43,2,3),""))</f>
        <v>#NAME?</v>
      </c>
      <c r="K60" s="151" t="e">
        <f ca="1">IF(K59="MW",[1]!MTEST($B28:$B43,K28:K43,2), IF(K59="T-Test Welch",_xlfn.T.TEST($B28:$B43,K28:K43,2,3),""))</f>
        <v>#NAME?</v>
      </c>
      <c r="L60" s="151" t="e">
        <f ca="1">IF(L59="MW",[1]!MTEST($B28:$B43,L28:L43,2), IF(L59="T-Test Welch",_xlfn.T.TEST($B28:$B43,L28:L43,2,3),""))</f>
        <v>#NAME?</v>
      </c>
      <c r="M60" s="151" t="e">
        <f ca="1">IF(M59="MW",[1]!MTEST($B28:$B43,M28:M43,2), IF(M59="T-Test Welch",_xlfn.T.TEST($B28:$B43,M28:M43,2,3),""))</f>
        <v>#NAME?</v>
      </c>
      <c r="N60" s="151"/>
      <c r="O60" s="151" t="e">
        <f ca="1">IF(O59="MW",[1]!MTEST($B28:$B43,O28:O43,2), IF(O59="T-Test Welch",_xlfn.T.TEST($B28:$B43,O28:O43,2,3),""))</f>
        <v>#NAME?</v>
      </c>
      <c r="P60" s="151" t="e">
        <f ca="1">IF(P59="MW",[1]!MTEST($O28:$O43,P28:P43,2), IF(P59="T-Test Welch",_xlfn.T.TEST($O28:$O43,P28:P43,2,3),""))</f>
        <v>#NAME?</v>
      </c>
      <c r="Q60" s="151" t="e">
        <f ca="1">IF(Q59="MW",[1]!MTEST($O28:$O43,Q28:Q43,2), IF(Q59="T-Test Welch",_xlfn.T.TEST($O28:$O43,Q28:Q43,2,3),""))</f>
        <v>#NAME?</v>
      </c>
      <c r="R60" s="151" t="e">
        <f ca="1">IF(R59="MW",[1]!MTEST($O28:$O43,R28:R43,2), IF(R59="T-Test Welch",_xlfn.T.TEST($O28:$O43,R28:R43,2,3),""))</f>
        <v>#NAME?</v>
      </c>
      <c r="S60" s="151" t="e">
        <f ca="1">IF(S59="MW",[1]!MTEST($O28:$O43,S28:S43,2), IF(S59="T-Test Welch",_xlfn.T.TEST($O28:$O43,S28:S43,2,3),""))</f>
        <v>#NAME?</v>
      </c>
      <c r="T60" s="151" t="e">
        <f ca="1">IF(T59="MW",[1]!MTEST($O28:$O43,T28:T43,2), IF(T59="T-Test Welch",_xlfn.T.TEST($O28:$O43,T28:T43,2,3),""))</f>
        <v>#NAME?</v>
      </c>
      <c r="U60" s="151" t="e">
        <f ca="1">IF(U59="MW",[1]!MTEST($O28:$O43,U28:U43,2), IF(U59="T-Test Welch",_xlfn.T.TEST($O28:$O43,U28:U43,2,3),""))</f>
        <v>#NAME?</v>
      </c>
      <c r="V60" s="151" t="e">
        <f ca="1">IF(V59="MW",[1]!MTEST($O28:$O43,V28:V43,2), IF(V59="T-Test Welch",_xlfn.T.TEST($O28:$O43,V28:V43,2,3),""))</f>
        <v>#NAME?</v>
      </c>
    </row>
    <row r="61" spans="1:22" s="3" customFormat="1" ht="15" thickBot="1" x14ac:dyDescent="0.35">
      <c r="A61" s="62" t="s">
        <v>84</v>
      </c>
      <c r="B61" s="142"/>
      <c r="C61" s="142" t="e">
        <f t="shared" ref="C61:O61" ca="1" si="44">IF(C60&gt;0.05,"NS",IF(C60&gt;0.01,"*",IF(C60&gt;0.001,"**","***")))</f>
        <v>#NAME?</v>
      </c>
      <c r="D61" s="142" t="e">
        <f t="shared" ca="1" si="44"/>
        <v>#NAME?</v>
      </c>
      <c r="E61" s="142" t="e">
        <f t="shared" ca="1" si="44"/>
        <v>#NAME?</v>
      </c>
      <c r="F61" s="142" t="e">
        <f t="shared" ca="1" si="44"/>
        <v>#NAME?</v>
      </c>
      <c r="G61" s="142" t="e">
        <f t="shared" ca="1" si="44"/>
        <v>#NAME?</v>
      </c>
      <c r="H61" s="142" t="e">
        <f t="shared" ca="1" si="44"/>
        <v>#NAME?</v>
      </c>
      <c r="I61" s="142" t="e">
        <f t="shared" ca="1" si="44"/>
        <v>#NAME?</v>
      </c>
      <c r="J61" s="142" t="e">
        <f t="shared" ca="1" si="44"/>
        <v>#NAME?</v>
      </c>
      <c r="K61" s="142" t="e">
        <f t="shared" ca="1" si="44"/>
        <v>#NAME?</v>
      </c>
      <c r="L61" s="142" t="e">
        <f t="shared" ca="1" si="44"/>
        <v>#NAME?</v>
      </c>
      <c r="M61" s="142" t="e">
        <f t="shared" ca="1" si="44"/>
        <v>#NAME?</v>
      </c>
      <c r="N61" s="142"/>
      <c r="O61" s="142" t="e">
        <f t="shared" ca="1" si="44"/>
        <v>#NAME?</v>
      </c>
      <c r="P61" s="142" t="e">
        <f ca="1">IF(P60&gt;0.05,"NS",IF(P60&gt;0.01,"*",IF(P60&gt;0.001,"**","***")))</f>
        <v>#NAME?</v>
      </c>
      <c r="Q61" s="142" t="e">
        <f t="shared" ref="Q61:V61" ca="1" si="45">IF(Q60&gt;0.05,"NS",IF(Q60&gt;0.01,"*",IF(Q60&gt;0.001,"**","***")))</f>
        <v>#NAME?</v>
      </c>
      <c r="R61" s="142" t="e">
        <f t="shared" ca="1" si="45"/>
        <v>#NAME?</v>
      </c>
      <c r="S61" s="142" t="e">
        <f t="shared" ca="1" si="45"/>
        <v>#NAME?</v>
      </c>
      <c r="T61" s="142" t="e">
        <f t="shared" ca="1" si="45"/>
        <v>#NAME?</v>
      </c>
      <c r="U61" s="142" t="e">
        <f t="shared" ca="1" si="45"/>
        <v>#NAME?</v>
      </c>
      <c r="V61" s="142" t="e">
        <f t="shared" ca="1" si="45"/>
        <v>#NAME?</v>
      </c>
    </row>
    <row r="63" spans="1:22" x14ac:dyDescent="0.3">
      <c r="A63" s="2" t="s">
        <v>39</v>
      </c>
    </row>
    <row r="64" spans="1:22" x14ac:dyDescent="0.3">
      <c r="A64" s="1" t="s">
        <v>23</v>
      </c>
      <c r="B64" s="1">
        <f>B46+(3*B47)</f>
        <v>0.80641985178520714</v>
      </c>
    </row>
    <row r="65" spans="1:22" x14ac:dyDescent="0.3">
      <c r="A65" s="1" t="s">
        <v>24</v>
      </c>
      <c r="B65" s="1">
        <f>B46+(10*B47)</f>
        <v>2.093260986130796</v>
      </c>
    </row>
    <row r="66" spans="1:22" ht="15" thickBot="1" x14ac:dyDescent="0.35"/>
    <row r="67" spans="1:22" ht="26.4" thickBot="1" x14ac:dyDescent="0.55000000000000004">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19"/>
  <sheetViews>
    <sheetView showGridLines="0" topLeftCell="A32" zoomScale="70" zoomScaleNormal="70" workbookViewId="0">
      <selection activeCell="F98" sqref="F98"/>
    </sheetView>
  </sheetViews>
  <sheetFormatPr defaultColWidth="11.5546875" defaultRowHeight="14.4" x14ac:dyDescent="0.3"/>
  <cols>
    <col min="1" max="1" width="42.77734375" customWidth="1"/>
    <col min="2" max="2" width="14" bestFit="1" customWidth="1"/>
    <col min="3" max="13" width="22.77734375" bestFit="1" customWidth="1"/>
    <col min="14" max="14" width="8.44140625" customWidth="1"/>
    <col min="15" max="15" width="22.77734375" customWidth="1"/>
    <col min="18" max="22" width="29.21875" customWidth="1"/>
  </cols>
  <sheetData>
    <row r="1" spans="1:22" s="1" customFormat="1" ht="21.6" thickBot="1" x14ac:dyDescent="0.35">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35">
      <c r="A2" s="1"/>
      <c r="B2" s="1"/>
      <c r="C2" s="1"/>
      <c r="D2" s="1"/>
      <c r="E2" s="1"/>
      <c r="F2" s="1"/>
      <c r="G2" s="1"/>
      <c r="H2" s="1"/>
      <c r="I2" s="1"/>
      <c r="J2" s="1"/>
      <c r="K2" s="1"/>
      <c r="L2" s="1"/>
      <c r="M2" s="1"/>
    </row>
    <row r="3" spans="1:22" s="33" customFormat="1" ht="15" thickBot="1" x14ac:dyDescent="0.35">
      <c r="B3" s="221" t="s">
        <v>6</v>
      </c>
      <c r="C3" s="222"/>
      <c r="D3" s="222"/>
      <c r="E3" s="222"/>
      <c r="F3" s="222"/>
      <c r="G3" s="222"/>
      <c r="H3" s="222"/>
      <c r="I3" s="222"/>
      <c r="J3" s="222"/>
      <c r="K3" s="222"/>
      <c r="L3" s="222"/>
      <c r="M3" s="222"/>
      <c r="N3" s="72"/>
      <c r="O3" s="221" t="s">
        <v>3</v>
      </c>
      <c r="P3" s="222"/>
      <c r="Q3" s="222"/>
      <c r="R3" s="222"/>
      <c r="S3" s="222"/>
      <c r="T3" s="222"/>
      <c r="U3" s="222"/>
      <c r="V3" s="222"/>
    </row>
    <row r="4" spans="1:22" x14ac:dyDescent="0.3">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BPA-1mg/L</v>
      </c>
      <c r="J4" s="35" t="str">
        <f>'R1'!J4</f>
        <v>BPA-2mg/L</v>
      </c>
      <c r="K4" s="35" t="str">
        <f>'R1'!K4</f>
        <v>BPA-3mg/L</v>
      </c>
      <c r="L4" s="35" t="str">
        <f>'R1'!L4</f>
        <v>BPA-4mg/L</v>
      </c>
      <c r="M4" s="35" t="str">
        <f>'R1'!M4</f>
        <v>BPA-5mg/L</v>
      </c>
      <c r="O4" s="35" t="str">
        <f>'R1'!O4</f>
        <v>Testo -30µg/L</v>
      </c>
      <c r="P4" s="35" t="str">
        <f>'R1'!P4</f>
        <v>Testo 30µg/L + EE2 -64ng/L</v>
      </c>
      <c r="Q4" s="35" t="str">
        <f>'R1'!Q4</f>
        <v>Testo 30µg/L + FAD-10µg/L</v>
      </c>
      <c r="R4" s="35" t="str">
        <f>'R1'!R4</f>
        <v>BPA-1mg/L + Testostérone</v>
      </c>
      <c r="S4" s="35" t="str">
        <f>'R1'!S4</f>
        <v>BPA-2mg/L + Testostérone</v>
      </c>
      <c r="T4" s="35" t="str">
        <f>'R1'!T4</f>
        <v>BPA-3mg/L + Testostérone</v>
      </c>
      <c r="U4" s="35" t="str">
        <f>'R1'!U4</f>
        <v>BPA-4mg/L + Testostérone</v>
      </c>
      <c r="V4" s="35" t="str">
        <f>'R1'!V4</f>
        <v>BPA-5mg/L + Testostérone</v>
      </c>
    </row>
    <row r="5" spans="1:22" s="1" customFormat="1" x14ac:dyDescent="0.3">
      <c r="A5" s="34"/>
      <c r="B5" s="35"/>
      <c r="C5" s="194" t="s">
        <v>165</v>
      </c>
      <c r="D5" s="35"/>
      <c r="E5" s="35"/>
      <c r="F5" s="35"/>
      <c r="G5" s="35"/>
      <c r="H5" s="35"/>
      <c r="I5" s="35"/>
      <c r="J5" s="35"/>
      <c r="K5" s="35"/>
      <c r="L5" s="35"/>
      <c r="M5" s="35"/>
      <c r="O5" s="35"/>
      <c r="P5" s="35"/>
      <c r="Q5" s="35"/>
      <c r="R5" s="35"/>
      <c r="S5" s="35"/>
      <c r="T5" s="35"/>
      <c r="U5" s="35"/>
      <c r="V5" s="35"/>
    </row>
    <row r="6" spans="1:22" s="1" customFormat="1" x14ac:dyDescent="0.3">
      <c r="A6" s="71" t="s">
        <v>4</v>
      </c>
      <c r="B6" s="53">
        <f>'R1'!B28</f>
        <v>1.8855302363351752E-2</v>
      </c>
      <c r="C6" s="53">
        <f>'R1'!C28</f>
        <v>4.8612985187471399E-3</v>
      </c>
      <c r="D6" s="53">
        <f>'R1'!D28</f>
        <v>1.897346533532282E-2</v>
      </c>
      <c r="E6" s="53">
        <f>'R1'!E28</f>
        <v>0.1184417627330603</v>
      </c>
      <c r="F6" s="53">
        <f>'R1'!F28</f>
        <v>2.3822744464264778</v>
      </c>
      <c r="G6" s="53">
        <f>'R1'!G28</f>
        <v>3.1893376996192626</v>
      </c>
      <c r="H6" s="53">
        <f>'R1'!H28</f>
        <v>10.531505663975894</v>
      </c>
      <c r="I6" s="53">
        <f>'R1'!I28</f>
        <v>2.4886229674968743E-2</v>
      </c>
      <c r="J6" s="53">
        <f>'R1'!J28</f>
        <v>4.2702067144262522E-2</v>
      </c>
      <c r="K6" s="53">
        <f>'R1'!K28</f>
        <v>1.1976001838911251E-2</v>
      </c>
      <c r="L6" s="53">
        <f>'R1'!L28</f>
        <v>6.4012943768887998E-2</v>
      </c>
      <c r="M6" s="53">
        <f>'R1'!M28</f>
        <v>3.1796344886943575</v>
      </c>
      <c r="N6"/>
      <c r="O6" s="53">
        <f>'R1'!O28</f>
        <v>0.17997974612808557</v>
      </c>
      <c r="P6" s="53">
        <f>'R1'!P28</f>
        <v>5.6042011244560728</v>
      </c>
      <c r="Q6" s="53">
        <f>'R1'!Q28</f>
        <v>6.9306275653904348E-2</v>
      </c>
      <c r="R6" s="53">
        <f>'R1'!R28</f>
        <v>0.85992456648190363</v>
      </c>
      <c r="S6" s="53">
        <f>'R1'!S28</f>
        <v>2.942725115078118</v>
      </c>
      <c r="T6" s="53">
        <f>'R1'!T28</f>
        <v>4.7137517389804566</v>
      </c>
      <c r="U6" s="53">
        <f>'R1'!U28</f>
        <v>5.9101370598160035</v>
      </c>
      <c r="V6" s="53">
        <f>'R1'!V28</f>
        <v>8.0535210565492896</v>
      </c>
    </row>
    <row r="7" spans="1:22" s="1" customFormat="1" x14ac:dyDescent="0.3">
      <c r="A7" s="225" t="s">
        <v>34</v>
      </c>
      <c r="B7" s="53">
        <f>'R1'!B29</f>
        <v>3.0126942111529227E-2</v>
      </c>
      <c r="C7" s="53">
        <f>'R1'!C29</f>
        <v>4.8012938845430828E-3</v>
      </c>
      <c r="D7" s="53">
        <f>'R1'!D29</f>
        <v>8.9387518851455905E-2</v>
      </c>
      <c r="E7" s="53">
        <f>'R1'!E29</f>
        <v>6.1717997297637446E-2</v>
      </c>
      <c r="F7" s="53">
        <f>'R1'!F29</f>
        <v>0.81716711044452961</v>
      </c>
      <c r="G7" s="53">
        <f>'R1'!G29</f>
        <v>2.7958069992482493</v>
      </c>
      <c r="H7" s="53">
        <f>'R1'!H29</f>
        <v>5.4799536825767152</v>
      </c>
      <c r="I7" s="53">
        <f>'R1'!I29</f>
        <v>1.6572356818942015E-2</v>
      </c>
      <c r="J7" s="53">
        <f>'R1'!J29</f>
        <v>7.9003024541279953E-3</v>
      </c>
      <c r="K7" s="53">
        <f>'R1'!K29</f>
        <v>3.8338345515299796E-3</v>
      </c>
      <c r="L7" s="53">
        <f>'R1'!L29</f>
        <v>0.84761623128432373</v>
      </c>
      <c r="M7" s="53">
        <f>'R1'!M29</f>
        <v>0.72678536096172341</v>
      </c>
      <c r="N7"/>
      <c r="O7" s="53">
        <f>'R1'!O29</f>
        <v>1.0472802668759955</v>
      </c>
      <c r="P7" s="53">
        <f>'R1'!P29</f>
        <v>7.6722294552594672</v>
      </c>
      <c r="Q7" s="53">
        <f>'R1'!Q29</f>
        <v>1.4493427030826071E-4</v>
      </c>
      <c r="R7" s="53">
        <f>'R1'!R29</f>
        <v>0.71293352194277149</v>
      </c>
      <c r="S7" s="53">
        <f>'R1'!S29</f>
        <v>3.0094631923880889E-3</v>
      </c>
      <c r="T7" s="53">
        <f>'R1'!T29</f>
        <v>3.1209407249606045</v>
      </c>
      <c r="U7" s="53">
        <f>'R1'!U29</f>
        <v>5.7836657538782221</v>
      </c>
      <c r="V7" s="53">
        <f>'R1'!V29</f>
        <v>1.9592399289914388</v>
      </c>
    </row>
    <row r="8" spans="1:22" s="1" customFormat="1" x14ac:dyDescent="0.3">
      <c r="A8" s="226"/>
      <c r="B8" s="53">
        <f>'R1'!B30</f>
        <v>1.0514658208987831E-3</v>
      </c>
      <c r="C8" s="53">
        <f>'R1'!C30</f>
        <v>2.658297610061577E-2</v>
      </c>
      <c r="D8" s="53">
        <f>'R1'!D30</f>
        <v>2.6124171436009362E-2</v>
      </c>
      <c r="E8" s="53">
        <f>'R1'!E30</f>
        <v>0.16583711542029861</v>
      </c>
      <c r="F8" s="53">
        <f>'R1'!F30</f>
        <v>0.80423749649588316</v>
      </c>
      <c r="G8" s="53">
        <f>'R1'!G30</f>
        <v>1.2909840113805711</v>
      </c>
      <c r="H8" s="53">
        <f>'R1'!H30</f>
        <v>8.0523108092348057</v>
      </c>
      <c r="I8" s="53">
        <f>'R1'!I30</f>
        <v>6.207248621355064E-3</v>
      </c>
      <c r="J8" s="53">
        <f>'R1'!J30</f>
        <v>3.1470122769481578E-3</v>
      </c>
      <c r="K8" s="53">
        <f>'R1'!K30</f>
        <v>1.0200787814689687E-3</v>
      </c>
      <c r="L8" s="53">
        <f>'R1'!L30</f>
        <v>7.4221116769325869E-4</v>
      </c>
      <c r="M8" s="53">
        <f>'R1'!M30</f>
        <v>1.3355000647742332</v>
      </c>
      <c r="N8"/>
      <c r="O8" s="53">
        <f>'R1'!O30</f>
        <v>0.22437855969799511</v>
      </c>
      <c r="P8" s="53">
        <f>'R1'!P30</f>
        <v>10.493469187928051</v>
      </c>
      <c r="Q8" s="53">
        <f>'R1'!Q30</f>
        <v>2.2746372104430219E-3</v>
      </c>
      <c r="R8" s="53">
        <f>'R1'!R30</f>
        <v>0.21423223762819835</v>
      </c>
      <c r="S8" s="53">
        <f>'R1'!S30</f>
        <v>2.4938221382636012</v>
      </c>
      <c r="T8" s="53">
        <f>'R1'!T30</f>
        <v>4.7715371248671818</v>
      </c>
      <c r="U8" s="53">
        <f>'R1'!U30</f>
        <v>5.8311128028656976</v>
      </c>
      <c r="V8" s="53">
        <f>'R1'!V30</f>
        <v>2.2433323312046558</v>
      </c>
    </row>
    <row r="9" spans="1:22" s="1" customFormat="1" x14ac:dyDescent="0.3">
      <c r="A9" s="226"/>
      <c r="B9" s="53">
        <f>'R1'!B31</f>
        <v>2.8128326218424867E-2</v>
      </c>
      <c r="C9" s="53">
        <f>'R1'!C31</f>
        <v>3.4156484085386287E-4</v>
      </c>
      <c r="D9" s="53">
        <f>'R1'!D31</f>
        <v>1.8781192024368649</v>
      </c>
      <c r="E9" s="53">
        <f>'R1'!E31</f>
        <v>2.8586207734812748E-2</v>
      </c>
      <c r="F9" s="53">
        <f>'R1'!F31</f>
        <v>1.9251886838029644</v>
      </c>
      <c r="G9" s="53">
        <f>'R1'!G31</f>
        <v>2.4757127396608167</v>
      </c>
      <c r="H9" s="53">
        <f>'R1'!H31</f>
        <v>3.5011143937577947</v>
      </c>
      <c r="I9" s="53">
        <f>'R1'!I31</f>
        <v>5.0219263087703078E-4</v>
      </c>
      <c r="J9" s="53">
        <f>'R1'!J31</f>
        <v>5.554582830858629E-3</v>
      </c>
      <c r="K9" s="53">
        <f>'R1'!K31</f>
        <v>4.2777765298181489E-2</v>
      </c>
      <c r="L9" s="53">
        <f>'R1'!L31</f>
        <v>0.30278615363832712</v>
      </c>
      <c r="M9" s="53">
        <f>'R1'!M31</f>
        <v>0.47603799554981013</v>
      </c>
      <c r="N9"/>
      <c r="O9" s="53">
        <f>'R1'!O31</f>
        <v>1.4150939041753685E-2</v>
      </c>
      <c r="P9" s="53">
        <f>'R1'!P31</f>
        <v>2.6940982211241544</v>
      </c>
      <c r="Q9" s="53">
        <f>'R1'!Q31</f>
        <v>6.6503597662465616E-3</v>
      </c>
      <c r="R9" s="53">
        <f>'R1'!R31</f>
        <v>1.0671565711690347</v>
      </c>
      <c r="S9" s="53">
        <f>'R1'!S31</f>
        <v>4.620120507768446</v>
      </c>
      <c r="T9" s="53">
        <f>'R1'!T31</f>
        <v>2.2182688570717306</v>
      </c>
      <c r="U9" s="53">
        <f>'R1'!U31</f>
        <v>2.6517257178939047</v>
      </c>
      <c r="V9" s="53">
        <f>'R1'!V31</f>
        <v>4.6086743930069671</v>
      </c>
    </row>
    <row r="10" spans="1:22" s="1" customFormat="1" x14ac:dyDescent="0.3">
      <c r="A10" s="226"/>
      <c r="B10" s="53">
        <f>'R1'!B32</f>
        <v>5.8139874802638596E-3</v>
      </c>
      <c r="C10" s="53">
        <f>'R1'!C32</f>
        <v>1.8195251387107126E-3</v>
      </c>
      <c r="D10" s="53">
        <f>'R1'!D32</f>
        <v>3.6153253682053597E-2</v>
      </c>
      <c r="E10" s="53">
        <f>'R1'!E32</f>
        <v>2.8389466386480922</v>
      </c>
      <c r="F10" s="53">
        <f>'R1'!F32</f>
        <v>1.2003474729894523</v>
      </c>
      <c r="G10" s="53">
        <f>'R1'!G32</f>
        <v>2.6864453223925908</v>
      </c>
      <c r="H10" s="53">
        <f>'R1'!H32</f>
        <v>4.0264752754751214</v>
      </c>
      <c r="I10" s="53">
        <f>'R1'!I32</f>
        <v>1.3808451052681298E-2</v>
      </c>
      <c r="J10" s="53">
        <f>'R1'!J32</f>
        <v>6.5737384641090741E-3</v>
      </c>
      <c r="K10" s="53">
        <f>'R1'!K32</f>
        <v>6.3892934500479878E-2</v>
      </c>
      <c r="L10" s="53">
        <f>'R1'!L32</f>
        <v>3.8191564948554482E-2</v>
      </c>
      <c r="M10" s="53">
        <f>'R1'!M32</f>
        <v>1.3379704094070033</v>
      </c>
      <c r="N10"/>
      <c r="O10" s="53">
        <f>'R1'!O32</f>
        <v>0.61882409995356558</v>
      </c>
      <c r="P10" s="53">
        <f>'R1'!P32</f>
        <v>3.2375694245924835</v>
      </c>
      <c r="Q10" s="53">
        <f>'R1'!Q32</f>
        <v>1.6405266991389181E-2</v>
      </c>
      <c r="R10" s="53">
        <f>'R1'!R32</f>
        <v>4.4664283303110484</v>
      </c>
      <c r="S10" s="53">
        <f>'R1'!S32</f>
        <v>5.1664285457122991</v>
      </c>
      <c r="T10" s="53">
        <f>'R1'!T32</f>
        <v>4.2426184299156642</v>
      </c>
      <c r="U10" s="53">
        <f>'R1'!U32</f>
        <v>1.8329034026935618</v>
      </c>
      <c r="V10" s="53">
        <f>'R1'!V32</f>
        <v>7.6867238054385121</v>
      </c>
    </row>
    <row r="11" spans="1:22" s="1" customFormat="1" x14ac:dyDescent="0.3">
      <c r="A11" s="226"/>
      <c r="B11" s="53">
        <f>'R1'!B33</f>
        <v>1.9654748720593498E-2</v>
      </c>
      <c r="C11" s="53">
        <f>'R1'!C33</f>
        <v>2.5848150118670703E-5</v>
      </c>
      <c r="D11" s="53">
        <f>'R1'!D33</f>
        <v>9.5499683206303008E-3</v>
      </c>
      <c r="E11" s="53">
        <f>'R1'!E33</f>
        <v>1.5615975264551199E-2</v>
      </c>
      <c r="F11" s="53">
        <f>'R1'!F33</f>
        <v>0.9275894846032724</v>
      </c>
      <c r="G11" s="53">
        <f>'R1'!G33</f>
        <v>1.7571507830297046</v>
      </c>
      <c r="H11" s="53">
        <f>'R1'!H33</f>
        <v>5.5870453379630236</v>
      </c>
      <c r="I11" s="53">
        <f>'R1'!I33</f>
        <v>2.2399268374265213E-2</v>
      </c>
      <c r="J11" s="53">
        <f>'R1'!J33</f>
        <v>3.9247646510545887E-2</v>
      </c>
      <c r="K11" s="53">
        <f>'R1'!K33</f>
        <v>1.2379417610406218E-3</v>
      </c>
      <c r="L11" s="53">
        <f>'R1'!L33</f>
        <v>0.79492662356385058</v>
      </c>
      <c r="M11" s="53">
        <f>'R1'!M33</f>
        <v>1.4031852921564096E-4</v>
      </c>
      <c r="N11"/>
      <c r="O11" s="53">
        <f>'R1'!O33</f>
        <v>1.1034676831964561</v>
      </c>
      <c r="P11" s="53">
        <f>'R1'!P33</f>
        <v>4.3661956661883732</v>
      </c>
      <c r="Q11" s="53">
        <f>'R1'!Q33</f>
        <v>2.734918912199065E-2</v>
      </c>
      <c r="R11" s="53">
        <f>'R1'!R33</f>
        <v>0.64050700531025617</v>
      </c>
      <c r="S11" s="53">
        <f>'R1'!S33</f>
        <v>0.22985836752315331</v>
      </c>
      <c r="T11" s="53">
        <f>'R1'!T33</f>
        <v>2.1211859746706589</v>
      </c>
      <c r="U11" s="53">
        <f>'R1'!U33</f>
        <v>6.133925727802362</v>
      </c>
      <c r="V11" s="53">
        <f>'R1'!V33</f>
        <v>6.700704577491984</v>
      </c>
    </row>
    <row r="12" spans="1:22" s="1" customFormat="1" x14ac:dyDescent="0.3">
      <c r="A12" s="226"/>
      <c r="B12" s="53">
        <f>'R1'!B34</f>
        <v>1.9063010712519642E-3</v>
      </c>
      <c r="C12" s="53">
        <f>'R1'!C34</f>
        <v>1.2000926840811397E-4</v>
      </c>
      <c r="D12" s="53">
        <f>'R1'!D34</f>
        <v>4.9849080652074974E-2</v>
      </c>
      <c r="E12" s="53">
        <f>'R1'!E34</f>
        <v>0.32245013384110588</v>
      </c>
      <c r="F12" s="53">
        <f>'R1'!F34</f>
        <v>0.1393723022916539</v>
      </c>
      <c r="G12" s="53">
        <f>'R1'!G34</f>
        <v>3.516378649551088</v>
      </c>
      <c r="H12" s="53" t="str">
        <f>'R1'!H34</f>
        <v/>
      </c>
      <c r="I12" s="53">
        <f>'R1'!I34</f>
        <v>3.5162715643577394E-3</v>
      </c>
      <c r="J12" s="53">
        <f>'R1'!J34</f>
        <v>3.664898427540096E-4</v>
      </c>
      <c r="K12" s="53">
        <f>'R1'!K34</f>
        <v>4.4403429311002171E-4</v>
      </c>
      <c r="L12" s="53">
        <f>'R1'!L34</f>
        <v>0.53903732257475878</v>
      </c>
      <c r="M12" s="53">
        <f>'R1'!M34</f>
        <v>0.29080738235476028</v>
      </c>
      <c r="N12"/>
      <c r="O12" s="53">
        <f>'R1'!O34</f>
        <v>2.8324956788970471E-2</v>
      </c>
      <c r="P12" s="53">
        <f>'R1'!P34</f>
        <v>9.5476641426768651</v>
      </c>
      <c r="Q12" s="53">
        <f>'R1'!Q34</f>
        <v>1.0197095221815592E-2</v>
      </c>
      <c r="R12" s="53">
        <f>'R1'!R34</f>
        <v>1.1244877681322465</v>
      </c>
      <c r="S12" s="53">
        <f>'R1'!S34</f>
        <v>3.7696397475620422</v>
      </c>
      <c r="T12" s="53">
        <f>'R1'!T34</f>
        <v>5.9380586008334797</v>
      </c>
      <c r="U12" s="53">
        <f>'R1'!U34</f>
        <v>5.9674313308504745</v>
      </c>
      <c r="V12" s="53">
        <f>'R1'!V34</f>
        <v>6.0619672473166384</v>
      </c>
    </row>
    <row r="13" spans="1:22" s="1" customFormat="1" x14ac:dyDescent="0.3">
      <c r="A13" s="226"/>
      <c r="B13" s="53" t="str">
        <f>'R1'!B35</f>
        <v/>
      </c>
      <c r="C13" s="53">
        <f>'R1'!C35</f>
        <v>0.53603709086455598</v>
      </c>
      <c r="D13" s="53">
        <f>'R1'!D35</f>
        <v>4.8329578684384547E-2</v>
      </c>
      <c r="E13" s="53" t="str">
        <f>'R1'!E35</f>
        <v/>
      </c>
      <c r="F13" s="53" t="str">
        <f>'R1'!F35</f>
        <v/>
      </c>
      <c r="G13" s="53" t="str">
        <f>'R1'!G35</f>
        <v/>
      </c>
      <c r="H13" s="53" t="str">
        <f>'R1'!H35</f>
        <v/>
      </c>
      <c r="I13" s="53">
        <f>'R1'!I35</f>
        <v>1.5952001216093918E-3</v>
      </c>
      <c r="J13" s="53">
        <f>'R1'!J35</f>
        <v>1.3117936185225382E-3</v>
      </c>
      <c r="K13" s="53">
        <f>'R1'!K35</f>
        <v>1.9012237560500824E-2</v>
      </c>
      <c r="L13" s="53">
        <f>'R1'!L35</f>
        <v>1.1342722161003817E-2</v>
      </c>
      <c r="M13" s="53" t="str">
        <f>'R1'!M35</f>
        <v/>
      </c>
      <c r="N13"/>
      <c r="O13" s="53">
        <f>'R1'!O35</f>
        <v>0.59297410353845781</v>
      </c>
      <c r="P13" s="53">
        <f>'R1'!P35</f>
        <v>9.4110326674460083</v>
      </c>
      <c r="Q13" s="53">
        <f>'R1'!Q35</f>
        <v>2.2315261886379532E-2</v>
      </c>
      <c r="R13" s="53">
        <f>'R1'!R35</f>
        <v>0.25238964609266745</v>
      </c>
      <c r="S13" s="53">
        <f>'R1'!S35</f>
        <v>2.204193616183896</v>
      </c>
      <c r="T13" s="53">
        <f>'R1'!T35</f>
        <v>4.6966485719358628</v>
      </c>
      <c r="U13" s="53">
        <f>'R1'!U35</f>
        <v>2.8775323878859567</v>
      </c>
      <c r="V13" s="53" t="str">
        <f>'R1'!V35</f>
        <v/>
      </c>
    </row>
    <row r="14" spans="1:22" s="1" customFormat="1" x14ac:dyDescent="0.3">
      <c r="A14" s="226"/>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4.9119978189084756</v>
      </c>
      <c r="P14" s="53" t="str">
        <f>'R1'!P36</f>
        <v/>
      </c>
      <c r="Q14" s="53" t="str">
        <f>'R1'!Q36</f>
        <v/>
      </c>
      <c r="R14" s="53" t="str">
        <f>'R1'!R36</f>
        <v/>
      </c>
      <c r="S14" s="53" t="str">
        <f>'R1'!S36</f>
        <v/>
      </c>
      <c r="T14" s="53" t="str">
        <f>'R1'!T36</f>
        <v/>
      </c>
      <c r="U14" s="53" t="str">
        <f>'R1'!U36</f>
        <v/>
      </c>
      <c r="V14" s="53" t="str">
        <f>'R1'!V36</f>
        <v/>
      </c>
    </row>
    <row r="15" spans="1:22" s="1" customFormat="1" x14ac:dyDescent="0.3">
      <c r="A15" s="226"/>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6.2063254731365399E-3</v>
      </c>
      <c r="P15" s="53" t="str">
        <f>'R1'!P37</f>
        <v/>
      </c>
      <c r="Q15" s="53" t="str">
        <f>'R1'!Q37</f>
        <v/>
      </c>
      <c r="R15" s="53" t="str">
        <f>'R1'!R37</f>
        <v/>
      </c>
      <c r="S15" s="53" t="str">
        <f>'R1'!S37</f>
        <v/>
      </c>
      <c r="T15" s="53" t="str">
        <f>'R1'!T37</f>
        <v/>
      </c>
      <c r="U15" s="53" t="str">
        <f>'R1'!U37</f>
        <v/>
      </c>
      <c r="V15" s="53" t="str">
        <f>'R1'!V37</f>
        <v/>
      </c>
    </row>
    <row r="16" spans="1:22" s="1" customFormat="1" x14ac:dyDescent="0.3">
      <c r="A16" s="226"/>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0.11546091713544646</v>
      </c>
      <c r="P16" s="53" t="str">
        <f>'R1'!P38</f>
        <v/>
      </c>
      <c r="Q16" s="53" t="str">
        <f>'R1'!Q38</f>
        <v/>
      </c>
      <c r="R16" s="53" t="str">
        <f>'R1'!R38</f>
        <v/>
      </c>
      <c r="S16" s="53" t="str">
        <f>'R1'!S38</f>
        <v/>
      </c>
      <c r="T16" s="53" t="str">
        <f>'R1'!T38</f>
        <v/>
      </c>
      <c r="U16" s="53" t="str">
        <f>'R1'!U38</f>
        <v/>
      </c>
      <c r="V16" s="53" t="str">
        <f>'R1'!V38</f>
        <v/>
      </c>
    </row>
    <row r="17" spans="1:22" s="1" customFormat="1" x14ac:dyDescent="0.3">
      <c r="A17" s="226"/>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0.98972105230280849</v>
      </c>
      <c r="P17" s="53" t="str">
        <f>'R1'!P39</f>
        <v/>
      </c>
      <c r="Q17" s="53" t="str">
        <f>'R1'!Q39</f>
        <v/>
      </c>
      <c r="R17" s="53" t="str">
        <f>'R1'!R39</f>
        <v/>
      </c>
      <c r="S17" s="53" t="str">
        <f>'R1'!S39</f>
        <v/>
      </c>
      <c r="T17" s="53" t="str">
        <f>'R1'!T39</f>
        <v/>
      </c>
      <c r="U17" s="53" t="str">
        <f>'R1'!U39</f>
        <v/>
      </c>
      <c r="V17" s="53" t="str">
        <f>'R1'!V39</f>
        <v/>
      </c>
    </row>
    <row r="18" spans="1:22" s="1" customFormat="1" x14ac:dyDescent="0.3">
      <c r="A18" s="226"/>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2.0656595324746618</v>
      </c>
      <c r="P18" s="53" t="str">
        <f>'R1'!P40</f>
        <v/>
      </c>
      <c r="Q18" s="53" t="str">
        <f>'R1'!Q40</f>
        <v/>
      </c>
      <c r="R18" s="53" t="str">
        <f>'R1'!R40</f>
        <v/>
      </c>
      <c r="S18" s="53" t="str">
        <f>'R1'!S40</f>
        <v/>
      </c>
      <c r="T18" s="53" t="str">
        <f>'R1'!T40</f>
        <v/>
      </c>
      <c r="U18" s="53" t="str">
        <f>'R1'!U40</f>
        <v/>
      </c>
      <c r="V18" s="53" t="str">
        <f>'R1'!V40</f>
        <v/>
      </c>
    </row>
    <row r="19" spans="1:22" s="1" customFormat="1" x14ac:dyDescent="0.3">
      <c r="A19" s="226"/>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0.64245669434777886</v>
      </c>
      <c r="P19" s="53" t="str">
        <f>'R1'!P41</f>
        <v/>
      </c>
      <c r="Q19" s="53" t="str">
        <f>'R1'!Q41</f>
        <v/>
      </c>
      <c r="R19" s="53" t="str">
        <f>'R1'!R41</f>
        <v/>
      </c>
      <c r="S19" s="53" t="str">
        <f>'R1'!S41</f>
        <v/>
      </c>
      <c r="T19" s="53" t="str">
        <f>'R1'!T41</f>
        <v/>
      </c>
      <c r="U19" s="53" t="str">
        <f>'R1'!U41</f>
        <v/>
      </c>
      <c r="V19" s="53" t="str">
        <f>'R1'!V41</f>
        <v/>
      </c>
    </row>
    <row r="20" spans="1:22" s="1" customFormat="1" x14ac:dyDescent="0.3">
      <c r="A20" s="226"/>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2.4591173041364116</v>
      </c>
      <c r="P20" s="53" t="str">
        <f>'R1'!P42</f>
        <v/>
      </c>
      <c r="Q20" s="53" t="str">
        <f>'R1'!Q42</f>
        <v/>
      </c>
      <c r="R20" s="53" t="str">
        <f>'R1'!R42</f>
        <v/>
      </c>
      <c r="S20" s="53" t="str">
        <f>'R1'!S42</f>
        <v/>
      </c>
      <c r="T20" s="53" t="str">
        <f>'R1'!T42</f>
        <v/>
      </c>
      <c r="U20" s="53" t="str">
        <f>'R1'!U42</f>
        <v/>
      </c>
      <c r="V20" s="53" t="str">
        <f>'R1'!V42</f>
        <v/>
      </c>
    </row>
    <row r="21" spans="1:22" s="1" customFormat="1" x14ac:dyDescent="0.3">
      <c r="A21" s="227"/>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t="str">
        <f>'R1'!O43</f>
        <v/>
      </c>
      <c r="P21" s="53" t="str">
        <f>'R1'!P43</f>
        <v/>
      </c>
      <c r="Q21" s="53" t="str">
        <f>'R1'!Q43</f>
        <v/>
      </c>
      <c r="R21" s="53" t="str">
        <f>'R1'!R43</f>
        <v/>
      </c>
      <c r="S21" s="53" t="str">
        <f>'R1'!S43</f>
        <v/>
      </c>
      <c r="T21" s="53" t="str">
        <f>'R1'!T43</f>
        <v/>
      </c>
      <c r="U21" s="53" t="str">
        <f>'R1'!U43</f>
        <v/>
      </c>
      <c r="V21" s="53" t="str">
        <f>'R1'!V43</f>
        <v/>
      </c>
    </row>
    <row r="22" spans="1:22" x14ac:dyDescent="0.3">
      <c r="A22" s="39" t="s">
        <v>5</v>
      </c>
      <c r="B22" s="54">
        <f>'R2'!B28</f>
        <v>0.4356564441431337</v>
      </c>
      <c r="C22" s="54">
        <f>'R2'!C28</f>
        <v>6.3765994803745299E-2</v>
      </c>
      <c r="D22" s="54">
        <f>'R2'!D28</f>
        <v>5.8711886893276721E-2</v>
      </c>
      <c r="E22" s="54">
        <f>'R2'!E28</f>
        <v>1.0972315118842131</v>
      </c>
      <c r="F22" s="54">
        <f>'R2'!F28</f>
        <v>3.2964474391522818</v>
      </c>
      <c r="G22" s="54">
        <f>'R2'!G28</f>
        <v>6.5894527245079644</v>
      </c>
      <c r="H22" s="54">
        <f>'R2'!H28</f>
        <v>12.267702120643374</v>
      </c>
      <c r="I22" s="54">
        <f>'R2'!I28</f>
        <v>0.11395864677217915</v>
      </c>
      <c r="J22" s="54">
        <f>'R2'!J28</f>
        <v>5.6067414269415382E-2</v>
      </c>
      <c r="K22" s="54">
        <f>'R2'!K28</f>
        <v>6.8009658642711981E-2</v>
      </c>
      <c r="L22" s="54">
        <f>'R2'!L28</f>
        <v>0.14545875721113752</v>
      </c>
      <c r="M22" s="54">
        <f>'R2'!M28</f>
        <v>4.2757076488929737</v>
      </c>
      <c r="O22" s="54">
        <f>'R2'!O28</f>
        <v>0.17854912483606655</v>
      </c>
      <c r="P22" s="54">
        <f>'R2'!P28</f>
        <v>8.4927378707193331</v>
      </c>
      <c r="Q22" s="54">
        <f>'R2'!Q28</f>
        <v>0.62074272572602351</v>
      </c>
      <c r="R22" s="54">
        <f>'R2'!R28</f>
        <v>7.4325557776565834</v>
      </c>
      <c r="S22" s="54">
        <f>'R2'!S28</f>
        <v>0.84340681013919772</v>
      </c>
      <c r="T22" s="54">
        <f>'R2'!T28</f>
        <v>3.1912415883523235</v>
      </c>
      <c r="U22" s="54">
        <f>'R2'!U28</f>
        <v>3.6052444984527776</v>
      </c>
      <c r="V22" s="54">
        <f>'R2'!V28</f>
        <v>3.5817620410172446</v>
      </c>
    </row>
    <row r="23" spans="1:22" x14ac:dyDescent="0.3">
      <c r="A23" s="225" t="s">
        <v>34</v>
      </c>
      <c r="B23" s="54">
        <f>'R2'!B29</f>
        <v>0.10971243035345971</v>
      </c>
      <c r="C23" s="54">
        <f>'R2'!C29</f>
        <v>6.479213186435559E-2</v>
      </c>
      <c r="D23" s="54">
        <f>'R2'!D29</f>
        <v>0.25382597803489171</v>
      </c>
      <c r="E23" s="54">
        <f>'R2'!E29</f>
        <v>4.4578827132678391</v>
      </c>
      <c r="F23" s="54">
        <f>'R2'!F29</f>
        <v>1.3059010778028701</v>
      </c>
      <c r="G23" s="54">
        <f>'R2'!G29</f>
        <v>7.9329762752867925</v>
      </c>
      <c r="H23" s="54">
        <f>'R2'!H29</f>
        <v>11.552714321575753</v>
      </c>
      <c r="I23" s="54">
        <f>'R2'!I29</f>
        <v>3.0085981255928266E-2</v>
      </c>
      <c r="J23" s="54">
        <f>'R2'!J29</f>
        <v>1.0802887637752558</v>
      </c>
      <c r="K23" s="54">
        <f>'R2'!K29</f>
        <v>0.15707171879632784</v>
      </c>
      <c r="L23" s="54">
        <f>'R2'!L29</f>
        <v>0.19117035542359781</v>
      </c>
      <c r="M23" s="54">
        <f>'R2'!M29</f>
        <v>0.63160650515377814</v>
      </c>
      <c r="O23" s="54">
        <f>'R2'!O29</f>
        <v>0.27716293842451745</v>
      </c>
      <c r="P23" s="54">
        <f>'R2'!P29</f>
        <v>7.9746777707076637</v>
      </c>
      <c r="Q23" s="54">
        <f>'R2'!Q29</f>
        <v>7.1453088729187805E-2</v>
      </c>
      <c r="R23" s="54">
        <f>'R2'!R29</f>
        <v>0.15994464730806135</v>
      </c>
      <c r="S23" s="54">
        <f>'R2'!S29</f>
        <v>1.8509776819177723</v>
      </c>
      <c r="T23" s="54">
        <f>'R2'!T29</f>
        <v>2.2701789206847263</v>
      </c>
      <c r="U23" s="54">
        <f>'R2'!U29</f>
        <v>9.453946236448493</v>
      </c>
      <c r="V23" s="54">
        <f>'R2'!V29</f>
        <v>4.2213300424198872</v>
      </c>
    </row>
    <row r="24" spans="1:22" x14ac:dyDescent="0.3">
      <c r="A24" s="226"/>
      <c r="B24" s="54">
        <f>'R2'!B30</f>
        <v>7.4811007393946097E-2</v>
      </c>
      <c r="C24" s="54">
        <f>'R2'!C30</f>
        <v>0.25871416826143073</v>
      </c>
      <c r="D24" s="54">
        <f>'R2'!D30</f>
        <v>0.18141184302878904</v>
      </c>
      <c r="E24" s="54">
        <f>'R2'!E30</f>
        <v>2.62416302305849</v>
      </c>
      <c r="F24" s="54">
        <f>'R2'!F30</f>
        <v>2.4269558165196101</v>
      </c>
      <c r="G24" s="54">
        <f>'R2'!G30</f>
        <v>7.2734471002175516</v>
      </c>
      <c r="H24" s="54">
        <f>'R2'!H30</f>
        <v>10.8851343099663</v>
      </c>
      <c r="I24" s="54">
        <f>'R2'!I30</f>
        <v>0.210364478874491</v>
      </c>
      <c r="J24" s="54">
        <f>'R2'!J30</f>
        <v>0.19226413584765631</v>
      </c>
      <c r="K24" s="54">
        <f>'R2'!K30</f>
        <v>0.10065332481090769</v>
      </c>
      <c r="L24" s="54">
        <f>'R2'!L30</f>
        <v>1.1753276894199638</v>
      </c>
      <c r="M24" s="54">
        <f>'R2'!M30</f>
        <v>0.22981896546016592</v>
      </c>
      <c r="O24" s="54">
        <f>'R2'!O30</f>
        <v>0.14156990195780475</v>
      </c>
      <c r="P24" s="54">
        <f>'R2'!P30</f>
        <v>11.295989889231599</v>
      </c>
      <c r="Q24" s="54">
        <f>'R2'!Q30</f>
        <v>0.23209841917938231</v>
      </c>
      <c r="R24" s="54">
        <f>'R2'!R30</f>
        <v>0.38935647629766174</v>
      </c>
      <c r="S24" s="54">
        <f>'R2'!S30</f>
        <v>2.4665220789772961</v>
      </c>
      <c r="T24" s="54">
        <f>'R2'!T30</f>
        <v>4.308495535817201</v>
      </c>
      <c r="U24" s="54">
        <f>'R2'!U30</f>
        <v>8.8946173032840452</v>
      </c>
      <c r="V24" s="54">
        <f>'R2'!V30</f>
        <v>9.450843575759011</v>
      </c>
    </row>
    <row r="25" spans="1:22" x14ac:dyDescent="0.3">
      <c r="A25" s="226"/>
      <c r="B25" s="54">
        <f>'R2'!B31</f>
        <v>9.8581906341541389E-2</v>
      </c>
      <c r="C25" s="54">
        <f>'R2'!C31</f>
        <v>4.117438770192601E-2</v>
      </c>
      <c r="D25" s="54">
        <f>'R2'!D31</f>
        <v>0.10791924307714447</v>
      </c>
      <c r="E25" s="54">
        <f>'R2'!E31</f>
        <v>2.1653291547602782</v>
      </c>
      <c r="F25" s="54">
        <f>'R2'!F31</f>
        <v>3.8968920506843427</v>
      </c>
      <c r="G25" s="54">
        <f>'R2'!G31</f>
        <v>7.7599522093255793</v>
      </c>
      <c r="H25" s="54">
        <f>'R2'!H31</f>
        <v>25.224941543929457</v>
      </c>
      <c r="I25" s="54">
        <f>'R2'!I31</f>
        <v>0.42406390319596543</v>
      </c>
      <c r="J25" s="54">
        <f>'R2'!J31</f>
        <v>1.8045462562150331E-2</v>
      </c>
      <c r="K25" s="54">
        <f>'R2'!K31</f>
        <v>0.20058044068215461</v>
      </c>
      <c r="L25" s="54">
        <f>'R2'!L31</f>
        <v>0.18724704034360276</v>
      </c>
      <c r="M25" s="54">
        <f>'R2'!M31</f>
        <v>2.5251561121881134</v>
      </c>
      <c r="O25" s="54">
        <f>'R2'!O31</f>
        <v>0.15324412545706134</v>
      </c>
      <c r="P25" s="54">
        <f>'R2'!P31</f>
        <v>8.2135392499419879</v>
      </c>
      <c r="Q25" s="54">
        <f>'R2'!Q31</f>
        <v>4.4935613967620684E-2</v>
      </c>
      <c r="R25" s="54">
        <f>'R2'!R31</f>
        <v>1.7880821168097187E-2</v>
      </c>
      <c r="S25" s="54">
        <f>'R2'!S31</f>
        <v>4.2085633147864483</v>
      </c>
      <c r="T25" s="54">
        <f>'R2'!T31</f>
        <v>0.30823549175488824</v>
      </c>
      <c r="U25" s="54">
        <f>'R2'!U31</f>
        <v>5.627220774297947</v>
      </c>
      <c r="V25" s="54">
        <f>'R2'!V31</f>
        <v>5.1175407936145945</v>
      </c>
    </row>
    <row r="26" spans="1:22" x14ac:dyDescent="0.3">
      <c r="A26" s="226"/>
      <c r="B26" s="54">
        <f>'R2'!B32</f>
        <v>0.1987374781006605</v>
      </c>
      <c r="C26" s="54">
        <f>'R2'!C32</f>
        <v>4.3975843980582206E-2</v>
      </c>
      <c r="D26" s="54">
        <f>'R2'!D32</f>
        <v>0.11010042247587952</v>
      </c>
      <c r="E26" s="54">
        <f>'R2'!E32</f>
        <v>4.7999092557897889</v>
      </c>
      <c r="F26" s="54">
        <f>'R2'!F32</f>
        <v>7.3347026328344551</v>
      </c>
      <c r="G26" s="54">
        <f>'R2'!G32</f>
        <v>10.693544055173373</v>
      </c>
      <c r="H26" s="54">
        <f>'R2'!H32</f>
        <v>14.835624154009261</v>
      </c>
      <c r="I26" s="54">
        <f>'R2'!I32</f>
        <v>0.17072929676348042</v>
      </c>
      <c r="J26" s="54">
        <f>'R2'!J32</f>
        <v>0.10396402075023989</v>
      </c>
      <c r="K26" s="54">
        <f>'R2'!K32</f>
        <v>0.14469170699543255</v>
      </c>
      <c r="L26" s="54">
        <f>'R2'!L32</f>
        <v>0.9871017347411768</v>
      </c>
      <c r="M26" s="54">
        <f>'R2'!M32</f>
        <v>8.1254854587907133</v>
      </c>
      <c r="O26" s="54">
        <f>'R2'!O32</f>
        <v>1.5684224187655453</v>
      </c>
      <c r="P26" s="54">
        <f>'R2'!P32</f>
        <v>9.3006242573089732</v>
      </c>
      <c r="Q26" s="54">
        <f>'R2'!Q32</f>
        <v>0.33591183772420924</v>
      </c>
      <c r="R26" s="54">
        <f>'R2'!R32</f>
        <v>4.0000405222035749</v>
      </c>
      <c r="S26" s="54">
        <f>'R2'!S32</f>
        <v>0.53472206434782343</v>
      </c>
      <c r="T26" s="54">
        <f>'R2'!T32</f>
        <v>3.3684161489915274</v>
      </c>
      <c r="U26" s="54">
        <f>'R2'!U32</f>
        <v>6.219670706044357</v>
      </c>
      <c r="V26" s="54">
        <f>'R2'!V32</f>
        <v>3.0863726780797291</v>
      </c>
    </row>
    <row r="27" spans="1:22" x14ac:dyDescent="0.3">
      <c r="A27" s="226"/>
      <c r="B27" s="54">
        <f>'R2'!B33</f>
        <v>0.18954691470084123</v>
      </c>
      <c r="C27" s="54">
        <f>'R2'!C33</f>
        <v>0.12363547661489956</v>
      </c>
      <c r="D27" s="54">
        <f>'R2'!D33</f>
        <v>5.6091663777066619E-2</v>
      </c>
      <c r="E27" s="54">
        <f>'R2'!E33</f>
        <v>0.85354438062729165</v>
      </c>
      <c r="F27" s="54">
        <f>'R2'!F33</f>
        <v>11.776986531233167</v>
      </c>
      <c r="G27" s="54">
        <f>'R2'!G33</f>
        <v>3.3582390135172657</v>
      </c>
      <c r="H27" s="54">
        <f>'R2'!H33</f>
        <v>11.366316013999942</v>
      </c>
      <c r="I27" s="54">
        <f>'R2'!I33</f>
        <v>0.48304636354303493</v>
      </c>
      <c r="J27" s="54">
        <f>'R2'!J33</f>
        <v>5.6743847903897287E-3</v>
      </c>
      <c r="K27" s="54">
        <f>'R2'!K33</f>
        <v>9.7893986098172056E-2</v>
      </c>
      <c r="L27" s="54">
        <f>'R2'!L33</f>
        <v>1.3993242204640797E-2</v>
      </c>
      <c r="M27" s="54">
        <f>'R2'!M33</f>
        <v>6.2425890433545302E-2</v>
      </c>
      <c r="O27" s="54">
        <f>'R2'!O33</f>
        <v>0.57435086500945209</v>
      </c>
      <c r="P27" s="54">
        <f>'R2'!P33</f>
        <v>5.6969457665345145</v>
      </c>
      <c r="Q27" s="54">
        <f>'R2'!Q33</f>
        <v>0.49778368274560586</v>
      </c>
      <c r="R27" s="54">
        <f>'R2'!R33</f>
        <v>0.2364888563541328</v>
      </c>
      <c r="S27" s="54">
        <f>'R2'!S33</f>
        <v>1.2162161881895803</v>
      </c>
      <c r="T27" s="54">
        <f>'R2'!T33</f>
        <v>5.8567321538979051</v>
      </c>
      <c r="U27" s="54">
        <f>'R2'!U33</f>
        <v>13.582995415646533</v>
      </c>
      <c r="V27" s="54">
        <f>'R2'!V33</f>
        <v>2.8831324492951969</v>
      </c>
    </row>
    <row r="28" spans="1:22" x14ac:dyDescent="0.3">
      <c r="A28" s="226"/>
      <c r="B28" s="54">
        <f>'R2'!B34</f>
        <v>9.2569304733910712E-3</v>
      </c>
      <c r="C28" s="54">
        <f>'R2'!C34</f>
        <v>7.0158930794537513E-2</v>
      </c>
      <c r="D28" s="54">
        <f>'R2'!D34</f>
        <v>6.2420785274039776E-2</v>
      </c>
      <c r="E28" s="54">
        <f>'R2'!E34</f>
        <v>3.7879696437643626</v>
      </c>
      <c r="F28" s="54">
        <f>'R2'!F34</f>
        <v>7.8691987938741592</v>
      </c>
      <c r="G28" s="54">
        <f>'R2'!G34</f>
        <v>5.0389825991435933</v>
      </c>
      <c r="H28" s="54">
        <f>'R2'!H34</f>
        <v>18.264388393515585</v>
      </c>
      <c r="I28" s="54">
        <f>'R2'!I34</f>
        <v>9.4029380352490519E-2</v>
      </c>
      <c r="J28" s="54">
        <f>'R2'!J34</f>
        <v>4.3789505658630587E-2</v>
      </c>
      <c r="K28" s="54">
        <f>'R2'!K34</f>
        <v>0.12870745258363747</v>
      </c>
      <c r="L28" s="54">
        <f>'R2'!L34</f>
        <v>0.28804713849029423</v>
      </c>
      <c r="M28" s="54">
        <f>'R2'!M34</f>
        <v>0.37670971991260288</v>
      </c>
      <c r="O28" s="54">
        <f>'R2'!O34</f>
        <v>0.10381469483470331</v>
      </c>
      <c r="P28" s="54">
        <f>'R2'!P34</f>
        <v>7.4155862274602224</v>
      </c>
      <c r="Q28" s="54">
        <f>'R2'!Q34</f>
        <v>0.13486427494729919</v>
      </c>
      <c r="R28" s="54">
        <f>'R2'!R34</f>
        <v>1.3834867393880685</v>
      </c>
      <c r="S28" s="54">
        <f>'R2'!S34</f>
        <v>0.80830245708933957</v>
      </c>
      <c r="T28" s="54">
        <f>'R2'!T34</f>
        <v>1.4303610376779119</v>
      </c>
      <c r="U28" s="54">
        <f>'R2'!U34</f>
        <v>6.0929249110007175</v>
      </c>
      <c r="V28" s="54">
        <f>'R2'!V34</f>
        <v>2.7890545699274036</v>
      </c>
    </row>
    <row r="29" spans="1:22" x14ac:dyDescent="0.3">
      <c r="A29" s="226"/>
      <c r="B29" s="54">
        <f>'R2'!B35</f>
        <v>0.11224969462770505</v>
      </c>
      <c r="C29" s="54">
        <f>'R2'!C35</f>
        <v>5.648348476911557E-2</v>
      </c>
      <c r="D29" s="54" t="str">
        <f>'R2'!D35</f>
        <v/>
      </c>
      <c r="E29" s="54">
        <f>'R2'!E35</f>
        <v>0.45585373143686231</v>
      </c>
      <c r="F29" s="54">
        <f>'R2'!F35</f>
        <v>6.3664274500597742</v>
      </c>
      <c r="G29" s="54">
        <f>'R2'!G35</f>
        <v>10.47191631813982</v>
      </c>
      <c r="H29" s="54">
        <f>'R2'!H35</f>
        <v>18.341833663214381</v>
      </c>
      <c r="I29" s="54">
        <f>'R2'!I35</f>
        <v>0.30390886907395676</v>
      </c>
      <c r="J29" s="54">
        <f>'R2'!J35</f>
        <v>0.18909127921497323</v>
      </c>
      <c r="K29" s="54">
        <f>'R2'!K35</f>
        <v>9.3960460699165957E-2</v>
      </c>
      <c r="L29" s="54">
        <f>'R2'!L35</f>
        <v>3.4436840681612182</v>
      </c>
      <c r="M29" s="54">
        <f>'R2'!M35</f>
        <v>8.8631835599186584</v>
      </c>
      <c r="O29" s="54">
        <f>'R2'!O35</f>
        <v>1.7042643317581523</v>
      </c>
      <c r="P29" s="54" t="str">
        <f>'R2'!P35</f>
        <v/>
      </c>
      <c r="Q29" s="54">
        <f>'R2'!Q35</f>
        <v>0.33495079144729439</v>
      </c>
      <c r="R29" s="54">
        <f>'R2'!R35</f>
        <v>0.61732226885732255</v>
      </c>
      <c r="S29" s="54">
        <f>'R2'!S35</f>
        <v>0.22862180555612058</v>
      </c>
      <c r="T29" s="54">
        <f>'R2'!T35</f>
        <v>1.1431000937514681</v>
      </c>
      <c r="U29" s="54">
        <f>'R2'!U35</f>
        <v>1.3663602055369124</v>
      </c>
      <c r="V29" s="54">
        <f>'R2'!V35</f>
        <v>4.6662166149490076</v>
      </c>
    </row>
    <row r="30" spans="1:22" x14ac:dyDescent="0.3">
      <c r="A30" s="226"/>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6.6757618273982258E-2</v>
      </c>
      <c r="P30" s="54" t="str">
        <f>'R2'!P36</f>
        <v/>
      </c>
      <c r="Q30" s="54" t="str">
        <f>'R2'!Q36</f>
        <v/>
      </c>
      <c r="R30" s="54" t="str">
        <f>'R2'!R36</f>
        <v/>
      </c>
      <c r="S30" s="54" t="str">
        <f>'R2'!S36</f>
        <v/>
      </c>
      <c r="T30" s="54" t="str">
        <f>'R2'!T36</f>
        <v/>
      </c>
      <c r="U30" s="54" t="str">
        <f>'R2'!U36</f>
        <v/>
      </c>
      <c r="V30" s="54" t="str">
        <f>'R2'!V36</f>
        <v/>
      </c>
    </row>
    <row r="31" spans="1:22" s="1" customFormat="1" x14ac:dyDescent="0.3">
      <c r="A31" s="226"/>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0.27854771294039082</v>
      </c>
      <c r="P31" s="54" t="str">
        <f>'R2'!P37</f>
        <v/>
      </c>
      <c r="Q31" s="54" t="str">
        <f>'R2'!Q37</f>
        <v/>
      </c>
      <c r="R31" s="54" t="str">
        <f>'R2'!R37</f>
        <v/>
      </c>
      <c r="S31" s="54" t="str">
        <f>'R2'!S37</f>
        <v/>
      </c>
      <c r="T31" s="54" t="str">
        <f>'R2'!T37</f>
        <v/>
      </c>
      <c r="U31" s="54" t="str">
        <f>'R2'!U37</f>
        <v/>
      </c>
      <c r="V31" s="54" t="str">
        <f>'R2'!V37</f>
        <v/>
      </c>
    </row>
    <row r="32" spans="1:22" s="1" customFormat="1" x14ac:dyDescent="0.3">
      <c r="A32" s="226"/>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0.57325197942588813</v>
      </c>
      <c r="P32" s="54" t="str">
        <f>'R2'!P38</f>
        <v/>
      </c>
      <c r="Q32" s="54" t="str">
        <f>'R2'!Q38</f>
        <v/>
      </c>
      <c r="R32" s="54" t="str">
        <f>'R2'!R38</f>
        <v/>
      </c>
      <c r="S32" s="54" t="str">
        <f>'R2'!S38</f>
        <v/>
      </c>
      <c r="T32" s="54" t="str">
        <f>'R2'!T38</f>
        <v/>
      </c>
      <c r="U32" s="54" t="str">
        <f>'R2'!U38</f>
        <v/>
      </c>
      <c r="V32" s="54" t="str">
        <f>'R2'!V38</f>
        <v/>
      </c>
    </row>
    <row r="33" spans="1:22" s="1" customFormat="1" x14ac:dyDescent="0.3">
      <c r="A33" s="226"/>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1.8371835409338468</v>
      </c>
      <c r="P33" s="54" t="str">
        <f>'R2'!P39</f>
        <v/>
      </c>
      <c r="Q33" s="54" t="str">
        <f>'R2'!Q39</f>
        <v/>
      </c>
      <c r="R33" s="54" t="str">
        <f>'R2'!R39</f>
        <v/>
      </c>
      <c r="S33" s="54" t="str">
        <f>'R2'!S39</f>
        <v/>
      </c>
      <c r="T33" s="54" t="str">
        <f>'R2'!T39</f>
        <v/>
      </c>
      <c r="U33" s="54" t="str">
        <f>'R2'!U39</f>
        <v/>
      </c>
      <c r="V33" s="54" t="str">
        <f>'R2'!V39</f>
        <v/>
      </c>
    </row>
    <row r="34" spans="1:22" s="1" customFormat="1" x14ac:dyDescent="0.3">
      <c r="A34" s="226"/>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3.4165003700841801E-2</v>
      </c>
      <c r="P34" s="54" t="str">
        <f>'R2'!P40</f>
        <v/>
      </c>
      <c r="Q34" s="54" t="str">
        <f>'R2'!Q40</f>
        <v/>
      </c>
      <c r="R34" s="54" t="str">
        <f>'R2'!R40</f>
        <v/>
      </c>
      <c r="S34" s="54" t="str">
        <f>'R2'!S40</f>
        <v/>
      </c>
      <c r="T34" s="54" t="str">
        <f>'R2'!T40</f>
        <v/>
      </c>
      <c r="U34" s="54" t="str">
        <f>'R2'!U40</f>
        <v/>
      </c>
      <c r="V34" s="54" t="str">
        <f>'R2'!V40</f>
        <v/>
      </c>
    </row>
    <row r="35" spans="1:22" s="1" customFormat="1" x14ac:dyDescent="0.3">
      <c r="A35" s="226"/>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2.1324251254573007E-2</v>
      </c>
      <c r="P35" s="54" t="str">
        <f>'R2'!P41</f>
        <v/>
      </c>
      <c r="Q35" s="54" t="str">
        <f>'R2'!Q41</f>
        <v/>
      </c>
      <c r="R35" s="54" t="str">
        <f>'R2'!R41</f>
        <v/>
      </c>
      <c r="S35" s="54" t="str">
        <f>'R2'!S41</f>
        <v/>
      </c>
      <c r="T35" s="54" t="str">
        <f>'R2'!T41</f>
        <v/>
      </c>
      <c r="U35" s="54" t="str">
        <f>'R2'!U41</f>
        <v/>
      </c>
      <c r="V35" s="54" t="str">
        <f>'R2'!V41</f>
        <v/>
      </c>
    </row>
    <row r="36" spans="1:22" x14ac:dyDescent="0.3">
      <c r="A36" s="226"/>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6.8330007401683601E-2</v>
      </c>
      <c r="P36" s="54" t="str">
        <f>'R2'!P42</f>
        <v/>
      </c>
      <c r="Q36" s="54" t="str">
        <f>'R2'!Q42</f>
        <v/>
      </c>
      <c r="R36" s="54" t="str">
        <f>'R2'!R42</f>
        <v/>
      </c>
      <c r="S36" s="54" t="str">
        <f>'R2'!S42</f>
        <v/>
      </c>
      <c r="T36" s="54" t="str">
        <f>'R2'!T42</f>
        <v/>
      </c>
      <c r="U36" s="54" t="str">
        <f>'R2'!U42</f>
        <v/>
      </c>
      <c r="V36" s="54" t="str">
        <f>'R2'!V42</f>
        <v/>
      </c>
    </row>
    <row r="37" spans="1:22" x14ac:dyDescent="0.3">
      <c r="A37" s="227"/>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8.419061485025491</v>
      </c>
      <c r="P37" s="54" t="str">
        <f>'R2'!P43</f>
        <v/>
      </c>
      <c r="Q37" s="54" t="str">
        <f>'R2'!Q43</f>
        <v/>
      </c>
      <c r="R37" s="54" t="str">
        <f>'R2'!R43</f>
        <v/>
      </c>
      <c r="S37" s="54" t="str">
        <f>'R2'!S43</f>
        <v/>
      </c>
      <c r="T37" s="54" t="str">
        <f>'R2'!T43</f>
        <v/>
      </c>
      <c r="U37" s="54" t="str">
        <f>'R2'!U43</f>
        <v/>
      </c>
      <c r="V37" s="54" t="str">
        <f>'R2'!V43</f>
        <v/>
      </c>
    </row>
    <row r="38" spans="1:22" s="1" customFormat="1" x14ac:dyDescent="0.3">
      <c r="A38" s="154" t="s">
        <v>116</v>
      </c>
      <c r="B38" s="155">
        <f>'R3'!B28</f>
        <v>6.7698297890457448E-2</v>
      </c>
      <c r="C38" s="155">
        <f>'R3'!C28</f>
        <v>0.19480625600336088</v>
      </c>
      <c r="D38" s="155">
        <f>'R3'!D28</f>
        <v>1.2095177240235893</v>
      </c>
      <c r="E38" s="155">
        <f>'R3'!E28</f>
        <v>3.2698880101319676</v>
      </c>
      <c r="F38" s="155">
        <f>'R3'!F28</f>
        <v>9.7974997459163049</v>
      </c>
      <c r="G38" s="155">
        <f>'R3'!G28</f>
        <v>12.73597764310289</v>
      </c>
      <c r="H38" s="155">
        <f>'R3'!H28</f>
        <v>14.057021758290908</v>
      </c>
      <c r="I38" s="155">
        <f>'R3'!I28</f>
        <v>0.27146592938174496</v>
      </c>
      <c r="J38" s="155">
        <f>'R3'!J28</f>
        <v>0.17340134637473911</v>
      </c>
      <c r="K38" s="155">
        <f>'R3'!K28</f>
        <v>0.85090192439861934</v>
      </c>
      <c r="L38" s="155">
        <f>'R3'!L28</f>
        <v>8.3584938041922179</v>
      </c>
      <c r="M38" s="155">
        <f>'R3'!M28</f>
        <v>5.4729026900433659</v>
      </c>
      <c r="N38"/>
      <c r="O38" s="155">
        <f>'R3'!O28</f>
        <v>0.76818196923370385</v>
      </c>
      <c r="P38" s="155">
        <f>'R3'!P28</f>
        <v>8.0323654588266731</v>
      </c>
      <c r="Q38" s="155">
        <f>'R3'!Q28</f>
        <v>0.24693850081540372</v>
      </c>
      <c r="R38" s="155">
        <f>'R3'!R28</f>
        <v>1.2107475508138743</v>
      </c>
      <c r="S38" s="155">
        <f>'R3'!S28</f>
        <v>0.55294253600826537</v>
      </c>
      <c r="T38" s="155">
        <f>'R3'!T28</f>
        <v>3.9593723476020095</v>
      </c>
      <c r="U38" s="155">
        <f>'R3'!U28</f>
        <v>0.97700712236485676</v>
      </c>
      <c r="V38" s="155">
        <f>'R3'!V28</f>
        <v>9.2141077140338901</v>
      </c>
    </row>
    <row r="39" spans="1:22" s="1" customFormat="1" x14ac:dyDescent="0.3">
      <c r="A39" s="225" t="s">
        <v>34</v>
      </c>
      <c r="B39" s="155">
        <f>'R3'!B29</f>
        <v>0.339419500952296</v>
      </c>
      <c r="C39" s="155">
        <f>'R3'!C29</f>
        <v>4.2352865266357727E-3</v>
      </c>
      <c r="D39" s="155">
        <f>'R3'!D29</f>
        <v>0.16821689307073875</v>
      </c>
      <c r="E39" s="155">
        <f>'R3'!E29</f>
        <v>1.6051439762066595</v>
      </c>
      <c r="F39" s="155">
        <f>'R3'!F29</f>
        <v>18.064035790498231</v>
      </c>
      <c r="G39" s="155">
        <f>'R3'!G29</f>
        <v>9.6730517113429393</v>
      </c>
      <c r="H39" s="155">
        <f>'R3'!H29</f>
        <v>12.619397961354068</v>
      </c>
      <c r="I39" s="155">
        <f>'R3'!I29</f>
        <v>0.40450582726522116</v>
      </c>
      <c r="J39" s="155">
        <f>'R3'!J29</f>
        <v>0.4036328194863375</v>
      </c>
      <c r="K39" s="155">
        <f>'R3'!K29</f>
        <v>0.15173975271420004</v>
      </c>
      <c r="L39" s="155">
        <f>'R3'!L29</f>
        <v>5.1939675374031911</v>
      </c>
      <c r="M39" s="155">
        <f>'R3'!M29</f>
        <v>2.6352550757901034</v>
      </c>
      <c r="N39"/>
      <c r="O39" s="155">
        <f>'R3'!O29</f>
        <v>1.0242257014230538</v>
      </c>
      <c r="P39" s="155">
        <f>'R3'!P29</f>
        <v>3.926838351732401</v>
      </c>
      <c r="Q39" s="155">
        <f>'R3'!Q29</f>
        <v>0.31592303956909523</v>
      </c>
      <c r="R39" s="155">
        <f>'R3'!R29</f>
        <v>7.6772501524281805E-2</v>
      </c>
      <c r="S39" s="155">
        <f>'R3'!S29</f>
        <v>1.4932198658279421</v>
      </c>
      <c r="T39" s="155">
        <f>'R3'!T29</f>
        <v>7.5411850498828219</v>
      </c>
      <c r="U39" s="155">
        <f>'R3'!U29</f>
        <v>10.544869153287349</v>
      </c>
      <c r="V39" s="155">
        <f>'R3'!V29</f>
        <v>10.204200080619236</v>
      </c>
    </row>
    <row r="40" spans="1:22" s="1" customFormat="1" x14ac:dyDescent="0.3">
      <c r="A40" s="226"/>
      <c r="B40" s="155">
        <f>'R3'!B30</f>
        <v>0.55849932219372822</v>
      </c>
      <c r="C40" s="155">
        <f>'R3'!C30</f>
        <v>0.24709081881236564</v>
      </c>
      <c r="D40" s="155">
        <f>'R3'!D30</f>
        <v>0.22654622379621403</v>
      </c>
      <c r="E40" s="155">
        <f>'R3'!E30</f>
        <v>2.2722502612897122</v>
      </c>
      <c r="F40" s="155">
        <f>'R3'!F30</f>
        <v>6.0171066861518527</v>
      </c>
      <c r="G40" s="155">
        <f>'R3'!G30</f>
        <v>16.011985169797985</v>
      </c>
      <c r="H40" s="155">
        <f>'R3'!H30</f>
        <v>25.640523356880625</v>
      </c>
      <c r="I40" s="155">
        <f>'R3'!I30</f>
        <v>1.8498174519931666E-2</v>
      </c>
      <c r="J40" s="155">
        <f>'R3'!J30</f>
        <v>7.6149126018196886E-2</v>
      </c>
      <c r="K40" s="155">
        <f>'R3'!K30</f>
        <v>6.9166474138951564E-2</v>
      </c>
      <c r="L40" s="155">
        <f>'R3'!L30</f>
        <v>3.5635585186263845</v>
      </c>
      <c r="M40" s="155">
        <f>'R3'!M30</f>
        <v>7.8903867510844501</v>
      </c>
      <c r="N40"/>
      <c r="O40" s="155">
        <f>'R3'!O30</f>
        <v>3.4139103176667631</v>
      </c>
      <c r="P40" s="155">
        <f>'R3'!P30</f>
        <v>5.128422846747557</v>
      </c>
      <c r="Q40" s="155">
        <f>'R3'!Q30</f>
        <v>7.4302975480945402E-2</v>
      </c>
      <c r="R40" s="155">
        <f>'R3'!R30</f>
        <v>6.3576276718784746</v>
      </c>
      <c r="S40" s="155">
        <f>'R3'!S30</f>
        <v>1.2172788901095288</v>
      </c>
      <c r="T40" s="155">
        <f>'R3'!T30</f>
        <v>3.7647423855766138</v>
      </c>
      <c r="U40" s="155">
        <f>'R3'!U30</f>
        <v>5.602815837933651</v>
      </c>
      <c r="V40" s="155">
        <f>'R3'!V30</f>
        <v>6.8218506160637133</v>
      </c>
    </row>
    <row r="41" spans="1:22" s="1" customFormat="1" x14ac:dyDescent="0.3">
      <c r="A41" s="226"/>
      <c r="B41" s="155">
        <f>'R3'!B31</f>
        <v>0.20298488622912206</v>
      </c>
      <c r="C41" s="155">
        <f>'R3'!C31</f>
        <v>0.34517091568943242</v>
      </c>
      <c r="D41" s="155">
        <f>'R3'!D31</f>
        <v>0.30219890597246096</v>
      </c>
      <c r="E41" s="155">
        <f>'R3'!E31</f>
        <v>3.2881506558973377</v>
      </c>
      <c r="F41" s="155">
        <f>'R3'!F31</f>
        <v>8.7791862393382907</v>
      </c>
      <c r="G41" s="155">
        <f>'R3'!G31</f>
        <v>18.880794507596374</v>
      </c>
      <c r="H41" s="155">
        <f>'R3'!H31</f>
        <v>22.631121687182731</v>
      </c>
      <c r="I41" s="155">
        <f>'R3'!I31</f>
        <v>0.16471922054790936</v>
      </c>
      <c r="J41" s="155">
        <f>'R3'!J31</f>
        <v>6.5986130776459498E-2</v>
      </c>
      <c r="K41" s="155">
        <f>'R3'!K31</f>
        <v>0.31083025913363677</v>
      </c>
      <c r="L41" s="155">
        <f>'R3'!L31</f>
        <v>6.9508921665269394</v>
      </c>
      <c r="M41" s="155">
        <f>'R3'!M31</f>
        <v>6.1454360089440989</v>
      </c>
      <c r="N41"/>
      <c r="O41" s="155">
        <f>'R3'!O31</f>
        <v>0.40898369430553705</v>
      </c>
      <c r="P41" s="155">
        <f>'R3'!P31</f>
        <v>13.8511244955458</v>
      </c>
      <c r="Q41" s="155">
        <f>'R3'!Q31</f>
        <v>0.18320893295689869</v>
      </c>
      <c r="R41" s="155">
        <f>'R3'!R31</f>
        <v>0.38320810437520225</v>
      </c>
      <c r="S41" s="155">
        <f>'R3'!S31</f>
        <v>0.16870910585721757</v>
      </c>
      <c r="T41" s="155">
        <f>'R3'!T31</f>
        <v>1.4366492438266476</v>
      </c>
      <c r="U41" s="155">
        <f>'R3'!U31</f>
        <v>5.073742096190049</v>
      </c>
      <c r="V41" s="155">
        <f>'R3'!V31</f>
        <v>12.054344734235507</v>
      </c>
    </row>
    <row r="42" spans="1:22" s="1" customFormat="1" x14ac:dyDescent="0.3">
      <c r="A42" s="226"/>
      <c r="B42" s="155">
        <f>'R3'!B32</f>
        <v>0.4141554544431239</v>
      </c>
      <c r="C42" s="155">
        <f>'R3'!C32</f>
        <v>0.59959697433697379</v>
      </c>
      <c r="D42" s="155">
        <f>'R3'!D32</f>
        <v>0.30539617355683768</v>
      </c>
      <c r="E42" s="155">
        <f>'R3'!E32</f>
        <v>7.8585029274055778</v>
      </c>
      <c r="F42" s="155">
        <f>'R3'!F32</f>
        <v>8.2255582723436973</v>
      </c>
      <c r="G42" s="155">
        <f>'R3'!G32</f>
        <v>13.440960336763808</v>
      </c>
      <c r="H42" s="155">
        <f>'R3'!H32</f>
        <v>26.359420581634382</v>
      </c>
      <c r="I42" s="155">
        <f>'R3'!I32</f>
        <v>0.68014639804518184</v>
      </c>
      <c r="J42" s="155">
        <f>'R3'!J32</f>
        <v>0.28448206636287099</v>
      </c>
      <c r="K42" s="155">
        <f>'R3'!K32</f>
        <v>6.2209208592533226E-2</v>
      </c>
      <c r="L42" s="155">
        <f>'R3'!L32</f>
        <v>0.14136661505072814</v>
      </c>
      <c r="M42" s="155">
        <f>'R3'!M32</f>
        <v>6.840395332193828</v>
      </c>
      <c r="N42"/>
      <c r="O42" s="155">
        <f>'R3'!O32</f>
        <v>3.4430312621229655</v>
      </c>
      <c r="P42" s="155">
        <f>'R3'!P32</f>
        <v>11.303180070106826</v>
      </c>
      <c r="Q42" s="155">
        <f>'R3'!Q32</f>
        <v>0.65845377664452087</v>
      </c>
      <c r="R42" s="155">
        <f>'R3'!R32</f>
        <v>1.7850315306186941</v>
      </c>
      <c r="S42" s="155">
        <f>'R3'!S32</f>
        <v>0.55876305798476411</v>
      </c>
      <c r="T42" s="155">
        <f>'R3'!T32</f>
        <v>5.3020780564505658</v>
      </c>
      <c r="U42" s="155">
        <f>'R3'!U32</f>
        <v>2.9403564858157831</v>
      </c>
      <c r="V42" s="155">
        <f>'R3'!V32</f>
        <v>1.923745273889002</v>
      </c>
    </row>
    <row r="43" spans="1:22" s="1" customFormat="1" x14ac:dyDescent="0.3">
      <c r="A43" s="226"/>
      <c r="B43" s="155">
        <f>'R3'!B33</f>
        <v>5.8825774567425266E-3</v>
      </c>
      <c r="C43" s="155">
        <f>'R3'!C33</f>
        <v>1.8897261775490148</v>
      </c>
      <c r="D43" s="155">
        <f>'R3'!D33</f>
        <v>0.51769220252616932</v>
      </c>
      <c r="E43" s="155">
        <f>'R3'!E33</f>
        <v>2.2225283077444091</v>
      </c>
      <c r="F43" s="155">
        <f>'R3'!F33</f>
        <v>12.424399897502681</v>
      </c>
      <c r="G43" s="155">
        <f>'R3'!G33</f>
        <v>7.5578554084392104</v>
      </c>
      <c r="H43" s="155">
        <f>'R3'!H33</f>
        <v>12.596025610931354</v>
      </c>
      <c r="I43" s="155">
        <f>'R3'!I33</f>
        <v>7.2226937596427301E-2</v>
      </c>
      <c r="J43" s="155">
        <f>'R3'!J33</f>
        <v>0.1524957012917148</v>
      </c>
      <c r="K43" s="155">
        <f>'R3'!K33</f>
        <v>0.12635483023903613</v>
      </c>
      <c r="L43" s="155">
        <f>'R3'!L33</f>
        <v>4.9365289672601813</v>
      </c>
      <c r="M43" s="155">
        <f>'R3'!M33</f>
        <v>4.4296640356847217</v>
      </c>
      <c r="N43"/>
      <c r="O43" s="155">
        <f>'R3'!O33</f>
        <v>0.29607515835386206</v>
      </c>
      <c r="P43" s="155">
        <f>'R3'!P33</f>
        <v>6.6986662567244029</v>
      </c>
      <c r="Q43" s="155">
        <f>'R3'!Q33</f>
        <v>2.6046377480489324E-2</v>
      </c>
      <c r="R43" s="155">
        <f>'R3'!R33</f>
        <v>1.2497183924069479</v>
      </c>
      <c r="S43" s="155">
        <f>'R3'!S33</f>
        <v>1.6234038012683822</v>
      </c>
      <c r="T43" s="155">
        <f>'R3'!T33</f>
        <v>7.3638036906615403</v>
      </c>
      <c r="U43" s="155">
        <f>'R3'!U33</f>
        <v>0.53347403943361327</v>
      </c>
      <c r="V43" s="155">
        <f>'R3'!V33</f>
        <v>2.726083143589594</v>
      </c>
    </row>
    <row r="44" spans="1:22" s="1" customFormat="1" x14ac:dyDescent="0.3">
      <c r="A44" s="226"/>
      <c r="B44" s="155">
        <f>'R3'!B34</f>
        <v>0.15326575338746676</v>
      </c>
      <c r="C44" s="155">
        <f>'R3'!C34</f>
        <v>0.26317588136190978</v>
      </c>
      <c r="D44" s="155">
        <f>'R3'!D34</f>
        <v>0.65827043090743709</v>
      </c>
      <c r="E44" s="155">
        <f>'R3'!E34</f>
        <v>5.9176077753401222</v>
      </c>
      <c r="F44" s="155">
        <f>'R3'!F34</f>
        <v>6.1622079128317955</v>
      </c>
      <c r="G44" s="155">
        <f>'R3'!G34</f>
        <v>10.766068733319836</v>
      </c>
      <c r="H44" s="155">
        <f>'R3'!H34</f>
        <v>18.19058524928894</v>
      </c>
      <c r="I44" s="155">
        <f>'R3'!I34</f>
        <v>0.19323371371991135</v>
      </c>
      <c r="J44" s="155">
        <f>'R3'!J34</f>
        <v>2.5066182963002857E-2</v>
      </c>
      <c r="K44" s="155">
        <f>'R3'!K34</f>
        <v>0.6943895411129456</v>
      </c>
      <c r="L44" s="155">
        <f>'R3'!L34</f>
        <v>1.2565191089009331</v>
      </c>
      <c r="M44" s="155">
        <f>'R3'!M34</f>
        <v>0.34383390216054438</v>
      </c>
      <c r="N44"/>
      <c r="O44" s="155">
        <f>'R3'!O34</f>
        <v>0.41325988103506073</v>
      </c>
      <c r="P44" s="155">
        <f>'R3'!P34</f>
        <v>14.22336006273245</v>
      </c>
      <c r="Q44" s="155">
        <f>'R3'!Q34</f>
        <v>0.48839355374017812</v>
      </c>
      <c r="R44" s="155">
        <f>'R3'!R34</f>
        <v>1.4410171034247132</v>
      </c>
      <c r="S44" s="155">
        <f>'R3'!S34</f>
        <v>3.7765033094346276</v>
      </c>
      <c r="T44" s="155">
        <f>'R3'!T34</f>
        <v>0.13761084814415769</v>
      </c>
      <c r="U44" s="155">
        <f>'R3'!U34</f>
        <v>8.7010640311187082</v>
      </c>
      <c r="V44" s="155">
        <f>'R3'!V34</f>
        <v>0.20595508716987962</v>
      </c>
    </row>
    <row r="45" spans="1:22" s="1" customFormat="1" x14ac:dyDescent="0.3">
      <c r="A45" s="226"/>
      <c r="B45" s="155">
        <f>'R3'!B35</f>
        <v>0.29742627540098726</v>
      </c>
      <c r="C45" s="155">
        <f>'R3'!C35</f>
        <v>0.37686152116845534</v>
      </c>
      <c r="D45" s="155">
        <f>'R3'!D35</f>
        <v>0.16093665695668818</v>
      </c>
      <c r="E45" s="155" t="str">
        <f>'R3'!E35</f>
        <v/>
      </c>
      <c r="F45" s="155">
        <f>'R3'!F35</f>
        <v>8.7017029204948528</v>
      </c>
      <c r="G45" s="155">
        <f>'R3'!G35</f>
        <v>11.950245255774796</v>
      </c>
      <c r="H45" s="155">
        <f>'R3'!H35</f>
        <v>12.799961074289666</v>
      </c>
      <c r="I45" s="155">
        <f>'R3'!I35</f>
        <v>0.36480583377928366</v>
      </c>
      <c r="J45" s="155">
        <f>'R3'!J35</f>
        <v>0.16409866574547186</v>
      </c>
      <c r="K45" s="155">
        <f>'R3'!K35</f>
        <v>20.391299645375849</v>
      </c>
      <c r="L45" s="155">
        <f>'R3'!L35</f>
        <v>0.39376740847940539</v>
      </c>
      <c r="M45" s="155" t="str">
        <f>'R3'!M35</f>
        <v/>
      </c>
      <c r="N45"/>
      <c r="O45" s="155">
        <f>'R3'!O35</f>
        <v>0.77951273578548264</v>
      </c>
      <c r="P45" s="155">
        <f>'R3'!P35</f>
        <v>8.0918484573439535</v>
      </c>
      <c r="Q45" s="155" t="str">
        <f>'R3'!Q35</f>
        <v/>
      </c>
      <c r="R45" s="155">
        <f>'R3'!R35</f>
        <v>1.4181172208629467</v>
      </c>
      <c r="S45" s="155">
        <f>'R3'!S35</f>
        <v>1.1542714223847692</v>
      </c>
      <c r="T45" s="155">
        <f>'R3'!T35</f>
        <v>2.6817712996400869</v>
      </c>
      <c r="U45" s="155">
        <f>'R3'!U35</f>
        <v>6.6365614141668257</v>
      </c>
      <c r="V45" s="155">
        <f>'R3'!V35</f>
        <v>16.608092933723071</v>
      </c>
    </row>
    <row r="46" spans="1:22" s="1" customFormat="1" x14ac:dyDescent="0.3">
      <c r="A46" s="226"/>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0.46972754735322358</v>
      </c>
      <c r="P46" s="155" t="str">
        <f>'R3'!P36</f>
        <v/>
      </c>
      <c r="Q46" s="155" t="str">
        <f>'R3'!Q36</f>
        <v/>
      </c>
      <c r="R46" s="155" t="str">
        <f>'R3'!R36</f>
        <v/>
      </c>
      <c r="S46" s="155" t="str">
        <f>'R3'!S36</f>
        <v/>
      </c>
      <c r="T46" s="155" t="str">
        <f>'R3'!T36</f>
        <v/>
      </c>
      <c r="U46" s="155" t="str">
        <f>'R3'!U36</f>
        <v/>
      </c>
      <c r="V46" s="155" t="str">
        <f>'R3'!V36</f>
        <v/>
      </c>
    </row>
    <row r="47" spans="1:22" s="1" customFormat="1" x14ac:dyDescent="0.3">
      <c r="A47" s="226"/>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0.15600324627731024</v>
      </c>
      <c r="P47" s="155" t="str">
        <f>'R3'!P37</f>
        <v/>
      </c>
      <c r="Q47" s="155" t="str">
        <f>'R3'!Q37</f>
        <v/>
      </c>
      <c r="R47" s="155" t="str">
        <f>'R3'!R37</f>
        <v/>
      </c>
      <c r="S47" s="155" t="str">
        <f>'R3'!S37</f>
        <v/>
      </c>
      <c r="T47" s="155" t="str">
        <f>'R3'!T37</f>
        <v/>
      </c>
      <c r="U47" s="155" t="str">
        <f>'R3'!U37</f>
        <v/>
      </c>
      <c r="V47" s="155" t="str">
        <f>'R3'!V37</f>
        <v/>
      </c>
    </row>
    <row r="48" spans="1:22" s="1" customFormat="1" x14ac:dyDescent="0.3">
      <c r="A48" s="226"/>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3.9745914541317888</v>
      </c>
      <c r="P48" s="155" t="str">
        <f>'R3'!P38</f>
        <v/>
      </c>
      <c r="Q48" s="155" t="str">
        <f>'R3'!Q38</f>
        <v/>
      </c>
      <c r="R48" s="155" t="str">
        <f>'R3'!R38</f>
        <v/>
      </c>
      <c r="S48" s="155" t="str">
        <f>'R3'!S38</f>
        <v/>
      </c>
      <c r="T48" s="155" t="str">
        <f>'R3'!T38</f>
        <v/>
      </c>
      <c r="U48" s="155" t="str">
        <f>'R3'!U38</f>
        <v/>
      </c>
      <c r="V48" s="155" t="str">
        <f>'R3'!V38</f>
        <v/>
      </c>
    </row>
    <row r="49" spans="1:24" s="1" customFormat="1" x14ac:dyDescent="0.3">
      <c r="A49" s="226"/>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0.48922989237164499</v>
      </c>
      <c r="P49" s="155" t="str">
        <f>'R3'!P39</f>
        <v/>
      </c>
      <c r="Q49" s="155" t="str">
        <f>'R3'!Q39</f>
        <v/>
      </c>
      <c r="R49" s="155" t="str">
        <f>'R3'!R39</f>
        <v/>
      </c>
      <c r="S49" s="155" t="str">
        <f>'R3'!S39</f>
        <v/>
      </c>
      <c r="T49" s="155" t="str">
        <f>'R3'!T39</f>
        <v/>
      </c>
      <c r="U49" s="155" t="str">
        <f>'R3'!U39</f>
        <v/>
      </c>
      <c r="V49" s="155" t="str">
        <f>'R3'!V39</f>
        <v/>
      </c>
    </row>
    <row r="50" spans="1:24" s="1" customFormat="1" x14ac:dyDescent="0.3">
      <c r="A50" s="226"/>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0.19769888759381374</v>
      </c>
      <c r="P50" s="155" t="str">
        <f>'R3'!P40</f>
        <v/>
      </c>
      <c r="Q50" s="155" t="str">
        <f>'R3'!Q40</f>
        <v/>
      </c>
      <c r="R50" s="155" t="str">
        <f>'R3'!R40</f>
        <v/>
      </c>
      <c r="S50" s="155" t="str">
        <f>'R3'!S40</f>
        <v/>
      </c>
      <c r="T50" s="155" t="str">
        <f>'R3'!T40</f>
        <v/>
      </c>
      <c r="U50" s="155" t="str">
        <f>'R3'!U40</f>
        <v/>
      </c>
      <c r="V50" s="155" t="str">
        <f>'R3'!V40</f>
        <v/>
      </c>
    </row>
    <row r="51" spans="1:24" s="1" customFormat="1" x14ac:dyDescent="0.3">
      <c r="A51" s="226"/>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6.3546222121421247E-2</v>
      </c>
      <c r="P51" s="155" t="str">
        <f>'R3'!P41</f>
        <v/>
      </c>
      <c r="Q51" s="155" t="str">
        <f>'R3'!Q41</f>
        <v/>
      </c>
      <c r="R51" s="155" t="str">
        <f>'R3'!R41</f>
        <v/>
      </c>
      <c r="S51" s="155" t="str">
        <f>'R3'!S41</f>
        <v/>
      </c>
      <c r="T51" s="155" t="str">
        <f>'R3'!T41</f>
        <v/>
      </c>
      <c r="U51" s="155" t="str">
        <f>'R3'!U41</f>
        <v/>
      </c>
      <c r="V51" s="155" t="str">
        <f>'R3'!V41</f>
        <v/>
      </c>
    </row>
    <row r="52" spans="1:24" s="1" customFormat="1" x14ac:dyDescent="0.3">
      <c r="A52" s="226"/>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6.0979381802248045E-2</v>
      </c>
      <c r="P52" s="155" t="str">
        <f>'R3'!P42</f>
        <v/>
      </c>
      <c r="Q52" s="155" t="str">
        <f>'R3'!Q42</f>
        <v/>
      </c>
      <c r="R52" s="155" t="str">
        <f>'R3'!R42</f>
        <v/>
      </c>
      <c r="S52" s="155" t="str">
        <f>'R3'!S42</f>
        <v/>
      </c>
      <c r="T52" s="155" t="str">
        <f>'R3'!T42</f>
        <v/>
      </c>
      <c r="U52" s="155" t="str">
        <f>'R3'!U42</f>
        <v/>
      </c>
      <c r="V52" s="155" t="str">
        <f>'R3'!V42</f>
        <v/>
      </c>
    </row>
    <row r="53" spans="1:24" s="1" customFormat="1" x14ac:dyDescent="0.3">
      <c r="A53" s="227"/>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f>'R3'!O43</f>
        <v>4.1042648422120416E-2</v>
      </c>
      <c r="P53" s="155" t="str">
        <f>'R3'!P43</f>
        <v/>
      </c>
      <c r="Q53" s="155" t="str">
        <f>'R3'!Q43</f>
        <v/>
      </c>
      <c r="R53" s="155" t="str">
        <f>'R3'!R43</f>
        <v/>
      </c>
      <c r="S53" s="155" t="str">
        <f>'R3'!S43</f>
        <v/>
      </c>
      <c r="T53" s="155" t="str">
        <f>'R3'!T43</f>
        <v/>
      </c>
      <c r="U53" s="155" t="str">
        <f>'R3'!U43</f>
        <v/>
      </c>
      <c r="V53" s="155" t="str">
        <f>'R3'!V43</f>
        <v/>
      </c>
    </row>
    <row r="54" spans="1:24" s="60" customFormat="1" x14ac:dyDescent="0.3">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BPA-1mg/L</v>
      </c>
      <c r="J55" s="15" t="str">
        <f t="shared" si="0"/>
        <v>BPA-2mg/L</v>
      </c>
      <c r="K55" s="15" t="str">
        <f t="shared" si="0"/>
        <v>BPA-3mg/L</v>
      </c>
      <c r="L55" s="15" t="str">
        <f t="shared" si="0"/>
        <v>BPA-4mg/L</v>
      </c>
      <c r="M55" s="15" t="str">
        <f t="shared" si="0"/>
        <v>BPA-5mg/L</v>
      </c>
      <c r="O55" s="15" t="str">
        <f t="shared" ref="O55:V55" si="1">O4</f>
        <v>Testo -30µg/L</v>
      </c>
      <c r="P55" s="15" t="str">
        <f t="shared" si="1"/>
        <v>Testo 30µg/L + EE2 -64ng/L</v>
      </c>
      <c r="Q55" s="15" t="str">
        <f t="shared" si="1"/>
        <v>Testo 30µg/L + FAD-10µg/L</v>
      </c>
      <c r="R55" s="15" t="str">
        <f t="shared" si="1"/>
        <v>BPA-1mg/L + Testostérone</v>
      </c>
      <c r="S55" s="15" t="str">
        <f t="shared" si="1"/>
        <v>BPA-2mg/L + Testostérone</v>
      </c>
      <c r="T55" s="15" t="str">
        <f t="shared" si="1"/>
        <v>BPA-3mg/L + Testostérone</v>
      </c>
      <c r="U55" s="15" t="str">
        <f t="shared" si="1"/>
        <v>BPA-4mg/L + Testostérone</v>
      </c>
      <c r="V55" s="15" t="str">
        <f t="shared" si="1"/>
        <v>BPA-5mg/L + Testostérone</v>
      </c>
    </row>
    <row r="56" spans="1:24" x14ac:dyDescent="0.3">
      <c r="A56" t="s">
        <v>48</v>
      </c>
      <c r="B56" s="9">
        <f t="shared" ref="B56:V56" si="2">AVERAGE(B6:B53)</f>
        <v>0.14667051947282247</v>
      </c>
      <c r="C56" s="9">
        <f t="shared" si="2"/>
        <v>0.21741474404188724</v>
      </c>
      <c r="D56" s="9">
        <f t="shared" si="2"/>
        <v>0.28416275099000088</v>
      </c>
      <c r="E56" s="9">
        <f t="shared" si="2"/>
        <v>2.2830705072520212</v>
      </c>
      <c r="F56" s="9">
        <f t="shared" si="2"/>
        <v>5.6800602719257656</v>
      </c>
      <c r="G56" s="9">
        <f t="shared" si="2"/>
        <v>7.7324897941883499</v>
      </c>
      <c r="H56" s="9">
        <f t="shared" si="2"/>
        <v>13.855050771076822</v>
      </c>
      <c r="I56" s="9">
        <f t="shared" si="2"/>
        <v>0.17038650723109142</v>
      </c>
      <c r="J56" s="9">
        <f t="shared" si="2"/>
        <v>0.13088752662623473</v>
      </c>
      <c r="K56" s="9">
        <f t="shared" si="2"/>
        <v>0.99136063389997942</v>
      </c>
      <c r="L56" s="9">
        <f t="shared" si="2"/>
        <v>1.6594074968976251</v>
      </c>
      <c r="M56" s="9">
        <f t="shared" si="2"/>
        <v>3.0088565307692163</v>
      </c>
      <c r="N56" s="9"/>
      <c r="O56" s="9">
        <f t="shared" si="2"/>
        <v>1.0000000000000002</v>
      </c>
      <c r="P56" s="9">
        <f t="shared" si="2"/>
        <v>7.9422768226667761</v>
      </c>
      <c r="Q56" s="9">
        <f t="shared" si="2"/>
        <v>0.19220220049028836</v>
      </c>
      <c r="R56" s="9">
        <f t="shared" si="2"/>
        <v>1.5623906596752819</v>
      </c>
      <c r="S56" s="9">
        <f t="shared" si="2"/>
        <v>1.8388425787984588</v>
      </c>
      <c r="T56" s="9">
        <f t="shared" si="2"/>
        <v>3.5786243298311695</v>
      </c>
      <c r="U56" s="9">
        <f t="shared" si="2"/>
        <v>5.5350543506128664</v>
      </c>
      <c r="V56" s="9">
        <f t="shared" si="2"/>
        <v>5.7769041603645839</v>
      </c>
    </row>
    <row r="57" spans="1:24" x14ac:dyDescent="0.3">
      <c r="A57" t="s">
        <v>1</v>
      </c>
      <c r="B57" s="3">
        <f>STDEV(B6:B53)</f>
        <v>0.16087566285067098</v>
      </c>
      <c r="C57" s="3">
        <f t="shared" ref="C57:V57" si="3">STDEV(C6:C53)</f>
        <v>0.39650040509316992</v>
      </c>
      <c r="D57" s="3">
        <f t="shared" si="3"/>
        <v>0.44062635028292635</v>
      </c>
      <c r="E57" s="3">
        <f t="shared" si="3"/>
        <v>2.132181372944288</v>
      </c>
      <c r="F57" s="3">
        <f t="shared" si="3"/>
        <v>4.6263214337616327</v>
      </c>
      <c r="G57" s="3">
        <f t="shared" si="3"/>
        <v>4.8549167494516636</v>
      </c>
      <c r="H57" s="3">
        <f t="shared" si="3"/>
        <v>6.8138785291755344</v>
      </c>
      <c r="I57" s="3">
        <f t="shared" si="3"/>
        <v>0.18761360224236445</v>
      </c>
      <c r="J57" s="3">
        <f t="shared" si="3"/>
        <v>0.22681243709701221</v>
      </c>
      <c r="K57" s="3">
        <f t="shared" si="3"/>
        <v>4.1373719786850582</v>
      </c>
      <c r="L57" s="3">
        <f t="shared" si="3"/>
        <v>2.413913584242775</v>
      </c>
      <c r="M57" s="3">
        <f t="shared" si="3"/>
        <v>2.9971459551633366</v>
      </c>
      <c r="N57" s="3"/>
      <c r="O57" s="3">
        <f t="shared" si="3"/>
        <v>1.581293156011623</v>
      </c>
      <c r="P57" s="3">
        <f t="shared" si="3"/>
        <v>3.0845539858505764</v>
      </c>
      <c r="Q57" s="3">
        <f t="shared" si="3"/>
        <v>0.20962903186403145</v>
      </c>
      <c r="R57" s="3">
        <f t="shared" si="3"/>
        <v>1.980117248209365</v>
      </c>
      <c r="S57" s="3">
        <f t="shared" si="3"/>
        <v>1.5305177225771895</v>
      </c>
      <c r="T57" s="3">
        <f t="shared" si="3"/>
        <v>2.0155579008579942</v>
      </c>
      <c r="U57" s="3">
        <f t="shared" si="3"/>
        <v>3.1780403509070374</v>
      </c>
      <c r="V57" s="3">
        <f t="shared" si="3"/>
        <v>3.8703609673495722</v>
      </c>
      <c r="W57" s="3"/>
      <c r="X57" s="3"/>
    </row>
    <row r="58" spans="1:24" x14ac:dyDescent="0.3">
      <c r="A58" t="s">
        <v>2</v>
      </c>
      <c r="B58" s="3">
        <f xml:space="preserve"> B57/SQRT(COUNT(B6:B53))</f>
        <v>3.3544894575351175E-2</v>
      </c>
      <c r="C58" s="3">
        <f t="shared" ref="C58:V58" si="4" xml:space="preserve"> C57/SQRT(COUNT(C6:C53))</f>
        <v>8.0935306273757904E-2</v>
      </c>
      <c r="D58" s="3">
        <f t="shared" si="4"/>
        <v>9.1876945247351779E-2</v>
      </c>
      <c r="E58" s="3">
        <f t="shared" si="4"/>
        <v>0.45458259611181118</v>
      </c>
      <c r="F58" s="3">
        <f t="shared" si="4"/>
        <v>0.96465470300049294</v>
      </c>
      <c r="G58" s="3">
        <f t="shared" si="4"/>
        <v>1.0123201213077917</v>
      </c>
      <c r="H58" s="3">
        <f t="shared" si="4"/>
        <v>1.452723783580337</v>
      </c>
      <c r="I58" s="3">
        <f t="shared" si="4"/>
        <v>3.8296466191606239E-2</v>
      </c>
      <c r="J58" s="3">
        <f t="shared" si="4"/>
        <v>4.6297894850398855E-2</v>
      </c>
      <c r="K58" s="3">
        <f t="shared" si="4"/>
        <v>0.84453751865563276</v>
      </c>
      <c r="L58" s="3">
        <f t="shared" si="4"/>
        <v>0.49273804704730456</v>
      </c>
      <c r="M58" s="3">
        <f t="shared" si="4"/>
        <v>0.63899366466314356</v>
      </c>
      <c r="N58" s="3"/>
      <c r="O58" s="3">
        <f t="shared" si="4"/>
        <v>0.23065531275731424</v>
      </c>
      <c r="P58" s="3">
        <f t="shared" si="4"/>
        <v>0.64317396698704743</v>
      </c>
      <c r="Q58" s="3">
        <f t="shared" si="4"/>
        <v>4.371067474848038E-2</v>
      </c>
      <c r="R58" s="3">
        <f t="shared" si="4"/>
        <v>0.40418974074974101</v>
      </c>
      <c r="S58" s="3">
        <f t="shared" si="4"/>
        <v>0.31241562188339134</v>
      </c>
      <c r="T58" s="3">
        <f t="shared" si="4"/>
        <v>0.41142403367810426</v>
      </c>
      <c r="U58" s="3">
        <f t="shared" si="4"/>
        <v>0.64871477014148671</v>
      </c>
      <c r="V58" s="3">
        <f t="shared" si="4"/>
        <v>0.8070260492962692</v>
      </c>
      <c r="W58" s="3"/>
      <c r="X58" s="3"/>
    </row>
    <row r="59" spans="1:24" s="1" customFormat="1" ht="15" thickBot="1" x14ac:dyDescent="0.35">
      <c r="B59" s="3"/>
      <c r="C59" s="3"/>
      <c r="D59" s="3"/>
      <c r="E59" s="3"/>
      <c r="F59" s="3"/>
      <c r="G59" s="3"/>
      <c r="H59" s="3"/>
      <c r="I59" s="3"/>
      <c r="J59" s="3"/>
      <c r="K59" s="3"/>
      <c r="L59" s="3"/>
      <c r="M59" s="3"/>
      <c r="N59" s="3"/>
      <c r="O59" s="3"/>
      <c r="P59" s="3"/>
      <c r="Q59" s="3"/>
      <c r="R59" s="3"/>
      <c r="S59" s="3"/>
      <c r="T59" s="3"/>
      <c r="U59" s="3"/>
      <c r="V59" s="3"/>
    </row>
    <row r="60" spans="1:24" s="48" customFormat="1" ht="26.4" thickBot="1" x14ac:dyDescent="0.35">
      <c r="A60" s="228" t="s">
        <v>46</v>
      </c>
      <c r="B60" s="229"/>
      <c r="C60" s="229"/>
      <c r="D60" s="229"/>
      <c r="E60" s="229"/>
      <c r="F60" s="229"/>
      <c r="G60" s="229"/>
      <c r="H60" s="229"/>
      <c r="I60" s="229"/>
      <c r="J60" s="229"/>
      <c r="K60" s="229"/>
      <c r="L60" s="229"/>
      <c r="M60" s="229"/>
      <c r="N60" s="229"/>
      <c r="O60" s="229"/>
      <c r="P60" s="229"/>
      <c r="Q60" s="229"/>
      <c r="R60" s="229"/>
      <c r="S60" s="229"/>
      <c r="T60" s="229"/>
      <c r="U60" s="229"/>
      <c r="V60" s="229"/>
    </row>
    <row r="61" spans="1:24" s="1" customFormat="1" x14ac:dyDescent="0.3">
      <c r="B61" s="3"/>
      <c r="C61" s="3"/>
      <c r="D61" s="3"/>
      <c r="E61" s="3"/>
      <c r="F61" s="3"/>
      <c r="G61" s="3"/>
      <c r="H61" s="3"/>
      <c r="I61" s="3"/>
      <c r="J61" s="3"/>
      <c r="K61" s="3"/>
      <c r="L61" s="3"/>
      <c r="M61" s="3"/>
      <c r="N61" s="3"/>
      <c r="O61" s="3"/>
      <c r="P61" s="3"/>
      <c r="Q61" s="3"/>
      <c r="R61" s="3"/>
      <c r="S61" s="3"/>
      <c r="T61" s="3"/>
      <c r="U61" s="3"/>
      <c r="V61" s="3"/>
    </row>
    <row r="62" spans="1:24" s="1" customFormat="1" x14ac:dyDescent="0.3">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BPA-1mg/L</v>
      </c>
      <c r="J62" s="3" t="str">
        <f t="shared" si="6"/>
        <v>BPA-2mg/L</v>
      </c>
      <c r="K62" s="3" t="str">
        <f t="shared" si="6"/>
        <v>BPA-3mg/L</v>
      </c>
      <c r="L62" s="3" t="str">
        <f t="shared" si="6"/>
        <v>BPA-4mg/L</v>
      </c>
      <c r="M62" s="3" t="str">
        <f t="shared" si="6"/>
        <v>BPA-5mg/L</v>
      </c>
      <c r="N62" s="3"/>
      <c r="O62" s="3" t="str">
        <f t="shared" si="6"/>
        <v>Testo -30µg/L</v>
      </c>
      <c r="P62" s="3" t="str">
        <f t="shared" si="6"/>
        <v>Testo 30µg/L + EE2 -64ng/L</v>
      </c>
      <c r="Q62" s="3" t="str">
        <f t="shared" si="6"/>
        <v>Testo 30µg/L + FAD-10µg/L</v>
      </c>
      <c r="R62" s="3" t="str">
        <f t="shared" si="6"/>
        <v>BPA-1mg/L + Testostérone</v>
      </c>
      <c r="S62" s="3" t="str">
        <f t="shared" si="6"/>
        <v>BPA-2mg/L + Testostérone</v>
      </c>
      <c r="T62" s="3" t="str">
        <f t="shared" si="6"/>
        <v>BPA-3mg/L + Testostérone</v>
      </c>
      <c r="U62" s="3" t="str">
        <f t="shared" si="6"/>
        <v>BPA-4mg/L + Testostérone</v>
      </c>
      <c r="V62" s="3" t="str">
        <f t="shared" si="6"/>
        <v>BPA-5mg/L + Testostérone</v>
      </c>
    </row>
    <row r="63" spans="1:24" s="1" customFormat="1" x14ac:dyDescent="0.3">
      <c r="A63" s="1" t="s">
        <v>49</v>
      </c>
      <c r="B63" s="3">
        <f>COUNT(B6:B53)</f>
        <v>23</v>
      </c>
      <c r="C63" s="3">
        <f t="shared" ref="C63:V63" si="7">COUNT(C6:C53)</f>
        <v>24</v>
      </c>
      <c r="D63" s="3">
        <f t="shared" si="7"/>
        <v>23</v>
      </c>
      <c r="E63" s="3">
        <f t="shared" si="7"/>
        <v>22</v>
      </c>
      <c r="F63" s="3">
        <f t="shared" si="7"/>
        <v>23</v>
      </c>
      <c r="G63" s="3">
        <f t="shared" si="7"/>
        <v>23</v>
      </c>
      <c r="H63" s="3">
        <f t="shared" si="7"/>
        <v>22</v>
      </c>
      <c r="I63" s="3">
        <f t="shared" si="7"/>
        <v>24</v>
      </c>
      <c r="J63" s="3">
        <f t="shared" si="7"/>
        <v>24</v>
      </c>
      <c r="K63" s="3">
        <f t="shared" si="7"/>
        <v>24</v>
      </c>
      <c r="L63" s="3">
        <f t="shared" si="7"/>
        <v>24</v>
      </c>
      <c r="M63" s="3">
        <f t="shared" si="7"/>
        <v>22</v>
      </c>
      <c r="N63" s="3"/>
      <c r="O63" s="3">
        <f t="shared" si="7"/>
        <v>47</v>
      </c>
      <c r="P63" s="3">
        <f t="shared" si="7"/>
        <v>23</v>
      </c>
      <c r="Q63" s="3">
        <f t="shared" si="7"/>
        <v>23</v>
      </c>
      <c r="R63" s="3">
        <f t="shared" si="7"/>
        <v>24</v>
      </c>
      <c r="S63" s="3">
        <f t="shared" si="7"/>
        <v>24</v>
      </c>
      <c r="T63" s="3">
        <f t="shared" si="7"/>
        <v>24</v>
      </c>
      <c r="U63" s="3">
        <f t="shared" si="7"/>
        <v>24</v>
      </c>
      <c r="V63" s="3">
        <f t="shared" si="7"/>
        <v>23</v>
      </c>
    </row>
    <row r="64" spans="1:24" s="1" customFormat="1" ht="15" thickBot="1" x14ac:dyDescent="0.35">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4" thickBot="1" x14ac:dyDescent="0.35">
      <c r="A65" s="228" t="s">
        <v>58</v>
      </c>
      <c r="B65" s="229"/>
      <c r="C65" s="229"/>
      <c r="D65" s="229"/>
      <c r="E65" s="229"/>
      <c r="F65" s="229"/>
      <c r="G65" s="229"/>
      <c r="H65" s="229"/>
      <c r="I65" s="229"/>
      <c r="J65" s="229"/>
      <c r="K65" s="229"/>
      <c r="L65" s="229"/>
      <c r="M65" s="229"/>
      <c r="N65" s="229"/>
      <c r="O65" s="229"/>
      <c r="P65" s="229"/>
      <c r="Q65" s="229"/>
      <c r="R65" s="229"/>
      <c r="S65" s="229"/>
      <c r="T65" s="229"/>
      <c r="U65" s="229"/>
      <c r="V65" s="229"/>
    </row>
    <row r="66" spans="1:22" s="1" customFormat="1" x14ac:dyDescent="0.3">
      <c r="B66" s="1" t="s">
        <v>61</v>
      </c>
      <c r="C66" s="3"/>
      <c r="D66" s="3"/>
      <c r="E66" s="3"/>
      <c r="F66" s="3"/>
      <c r="G66" s="3"/>
      <c r="H66" s="3"/>
      <c r="I66" s="3"/>
      <c r="J66" s="3"/>
      <c r="K66" s="3"/>
      <c r="L66" s="3"/>
      <c r="M66" s="3"/>
      <c r="N66" s="3"/>
      <c r="O66" s="3"/>
      <c r="P66" s="3"/>
      <c r="Q66" s="3"/>
      <c r="R66" s="3"/>
      <c r="S66" s="3"/>
      <c r="T66" s="3"/>
      <c r="U66" s="3"/>
      <c r="V66" s="3"/>
    </row>
    <row r="67" spans="1:22" s="1" customFormat="1" x14ac:dyDescent="0.3">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35">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4" thickBot="1" x14ac:dyDescent="0.35">
      <c r="A70" s="228" t="s">
        <v>53</v>
      </c>
      <c r="B70" s="229"/>
      <c r="C70" s="229"/>
      <c r="D70" s="229"/>
      <c r="E70" s="229"/>
      <c r="F70" s="229"/>
      <c r="G70" s="229"/>
      <c r="H70" s="229"/>
      <c r="I70" s="229"/>
      <c r="J70" s="229"/>
      <c r="K70" s="229"/>
      <c r="L70" s="229"/>
      <c r="M70" s="229"/>
      <c r="N70" s="229"/>
      <c r="O70" s="229"/>
      <c r="P70" s="229"/>
      <c r="Q70" s="229"/>
      <c r="R70" s="229"/>
      <c r="S70" s="229"/>
      <c r="T70" s="229"/>
      <c r="U70" s="229"/>
      <c r="V70" s="229"/>
    </row>
    <row r="71" spans="1:22" ht="15" thickBot="1" x14ac:dyDescent="0.35"/>
    <row r="72" spans="1:22" s="48" customFormat="1" ht="26.4" thickBot="1" x14ac:dyDescent="0.35">
      <c r="A72" s="228" t="s">
        <v>54</v>
      </c>
      <c r="B72" s="229"/>
      <c r="C72" s="229"/>
      <c r="D72" s="229"/>
      <c r="E72" s="229"/>
      <c r="F72" s="229"/>
      <c r="G72" s="229"/>
      <c r="H72" s="229"/>
      <c r="I72" s="229"/>
      <c r="J72" s="229"/>
      <c r="K72" s="229"/>
      <c r="L72" s="229"/>
      <c r="M72" s="229"/>
      <c r="N72" s="229"/>
      <c r="O72" s="229"/>
      <c r="P72" s="229"/>
      <c r="Q72" s="229"/>
      <c r="R72" s="229"/>
      <c r="S72" s="229"/>
      <c r="T72" s="229"/>
      <c r="U72" s="229"/>
      <c r="V72" s="229"/>
    </row>
    <row r="73" spans="1:22" ht="15" thickBot="1" x14ac:dyDescent="0.35">
      <c r="J73" s="3">
        <v>1</v>
      </c>
      <c r="K73" s="3">
        <v>2</v>
      </c>
      <c r="L73" s="3">
        <v>3</v>
      </c>
      <c r="M73" s="3">
        <v>4</v>
      </c>
      <c r="R73" s="3">
        <v>1</v>
      </c>
      <c r="S73" s="3">
        <v>2</v>
      </c>
      <c r="T73" s="3">
        <v>3</v>
      </c>
      <c r="U73" s="3">
        <v>4</v>
      </c>
      <c r="V73" s="3">
        <v>5</v>
      </c>
    </row>
    <row r="74" spans="1:22" s="1" customFormat="1" x14ac:dyDescent="0.3">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BPA-1mg/L</v>
      </c>
      <c r="J74" s="46" t="str">
        <f t="shared" si="9"/>
        <v>BPA-2mg/L</v>
      </c>
      <c r="K74" s="46" t="str">
        <f t="shared" si="9"/>
        <v>BPA-3mg/L</v>
      </c>
      <c r="L74" s="46" t="str">
        <f t="shared" si="9"/>
        <v>BPA-4mg/L</v>
      </c>
      <c r="M74" s="46" t="str">
        <f t="shared" si="9"/>
        <v>BPA-5mg/L</v>
      </c>
      <c r="N74" s="46"/>
      <c r="O74" s="46" t="str">
        <f t="shared" ref="O74:V74" si="10">O4</f>
        <v>Testo -30µg/L</v>
      </c>
      <c r="P74" s="46" t="str">
        <f t="shared" si="10"/>
        <v>Testo 30µg/L + EE2 -64ng/L</v>
      </c>
      <c r="Q74" s="46" t="str">
        <f t="shared" si="10"/>
        <v>Testo 30µg/L + FAD-10µg/L</v>
      </c>
      <c r="R74" s="46" t="str">
        <f t="shared" si="10"/>
        <v>BPA-1mg/L + Testostérone</v>
      </c>
      <c r="S74" s="46" t="str">
        <f t="shared" si="10"/>
        <v>BPA-2mg/L + Testostérone</v>
      </c>
      <c r="T74" s="46" t="str">
        <f t="shared" si="10"/>
        <v>BPA-3mg/L + Testostérone</v>
      </c>
      <c r="U74" s="46" t="str">
        <f t="shared" si="10"/>
        <v>BPA-4mg/L + Testostérone</v>
      </c>
      <c r="V74" s="46" t="str">
        <f t="shared" si="10"/>
        <v>BPA-5mg/L + Testostérone</v>
      </c>
    </row>
    <row r="75" spans="1:22" s="3" customFormat="1" x14ac:dyDescent="0.3">
      <c r="A75" s="61" t="s">
        <v>32</v>
      </c>
      <c r="B75" s="141">
        <f>B56</f>
        <v>0.14667051947282247</v>
      </c>
      <c r="C75" s="141">
        <f t="shared" ref="C75:V75" si="11">C56</f>
        <v>0.21741474404188724</v>
      </c>
      <c r="D75" s="141">
        <f t="shared" si="11"/>
        <v>0.28416275099000088</v>
      </c>
      <c r="E75" s="141">
        <f t="shared" si="11"/>
        <v>2.2830705072520212</v>
      </c>
      <c r="F75" s="141">
        <f t="shared" si="11"/>
        <v>5.6800602719257656</v>
      </c>
      <c r="G75" s="141">
        <f t="shared" si="11"/>
        <v>7.7324897941883499</v>
      </c>
      <c r="H75" s="141">
        <f t="shared" si="11"/>
        <v>13.855050771076822</v>
      </c>
      <c r="I75" s="141">
        <f t="shared" si="11"/>
        <v>0.17038650723109142</v>
      </c>
      <c r="J75" s="141">
        <f t="shared" si="11"/>
        <v>0.13088752662623473</v>
      </c>
      <c r="K75" s="141">
        <f t="shared" si="11"/>
        <v>0.99136063389997942</v>
      </c>
      <c r="L75" s="141">
        <f t="shared" si="11"/>
        <v>1.6594074968976251</v>
      </c>
      <c r="M75" s="141">
        <f t="shared" si="11"/>
        <v>3.0088565307692163</v>
      </c>
      <c r="N75" s="141"/>
      <c r="O75" s="141">
        <f t="shared" si="11"/>
        <v>1.0000000000000002</v>
      </c>
      <c r="P75" s="141">
        <f t="shared" si="11"/>
        <v>7.9422768226667761</v>
      </c>
      <c r="Q75" s="141">
        <f t="shared" si="11"/>
        <v>0.19220220049028836</v>
      </c>
      <c r="R75" s="141">
        <f t="shared" si="11"/>
        <v>1.5623906596752819</v>
      </c>
      <c r="S75" s="141">
        <f t="shared" si="11"/>
        <v>1.8388425787984588</v>
      </c>
      <c r="T75" s="141">
        <f t="shared" si="11"/>
        <v>3.5786243298311695</v>
      </c>
      <c r="U75" s="141">
        <f t="shared" si="11"/>
        <v>5.5350543506128664</v>
      </c>
      <c r="V75" s="141">
        <f t="shared" si="11"/>
        <v>5.7769041603645839</v>
      </c>
    </row>
    <row r="76" spans="1:22" s="3" customFormat="1" x14ac:dyDescent="0.3">
      <c r="A76" s="61" t="s">
        <v>2</v>
      </c>
      <c r="B76" s="141">
        <f>B58</f>
        <v>3.3544894575351175E-2</v>
      </c>
      <c r="C76" s="141">
        <f t="shared" ref="C76:V76" si="12">C58</f>
        <v>8.0935306273757904E-2</v>
      </c>
      <c r="D76" s="141">
        <f t="shared" si="12"/>
        <v>9.1876945247351779E-2</v>
      </c>
      <c r="E76" s="141">
        <f t="shared" si="12"/>
        <v>0.45458259611181118</v>
      </c>
      <c r="F76" s="141">
        <f t="shared" si="12"/>
        <v>0.96465470300049294</v>
      </c>
      <c r="G76" s="141">
        <f t="shared" si="12"/>
        <v>1.0123201213077917</v>
      </c>
      <c r="H76" s="141">
        <f t="shared" si="12"/>
        <v>1.452723783580337</v>
      </c>
      <c r="I76" s="141">
        <f t="shared" si="12"/>
        <v>3.8296466191606239E-2</v>
      </c>
      <c r="J76" s="141">
        <f t="shared" si="12"/>
        <v>4.6297894850398855E-2</v>
      </c>
      <c r="K76" s="141">
        <f t="shared" si="12"/>
        <v>0.84453751865563276</v>
      </c>
      <c r="L76" s="141">
        <f t="shared" si="12"/>
        <v>0.49273804704730456</v>
      </c>
      <c r="M76" s="141">
        <f t="shared" si="12"/>
        <v>0.63899366466314356</v>
      </c>
      <c r="N76" s="141"/>
      <c r="O76" s="141">
        <f t="shared" si="12"/>
        <v>0.23065531275731424</v>
      </c>
      <c r="P76" s="141">
        <f t="shared" si="12"/>
        <v>0.64317396698704743</v>
      </c>
      <c r="Q76" s="141">
        <f t="shared" si="12"/>
        <v>4.371067474848038E-2</v>
      </c>
      <c r="R76" s="141">
        <f t="shared" si="12"/>
        <v>0.40418974074974101</v>
      </c>
      <c r="S76" s="141">
        <f t="shared" si="12"/>
        <v>0.31241562188339134</v>
      </c>
      <c r="T76" s="141">
        <f t="shared" si="12"/>
        <v>0.41142403367810426</v>
      </c>
      <c r="U76" s="141">
        <f t="shared" si="12"/>
        <v>0.64871477014148671</v>
      </c>
      <c r="V76" s="141">
        <f t="shared" si="12"/>
        <v>0.8070260492962692</v>
      </c>
    </row>
    <row r="77" spans="1:22" s="3" customFormat="1" x14ac:dyDescent="0.3">
      <c r="A77" s="61" t="s">
        <v>79</v>
      </c>
      <c r="B77" s="141">
        <f>(B75*100/$B$75)-100</f>
        <v>0</v>
      </c>
      <c r="C77" s="141">
        <f t="shared" ref="C77:M77" si="13">(C75*100/$B$75)-100</f>
        <v>48.233431519395026</v>
      </c>
      <c r="D77" s="141">
        <f t="shared" si="13"/>
        <v>93.742240779787551</v>
      </c>
      <c r="E77" s="141">
        <f t="shared" si="13"/>
        <v>1456.5980917351737</v>
      </c>
      <c r="F77" s="141">
        <f t="shared" si="13"/>
        <v>3772.6666356276596</v>
      </c>
      <c r="G77" s="141">
        <f t="shared" si="13"/>
        <v>5172.0136411742596</v>
      </c>
      <c r="H77" s="141">
        <f t="shared" si="13"/>
        <v>9346.3773775916252</v>
      </c>
      <c r="I77" s="141">
        <f t="shared" si="13"/>
        <v>16.16956689286387</v>
      </c>
      <c r="J77" s="141">
        <f t="shared" si="13"/>
        <v>-10.760848808142569</v>
      </c>
      <c r="K77" s="141">
        <f t="shared" si="13"/>
        <v>575.90994936352911</v>
      </c>
      <c r="L77" s="141">
        <f t="shared" si="13"/>
        <v>1031.3844819409039</v>
      </c>
      <c r="M77" s="141">
        <f t="shared" si="13"/>
        <v>1951.4391996318977</v>
      </c>
      <c r="N77" s="141"/>
      <c r="O77" s="141">
        <f>(O75*100/$O$75)-100</f>
        <v>0</v>
      </c>
      <c r="P77" s="141">
        <f t="shared" ref="P77:V77" si="14">(P75*100/$O$75)-100</f>
        <v>694.22768226667733</v>
      </c>
      <c r="Q77" s="141">
        <f t="shared" si="14"/>
        <v>-80.779779950971175</v>
      </c>
      <c r="R77" s="141">
        <f t="shared" si="14"/>
        <v>56.239065967528148</v>
      </c>
      <c r="S77" s="141">
        <f t="shared" si="14"/>
        <v>83.884257879845848</v>
      </c>
      <c r="T77" s="141">
        <f t="shared" si="14"/>
        <v>257.86243298311689</v>
      </c>
      <c r="U77" s="141">
        <f t="shared" si="14"/>
        <v>453.50543506128656</v>
      </c>
      <c r="V77" s="141">
        <f t="shared" si="14"/>
        <v>477.69041603645826</v>
      </c>
    </row>
    <row r="78" spans="1:22" s="3" customFormat="1" x14ac:dyDescent="0.3">
      <c r="A78" s="61" t="s">
        <v>81</v>
      </c>
      <c r="B78" s="141" t="e">
        <f ca="1">[1]!DPTEST(B6:B53)</f>
        <v>#NAME?</v>
      </c>
      <c r="C78" s="141" t="e">
        <f ca="1">[1]!DPTEST(C6:C53)</f>
        <v>#NAME?</v>
      </c>
      <c r="D78" s="141" t="e">
        <f ca="1">[1]!DPTEST(D6:D53)</f>
        <v>#NAME?</v>
      </c>
      <c r="E78" s="141" t="e">
        <f ca="1">[1]!DPTEST(E6:E53)</f>
        <v>#NAME?</v>
      </c>
      <c r="F78" s="141" t="e">
        <f ca="1">[1]!DPTEST(F6:F53)</f>
        <v>#NAME?</v>
      </c>
      <c r="G78" s="141" t="e">
        <f ca="1">[1]!DPTEST(G6:G53)</f>
        <v>#NAME?</v>
      </c>
      <c r="H78" s="141" t="e">
        <f ca="1">[1]!DPTEST(H6:H53)</f>
        <v>#NAME?</v>
      </c>
      <c r="I78" s="141" t="e">
        <f ca="1">[1]!DPTEST(I6:I53)</f>
        <v>#NAME?</v>
      </c>
      <c r="J78" s="141" t="e">
        <f ca="1">[1]!DPTEST(J6:J53)</f>
        <v>#NAME?</v>
      </c>
      <c r="K78" s="141" t="e">
        <f ca="1">[1]!DPTEST(K6:K53)</f>
        <v>#NAME?</v>
      </c>
      <c r="L78" s="141" t="e">
        <f ca="1">[1]!DPTEST(L6:L53)</f>
        <v>#NAME?</v>
      </c>
      <c r="M78" s="141" t="e">
        <f ca="1">[1]!DPTEST(M6:M53)</f>
        <v>#NAME?</v>
      </c>
      <c r="N78" s="141"/>
      <c r="O78" s="141" t="e">
        <f ca="1">[1]!DPTEST(O6:O53)</f>
        <v>#NAME?</v>
      </c>
      <c r="P78" s="141" t="e">
        <f ca="1">[1]!DPTEST(P6:P53)</f>
        <v>#NAME?</v>
      </c>
      <c r="Q78" s="141" t="e">
        <f ca="1">[1]!DPTEST(Q6:Q53)</f>
        <v>#NAME?</v>
      </c>
      <c r="R78" s="141" t="e">
        <f ca="1">[1]!DPTEST(R6:R53)</f>
        <v>#NAME?</v>
      </c>
      <c r="S78" s="141" t="e">
        <f ca="1">[1]!DPTEST(S6:S53)</f>
        <v>#NAME?</v>
      </c>
      <c r="T78" s="141" t="e">
        <f ca="1">[1]!DPTEST(T6:T53)</f>
        <v>#NAME?</v>
      </c>
      <c r="U78" s="141" t="e">
        <f ca="1">[1]!DPTEST(U6:U53)</f>
        <v>#NAME?</v>
      </c>
      <c r="V78" s="141" t="e">
        <f ca="1">[1]!DPTEST(V6:V53)</f>
        <v>#NAME?</v>
      </c>
    </row>
    <row r="79" spans="1:22" s="3" customFormat="1" x14ac:dyDescent="0.3">
      <c r="A79" s="61" t="s">
        <v>85</v>
      </c>
      <c r="B79" s="141" t="e">
        <f ca="1">IF(B78&gt;0.05,"Oui","Non")</f>
        <v>#NAME?</v>
      </c>
      <c r="C79" s="141" t="e">
        <f t="shared" ref="C79:V79" ca="1" si="15">IF(C78&gt;0.05,"Oui","Non")</f>
        <v>#NAME?</v>
      </c>
      <c r="D79" s="141" t="e">
        <f t="shared" ca="1" si="15"/>
        <v>#NAME?</v>
      </c>
      <c r="E79" s="141" t="e">
        <f t="shared" ca="1" si="15"/>
        <v>#NAME?</v>
      </c>
      <c r="F79" s="141" t="e">
        <f t="shared" ca="1" si="15"/>
        <v>#NAME?</v>
      </c>
      <c r="G79" s="141" t="e">
        <f t="shared" ca="1" si="15"/>
        <v>#NAME?</v>
      </c>
      <c r="H79" s="141" t="e">
        <f t="shared" ca="1" si="15"/>
        <v>#NAME?</v>
      </c>
      <c r="I79" s="141" t="e">
        <f t="shared" ca="1" si="15"/>
        <v>#NAME?</v>
      </c>
      <c r="J79" s="141" t="e">
        <f t="shared" ca="1" si="15"/>
        <v>#NAME?</v>
      </c>
      <c r="K79" s="141" t="e">
        <f t="shared" ca="1" si="15"/>
        <v>#NAME?</v>
      </c>
      <c r="L79" s="141" t="e">
        <f t="shared" ca="1" si="15"/>
        <v>#NAME?</v>
      </c>
      <c r="M79" s="141" t="e">
        <f t="shared" ca="1" si="15"/>
        <v>#NAME?</v>
      </c>
      <c r="N79" s="141"/>
      <c r="O79" s="141" t="e">
        <f t="shared" ca="1" si="15"/>
        <v>#NAME?</v>
      </c>
      <c r="P79" s="141" t="e">
        <f t="shared" ca="1" si="15"/>
        <v>#NAME?</v>
      </c>
      <c r="Q79" s="141" t="e">
        <f t="shared" ca="1" si="15"/>
        <v>#NAME?</v>
      </c>
      <c r="R79" s="141" t="e">
        <f t="shared" ca="1" si="15"/>
        <v>#NAME?</v>
      </c>
      <c r="S79" s="141" t="e">
        <f t="shared" ca="1" si="15"/>
        <v>#NAME?</v>
      </c>
      <c r="T79" s="141" t="e">
        <f t="shared" ca="1" si="15"/>
        <v>#NAME?</v>
      </c>
      <c r="U79" s="141" t="e">
        <f t="shared" ca="1" si="15"/>
        <v>#NAME?</v>
      </c>
      <c r="V79" s="141" t="e">
        <f t="shared" ca="1" si="15"/>
        <v>#NAME?</v>
      </c>
    </row>
    <row r="80" spans="1:22" s="3" customFormat="1" x14ac:dyDescent="0.3">
      <c r="A80" s="61" t="s">
        <v>122</v>
      </c>
      <c r="B80" s="141"/>
      <c r="C80" s="141"/>
      <c r="D80" s="141"/>
      <c r="E80" s="141"/>
      <c r="F80" s="141"/>
      <c r="G80" s="141"/>
      <c r="H80" s="141"/>
      <c r="I80" s="141"/>
      <c r="J80" s="141"/>
      <c r="K80" s="141"/>
      <c r="L80" s="141"/>
      <c r="M80" s="141"/>
      <c r="N80" s="141"/>
      <c r="O80" s="141"/>
      <c r="P80" s="141"/>
      <c r="Q80" s="141"/>
      <c r="R80" s="141"/>
      <c r="S80" s="141"/>
      <c r="T80" s="141"/>
      <c r="U80" s="141"/>
      <c r="V80" s="141"/>
    </row>
    <row r="81" spans="1:22" s="3" customFormat="1" x14ac:dyDescent="0.3">
      <c r="A81" s="61" t="s">
        <v>82</v>
      </c>
      <c r="B81" s="141"/>
      <c r="C81" s="141" t="s">
        <v>174</v>
      </c>
      <c r="D81" s="141" t="s">
        <v>174</v>
      </c>
      <c r="E81" s="141" t="s">
        <v>174</v>
      </c>
      <c r="F81" s="141" t="s">
        <v>174</v>
      </c>
      <c r="G81" s="141" t="s">
        <v>174</v>
      </c>
      <c r="H81" s="141" t="s">
        <v>174</v>
      </c>
      <c r="I81" s="141" t="s">
        <v>174</v>
      </c>
      <c r="J81" s="141" t="s">
        <v>174</v>
      </c>
      <c r="K81" s="141" t="s">
        <v>174</v>
      </c>
      <c r="L81" s="141" t="s">
        <v>174</v>
      </c>
      <c r="M81" s="141" t="s">
        <v>174</v>
      </c>
      <c r="N81" s="141"/>
      <c r="O81" s="141" t="e">
        <f ca="1">IF($B79="Non",IF(O79="Non","Mann Withney",IF(O79="Oui","Mann Withney","")),IF($B79="Oui",IF(O79="Oui","T-Test Welch",IF(O79="Non","Mann Withney",""))))</f>
        <v>#NAME?</v>
      </c>
      <c r="P81" s="141" t="e">
        <f t="shared" ref="P81:Q81" ca="1" si="16">IF($O79="Non",IF(P79="Non","Mann Withney",IF(P$79="Oui","Mann Withney","")),IF($O79="Oui",IF(P79="Oui","T-Test Welch",IF(P79="Non","Mann Withney",""))))</f>
        <v>#NAME?</v>
      </c>
      <c r="Q81" s="141" t="e">
        <f t="shared" ca="1" si="16"/>
        <v>#NAME?</v>
      </c>
      <c r="R81" s="141" t="s">
        <v>174</v>
      </c>
      <c r="S81" s="141" t="s">
        <v>174</v>
      </c>
      <c r="T81" s="141" t="s">
        <v>174</v>
      </c>
      <c r="U81" s="141" t="s">
        <v>174</v>
      </c>
      <c r="V81" s="141" t="s">
        <v>174</v>
      </c>
    </row>
    <row r="82" spans="1:22" s="3" customFormat="1" x14ac:dyDescent="0.3">
      <c r="A82" s="61" t="s">
        <v>83</v>
      </c>
      <c r="B82" s="141"/>
      <c r="C82" s="141" t="s">
        <v>170</v>
      </c>
      <c r="D82" s="141" t="s">
        <v>170</v>
      </c>
      <c r="E82" s="141">
        <v>0.01</v>
      </c>
      <c r="F82" s="141" t="s">
        <v>173</v>
      </c>
      <c r="G82" s="141" t="s">
        <v>173</v>
      </c>
      <c r="H82" s="141" t="s">
        <v>173</v>
      </c>
      <c r="I82" s="141" t="s">
        <v>170</v>
      </c>
      <c r="J82" s="141" t="s">
        <v>170</v>
      </c>
      <c r="K82" s="141" t="s">
        <v>170</v>
      </c>
      <c r="L82" s="141">
        <v>0.02</v>
      </c>
      <c r="M82" s="141" t="s">
        <v>173</v>
      </c>
      <c r="N82" s="141"/>
      <c r="O82" s="141" t="e">
        <f ca="1">IF(O81="Mann Withney",[1]!MTEST($B6:$B53,O6:O53,2), IF(O81="T-Test Welch",_xlfn.T.TEST($B6:$B53,O6:O53,2,3),""))</f>
        <v>#NAME?</v>
      </c>
      <c r="P82" s="141" t="e">
        <f ca="1">IF(P81="Mann Withney",[1]!MTEST($O6:$O53,P6:P53,2), IF(P81="T-Test Welch",_xlfn.T.TEST($O6:$O53,P6:P53,2,3),""))</f>
        <v>#NAME?</v>
      </c>
      <c r="Q82" s="141" t="e">
        <f ca="1">IF(Q81="Mann Withney",[1]!MTEST($O6:$O53,Q6:Q53,2), IF(Q81="T-Test Welch",_xlfn.T.TEST($O6:$O53,Q6:Q53,2,3),""))</f>
        <v>#NAME?</v>
      </c>
      <c r="R82" s="141">
        <v>0.73</v>
      </c>
      <c r="S82" s="141">
        <v>0.11</v>
      </c>
      <c r="T82" s="141" t="s">
        <v>173</v>
      </c>
      <c r="U82" s="141" t="s">
        <v>173</v>
      </c>
      <c r="V82" s="141" t="s">
        <v>173</v>
      </c>
    </row>
    <row r="83" spans="1:22" s="3" customFormat="1" ht="15" thickBot="1" x14ac:dyDescent="0.35">
      <c r="A83" s="62" t="s">
        <v>84</v>
      </c>
      <c r="B83" s="142"/>
      <c r="C83" s="142" t="s">
        <v>169</v>
      </c>
      <c r="D83" s="142" t="s">
        <v>169</v>
      </c>
      <c r="E83" s="142" t="s">
        <v>171</v>
      </c>
      <c r="F83" s="142" t="s">
        <v>172</v>
      </c>
      <c r="G83" s="142" t="s">
        <v>172</v>
      </c>
      <c r="H83" s="142" t="s">
        <v>172</v>
      </c>
      <c r="I83" s="142" t="s">
        <v>169</v>
      </c>
      <c r="J83" s="142" t="s">
        <v>169</v>
      </c>
      <c r="K83" s="142" t="s">
        <v>169</v>
      </c>
      <c r="L83" s="142" t="s">
        <v>171</v>
      </c>
      <c r="M83" s="142" t="s">
        <v>172</v>
      </c>
      <c r="N83" s="142"/>
      <c r="O83" s="142" t="e">
        <f t="shared" ref="O83" ca="1" si="17">IF(O82&gt;0.05,"NS",IF(O82&gt;0.01,"*",IF(O82&gt;0.001,"**","***")))</f>
        <v>#NAME?</v>
      </c>
      <c r="P83" s="142" t="e">
        <f t="shared" ref="P83" ca="1" si="18">IF(P82&gt;0.05,"NS",IF(P82&gt;0.01,"*",IF(P82&gt;0.001,"**","***")))</f>
        <v>#NAME?</v>
      </c>
      <c r="Q83" s="142" t="e">
        <f t="shared" ref="Q83" ca="1" si="19">IF(Q82&gt;0.05,"NS",IF(Q82&gt;0.01,"*",IF(Q82&gt;0.001,"**","***")))</f>
        <v>#NAME?</v>
      </c>
      <c r="R83" s="142" t="s">
        <v>169</v>
      </c>
      <c r="S83" s="142" t="s">
        <v>169</v>
      </c>
      <c r="T83" s="142" t="s">
        <v>172</v>
      </c>
      <c r="U83" s="142" t="s">
        <v>172</v>
      </c>
      <c r="V83" s="142" t="s">
        <v>172</v>
      </c>
    </row>
    <row r="84" spans="1:22" s="1" customFormat="1" x14ac:dyDescent="0.3"/>
    <row r="85" spans="1:22" s="1" customFormat="1" x14ac:dyDescent="0.3">
      <c r="A85" s="2" t="s">
        <v>39</v>
      </c>
    </row>
    <row r="86" spans="1:22" x14ac:dyDescent="0.3">
      <c r="A86" s="1" t="s">
        <v>23</v>
      </c>
      <c r="B86" s="1">
        <f>B56+(3*B57)</f>
        <v>0.62929750802483542</v>
      </c>
    </row>
    <row r="87" spans="1:22" x14ac:dyDescent="0.3">
      <c r="A87" s="1" t="s">
        <v>24</v>
      </c>
      <c r="B87" s="1">
        <f>B56+(10*B57)</f>
        <v>1.7554271479795323</v>
      </c>
    </row>
    <row r="88" spans="1:22" ht="15" thickBot="1" x14ac:dyDescent="0.35"/>
    <row r="89" spans="1:22" s="48" customFormat="1" ht="26.4" thickBot="1" x14ac:dyDescent="0.35">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35"/>
    <row r="91" spans="1:22" s="48" customFormat="1" ht="26.4" thickBot="1" x14ac:dyDescent="0.35">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35"/>
    <row r="93" spans="1:22" s="48" customFormat="1" ht="26.4" thickBot="1" x14ac:dyDescent="0.35">
      <c r="A93" s="228" t="s">
        <v>57</v>
      </c>
      <c r="B93" s="229"/>
      <c r="C93" s="229"/>
      <c r="D93" s="229"/>
      <c r="E93" s="229"/>
      <c r="F93" s="229"/>
      <c r="G93" s="229"/>
      <c r="H93" s="229"/>
      <c r="I93" s="229"/>
      <c r="J93" s="229"/>
      <c r="K93" s="229"/>
      <c r="L93" s="229"/>
      <c r="M93" s="229"/>
      <c r="N93" s="229"/>
      <c r="O93" s="229"/>
      <c r="P93" s="229"/>
      <c r="Q93" s="229"/>
      <c r="R93" s="229"/>
      <c r="S93" s="229"/>
      <c r="T93" s="229"/>
      <c r="U93" s="229"/>
      <c r="V93" s="229"/>
    </row>
    <row r="94" spans="1:22" x14ac:dyDescent="0.3">
      <c r="B94" s="1">
        <f t="shared" ref="B94:V94" si="20">B75/$B$75</f>
        <v>1</v>
      </c>
      <c r="C94" s="1">
        <f t="shared" si="20"/>
        <v>1.4823343151939501</v>
      </c>
      <c r="D94" s="1">
        <f t="shared" si="20"/>
        <v>1.9374224077978752</v>
      </c>
      <c r="E94" s="1">
        <f t="shared" si="20"/>
        <v>15.565980917351739</v>
      </c>
      <c r="F94" s="1">
        <f t="shared" si="20"/>
        <v>38.726666356276596</v>
      </c>
      <c r="G94" s="1">
        <f t="shared" si="20"/>
        <v>52.720136411742601</v>
      </c>
      <c r="H94" s="1">
        <f>H75/$B$75</f>
        <v>94.463773775916252</v>
      </c>
      <c r="I94" s="1">
        <f t="shared" si="20"/>
        <v>1.1616956689286386</v>
      </c>
      <c r="J94" s="1">
        <f t="shared" si="20"/>
        <v>0.89239151191857424</v>
      </c>
      <c r="K94" s="1">
        <f t="shared" si="20"/>
        <v>6.7590994936352908</v>
      </c>
      <c r="L94" s="1">
        <f t="shared" si="20"/>
        <v>11.31384481940904</v>
      </c>
      <c r="M94" s="1">
        <f t="shared" si="20"/>
        <v>20.514391996318977</v>
      </c>
      <c r="N94" s="1">
        <f t="shared" si="20"/>
        <v>0</v>
      </c>
      <c r="O94" s="1">
        <f t="shared" si="20"/>
        <v>6.8180027151625158</v>
      </c>
      <c r="P94" s="1">
        <f t="shared" si="20"/>
        <v>54.150464941514386</v>
      </c>
      <c r="Q94" s="1">
        <f t="shared" si="20"/>
        <v>1.310435124802996</v>
      </c>
      <c r="R94" s="1">
        <f t="shared" si="20"/>
        <v>10.652383759810624</v>
      </c>
      <c r="S94" s="1">
        <f t="shared" si="20"/>
        <v>12.53723369500433</v>
      </c>
      <c r="T94" s="1">
        <f t="shared" si="20"/>
        <v>24.399070397335546</v>
      </c>
      <c r="U94" s="1">
        <f t="shared" si="20"/>
        <v>37.738015591050612</v>
      </c>
      <c r="V94" s="1">
        <f t="shared" si="20"/>
        <v>39.386948250599353</v>
      </c>
    </row>
    <row r="99" spans="5:27" x14ac:dyDescent="0.3">
      <c r="H99" s="1"/>
      <c r="I99" s="1"/>
      <c r="J99" s="1"/>
      <c r="K99" s="1"/>
      <c r="L99" s="1"/>
      <c r="M99" s="1"/>
      <c r="N99" s="1"/>
      <c r="O99" s="1"/>
      <c r="P99" s="1"/>
      <c r="Q99" s="1"/>
      <c r="R99" s="1"/>
      <c r="S99" s="1"/>
      <c r="T99" s="1"/>
      <c r="U99" s="1"/>
      <c r="V99" s="1"/>
      <c r="W99" s="1"/>
      <c r="X99" s="1"/>
      <c r="Y99" s="1"/>
      <c r="Z99" s="1"/>
      <c r="AA99" s="1"/>
    </row>
    <row r="100" spans="5:27" x14ac:dyDescent="0.3">
      <c r="E100" s="1"/>
      <c r="F100" s="1"/>
      <c r="H100" s="1"/>
      <c r="I100" s="1"/>
      <c r="J100" s="1"/>
      <c r="K100" s="1"/>
      <c r="L100" s="1"/>
      <c r="M100" s="1"/>
      <c r="N100" s="1"/>
      <c r="O100" s="1"/>
      <c r="P100" s="1"/>
      <c r="Q100" s="1"/>
      <c r="R100" s="1"/>
      <c r="S100" s="1"/>
      <c r="T100" s="1"/>
      <c r="U100" s="1"/>
      <c r="V100" s="1"/>
      <c r="W100" s="1"/>
      <c r="X100" s="1"/>
      <c r="Y100" s="1"/>
      <c r="Z100" s="1"/>
      <c r="AA100" s="1"/>
    </row>
    <row r="101" spans="5:27" x14ac:dyDescent="0.3">
      <c r="E101" s="1"/>
      <c r="F101" s="1"/>
    </row>
    <row r="102" spans="5:27" x14ac:dyDescent="0.3">
      <c r="E102" s="1"/>
      <c r="F102" s="1"/>
    </row>
    <row r="103" spans="5:27" x14ac:dyDescent="0.3">
      <c r="E103" s="1"/>
      <c r="F103" s="1"/>
    </row>
    <row r="104" spans="5:27" x14ac:dyDescent="0.3">
      <c r="E104" s="1"/>
      <c r="F104" s="1"/>
    </row>
    <row r="105" spans="5:27" x14ac:dyDescent="0.3">
      <c r="E105" s="1"/>
      <c r="F105" s="1"/>
    </row>
    <row r="106" spans="5:27" x14ac:dyDescent="0.3">
      <c r="E106" s="1"/>
      <c r="F106" s="1"/>
    </row>
    <row r="107" spans="5:27" x14ac:dyDescent="0.3">
      <c r="E107" s="1"/>
      <c r="F107" s="1"/>
    </row>
    <row r="108" spans="5:27" x14ac:dyDescent="0.3">
      <c r="E108" s="1"/>
      <c r="F108" s="1"/>
    </row>
    <row r="109" spans="5:27" x14ac:dyDescent="0.3">
      <c r="E109" s="1"/>
      <c r="F109" s="1"/>
    </row>
    <row r="110" spans="5:27" x14ac:dyDescent="0.3">
      <c r="E110" s="1"/>
      <c r="F110" s="1"/>
    </row>
    <row r="115" spans="5:6" x14ac:dyDescent="0.3">
      <c r="E115" s="1"/>
      <c r="F115" s="1"/>
    </row>
    <row r="116" spans="5:6" x14ac:dyDescent="0.3">
      <c r="E116" s="1"/>
      <c r="F116" s="1"/>
    </row>
    <row r="117" spans="5:6" x14ac:dyDescent="0.3">
      <c r="E117" s="1"/>
      <c r="F117" s="1"/>
    </row>
    <row r="118" spans="5:6" x14ac:dyDescent="0.3">
      <c r="E118" s="1"/>
      <c r="F118" s="1"/>
    </row>
    <row r="119" spans="5:6" x14ac:dyDescent="0.3">
      <c r="E119" s="1"/>
      <c r="F119"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defaultColWidth="9.21875" defaultRowHeight="14.4" x14ac:dyDescent="0.3"/>
  <cols>
    <col min="1" max="1" width="33.77734375" style="41" bestFit="1" customWidth="1"/>
    <col min="2" max="3" width="14" style="41" bestFit="1" customWidth="1"/>
    <col min="4" max="4" width="14" style="41" customWidth="1"/>
    <col min="5" max="5" width="16" style="15" bestFit="1" customWidth="1"/>
    <col min="6" max="8" width="16" style="15" customWidth="1"/>
    <col min="9" max="13" width="19.21875" style="15" customWidth="1"/>
    <col min="14" max="14" width="32.21875" style="15" bestFit="1" customWidth="1"/>
    <col min="15" max="15" width="19.5546875" style="41" customWidth="1"/>
    <col min="16" max="16384" width="9.21875" style="41"/>
  </cols>
  <sheetData>
    <row r="1" spans="1:15" s="48" customFormat="1" ht="26.4" thickBot="1" x14ac:dyDescent="0.35">
      <c r="A1" s="228" t="s">
        <v>104</v>
      </c>
      <c r="B1" s="229"/>
      <c r="C1" s="229"/>
      <c r="D1" s="229"/>
      <c r="E1" s="229"/>
      <c r="F1" s="229"/>
      <c r="G1" s="229"/>
      <c r="H1" s="229"/>
      <c r="I1" s="229"/>
      <c r="J1" s="229"/>
      <c r="K1" s="229"/>
      <c r="L1" s="229"/>
      <c r="M1" s="229"/>
      <c r="N1" s="229"/>
      <c r="O1" s="230"/>
    </row>
    <row r="2" spans="1:15" s="48" customFormat="1" ht="26.4" thickBot="1" x14ac:dyDescent="0.35">
      <c r="A2" s="228" t="s">
        <v>105</v>
      </c>
      <c r="B2" s="229"/>
      <c r="C2" s="229"/>
      <c r="D2" s="229"/>
      <c r="E2" s="229"/>
      <c r="F2" s="229"/>
      <c r="G2" s="229"/>
      <c r="H2" s="229"/>
      <c r="I2" s="229"/>
      <c r="J2" s="229"/>
      <c r="K2" s="229"/>
      <c r="L2" s="229"/>
      <c r="M2" s="229"/>
      <c r="N2" s="229"/>
      <c r="O2" s="230"/>
    </row>
    <row r="3" spans="1:15" s="76" customFormat="1" ht="15.6" x14ac:dyDescent="0.3">
      <c r="H3" s="77"/>
      <c r="I3" s="77"/>
      <c r="J3" s="77"/>
      <c r="K3" s="77"/>
      <c r="L3" s="77"/>
      <c r="M3" s="77"/>
      <c r="N3" s="77"/>
    </row>
    <row r="4" spans="1:15" s="76" customFormat="1" ht="15.6" x14ac:dyDescent="0.3">
      <c r="O4"/>
    </row>
    <row r="5" spans="1:15" s="76" customFormat="1" ht="45.75" customHeight="1" thickBot="1" x14ac:dyDescent="0.35">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6" x14ac:dyDescent="0.3">
      <c r="A6" s="79" t="s">
        <v>28</v>
      </c>
      <c r="B6" s="99">
        <v>64</v>
      </c>
      <c r="C6" s="79"/>
      <c r="D6" s="79"/>
      <c r="E6" s="89"/>
      <c r="F6" s="90"/>
      <c r="G6" s="128">
        <f>IF(F6="NS","NC",ROUND(B6,2-(1+INT(LOG10(ABS(B6))))))</f>
        <v>64</v>
      </c>
      <c r="H6" s="120"/>
      <c r="I6" s="120"/>
      <c r="J6" s="121"/>
      <c r="K6" s="122"/>
      <c r="L6" s="124"/>
      <c r="M6" s="121"/>
      <c r="N6" s="91"/>
      <c r="O6"/>
    </row>
    <row r="7" spans="1:15" s="76" customFormat="1" ht="15.6" x14ac:dyDescent="0.3">
      <c r="A7" s="79" t="str">
        <f>'Page de garde'!A15</f>
        <v>BPA-1mg/L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BPA-1mg/L : 0%</v>
      </c>
      <c r="O7"/>
    </row>
    <row r="8" spans="1:15" s="76" customFormat="1" ht="15.6" x14ac:dyDescent="0.3">
      <c r="A8" s="79" t="str">
        <f>'Page de garde'!A16</f>
        <v>BPA-2mg/L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BPA-2mg/L : 0%</v>
      </c>
      <c r="O8"/>
    </row>
    <row r="9" spans="1:15" s="76" customFormat="1" ht="15.6" x14ac:dyDescent="0.3">
      <c r="A9" s="79" t="str">
        <f>'Page de garde'!A17</f>
        <v>BPA-3mg/L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BPA-3mg/L : 0%</v>
      </c>
      <c r="O9"/>
    </row>
    <row r="10" spans="1:15" s="76" customFormat="1" ht="15.6" x14ac:dyDescent="0.3">
      <c r="A10" s="79" t="str">
        <f>'Page de garde'!A18</f>
        <v>BPA-4mg/L</v>
      </c>
      <c r="B10" s="99"/>
      <c r="C10" s="79"/>
      <c r="D10" s="84"/>
      <c r="E10" s="81"/>
      <c r="F10" s="97" t="str">
        <f>HLOOKUP(A10,'pooled normalised values'!$B$74:$V$83,10,FALSE)</f>
        <v>*</v>
      </c>
      <c r="G10" s="128" t="e">
        <f t="shared" si="0"/>
        <v>#NUM!</v>
      </c>
      <c r="H10" s="119" t="str">
        <f>IF(VLOOKUP(A10,liste_groupe[],4,FALSE)="%",VLOOKUP(A10,liste_groupe[],3,FALSE)/100,IF(ISBLANK(VLOOKUP(A10,liste_groupe[],4,FALSE)),"Non","Non"))</f>
        <v>Non</v>
      </c>
      <c r="I10" s="128" t="e">
        <f t="shared" si="1"/>
        <v>#NUM!</v>
      </c>
      <c r="J10" s="129">
        <v>64</v>
      </c>
      <c r="K10" s="130" t="e">
        <f t="shared" si="2"/>
        <v>#NUM!</v>
      </c>
      <c r="L10" s="125"/>
      <c r="M10" s="131" t="e">
        <f t="shared" si="3"/>
        <v>#NUM!</v>
      </c>
      <c r="N10" s="92" t="e">
        <f>IF(H10="Non",CONCATENATE(VLOOKUP(A10,liste_groupe[],5,FALSE),"-",VLOOKUP(A10,liste_groupe[],3,FALSE),VLOOKUP(A10,liste_groupe[],4,FALSE)," : ",ROUND(K10,0),"%"),CONCATENATE(VLOOKUP(A10,liste_groupe[],5,FALSE)," : ",ROUND(K10,0),"%"))</f>
        <v>#NUM!</v>
      </c>
      <c r="O10"/>
    </row>
    <row r="11" spans="1:15" s="76" customFormat="1" ht="15.6" x14ac:dyDescent="0.3">
      <c r="A11" s="79" t="str">
        <f>'Page de garde'!A19</f>
        <v>BPA-5mg/L</v>
      </c>
      <c r="B11" s="99"/>
      <c r="C11" s="79"/>
      <c r="D11" s="84"/>
      <c r="E11" s="81"/>
      <c r="F11" s="97" t="str">
        <f>HLOOKUP(A11,'pooled normalised values'!$B$74:$V$83,10,FALSE)</f>
        <v>***</v>
      </c>
      <c r="G11" s="128" t="e">
        <f t="shared" si="0"/>
        <v>#NUM!</v>
      </c>
      <c r="H11" s="119" t="str">
        <f>IF(VLOOKUP(A11,liste_groupe[],4,FALSE)="%",VLOOKUP(A11,liste_groupe[],3,FALSE)/100,IF(ISBLANK(VLOOKUP(A11,liste_groupe[],4,FALSE)),"Non","Non"))</f>
        <v>Non</v>
      </c>
      <c r="I11" s="128" t="e">
        <f t="shared" si="1"/>
        <v>#NUM!</v>
      </c>
      <c r="J11" s="129">
        <v>64</v>
      </c>
      <c r="K11" s="130" t="e">
        <f t="shared" si="2"/>
        <v>#NUM!</v>
      </c>
      <c r="L11" s="125"/>
      <c r="M11" s="131" t="e">
        <f t="shared" si="3"/>
        <v>#NUM!</v>
      </c>
      <c r="N11" s="92" t="e">
        <f>IF(H11="Non",CONCATENATE(VLOOKUP(A11,liste_groupe[],5,FALSE),"-",VLOOKUP(A11,liste_groupe[],3,FALSE),VLOOKUP(A11,liste_groupe[],4,FALSE)," : ",ROUND(K11,0),"%"),CONCATENATE(VLOOKUP(A11,liste_groupe[],5,FALSE)," : ",ROUND(K11,0),"%"))</f>
        <v>#NUM!</v>
      </c>
      <c r="O11"/>
    </row>
    <row r="12" spans="1:15" s="76" customFormat="1" ht="15.6" x14ac:dyDescent="0.3">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6" x14ac:dyDescent="0.3">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6" x14ac:dyDescent="0.3">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6" x14ac:dyDescent="0.3">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6" x14ac:dyDescent="0.3">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6" x14ac:dyDescent="0.3">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6" x14ac:dyDescent="0.3">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6" x14ac:dyDescent="0.3">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6" x14ac:dyDescent="0.3">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6" x14ac:dyDescent="0.3">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6" x14ac:dyDescent="0.3">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6" x14ac:dyDescent="0.3">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6" x14ac:dyDescent="0.3">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6" x14ac:dyDescent="0.3">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6" x14ac:dyDescent="0.3">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6" x14ac:dyDescent="0.3">
      <c r="A27"/>
      <c r="B27"/>
      <c r="C27"/>
      <c r="D27"/>
      <c r="E27"/>
      <c r="F27"/>
      <c r="G27"/>
      <c r="H27"/>
      <c r="I27"/>
      <c r="J27"/>
      <c r="K27"/>
      <c r="L27"/>
      <c r="M27"/>
      <c r="N27"/>
      <c r="O27" s="1"/>
    </row>
    <row r="28" spans="1:15" s="76" customFormat="1" ht="31.8" thickBot="1" x14ac:dyDescent="0.35">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6" x14ac:dyDescent="0.3">
      <c r="A29" s="83" t="s">
        <v>29</v>
      </c>
      <c r="B29" s="99"/>
      <c r="C29" s="79"/>
      <c r="D29" s="79"/>
      <c r="E29" s="81"/>
      <c r="F29" s="90"/>
      <c r="G29" s="133"/>
      <c r="H29" s="120"/>
      <c r="I29" s="120"/>
      <c r="J29" s="121"/>
      <c r="K29" s="122"/>
      <c r="L29" s="124"/>
      <c r="M29" s="121"/>
      <c r="N29" s="91"/>
      <c r="O29"/>
    </row>
    <row r="30" spans="1:15" s="76" customFormat="1" ht="15.6" x14ac:dyDescent="0.3">
      <c r="A30" s="83" t="s">
        <v>31</v>
      </c>
      <c r="B30" s="99"/>
      <c r="C30" s="79"/>
      <c r="D30" s="79"/>
      <c r="E30" s="81"/>
      <c r="F30" s="90"/>
      <c r="G30" s="132" t="e">
        <f>IF(F30="NS","NC",ROUND(B30-$B$29,2-(1+INT(LOG10(ABS(B30-$B$29))))))</f>
        <v>#NUM!</v>
      </c>
      <c r="H30" s="120"/>
      <c r="I30" s="133"/>
      <c r="J30" s="134"/>
      <c r="K30" s="135"/>
      <c r="L30" s="134"/>
      <c r="M30" s="134"/>
      <c r="N30" s="136"/>
      <c r="O30"/>
    </row>
    <row r="31" spans="1:15" s="76" customFormat="1" ht="15.6" x14ac:dyDescent="0.3">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6" x14ac:dyDescent="0.3">
      <c r="A32" s="127" t="str">
        <f>'Page de garde'!A39</f>
        <v>BPA-1mg/L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BPA-1mg/L : 0%</v>
      </c>
    </row>
    <row r="33" spans="1:14" s="76" customFormat="1" ht="15.6" x14ac:dyDescent="0.3">
      <c r="A33" s="127" t="str">
        <f>'Page de garde'!A40</f>
        <v>BPA-2mg/L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BPA-2mg/L : 0%</v>
      </c>
    </row>
    <row r="34" spans="1:14" s="76" customFormat="1" ht="15.6" x14ac:dyDescent="0.3">
      <c r="A34" s="127" t="str">
        <f>'Page de garde'!A41</f>
        <v>BPA-3mg/L + Testostérone</v>
      </c>
      <c r="B34" s="99"/>
      <c r="C34" s="79"/>
      <c r="D34" s="79"/>
      <c r="E34" s="81"/>
      <c r="F34" s="93" t="str">
        <f>HLOOKUP(A34,'pooled normalised values'!$B$74:$V$83,10,FALSE)</f>
        <v>***</v>
      </c>
      <c r="G34" s="132" t="e">
        <f t="shared" si="6"/>
        <v>#NUM!</v>
      </c>
      <c r="H34" s="123" t="str">
        <f>IF(VLOOKUP(A34,liste_groupe[],4,FALSE)="%",VLOOKUP(A34,liste_groupe[],3,FALSE)/100,IF(ISBLANK(VLOOKUP(A34,liste_groupe[],4,FALSE)),"Non","Non"))</f>
        <v>Non</v>
      </c>
      <c r="I34" s="132" t="e">
        <f t="shared" si="7"/>
        <v>#NUM!</v>
      </c>
      <c r="J34" s="137" t="e">
        <f t="shared" si="8"/>
        <v>#NUM!</v>
      </c>
      <c r="K34" s="138" t="e">
        <f t="shared" si="9"/>
        <v>#NUM!</v>
      </c>
      <c r="L34" s="139"/>
      <c r="M34" s="131" t="e">
        <f t="shared" si="10"/>
        <v>#NUM!</v>
      </c>
      <c r="N34" s="140" t="e">
        <f>IF(H34="Non",CONCATENATE(VLOOKUP(A34,liste_groupe[],5,FALSE),"-",VLOOKUP(A34,liste_groupe[],3,FALSE),VLOOKUP(A34,liste_groupe[],4,FALSE)," : ",ROUND(K34,0),"%"),CONCATENATE(VLOOKUP(A34,liste_groupe[],5,FALSE)," : ",ROUND(K34,0),"%"))</f>
        <v>#NUM!</v>
      </c>
    </row>
    <row r="35" spans="1:14" s="76" customFormat="1" ht="15.6" x14ac:dyDescent="0.3">
      <c r="A35" s="127" t="str">
        <f>'Page de garde'!A42</f>
        <v>BPA-4mg/L + Testostérone</v>
      </c>
      <c r="B35" s="98"/>
      <c r="C35" s="86"/>
      <c r="D35" s="86"/>
      <c r="E35" s="81"/>
      <c r="F35" s="93" t="str">
        <f>HLOOKUP(A35,'pooled normalised values'!$B$74:$V$83,10,FALSE)</f>
        <v>***</v>
      </c>
      <c r="G35" s="132" t="e">
        <f t="shared" si="6"/>
        <v>#NUM!</v>
      </c>
      <c r="H35" s="123" t="str">
        <f>IF(VLOOKUP(A35,liste_groupe[],4,FALSE)="%",VLOOKUP(A35,liste_groupe[],3,FALSE)/100,IF(ISBLANK(VLOOKUP(A35,liste_groupe[],4,FALSE)),"Non","Non"))</f>
        <v>Non</v>
      </c>
      <c r="I35" s="132" t="e">
        <f t="shared" si="7"/>
        <v>#NUM!</v>
      </c>
      <c r="J35" s="137" t="e">
        <f t="shared" si="8"/>
        <v>#NUM!</v>
      </c>
      <c r="K35" s="138" t="e">
        <f t="shared" si="9"/>
        <v>#NUM!</v>
      </c>
      <c r="L35" s="139"/>
      <c r="M35" s="131" t="e">
        <f t="shared" si="10"/>
        <v>#NUM!</v>
      </c>
      <c r="N35" s="140" t="e">
        <f>IF(H35="Non",CONCATENATE(VLOOKUP(A35,liste_groupe[],5,FALSE),"-",VLOOKUP(A35,liste_groupe[],3,FALSE),VLOOKUP(A35,liste_groupe[],4,FALSE)," : ",ROUND(K35,0),"%"),CONCATENATE(VLOOKUP(A35,liste_groupe[],5,FALSE)," : ",ROUND(K35,0),"%"))</f>
        <v>#NUM!</v>
      </c>
    </row>
    <row r="36" spans="1:14" s="76" customFormat="1" ht="15.6" x14ac:dyDescent="0.3">
      <c r="A36" s="127" t="str">
        <f>'Page de garde'!A43</f>
        <v>BPA-5mg/L + Testostérone</v>
      </c>
      <c r="B36" s="98"/>
      <c r="C36" s="86"/>
      <c r="D36" s="86"/>
      <c r="E36" s="81"/>
      <c r="F36" s="93" t="str">
        <f>HLOOKUP(A36,'pooled normalised values'!$B$74:$V$83,10,FALSE)</f>
        <v>***</v>
      </c>
      <c r="G36" s="132" t="e">
        <f t="shared" si="6"/>
        <v>#NUM!</v>
      </c>
      <c r="H36" s="123" t="str">
        <f>IF(VLOOKUP(A36,liste_groupe[],4,FALSE)="%",VLOOKUP(A36,liste_groupe[],3,FALSE)/100,IF(ISBLANK(VLOOKUP(A36,liste_groupe[],4,FALSE)),"Non","Non"))</f>
        <v>Non</v>
      </c>
      <c r="I36" s="132" t="e">
        <f t="shared" si="7"/>
        <v>#NUM!</v>
      </c>
      <c r="J36" s="137" t="e">
        <f t="shared" si="8"/>
        <v>#NUM!</v>
      </c>
      <c r="K36" s="138" t="e">
        <f t="shared" si="9"/>
        <v>#NUM!</v>
      </c>
      <c r="L36" s="139"/>
      <c r="M36" s="131" t="e">
        <f t="shared" si="10"/>
        <v>#NUM!</v>
      </c>
      <c r="N36" s="140" t="e">
        <f>IF(H36="Non",CONCATENATE(VLOOKUP(A36,liste_groupe[],5,FALSE),"-",VLOOKUP(A36,liste_groupe[],3,FALSE),VLOOKUP(A36,liste_groupe[],4,FALSE)," : ",ROUND(K36,0),"%"),CONCATENATE(VLOOKUP(A36,liste_groupe[],5,FALSE)," : ",ROUND(K36,0),"%"))</f>
        <v>#NUM!</v>
      </c>
    </row>
    <row r="37" spans="1:14" s="76" customFormat="1" ht="15.6" x14ac:dyDescent="0.3">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6" x14ac:dyDescent="0.3">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6" x14ac:dyDescent="0.3">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6" x14ac:dyDescent="0.3">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6" x14ac:dyDescent="0.3">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6" x14ac:dyDescent="0.3">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6" x14ac:dyDescent="0.3">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6" x14ac:dyDescent="0.3">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6" x14ac:dyDescent="0.3">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6" x14ac:dyDescent="0.3">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6" x14ac:dyDescent="0.3">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6" x14ac:dyDescent="0.3">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6" x14ac:dyDescent="0.3">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6" x14ac:dyDescent="0.3">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6" x14ac:dyDescent="0.3">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2" thickBot="1" x14ac:dyDescent="0.35">
      <c r="E52" s="77"/>
      <c r="F52" s="77"/>
      <c r="G52" s="77"/>
      <c r="H52" s="77"/>
      <c r="I52" s="77"/>
      <c r="J52" s="77"/>
      <c r="K52" s="77"/>
      <c r="L52" s="77"/>
      <c r="M52" s="77"/>
      <c r="N52" s="77"/>
    </row>
    <row r="53" spans="1:15" s="48" customFormat="1" ht="26.4" thickBot="1" x14ac:dyDescent="0.35">
      <c r="A53" s="228" t="s">
        <v>60</v>
      </c>
      <c r="B53" s="229"/>
      <c r="C53" s="229"/>
      <c r="D53" s="229"/>
      <c r="E53" s="229"/>
      <c r="F53" s="229"/>
      <c r="G53" s="229"/>
      <c r="H53" s="229"/>
      <c r="I53" s="229"/>
      <c r="J53" s="229"/>
      <c r="K53" s="229"/>
      <c r="L53" s="229"/>
      <c r="M53" s="229"/>
      <c r="N53" s="229"/>
      <c r="O53" s="230"/>
    </row>
  </sheetData>
  <mergeCells count="3">
    <mergeCell ref="A2:O2"/>
    <mergeCell ref="A1:O1"/>
    <mergeCell ref="A53:O53"/>
  </mergeCells>
  <pageMargins left="0.7" right="0.7" top="0.75" bottom="0.75" header="0.3" footer="0.3"/>
  <pageSetup paperSize="9" orientation="portrait" r:id="rId1"/>
  <headerFooter>
    <oddFooter>&amp;C&amp;1#&amp;"Arial"&amp;10&amp;K000000Internal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defaultColWidth="11.44140625" defaultRowHeight="14.4" x14ac:dyDescent="0.3"/>
  <cols>
    <col min="1" max="1" width="22.77734375" style="179" customWidth="1"/>
    <col min="2" max="2" width="46.21875" style="179" customWidth="1"/>
    <col min="3" max="3" width="15.21875" style="179" customWidth="1"/>
    <col min="4" max="4" width="24.77734375" style="179" customWidth="1"/>
    <col min="5" max="5" width="24.44140625" style="179" customWidth="1"/>
    <col min="6" max="6" width="23.21875" style="179" customWidth="1"/>
    <col min="7" max="7" width="21.21875" style="179" customWidth="1"/>
    <col min="8" max="16384" width="11.44140625" style="179"/>
  </cols>
  <sheetData>
    <row r="1" spans="1:7" ht="29.4" thickBot="1" x14ac:dyDescent="0.35">
      <c r="A1" s="184" t="s">
        <v>131</v>
      </c>
      <c r="B1" s="185" t="s">
        <v>132</v>
      </c>
      <c r="C1" s="185" t="s">
        <v>138</v>
      </c>
      <c r="D1" s="185" t="s">
        <v>137</v>
      </c>
      <c r="E1" s="185" t="s">
        <v>139</v>
      </c>
      <c r="F1" s="186" t="s">
        <v>140</v>
      </c>
      <c r="G1" s="187" t="s">
        <v>141</v>
      </c>
    </row>
    <row r="2" spans="1:7" ht="57.6" x14ac:dyDescent="0.3">
      <c r="A2" s="180" t="s">
        <v>133</v>
      </c>
      <c r="B2" s="181" t="s">
        <v>134</v>
      </c>
      <c r="C2" s="181" t="s">
        <v>135</v>
      </c>
      <c r="D2" s="181" t="s">
        <v>142</v>
      </c>
      <c r="E2" s="181" t="s">
        <v>136</v>
      </c>
      <c r="F2" s="182" t="s">
        <v>135</v>
      </c>
      <c r="G2" s="183" t="s">
        <v>135</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19" width="14.77734375" style="17" customWidth="1"/>
    <col min="20" max="21" width="11.44140625" style="17"/>
    <col min="22" max="22" width="13.5546875" style="17" bestFit="1" customWidth="1"/>
    <col min="23" max="34" width="13.5546875" style="17" customWidth="1"/>
    <col min="35" max="35" width="13.5546875" style="17" bestFit="1" customWidth="1"/>
    <col min="36" max="282" width="11.44140625" style="17"/>
    <col min="283" max="283" width="18.77734375" style="17" customWidth="1"/>
    <col min="284" max="284" width="13.77734375" style="17" bestFit="1" customWidth="1"/>
    <col min="285" max="285" width="17.21875" style="17" customWidth="1"/>
    <col min="286" max="286" width="11" style="17" customWidth="1"/>
    <col min="287" max="287" width="12" style="17" bestFit="1" customWidth="1"/>
    <col min="288" max="288" width="14.77734375" style="17" customWidth="1"/>
    <col min="289" max="538" width="11.44140625" style="17"/>
    <col min="539" max="539" width="18.77734375" style="17" customWidth="1"/>
    <col min="540" max="540" width="13.77734375" style="17" bestFit="1" customWidth="1"/>
    <col min="541" max="541" width="17.21875" style="17" customWidth="1"/>
    <col min="542" max="542" width="11" style="17" customWidth="1"/>
    <col min="543" max="543" width="12" style="17" bestFit="1" customWidth="1"/>
    <col min="544" max="544" width="14.77734375" style="17" customWidth="1"/>
    <col min="545" max="794" width="11.44140625" style="17"/>
    <col min="795" max="795" width="18.77734375" style="17" customWidth="1"/>
    <col min="796" max="796" width="13.77734375" style="17" bestFit="1" customWidth="1"/>
    <col min="797" max="797" width="17.21875" style="17" customWidth="1"/>
    <col min="798" max="798" width="11" style="17" customWidth="1"/>
    <col min="799" max="799" width="12" style="17" bestFit="1" customWidth="1"/>
    <col min="800" max="800" width="14.77734375" style="17" customWidth="1"/>
    <col min="801" max="1050" width="11.44140625" style="17"/>
    <col min="1051" max="1051" width="18.77734375" style="17" customWidth="1"/>
    <col min="1052" max="1052" width="13.77734375" style="17" bestFit="1" customWidth="1"/>
    <col min="1053" max="1053" width="17.21875" style="17" customWidth="1"/>
    <col min="1054" max="1054" width="11" style="17" customWidth="1"/>
    <col min="1055" max="1055" width="12" style="17" bestFit="1" customWidth="1"/>
    <col min="1056" max="1056" width="14.77734375" style="17" customWidth="1"/>
    <col min="1057" max="1306" width="11.44140625" style="17"/>
    <col min="1307" max="1307" width="18.77734375" style="17" customWidth="1"/>
    <col min="1308" max="1308" width="13.77734375" style="17" bestFit="1" customWidth="1"/>
    <col min="1309" max="1309" width="17.21875" style="17" customWidth="1"/>
    <col min="1310" max="1310" width="11" style="17" customWidth="1"/>
    <col min="1311" max="1311" width="12" style="17" bestFit="1" customWidth="1"/>
    <col min="1312" max="1312" width="14.77734375" style="17" customWidth="1"/>
    <col min="1313" max="1562" width="11.44140625" style="17"/>
    <col min="1563" max="1563" width="18.77734375" style="17" customWidth="1"/>
    <col min="1564" max="1564" width="13.77734375" style="17" bestFit="1" customWidth="1"/>
    <col min="1565" max="1565" width="17.21875" style="17" customWidth="1"/>
    <col min="1566" max="1566" width="11" style="17" customWidth="1"/>
    <col min="1567" max="1567" width="12" style="17" bestFit="1" customWidth="1"/>
    <col min="1568" max="1568" width="14.77734375" style="17" customWidth="1"/>
    <col min="1569" max="1818" width="11.44140625" style="17"/>
    <col min="1819" max="1819" width="18.77734375" style="17" customWidth="1"/>
    <col min="1820" max="1820" width="13.77734375" style="17" bestFit="1" customWidth="1"/>
    <col min="1821" max="1821" width="17.21875" style="17" customWidth="1"/>
    <col min="1822" max="1822" width="11" style="17" customWidth="1"/>
    <col min="1823" max="1823" width="12" style="17" bestFit="1" customWidth="1"/>
    <col min="1824" max="1824" width="14.77734375" style="17" customWidth="1"/>
    <col min="1825" max="2074" width="11.44140625" style="17"/>
    <col min="2075" max="2075" width="18.77734375" style="17" customWidth="1"/>
    <col min="2076" max="2076" width="13.77734375" style="17" bestFit="1" customWidth="1"/>
    <col min="2077" max="2077" width="17.21875" style="17" customWidth="1"/>
    <col min="2078" max="2078" width="11" style="17" customWidth="1"/>
    <col min="2079" max="2079" width="12" style="17" bestFit="1" customWidth="1"/>
    <col min="2080" max="2080" width="14.77734375" style="17" customWidth="1"/>
    <col min="2081" max="2330" width="11.44140625" style="17"/>
    <col min="2331" max="2331" width="18.77734375" style="17" customWidth="1"/>
    <col min="2332" max="2332" width="13.77734375" style="17" bestFit="1" customWidth="1"/>
    <col min="2333" max="2333" width="17.21875" style="17" customWidth="1"/>
    <col min="2334" max="2334" width="11" style="17" customWidth="1"/>
    <col min="2335" max="2335" width="12" style="17" bestFit="1" customWidth="1"/>
    <col min="2336" max="2336" width="14.77734375" style="17" customWidth="1"/>
    <col min="2337" max="2586" width="11.44140625" style="17"/>
    <col min="2587" max="2587" width="18.77734375" style="17" customWidth="1"/>
    <col min="2588" max="2588" width="13.77734375" style="17" bestFit="1" customWidth="1"/>
    <col min="2589" max="2589" width="17.21875" style="17" customWidth="1"/>
    <col min="2590" max="2590" width="11" style="17" customWidth="1"/>
    <col min="2591" max="2591" width="12" style="17" bestFit="1" customWidth="1"/>
    <col min="2592" max="2592" width="14.77734375" style="17" customWidth="1"/>
    <col min="2593" max="2842" width="11.44140625" style="17"/>
    <col min="2843" max="2843" width="18.77734375" style="17" customWidth="1"/>
    <col min="2844" max="2844" width="13.77734375" style="17" bestFit="1" customWidth="1"/>
    <col min="2845" max="2845" width="17.21875" style="17" customWidth="1"/>
    <col min="2846" max="2846" width="11" style="17" customWidth="1"/>
    <col min="2847" max="2847" width="12" style="17" bestFit="1" customWidth="1"/>
    <col min="2848" max="2848" width="14.77734375" style="17" customWidth="1"/>
    <col min="2849" max="3098" width="11.44140625" style="17"/>
    <col min="3099" max="3099" width="18.77734375" style="17" customWidth="1"/>
    <col min="3100" max="3100" width="13.77734375" style="17" bestFit="1" customWidth="1"/>
    <col min="3101" max="3101" width="17.21875" style="17" customWidth="1"/>
    <col min="3102" max="3102" width="11" style="17" customWidth="1"/>
    <col min="3103" max="3103" width="12" style="17" bestFit="1" customWidth="1"/>
    <col min="3104" max="3104" width="14.77734375" style="17" customWidth="1"/>
    <col min="3105" max="3354" width="11.44140625" style="17"/>
    <col min="3355" max="3355" width="18.77734375" style="17" customWidth="1"/>
    <col min="3356" max="3356" width="13.77734375" style="17" bestFit="1" customWidth="1"/>
    <col min="3357" max="3357" width="17.21875" style="17" customWidth="1"/>
    <col min="3358" max="3358" width="11" style="17" customWidth="1"/>
    <col min="3359" max="3359" width="12" style="17" bestFit="1" customWidth="1"/>
    <col min="3360" max="3360" width="14.77734375" style="17" customWidth="1"/>
    <col min="3361" max="3610" width="11.44140625" style="17"/>
    <col min="3611" max="3611" width="18.77734375" style="17" customWidth="1"/>
    <col min="3612" max="3612" width="13.77734375" style="17" bestFit="1" customWidth="1"/>
    <col min="3613" max="3613" width="17.21875" style="17" customWidth="1"/>
    <col min="3614" max="3614" width="11" style="17" customWidth="1"/>
    <col min="3615" max="3615" width="12" style="17" bestFit="1" customWidth="1"/>
    <col min="3616" max="3616" width="14.77734375" style="17" customWidth="1"/>
    <col min="3617" max="3866" width="11.44140625" style="17"/>
    <col min="3867" max="3867" width="18.77734375" style="17" customWidth="1"/>
    <col min="3868" max="3868" width="13.77734375" style="17" bestFit="1" customWidth="1"/>
    <col min="3869" max="3869" width="17.21875" style="17" customWidth="1"/>
    <col min="3870" max="3870" width="11" style="17" customWidth="1"/>
    <col min="3871" max="3871" width="12" style="17" bestFit="1" customWidth="1"/>
    <col min="3872" max="3872" width="14.77734375" style="17" customWidth="1"/>
    <col min="3873" max="4122" width="11.44140625" style="17"/>
    <col min="4123" max="4123" width="18.77734375" style="17" customWidth="1"/>
    <col min="4124" max="4124" width="13.77734375" style="17" bestFit="1" customWidth="1"/>
    <col min="4125" max="4125" width="17.21875" style="17" customWidth="1"/>
    <col min="4126" max="4126" width="11" style="17" customWidth="1"/>
    <col min="4127" max="4127" width="12" style="17" bestFit="1" customWidth="1"/>
    <col min="4128" max="4128" width="14.77734375" style="17" customWidth="1"/>
    <col min="4129" max="4378" width="11.44140625" style="17"/>
    <col min="4379" max="4379" width="18.77734375" style="17" customWidth="1"/>
    <col min="4380" max="4380" width="13.77734375" style="17" bestFit="1" customWidth="1"/>
    <col min="4381" max="4381" width="17.21875" style="17" customWidth="1"/>
    <col min="4382" max="4382" width="11" style="17" customWidth="1"/>
    <col min="4383" max="4383" width="12" style="17" bestFit="1" customWidth="1"/>
    <col min="4384" max="4384" width="14.77734375" style="17" customWidth="1"/>
    <col min="4385" max="4634" width="11.44140625" style="17"/>
    <col min="4635" max="4635" width="18.77734375" style="17" customWidth="1"/>
    <col min="4636" max="4636" width="13.77734375" style="17" bestFit="1" customWidth="1"/>
    <col min="4637" max="4637" width="17.21875" style="17" customWidth="1"/>
    <col min="4638" max="4638" width="11" style="17" customWidth="1"/>
    <col min="4639" max="4639" width="12" style="17" bestFit="1" customWidth="1"/>
    <col min="4640" max="4640" width="14.77734375" style="17" customWidth="1"/>
    <col min="4641" max="4890" width="11.44140625" style="17"/>
    <col min="4891" max="4891" width="18.77734375" style="17" customWidth="1"/>
    <col min="4892" max="4892" width="13.77734375" style="17" bestFit="1" customWidth="1"/>
    <col min="4893" max="4893" width="17.21875" style="17" customWidth="1"/>
    <col min="4894" max="4894" width="11" style="17" customWidth="1"/>
    <col min="4895" max="4895" width="12" style="17" bestFit="1" customWidth="1"/>
    <col min="4896" max="4896" width="14.77734375" style="17" customWidth="1"/>
    <col min="4897" max="5146" width="11.44140625" style="17"/>
    <col min="5147" max="5147" width="18.77734375" style="17" customWidth="1"/>
    <col min="5148" max="5148" width="13.77734375" style="17" bestFit="1" customWidth="1"/>
    <col min="5149" max="5149" width="17.21875" style="17" customWidth="1"/>
    <col min="5150" max="5150" width="11" style="17" customWidth="1"/>
    <col min="5151" max="5151" width="12" style="17" bestFit="1" customWidth="1"/>
    <col min="5152" max="5152" width="14.77734375" style="17" customWidth="1"/>
    <col min="5153" max="5402" width="11.44140625" style="17"/>
    <col min="5403" max="5403" width="18.77734375" style="17" customWidth="1"/>
    <col min="5404" max="5404" width="13.77734375" style="17" bestFit="1" customWidth="1"/>
    <col min="5405" max="5405" width="17.21875" style="17" customWidth="1"/>
    <col min="5406" max="5406" width="11" style="17" customWidth="1"/>
    <col min="5407" max="5407" width="12" style="17" bestFit="1" customWidth="1"/>
    <col min="5408" max="5408" width="14.77734375" style="17" customWidth="1"/>
    <col min="5409" max="5658" width="11.44140625" style="17"/>
    <col min="5659" max="5659" width="18.77734375" style="17" customWidth="1"/>
    <col min="5660" max="5660" width="13.77734375" style="17" bestFit="1" customWidth="1"/>
    <col min="5661" max="5661" width="17.21875" style="17" customWidth="1"/>
    <col min="5662" max="5662" width="11" style="17" customWidth="1"/>
    <col min="5663" max="5663" width="12" style="17" bestFit="1" customWidth="1"/>
    <col min="5664" max="5664" width="14.77734375" style="17" customWidth="1"/>
    <col min="5665" max="5914" width="11.44140625" style="17"/>
    <col min="5915" max="5915" width="18.77734375" style="17" customWidth="1"/>
    <col min="5916" max="5916" width="13.77734375" style="17" bestFit="1" customWidth="1"/>
    <col min="5917" max="5917" width="17.21875" style="17" customWidth="1"/>
    <col min="5918" max="5918" width="11" style="17" customWidth="1"/>
    <col min="5919" max="5919" width="12" style="17" bestFit="1" customWidth="1"/>
    <col min="5920" max="5920" width="14.77734375" style="17" customWidth="1"/>
    <col min="5921" max="6170" width="11.44140625" style="17"/>
    <col min="6171" max="6171" width="18.77734375" style="17" customWidth="1"/>
    <col min="6172" max="6172" width="13.77734375" style="17" bestFit="1" customWidth="1"/>
    <col min="6173" max="6173" width="17.21875" style="17" customWidth="1"/>
    <col min="6174" max="6174" width="11" style="17" customWidth="1"/>
    <col min="6175" max="6175" width="12" style="17" bestFit="1" customWidth="1"/>
    <col min="6176" max="6176" width="14.77734375" style="17" customWidth="1"/>
    <col min="6177" max="6426" width="11.44140625" style="17"/>
    <col min="6427" max="6427" width="18.77734375" style="17" customWidth="1"/>
    <col min="6428" max="6428" width="13.77734375" style="17" bestFit="1" customWidth="1"/>
    <col min="6429" max="6429" width="17.21875" style="17" customWidth="1"/>
    <col min="6430" max="6430" width="11" style="17" customWidth="1"/>
    <col min="6431" max="6431" width="12" style="17" bestFit="1" customWidth="1"/>
    <col min="6432" max="6432" width="14.77734375" style="17" customWidth="1"/>
    <col min="6433" max="6682" width="11.44140625" style="17"/>
    <col min="6683" max="6683" width="18.77734375" style="17" customWidth="1"/>
    <col min="6684" max="6684" width="13.77734375" style="17" bestFit="1" customWidth="1"/>
    <col min="6685" max="6685" width="17.21875" style="17" customWidth="1"/>
    <col min="6686" max="6686" width="11" style="17" customWidth="1"/>
    <col min="6687" max="6687" width="12" style="17" bestFit="1" customWidth="1"/>
    <col min="6688" max="6688" width="14.77734375" style="17" customWidth="1"/>
    <col min="6689" max="6938" width="11.44140625" style="17"/>
    <col min="6939" max="6939" width="18.77734375" style="17" customWidth="1"/>
    <col min="6940" max="6940" width="13.77734375" style="17" bestFit="1" customWidth="1"/>
    <col min="6941" max="6941" width="17.21875" style="17" customWidth="1"/>
    <col min="6942" max="6942" width="11" style="17" customWidth="1"/>
    <col min="6943" max="6943" width="12" style="17" bestFit="1" customWidth="1"/>
    <col min="6944" max="6944" width="14.77734375" style="17" customWidth="1"/>
    <col min="6945" max="7194" width="11.44140625" style="17"/>
    <col min="7195" max="7195" width="18.77734375" style="17" customWidth="1"/>
    <col min="7196" max="7196" width="13.77734375" style="17" bestFit="1" customWidth="1"/>
    <col min="7197" max="7197" width="17.21875" style="17" customWidth="1"/>
    <col min="7198" max="7198" width="11" style="17" customWidth="1"/>
    <col min="7199" max="7199" width="12" style="17" bestFit="1" customWidth="1"/>
    <col min="7200" max="7200" width="14.77734375" style="17" customWidth="1"/>
    <col min="7201" max="7450" width="11.44140625" style="17"/>
    <col min="7451" max="7451" width="18.77734375" style="17" customWidth="1"/>
    <col min="7452" max="7452" width="13.77734375" style="17" bestFit="1" customWidth="1"/>
    <col min="7453" max="7453" width="17.21875" style="17" customWidth="1"/>
    <col min="7454" max="7454" width="11" style="17" customWidth="1"/>
    <col min="7455" max="7455" width="12" style="17" bestFit="1" customWidth="1"/>
    <col min="7456" max="7456" width="14.77734375" style="17" customWidth="1"/>
    <col min="7457" max="7706" width="11.44140625" style="17"/>
    <col min="7707" max="7707" width="18.77734375" style="17" customWidth="1"/>
    <col min="7708" max="7708" width="13.77734375" style="17" bestFit="1" customWidth="1"/>
    <col min="7709" max="7709" width="17.21875" style="17" customWidth="1"/>
    <col min="7710" max="7710" width="11" style="17" customWidth="1"/>
    <col min="7711" max="7711" width="12" style="17" bestFit="1" customWidth="1"/>
    <col min="7712" max="7712" width="14.77734375" style="17" customWidth="1"/>
    <col min="7713" max="7962" width="11.44140625" style="17"/>
    <col min="7963" max="7963" width="18.77734375" style="17" customWidth="1"/>
    <col min="7964" max="7964" width="13.77734375" style="17" bestFit="1" customWidth="1"/>
    <col min="7965" max="7965" width="17.21875" style="17" customWidth="1"/>
    <col min="7966" max="7966" width="11" style="17" customWidth="1"/>
    <col min="7967" max="7967" width="12" style="17" bestFit="1" customWidth="1"/>
    <col min="7968" max="7968" width="14.77734375" style="17" customWidth="1"/>
    <col min="7969" max="8218" width="11.44140625" style="17"/>
    <col min="8219" max="8219" width="18.77734375" style="17" customWidth="1"/>
    <col min="8220" max="8220" width="13.77734375" style="17" bestFit="1" customWidth="1"/>
    <col min="8221" max="8221" width="17.21875" style="17" customWidth="1"/>
    <col min="8222" max="8222" width="11" style="17" customWidth="1"/>
    <col min="8223" max="8223" width="12" style="17" bestFit="1" customWidth="1"/>
    <col min="8224" max="8224" width="14.77734375" style="17" customWidth="1"/>
    <col min="8225" max="8474" width="11.44140625" style="17"/>
    <col min="8475" max="8475" width="18.77734375" style="17" customWidth="1"/>
    <col min="8476" max="8476" width="13.77734375" style="17" bestFit="1" customWidth="1"/>
    <col min="8477" max="8477" width="17.21875" style="17" customWidth="1"/>
    <col min="8478" max="8478" width="11" style="17" customWidth="1"/>
    <col min="8479" max="8479" width="12" style="17" bestFit="1" customWidth="1"/>
    <col min="8480" max="8480" width="14.77734375" style="17" customWidth="1"/>
    <col min="8481" max="8730" width="11.44140625" style="17"/>
    <col min="8731" max="8731" width="18.77734375" style="17" customWidth="1"/>
    <col min="8732" max="8732" width="13.77734375" style="17" bestFit="1" customWidth="1"/>
    <col min="8733" max="8733" width="17.21875" style="17" customWidth="1"/>
    <col min="8734" max="8734" width="11" style="17" customWidth="1"/>
    <col min="8735" max="8735" width="12" style="17" bestFit="1" customWidth="1"/>
    <col min="8736" max="8736" width="14.77734375" style="17" customWidth="1"/>
    <col min="8737" max="8986" width="11.44140625" style="17"/>
    <col min="8987" max="8987" width="18.77734375" style="17" customWidth="1"/>
    <col min="8988" max="8988" width="13.77734375" style="17" bestFit="1" customWidth="1"/>
    <col min="8989" max="8989" width="17.21875" style="17" customWidth="1"/>
    <col min="8990" max="8990" width="11" style="17" customWidth="1"/>
    <col min="8991" max="8991" width="12" style="17" bestFit="1" customWidth="1"/>
    <col min="8992" max="8992" width="14.77734375" style="17" customWidth="1"/>
    <col min="8993" max="9242" width="11.44140625" style="17"/>
    <col min="9243" max="9243" width="18.77734375" style="17" customWidth="1"/>
    <col min="9244" max="9244" width="13.77734375" style="17" bestFit="1" customWidth="1"/>
    <col min="9245" max="9245" width="17.21875" style="17" customWidth="1"/>
    <col min="9246" max="9246" width="11" style="17" customWidth="1"/>
    <col min="9247" max="9247" width="12" style="17" bestFit="1" customWidth="1"/>
    <col min="9248" max="9248" width="14.77734375" style="17" customWidth="1"/>
    <col min="9249" max="9498" width="11.44140625" style="17"/>
    <col min="9499" max="9499" width="18.77734375" style="17" customWidth="1"/>
    <col min="9500" max="9500" width="13.77734375" style="17" bestFit="1" customWidth="1"/>
    <col min="9501" max="9501" width="17.21875" style="17" customWidth="1"/>
    <col min="9502" max="9502" width="11" style="17" customWidth="1"/>
    <col min="9503" max="9503" width="12" style="17" bestFit="1" customWidth="1"/>
    <col min="9504" max="9504" width="14.77734375" style="17" customWidth="1"/>
    <col min="9505" max="9754" width="11.44140625" style="17"/>
    <col min="9755" max="9755" width="18.77734375" style="17" customWidth="1"/>
    <col min="9756" max="9756" width="13.77734375" style="17" bestFit="1" customWidth="1"/>
    <col min="9757" max="9757" width="17.21875" style="17" customWidth="1"/>
    <col min="9758" max="9758" width="11" style="17" customWidth="1"/>
    <col min="9759" max="9759" width="12" style="17" bestFit="1" customWidth="1"/>
    <col min="9760" max="9760" width="14.77734375" style="17" customWidth="1"/>
    <col min="9761" max="10010" width="11.44140625" style="17"/>
    <col min="10011" max="10011" width="18.77734375" style="17" customWidth="1"/>
    <col min="10012" max="10012" width="13.77734375" style="17" bestFit="1" customWidth="1"/>
    <col min="10013" max="10013" width="17.21875" style="17" customWidth="1"/>
    <col min="10014" max="10014" width="11" style="17" customWidth="1"/>
    <col min="10015" max="10015" width="12" style="17" bestFit="1" customWidth="1"/>
    <col min="10016" max="10016" width="14.77734375" style="17" customWidth="1"/>
    <col min="10017" max="10266" width="11.44140625" style="17"/>
    <col min="10267" max="10267" width="18.77734375" style="17" customWidth="1"/>
    <col min="10268" max="10268" width="13.77734375" style="17" bestFit="1" customWidth="1"/>
    <col min="10269" max="10269" width="17.21875" style="17" customWidth="1"/>
    <col min="10270" max="10270" width="11" style="17" customWidth="1"/>
    <col min="10271" max="10271" width="12" style="17" bestFit="1" customWidth="1"/>
    <col min="10272" max="10272" width="14.77734375" style="17" customWidth="1"/>
    <col min="10273" max="10522" width="11.44140625" style="17"/>
    <col min="10523" max="10523" width="18.77734375" style="17" customWidth="1"/>
    <col min="10524" max="10524" width="13.77734375" style="17" bestFit="1" customWidth="1"/>
    <col min="10525" max="10525" width="17.21875" style="17" customWidth="1"/>
    <col min="10526" max="10526" width="11" style="17" customWidth="1"/>
    <col min="10527" max="10527" width="12" style="17" bestFit="1" customWidth="1"/>
    <col min="10528" max="10528" width="14.77734375" style="17" customWidth="1"/>
    <col min="10529" max="10778" width="11.44140625" style="17"/>
    <col min="10779" max="10779" width="18.77734375" style="17" customWidth="1"/>
    <col min="10780" max="10780" width="13.77734375" style="17" bestFit="1" customWidth="1"/>
    <col min="10781" max="10781" width="17.21875" style="17" customWidth="1"/>
    <col min="10782" max="10782" width="11" style="17" customWidth="1"/>
    <col min="10783" max="10783" width="12" style="17" bestFit="1" customWidth="1"/>
    <col min="10784" max="10784" width="14.77734375" style="17" customWidth="1"/>
    <col min="10785" max="11034" width="11.44140625" style="17"/>
    <col min="11035" max="11035" width="18.77734375" style="17" customWidth="1"/>
    <col min="11036" max="11036" width="13.77734375" style="17" bestFit="1" customWidth="1"/>
    <col min="11037" max="11037" width="17.21875" style="17" customWidth="1"/>
    <col min="11038" max="11038" width="11" style="17" customWidth="1"/>
    <col min="11039" max="11039" width="12" style="17" bestFit="1" customWidth="1"/>
    <col min="11040" max="11040" width="14.77734375" style="17" customWidth="1"/>
    <col min="11041" max="11290" width="11.44140625" style="17"/>
    <col min="11291" max="11291" width="18.77734375" style="17" customWidth="1"/>
    <col min="11292" max="11292" width="13.77734375" style="17" bestFit="1" customWidth="1"/>
    <col min="11293" max="11293" width="17.21875" style="17" customWidth="1"/>
    <col min="11294" max="11294" width="11" style="17" customWidth="1"/>
    <col min="11295" max="11295" width="12" style="17" bestFit="1" customWidth="1"/>
    <col min="11296" max="11296" width="14.77734375" style="17" customWidth="1"/>
    <col min="11297" max="11546" width="11.44140625" style="17"/>
    <col min="11547" max="11547" width="18.77734375" style="17" customWidth="1"/>
    <col min="11548" max="11548" width="13.77734375" style="17" bestFit="1" customWidth="1"/>
    <col min="11549" max="11549" width="17.21875" style="17" customWidth="1"/>
    <col min="11550" max="11550" width="11" style="17" customWidth="1"/>
    <col min="11551" max="11551" width="12" style="17" bestFit="1" customWidth="1"/>
    <col min="11552" max="11552" width="14.77734375" style="17" customWidth="1"/>
    <col min="11553" max="11802" width="11.44140625" style="17"/>
    <col min="11803" max="11803" width="18.77734375" style="17" customWidth="1"/>
    <col min="11804" max="11804" width="13.77734375" style="17" bestFit="1" customWidth="1"/>
    <col min="11805" max="11805" width="17.21875" style="17" customWidth="1"/>
    <col min="11806" max="11806" width="11" style="17" customWidth="1"/>
    <col min="11807" max="11807" width="12" style="17" bestFit="1" customWidth="1"/>
    <col min="11808" max="11808" width="14.77734375" style="17" customWidth="1"/>
    <col min="11809" max="12058" width="11.44140625" style="17"/>
    <col min="12059" max="12059" width="18.77734375" style="17" customWidth="1"/>
    <col min="12060" max="12060" width="13.77734375" style="17" bestFit="1" customWidth="1"/>
    <col min="12061" max="12061" width="17.21875" style="17" customWidth="1"/>
    <col min="12062" max="12062" width="11" style="17" customWidth="1"/>
    <col min="12063" max="12063" width="12" style="17" bestFit="1" customWidth="1"/>
    <col min="12064" max="12064" width="14.77734375" style="17" customWidth="1"/>
    <col min="12065" max="12314" width="11.44140625" style="17"/>
    <col min="12315" max="12315" width="18.77734375" style="17" customWidth="1"/>
    <col min="12316" max="12316" width="13.77734375" style="17" bestFit="1" customWidth="1"/>
    <col min="12317" max="12317" width="17.21875" style="17" customWidth="1"/>
    <col min="12318" max="12318" width="11" style="17" customWidth="1"/>
    <col min="12319" max="12319" width="12" style="17" bestFit="1" customWidth="1"/>
    <col min="12320" max="12320" width="14.77734375" style="17" customWidth="1"/>
    <col min="12321" max="12570" width="11.44140625" style="17"/>
    <col min="12571" max="12571" width="18.77734375" style="17" customWidth="1"/>
    <col min="12572" max="12572" width="13.77734375" style="17" bestFit="1" customWidth="1"/>
    <col min="12573" max="12573" width="17.21875" style="17" customWidth="1"/>
    <col min="12574" max="12574" width="11" style="17" customWidth="1"/>
    <col min="12575" max="12575" width="12" style="17" bestFit="1" customWidth="1"/>
    <col min="12576" max="12576" width="14.77734375" style="17" customWidth="1"/>
    <col min="12577" max="12826" width="11.44140625" style="17"/>
    <col min="12827" max="12827" width="18.77734375" style="17" customWidth="1"/>
    <col min="12828" max="12828" width="13.77734375" style="17" bestFit="1" customWidth="1"/>
    <col min="12829" max="12829" width="17.21875" style="17" customWidth="1"/>
    <col min="12830" max="12830" width="11" style="17" customWidth="1"/>
    <col min="12831" max="12831" width="12" style="17" bestFit="1" customWidth="1"/>
    <col min="12832" max="12832" width="14.77734375" style="17" customWidth="1"/>
    <col min="12833" max="13082" width="11.44140625" style="17"/>
    <col min="13083" max="13083" width="18.77734375" style="17" customWidth="1"/>
    <col min="13084" max="13084" width="13.77734375" style="17" bestFit="1" customWidth="1"/>
    <col min="13085" max="13085" width="17.21875" style="17" customWidth="1"/>
    <col min="13086" max="13086" width="11" style="17" customWidth="1"/>
    <col min="13087" max="13087" width="12" style="17" bestFit="1" customWidth="1"/>
    <col min="13088" max="13088" width="14.77734375" style="17" customWidth="1"/>
    <col min="13089" max="13338" width="11.44140625" style="17"/>
    <col min="13339" max="13339" width="18.77734375" style="17" customWidth="1"/>
    <col min="13340" max="13340" width="13.77734375" style="17" bestFit="1" customWidth="1"/>
    <col min="13341" max="13341" width="17.21875" style="17" customWidth="1"/>
    <col min="13342" max="13342" width="11" style="17" customWidth="1"/>
    <col min="13343" max="13343" width="12" style="17" bestFit="1" customWidth="1"/>
    <col min="13344" max="13344" width="14.77734375" style="17" customWidth="1"/>
    <col min="13345" max="13594" width="11.44140625" style="17"/>
    <col min="13595" max="13595" width="18.77734375" style="17" customWidth="1"/>
    <col min="13596" max="13596" width="13.77734375" style="17" bestFit="1" customWidth="1"/>
    <col min="13597" max="13597" width="17.21875" style="17" customWidth="1"/>
    <col min="13598" max="13598" width="11" style="17" customWidth="1"/>
    <col min="13599" max="13599" width="12" style="17" bestFit="1" customWidth="1"/>
    <col min="13600" max="13600" width="14.77734375" style="17" customWidth="1"/>
    <col min="13601" max="13850" width="11.44140625" style="17"/>
    <col min="13851" max="13851" width="18.77734375" style="17" customWidth="1"/>
    <col min="13852" max="13852" width="13.77734375" style="17" bestFit="1" customWidth="1"/>
    <col min="13853" max="13853" width="17.21875" style="17" customWidth="1"/>
    <col min="13854" max="13854" width="11" style="17" customWidth="1"/>
    <col min="13855" max="13855" width="12" style="17" bestFit="1" customWidth="1"/>
    <col min="13856" max="13856" width="14.77734375" style="17" customWidth="1"/>
    <col min="13857" max="14106" width="11.44140625" style="17"/>
    <col min="14107" max="14107" width="18.77734375" style="17" customWidth="1"/>
    <col min="14108" max="14108" width="13.77734375" style="17" bestFit="1" customWidth="1"/>
    <col min="14109" max="14109" width="17.21875" style="17" customWidth="1"/>
    <col min="14110" max="14110" width="11" style="17" customWidth="1"/>
    <col min="14111" max="14111" width="12" style="17" bestFit="1" customWidth="1"/>
    <col min="14112" max="14112" width="14.77734375" style="17" customWidth="1"/>
    <col min="14113" max="14362" width="11.44140625" style="17"/>
    <col min="14363" max="14363" width="18.77734375" style="17" customWidth="1"/>
    <col min="14364" max="14364" width="13.77734375" style="17" bestFit="1" customWidth="1"/>
    <col min="14365" max="14365" width="17.21875" style="17" customWidth="1"/>
    <col min="14366" max="14366" width="11" style="17" customWidth="1"/>
    <col min="14367" max="14367" width="12" style="17" bestFit="1" customWidth="1"/>
    <col min="14368" max="14368" width="14.77734375" style="17" customWidth="1"/>
    <col min="14369" max="14618" width="11.44140625" style="17"/>
    <col min="14619" max="14619" width="18.77734375" style="17" customWidth="1"/>
    <col min="14620" max="14620" width="13.77734375" style="17" bestFit="1" customWidth="1"/>
    <col min="14621" max="14621" width="17.21875" style="17" customWidth="1"/>
    <col min="14622" max="14622" width="11" style="17" customWidth="1"/>
    <col min="14623" max="14623" width="12" style="17" bestFit="1" customWidth="1"/>
    <col min="14624" max="14624" width="14.77734375" style="17" customWidth="1"/>
    <col min="14625" max="14874" width="11.44140625" style="17"/>
    <col min="14875" max="14875" width="18.77734375" style="17" customWidth="1"/>
    <col min="14876" max="14876" width="13.77734375" style="17" bestFit="1" customWidth="1"/>
    <col min="14877" max="14877" width="17.21875" style="17" customWidth="1"/>
    <col min="14878" max="14878" width="11" style="17" customWidth="1"/>
    <col min="14879" max="14879" width="12" style="17" bestFit="1" customWidth="1"/>
    <col min="14880" max="14880" width="14.77734375" style="17" customWidth="1"/>
    <col min="14881" max="15130" width="11.44140625" style="17"/>
    <col min="15131" max="15131" width="18.77734375" style="17" customWidth="1"/>
    <col min="15132" max="15132" width="13.77734375" style="17" bestFit="1" customWidth="1"/>
    <col min="15133" max="15133" width="17.21875" style="17" customWidth="1"/>
    <col min="15134" max="15134" width="11" style="17" customWidth="1"/>
    <col min="15135" max="15135" width="12" style="17" bestFit="1" customWidth="1"/>
    <col min="15136" max="15136" width="14.77734375" style="17" customWidth="1"/>
    <col min="15137" max="15386" width="11.44140625" style="17"/>
    <col min="15387" max="15387" width="18.77734375" style="17" customWidth="1"/>
    <col min="15388" max="15388" width="13.77734375" style="17" bestFit="1" customWidth="1"/>
    <col min="15389" max="15389" width="17.21875" style="17" customWidth="1"/>
    <col min="15390" max="15390" width="11" style="17" customWidth="1"/>
    <col min="15391" max="15391" width="12" style="17" bestFit="1" customWidth="1"/>
    <col min="15392" max="15392" width="14.77734375" style="17" customWidth="1"/>
    <col min="15393" max="15642" width="11.44140625" style="17"/>
    <col min="15643" max="15643" width="18.77734375" style="17" customWidth="1"/>
    <col min="15644" max="15644" width="13.77734375" style="17" bestFit="1" customWidth="1"/>
    <col min="15645" max="15645" width="17.21875" style="17" customWidth="1"/>
    <col min="15646" max="15646" width="11" style="17" customWidth="1"/>
    <col min="15647" max="15647" width="12" style="17" bestFit="1" customWidth="1"/>
    <col min="15648" max="15648" width="14.77734375" style="17" customWidth="1"/>
    <col min="15649" max="15898" width="11.44140625" style="17"/>
    <col min="15899" max="15899" width="18.77734375" style="17" customWidth="1"/>
    <col min="15900" max="15900" width="13.77734375" style="17" bestFit="1" customWidth="1"/>
    <col min="15901" max="15901" width="17.21875" style="17" customWidth="1"/>
    <col min="15902" max="15902" width="11" style="17" customWidth="1"/>
    <col min="15903" max="15903" width="12" style="17" bestFit="1" customWidth="1"/>
    <col min="15904" max="15904" width="14.77734375" style="17" customWidth="1"/>
    <col min="15905" max="16154" width="11.44140625" style="17"/>
    <col min="16155" max="16155" width="18.77734375" style="17" customWidth="1"/>
    <col min="16156" max="16156" width="13.77734375" style="17" bestFit="1" customWidth="1"/>
    <col min="16157" max="16157" width="17.21875" style="17" customWidth="1"/>
    <col min="16158" max="16158" width="11" style="17" customWidth="1"/>
    <col min="16159" max="16159" width="12" style="17" bestFit="1" customWidth="1"/>
    <col min="16160" max="16160" width="14.77734375" style="17" customWidth="1"/>
    <col min="16161" max="16384" width="11.44140625" style="17"/>
  </cols>
  <sheetData>
    <row r="2" spans="1:37" x14ac:dyDescent="0.25">
      <c r="A2" s="17" t="s">
        <v>70</v>
      </c>
      <c r="B2" s="63">
        <f>'pooled normalised values'!B75</f>
        <v>0.14667051947282247</v>
      </c>
      <c r="D2" s="17" t="s">
        <v>9</v>
      </c>
      <c r="E2" s="18"/>
      <c r="F2" s="19" t="str">
        <f>'pooled normalised values'!J74</f>
        <v>BPA-2mg/L</v>
      </c>
      <c r="G2" s="19" t="str">
        <f>'pooled normalised values'!K74</f>
        <v>BPA-3mg/L</v>
      </c>
      <c r="H2" s="19" t="str">
        <f>'pooled normalised values'!L74</f>
        <v>BPA-4mg/L</v>
      </c>
      <c r="I2" s="19" t="str">
        <f>'pooled normalised values'!M74</f>
        <v>BPA-5mg/L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BPA-1mg/L + Testostérone</v>
      </c>
      <c r="W2" s="19" t="str">
        <f>'pooled normalised values'!S74</f>
        <v>BPA-2mg/L + Testostérone</v>
      </c>
      <c r="X2" s="19" t="str">
        <f>'pooled normalised values'!T74</f>
        <v>BPA-3mg/L + Testostérone</v>
      </c>
      <c r="Y2" s="19" t="str">
        <f>'pooled normalised values'!U74</f>
        <v>BPA-4mg/L + Testostérone</v>
      </c>
      <c r="Z2" s="19" t="str">
        <f>'pooled normalised values'!V74</f>
        <v>BPA-5mg/L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0.13088752662623473</v>
      </c>
      <c r="G3" s="19">
        <f>HLOOKUP(G2,'pooled normalised values'!C74:W83,2,FALSE)</f>
        <v>0.99136063389997942</v>
      </c>
      <c r="H3" s="19">
        <f>HLOOKUP(H2,'pooled normalised values'!C74:X83,2,FALSE)</f>
        <v>1.6594074968976251</v>
      </c>
      <c r="I3" s="19">
        <f>HLOOKUP(I2,'pooled normalised values'!D74:Y83,2,FALSE)</f>
        <v>3.0088565307692163</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1.5623906596752819</v>
      </c>
      <c r="W3" s="19">
        <f>HLOOKUP(W2,'pooled normalised values'!N74:AM83,2,FALSE)</f>
        <v>1.8388425787984588</v>
      </c>
      <c r="X3" s="19">
        <f>HLOOKUP(X2,'pooled normalised values'!N74:AN83,2,FALSE)</f>
        <v>3.5786243298311695</v>
      </c>
      <c r="Y3" s="19">
        <f>HLOOKUP(Y2,'pooled normalised values'!N74:AO83,2,FALSE)</f>
        <v>5.5350543506128664</v>
      </c>
      <c r="Z3" s="19">
        <f>HLOOKUP(Z2,'pooled normalised values'!N74:AP83,2,FALSE)</f>
        <v>5.7769041603645839</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1.0000000000000002</v>
      </c>
      <c r="D4" s="21" t="s">
        <v>2</v>
      </c>
      <c r="E4" s="22"/>
      <c r="F4" s="19">
        <f>HLOOKUP(F2,'pooled normalised values'!B74:V83,3,FALSE)</f>
        <v>4.6297894850398855E-2</v>
      </c>
      <c r="G4" s="19">
        <f>HLOOKUP(G2,'pooled normalised values'!C74:W83,3,FALSE)</f>
        <v>0.84453751865563276</v>
      </c>
      <c r="H4" s="19">
        <f>HLOOKUP(H2,'pooled normalised values'!C74:X83,3,FALSE)</f>
        <v>0.49273804704730456</v>
      </c>
      <c r="I4" s="19">
        <f>HLOOKUP(I2,'pooled normalised values'!D74:Y83,3,FALSE)</f>
        <v>0.63899366466314356</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0.40418974074974101</v>
      </c>
      <c r="W4" s="19">
        <f>HLOOKUP(W2,'pooled normalised values'!N74:AM83,3,FALSE)</f>
        <v>0.31241562188339134</v>
      </c>
      <c r="X4" s="19">
        <f>HLOOKUP(X2,'pooled normalised values'!N74:AN83,3,FALSE)</f>
        <v>0.41142403367810426</v>
      </c>
      <c r="Y4" s="19">
        <f>HLOOKUP(Y2,'pooled normalised values'!N74:AO83,3,FALSE)</f>
        <v>0.64871477014148671</v>
      </c>
      <c r="Z4" s="19">
        <f>HLOOKUP(Z2,'pooled normalised values'!N74:AP83,3,FALSE)</f>
        <v>0.8070260492962692</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7.9422768226667761</v>
      </c>
      <c r="D5" s="23" t="s">
        <v>11</v>
      </c>
      <c r="E5" s="22"/>
      <c r="F5" s="19" t="str">
        <f>HLOOKUP(F2,'pooled normalised values'!B74:V83,10,FALSE)</f>
        <v>ns</v>
      </c>
      <c r="G5" s="19" t="str">
        <f>HLOOKUP(G2,'pooled normalised values'!C74:W83,10,FALSE)</f>
        <v>ns</v>
      </c>
      <c r="H5" s="19" t="str">
        <f>HLOOKUP(H2,'pooled normalised values'!C74:X83,10,FALSE)</f>
        <v>*</v>
      </c>
      <c r="I5" s="19" t="str">
        <f>HLOOKUP(I2,'pooled normalised values'!D74:Y83,10,FALSE)</f>
        <v>***</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0.19220220049028836</v>
      </c>
      <c r="D6" s="21" t="s">
        <v>12</v>
      </c>
      <c r="E6" s="24">
        <f>$B$2</f>
        <v>0.14667051947282247</v>
      </c>
      <c r="F6" s="24">
        <f>$B$2</f>
        <v>0.14667051947282247</v>
      </c>
      <c r="G6" s="24">
        <f t="shared" ref="G6:R6" si="0">$B$2</f>
        <v>0.14667051947282247</v>
      </c>
      <c r="H6" s="24">
        <f t="shared" si="0"/>
        <v>0.14667051947282247</v>
      </c>
      <c r="I6" s="24">
        <f t="shared" si="0"/>
        <v>0.14667051947282247</v>
      </c>
      <c r="J6" s="24">
        <f t="shared" si="0"/>
        <v>0.14667051947282247</v>
      </c>
      <c r="K6" s="24">
        <f t="shared" si="0"/>
        <v>0.14667051947282247</v>
      </c>
      <c r="L6" s="24">
        <f t="shared" si="0"/>
        <v>0.14667051947282247</v>
      </c>
      <c r="M6" s="24">
        <f t="shared" si="0"/>
        <v>0.14667051947282247</v>
      </c>
      <c r="N6" s="24">
        <f t="shared" si="0"/>
        <v>0.14667051947282247</v>
      </c>
      <c r="O6" s="24">
        <f t="shared" si="0"/>
        <v>0.14667051947282247</v>
      </c>
      <c r="P6" s="24">
        <f t="shared" si="0"/>
        <v>0.14667051947282247</v>
      </c>
      <c r="Q6" s="24">
        <f t="shared" si="0"/>
        <v>0.14667051947282247</v>
      </c>
      <c r="R6" s="24">
        <f t="shared" si="0"/>
        <v>0.14667051947282247</v>
      </c>
      <c r="S6" s="24">
        <f>$B$2</f>
        <v>0.14667051947282247</v>
      </c>
      <c r="T6" s="24">
        <f>$B$2</f>
        <v>0.14667051947282247</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1.0000000000000002</v>
      </c>
      <c r="V7" s="25">
        <f t="shared" si="1"/>
        <v>1.0000000000000002</v>
      </c>
      <c r="W7" s="25">
        <f t="shared" si="1"/>
        <v>1.0000000000000002</v>
      </c>
      <c r="X7" s="25">
        <f t="shared" si="1"/>
        <v>1.0000000000000002</v>
      </c>
      <c r="Y7" s="25">
        <f t="shared" si="1"/>
        <v>1.0000000000000002</v>
      </c>
      <c r="Z7" s="25">
        <f t="shared" si="1"/>
        <v>1.0000000000000002</v>
      </c>
      <c r="AA7" s="25">
        <f t="shared" si="1"/>
        <v>1.0000000000000002</v>
      </c>
      <c r="AB7" s="25">
        <f t="shared" si="1"/>
        <v>1.0000000000000002</v>
      </c>
      <c r="AC7" s="25">
        <f t="shared" si="1"/>
        <v>1.0000000000000002</v>
      </c>
      <c r="AD7" s="25">
        <f t="shared" si="1"/>
        <v>1.0000000000000002</v>
      </c>
      <c r="AE7" s="25">
        <f t="shared" si="1"/>
        <v>1.0000000000000002</v>
      </c>
      <c r="AF7" s="25">
        <f t="shared" si="1"/>
        <v>1.0000000000000002</v>
      </c>
      <c r="AG7" s="25">
        <f t="shared" si="1"/>
        <v>1.0000000000000002</v>
      </c>
      <c r="AH7" s="25">
        <f t="shared" si="1"/>
        <v>1.0000000000000002</v>
      </c>
      <c r="AI7" s="25">
        <f t="shared" si="1"/>
        <v>1.0000000000000002</v>
      </c>
      <c r="AJ7" s="25">
        <f t="shared" si="1"/>
        <v>1.0000000000000002</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0.19220220049028836</v>
      </c>
      <c r="V8" s="25">
        <f t="shared" ref="V8:AJ8" si="2">$B$6</f>
        <v>0.19220220049028836</v>
      </c>
      <c r="W8" s="25">
        <f t="shared" si="2"/>
        <v>0.19220220049028836</v>
      </c>
      <c r="X8" s="25">
        <f t="shared" si="2"/>
        <v>0.19220220049028836</v>
      </c>
      <c r="Y8" s="25">
        <f t="shared" si="2"/>
        <v>0.19220220049028836</v>
      </c>
      <c r="Z8" s="25">
        <f t="shared" si="2"/>
        <v>0.19220220049028836</v>
      </c>
      <c r="AA8" s="25">
        <f t="shared" si="2"/>
        <v>0.19220220049028836</v>
      </c>
      <c r="AB8" s="25">
        <f t="shared" si="2"/>
        <v>0.19220220049028836</v>
      </c>
      <c r="AC8" s="25">
        <f t="shared" si="2"/>
        <v>0.19220220049028836</v>
      </c>
      <c r="AD8" s="25">
        <f t="shared" si="2"/>
        <v>0.19220220049028836</v>
      </c>
      <c r="AE8" s="25">
        <f t="shared" si="2"/>
        <v>0.19220220049028836</v>
      </c>
      <c r="AF8" s="25">
        <f t="shared" si="2"/>
        <v>0.19220220049028836</v>
      </c>
      <c r="AG8" s="25">
        <f t="shared" si="2"/>
        <v>0.19220220049028836</v>
      </c>
      <c r="AH8" s="25">
        <f t="shared" si="2"/>
        <v>0.19220220049028836</v>
      </c>
      <c r="AI8" s="25">
        <f t="shared" si="2"/>
        <v>0.19220220049028836</v>
      </c>
      <c r="AJ8" s="25">
        <f t="shared" si="2"/>
        <v>0.19220220049028836</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7.7500746221764878</v>
      </c>
      <c r="V9" s="25">
        <f>$B$5-V8</f>
        <v>7.7500746221764878</v>
      </c>
      <c r="W9" s="25">
        <f t="shared" ref="W9:AH9" si="4">$B$5-W8</f>
        <v>7.7500746221764878</v>
      </c>
      <c r="X9" s="25">
        <f t="shared" si="4"/>
        <v>7.7500746221764878</v>
      </c>
      <c r="Y9" s="25">
        <f t="shared" si="4"/>
        <v>7.7500746221764878</v>
      </c>
      <c r="Z9" s="25">
        <f t="shared" si="4"/>
        <v>7.7500746221764878</v>
      </c>
      <c r="AA9" s="25">
        <f t="shared" si="4"/>
        <v>7.7500746221764878</v>
      </c>
      <c r="AB9" s="25">
        <f t="shared" si="4"/>
        <v>7.7500746221764878</v>
      </c>
      <c r="AC9" s="25">
        <f t="shared" si="4"/>
        <v>7.7500746221764878</v>
      </c>
      <c r="AD9" s="25">
        <f t="shared" si="4"/>
        <v>7.7500746221764878</v>
      </c>
      <c r="AE9" s="25">
        <f t="shared" si="4"/>
        <v>7.7500746221764878</v>
      </c>
      <c r="AF9" s="25">
        <f t="shared" si="4"/>
        <v>7.7500746221764878</v>
      </c>
      <c r="AG9" s="25">
        <f t="shared" si="4"/>
        <v>7.7500746221764878</v>
      </c>
      <c r="AH9" s="25">
        <f t="shared" si="4"/>
        <v>7.7500746221764878</v>
      </c>
      <c r="AI9" s="25">
        <f>$B$5-AI8</f>
        <v>7.7500746221764878</v>
      </c>
      <c r="AJ9" s="25">
        <f>$B$5-AJ8</f>
        <v>7.7500746221764878</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-5.2500746221764878</v>
      </c>
      <c r="V10" s="25">
        <f>2.5-V9</f>
        <v>-5.2500746221764878</v>
      </c>
      <c r="W10" s="25">
        <f t="shared" ref="W10:AH10" si="6">2.5-W9</f>
        <v>-5.2500746221764878</v>
      </c>
      <c r="X10" s="25">
        <f t="shared" si="6"/>
        <v>-5.2500746221764878</v>
      </c>
      <c r="Y10" s="25">
        <f t="shared" si="6"/>
        <v>-5.2500746221764878</v>
      </c>
      <c r="Z10" s="25">
        <f t="shared" si="6"/>
        <v>-5.2500746221764878</v>
      </c>
      <c r="AA10" s="25">
        <f t="shared" si="6"/>
        <v>-5.2500746221764878</v>
      </c>
      <c r="AB10" s="25">
        <f t="shared" si="6"/>
        <v>-5.2500746221764878</v>
      </c>
      <c r="AC10" s="25">
        <f t="shared" si="6"/>
        <v>-5.2500746221764878</v>
      </c>
      <c r="AD10" s="25">
        <f t="shared" si="6"/>
        <v>-5.2500746221764878</v>
      </c>
      <c r="AE10" s="25">
        <f t="shared" si="6"/>
        <v>-5.2500746221764878</v>
      </c>
      <c r="AF10" s="25">
        <f t="shared" si="6"/>
        <v>-5.2500746221764878</v>
      </c>
      <c r="AG10" s="25">
        <f t="shared" si="6"/>
        <v>-5.2500746221764878</v>
      </c>
      <c r="AH10" s="25">
        <f t="shared" si="6"/>
        <v>-5.2500746221764878</v>
      </c>
      <c r="AI10" s="25">
        <f>2.5-AI9</f>
        <v>-5.2500746221764878</v>
      </c>
      <c r="AJ10" s="25">
        <f>2.5-AJ9</f>
        <v>-5.2500746221764878</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pageSetup paperSize="9" orientation="portrait" horizontalDpi="300" verticalDpi="300" r:id="rId1"/>
  <headerFooter>
    <oddFooter>&amp;C&amp;1#&amp;"Arial"&amp;10&amp;K000000Internal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6" width="14.77734375" style="17" customWidth="1"/>
    <col min="7" max="8" width="11.44140625" style="17"/>
    <col min="9" max="9" width="13.5546875" style="17" bestFit="1" customWidth="1"/>
    <col min="10" max="256" width="11.44140625" style="17"/>
    <col min="257" max="257" width="18.77734375" style="17" customWidth="1"/>
    <col min="258" max="258" width="13.77734375" style="17" bestFit="1" customWidth="1"/>
    <col min="259" max="259" width="17.21875" style="17" customWidth="1"/>
    <col min="260" max="260" width="11" style="17" customWidth="1"/>
    <col min="261" max="261" width="12" style="17" bestFit="1" customWidth="1"/>
    <col min="262" max="262" width="14.77734375" style="17" customWidth="1"/>
    <col min="263" max="512" width="11.44140625" style="17"/>
    <col min="513" max="513" width="18.77734375" style="17" customWidth="1"/>
    <col min="514" max="514" width="13.77734375" style="17" bestFit="1" customWidth="1"/>
    <col min="515" max="515" width="17.21875" style="17" customWidth="1"/>
    <col min="516" max="516" width="11" style="17" customWidth="1"/>
    <col min="517" max="517" width="12" style="17" bestFit="1" customWidth="1"/>
    <col min="518" max="518" width="14.77734375" style="17" customWidth="1"/>
    <col min="519" max="768" width="11.44140625" style="17"/>
    <col min="769" max="769" width="18.77734375" style="17" customWidth="1"/>
    <col min="770" max="770" width="13.77734375" style="17" bestFit="1" customWidth="1"/>
    <col min="771" max="771" width="17.21875" style="17" customWidth="1"/>
    <col min="772" max="772" width="11" style="17" customWidth="1"/>
    <col min="773" max="773" width="12" style="17" bestFit="1" customWidth="1"/>
    <col min="774" max="774" width="14.77734375" style="17" customWidth="1"/>
    <col min="775" max="1024" width="11.44140625" style="17"/>
    <col min="1025" max="1025" width="18.77734375" style="17" customWidth="1"/>
    <col min="1026" max="1026" width="13.77734375" style="17" bestFit="1" customWidth="1"/>
    <col min="1027" max="1027" width="17.21875" style="17" customWidth="1"/>
    <col min="1028" max="1028" width="11" style="17" customWidth="1"/>
    <col min="1029" max="1029" width="12" style="17" bestFit="1" customWidth="1"/>
    <col min="1030" max="1030" width="14.77734375" style="17" customWidth="1"/>
    <col min="1031" max="1280" width="11.44140625" style="17"/>
    <col min="1281" max="1281" width="18.77734375" style="17" customWidth="1"/>
    <col min="1282" max="1282" width="13.77734375" style="17" bestFit="1" customWidth="1"/>
    <col min="1283" max="1283" width="17.21875" style="17" customWidth="1"/>
    <col min="1284" max="1284" width="11" style="17" customWidth="1"/>
    <col min="1285" max="1285" width="12" style="17" bestFit="1" customWidth="1"/>
    <col min="1286" max="1286" width="14.77734375" style="17" customWidth="1"/>
    <col min="1287" max="1536" width="11.44140625" style="17"/>
    <col min="1537" max="1537" width="18.77734375" style="17" customWidth="1"/>
    <col min="1538" max="1538" width="13.77734375" style="17" bestFit="1" customWidth="1"/>
    <col min="1539" max="1539" width="17.21875" style="17" customWidth="1"/>
    <col min="1540" max="1540" width="11" style="17" customWidth="1"/>
    <col min="1541" max="1541" width="12" style="17" bestFit="1" customWidth="1"/>
    <col min="1542" max="1542" width="14.77734375" style="17" customWidth="1"/>
    <col min="1543" max="1792" width="11.44140625" style="17"/>
    <col min="1793" max="1793" width="18.77734375" style="17" customWidth="1"/>
    <col min="1794" max="1794" width="13.77734375" style="17" bestFit="1" customWidth="1"/>
    <col min="1795" max="1795" width="17.21875" style="17" customWidth="1"/>
    <col min="1796" max="1796" width="11" style="17" customWidth="1"/>
    <col min="1797" max="1797" width="12" style="17" bestFit="1" customWidth="1"/>
    <col min="1798" max="1798" width="14.77734375" style="17" customWidth="1"/>
    <col min="1799" max="2048" width="11.44140625" style="17"/>
    <col min="2049" max="2049" width="18.77734375" style="17" customWidth="1"/>
    <col min="2050" max="2050" width="13.77734375" style="17" bestFit="1" customWidth="1"/>
    <col min="2051" max="2051" width="17.21875" style="17" customWidth="1"/>
    <col min="2052" max="2052" width="11" style="17" customWidth="1"/>
    <col min="2053" max="2053" width="12" style="17" bestFit="1" customWidth="1"/>
    <col min="2054" max="2054" width="14.77734375" style="17" customWidth="1"/>
    <col min="2055" max="2304" width="11.44140625" style="17"/>
    <col min="2305" max="2305" width="18.77734375" style="17" customWidth="1"/>
    <col min="2306" max="2306" width="13.77734375" style="17" bestFit="1" customWidth="1"/>
    <col min="2307" max="2307" width="17.21875" style="17" customWidth="1"/>
    <col min="2308" max="2308" width="11" style="17" customWidth="1"/>
    <col min="2309" max="2309" width="12" style="17" bestFit="1" customWidth="1"/>
    <col min="2310" max="2310" width="14.77734375" style="17" customWidth="1"/>
    <col min="2311" max="2560" width="11.44140625" style="17"/>
    <col min="2561" max="2561" width="18.77734375" style="17" customWidth="1"/>
    <col min="2562" max="2562" width="13.77734375" style="17" bestFit="1" customWidth="1"/>
    <col min="2563" max="2563" width="17.21875" style="17" customWidth="1"/>
    <col min="2564" max="2564" width="11" style="17" customWidth="1"/>
    <col min="2565" max="2565" width="12" style="17" bestFit="1" customWidth="1"/>
    <col min="2566" max="2566" width="14.77734375" style="17" customWidth="1"/>
    <col min="2567" max="2816" width="11.44140625" style="17"/>
    <col min="2817" max="2817" width="18.77734375" style="17" customWidth="1"/>
    <col min="2818" max="2818" width="13.77734375" style="17" bestFit="1" customWidth="1"/>
    <col min="2819" max="2819" width="17.21875" style="17" customWidth="1"/>
    <col min="2820" max="2820" width="11" style="17" customWidth="1"/>
    <col min="2821" max="2821" width="12" style="17" bestFit="1" customWidth="1"/>
    <col min="2822" max="2822" width="14.77734375" style="17" customWidth="1"/>
    <col min="2823" max="3072" width="11.44140625" style="17"/>
    <col min="3073" max="3073" width="18.77734375" style="17" customWidth="1"/>
    <col min="3074" max="3074" width="13.77734375" style="17" bestFit="1" customWidth="1"/>
    <col min="3075" max="3075" width="17.21875" style="17" customWidth="1"/>
    <col min="3076" max="3076" width="11" style="17" customWidth="1"/>
    <col min="3077" max="3077" width="12" style="17" bestFit="1" customWidth="1"/>
    <col min="3078" max="3078" width="14.77734375" style="17" customWidth="1"/>
    <col min="3079" max="3328" width="11.44140625" style="17"/>
    <col min="3329" max="3329" width="18.77734375" style="17" customWidth="1"/>
    <col min="3330" max="3330" width="13.77734375" style="17" bestFit="1" customWidth="1"/>
    <col min="3331" max="3331" width="17.21875" style="17" customWidth="1"/>
    <col min="3332" max="3332" width="11" style="17" customWidth="1"/>
    <col min="3333" max="3333" width="12" style="17" bestFit="1" customWidth="1"/>
    <col min="3334" max="3334" width="14.77734375" style="17" customWidth="1"/>
    <col min="3335" max="3584" width="11.44140625" style="17"/>
    <col min="3585" max="3585" width="18.77734375" style="17" customWidth="1"/>
    <col min="3586" max="3586" width="13.77734375" style="17" bestFit="1" customWidth="1"/>
    <col min="3587" max="3587" width="17.21875" style="17" customWidth="1"/>
    <col min="3588" max="3588" width="11" style="17" customWidth="1"/>
    <col min="3589" max="3589" width="12" style="17" bestFit="1" customWidth="1"/>
    <col min="3590" max="3590" width="14.77734375" style="17" customWidth="1"/>
    <col min="3591" max="3840" width="11.44140625" style="17"/>
    <col min="3841" max="3841" width="18.77734375" style="17" customWidth="1"/>
    <col min="3842" max="3842" width="13.77734375" style="17" bestFit="1" customWidth="1"/>
    <col min="3843" max="3843" width="17.21875" style="17" customWidth="1"/>
    <col min="3844" max="3844" width="11" style="17" customWidth="1"/>
    <col min="3845" max="3845" width="12" style="17" bestFit="1" customWidth="1"/>
    <col min="3846" max="3846" width="14.77734375" style="17" customWidth="1"/>
    <col min="3847" max="4096" width="11.44140625" style="17"/>
    <col min="4097" max="4097" width="18.77734375" style="17" customWidth="1"/>
    <col min="4098" max="4098" width="13.77734375" style="17" bestFit="1" customWidth="1"/>
    <col min="4099" max="4099" width="17.21875" style="17" customWidth="1"/>
    <col min="4100" max="4100" width="11" style="17" customWidth="1"/>
    <col min="4101" max="4101" width="12" style="17" bestFit="1" customWidth="1"/>
    <col min="4102" max="4102" width="14.77734375" style="17" customWidth="1"/>
    <col min="4103" max="4352" width="11.44140625" style="17"/>
    <col min="4353" max="4353" width="18.77734375" style="17" customWidth="1"/>
    <col min="4354" max="4354" width="13.77734375" style="17" bestFit="1" customWidth="1"/>
    <col min="4355" max="4355" width="17.21875" style="17" customWidth="1"/>
    <col min="4356" max="4356" width="11" style="17" customWidth="1"/>
    <col min="4357" max="4357" width="12" style="17" bestFit="1" customWidth="1"/>
    <col min="4358" max="4358" width="14.77734375" style="17" customWidth="1"/>
    <col min="4359" max="4608" width="11.44140625" style="17"/>
    <col min="4609" max="4609" width="18.77734375" style="17" customWidth="1"/>
    <col min="4610" max="4610" width="13.77734375" style="17" bestFit="1" customWidth="1"/>
    <col min="4611" max="4611" width="17.21875" style="17" customWidth="1"/>
    <col min="4612" max="4612" width="11" style="17" customWidth="1"/>
    <col min="4613" max="4613" width="12" style="17" bestFit="1" customWidth="1"/>
    <col min="4614" max="4614" width="14.77734375" style="17" customWidth="1"/>
    <col min="4615" max="4864" width="11.44140625" style="17"/>
    <col min="4865" max="4865" width="18.77734375" style="17" customWidth="1"/>
    <col min="4866" max="4866" width="13.77734375" style="17" bestFit="1" customWidth="1"/>
    <col min="4867" max="4867" width="17.21875" style="17" customWidth="1"/>
    <col min="4868" max="4868" width="11" style="17" customWidth="1"/>
    <col min="4869" max="4869" width="12" style="17" bestFit="1" customWidth="1"/>
    <col min="4870" max="4870" width="14.77734375" style="17" customWidth="1"/>
    <col min="4871" max="5120" width="11.44140625" style="17"/>
    <col min="5121" max="5121" width="18.77734375" style="17" customWidth="1"/>
    <col min="5122" max="5122" width="13.77734375" style="17" bestFit="1" customWidth="1"/>
    <col min="5123" max="5123" width="17.21875" style="17" customWidth="1"/>
    <col min="5124" max="5124" width="11" style="17" customWidth="1"/>
    <col min="5125" max="5125" width="12" style="17" bestFit="1" customWidth="1"/>
    <col min="5126" max="5126" width="14.77734375" style="17" customWidth="1"/>
    <col min="5127" max="5376" width="11.44140625" style="17"/>
    <col min="5377" max="5377" width="18.77734375" style="17" customWidth="1"/>
    <col min="5378" max="5378" width="13.77734375" style="17" bestFit="1" customWidth="1"/>
    <col min="5379" max="5379" width="17.21875" style="17" customWidth="1"/>
    <col min="5380" max="5380" width="11" style="17" customWidth="1"/>
    <col min="5381" max="5381" width="12" style="17" bestFit="1" customWidth="1"/>
    <col min="5382" max="5382" width="14.77734375" style="17" customWidth="1"/>
    <col min="5383" max="5632" width="11.44140625" style="17"/>
    <col min="5633" max="5633" width="18.77734375" style="17" customWidth="1"/>
    <col min="5634" max="5634" width="13.77734375" style="17" bestFit="1" customWidth="1"/>
    <col min="5635" max="5635" width="17.21875" style="17" customWidth="1"/>
    <col min="5636" max="5636" width="11" style="17" customWidth="1"/>
    <col min="5637" max="5637" width="12" style="17" bestFit="1" customWidth="1"/>
    <col min="5638" max="5638" width="14.77734375" style="17" customWidth="1"/>
    <col min="5639" max="5888" width="11.44140625" style="17"/>
    <col min="5889" max="5889" width="18.77734375" style="17" customWidth="1"/>
    <col min="5890" max="5890" width="13.77734375" style="17" bestFit="1" customWidth="1"/>
    <col min="5891" max="5891" width="17.21875" style="17" customWidth="1"/>
    <col min="5892" max="5892" width="11" style="17" customWidth="1"/>
    <col min="5893" max="5893" width="12" style="17" bestFit="1" customWidth="1"/>
    <col min="5894" max="5894" width="14.77734375" style="17" customWidth="1"/>
    <col min="5895" max="6144" width="11.44140625" style="17"/>
    <col min="6145" max="6145" width="18.77734375" style="17" customWidth="1"/>
    <col min="6146" max="6146" width="13.77734375" style="17" bestFit="1" customWidth="1"/>
    <col min="6147" max="6147" width="17.21875" style="17" customWidth="1"/>
    <col min="6148" max="6148" width="11" style="17" customWidth="1"/>
    <col min="6149" max="6149" width="12" style="17" bestFit="1" customWidth="1"/>
    <col min="6150" max="6150" width="14.77734375" style="17" customWidth="1"/>
    <col min="6151" max="6400" width="11.44140625" style="17"/>
    <col min="6401" max="6401" width="18.77734375" style="17" customWidth="1"/>
    <col min="6402" max="6402" width="13.77734375" style="17" bestFit="1" customWidth="1"/>
    <col min="6403" max="6403" width="17.21875" style="17" customWidth="1"/>
    <col min="6404" max="6404" width="11" style="17" customWidth="1"/>
    <col min="6405" max="6405" width="12" style="17" bestFit="1" customWidth="1"/>
    <col min="6406" max="6406" width="14.77734375" style="17" customWidth="1"/>
    <col min="6407" max="6656" width="11.44140625" style="17"/>
    <col min="6657" max="6657" width="18.77734375" style="17" customWidth="1"/>
    <col min="6658" max="6658" width="13.77734375" style="17" bestFit="1" customWidth="1"/>
    <col min="6659" max="6659" width="17.21875" style="17" customWidth="1"/>
    <col min="6660" max="6660" width="11" style="17" customWidth="1"/>
    <col min="6661" max="6661" width="12" style="17" bestFit="1" customWidth="1"/>
    <col min="6662" max="6662" width="14.77734375" style="17" customWidth="1"/>
    <col min="6663" max="6912" width="11.44140625" style="17"/>
    <col min="6913" max="6913" width="18.77734375" style="17" customWidth="1"/>
    <col min="6914" max="6914" width="13.77734375" style="17" bestFit="1" customWidth="1"/>
    <col min="6915" max="6915" width="17.21875" style="17" customWidth="1"/>
    <col min="6916" max="6916" width="11" style="17" customWidth="1"/>
    <col min="6917" max="6917" width="12" style="17" bestFit="1" customWidth="1"/>
    <col min="6918" max="6918" width="14.77734375" style="17" customWidth="1"/>
    <col min="6919" max="7168" width="11.44140625" style="17"/>
    <col min="7169" max="7169" width="18.77734375" style="17" customWidth="1"/>
    <col min="7170" max="7170" width="13.77734375" style="17" bestFit="1" customWidth="1"/>
    <col min="7171" max="7171" width="17.21875" style="17" customWidth="1"/>
    <col min="7172" max="7172" width="11" style="17" customWidth="1"/>
    <col min="7173" max="7173" width="12" style="17" bestFit="1" customWidth="1"/>
    <col min="7174" max="7174" width="14.77734375" style="17" customWidth="1"/>
    <col min="7175" max="7424" width="11.44140625" style="17"/>
    <col min="7425" max="7425" width="18.77734375" style="17" customWidth="1"/>
    <col min="7426" max="7426" width="13.77734375" style="17" bestFit="1" customWidth="1"/>
    <col min="7427" max="7427" width="17.21875" style="17" customWidth="1"/>
    <col min="7428" max="7428" width="11" style="17" customWidth="1"/>
    <col min="7429" max="7429" width="12" style="17" bestFit="1" customWidth="1"/>
    <col min="7430" max="7430" width="14.77734375" style="17" customWidth="1"/>
    <col min="7431" max="7680" width="11.44140625" style="17"/>
    <col min="7681" max="7681" width="18.77734375" style="17" customWidth="1"/>
    <col min="7682" max="7682" width="13.77734375" style="17" bestFit="1" customWidth="1"/>
    <col min="7683" max="7683" width="17.21875" style="17" customWidth="1"/>
    <col min="7684" max="7684" width="11" style="17" customWidth="1"/>
    <col min="7685" max="7685" width="12" style="17" bestFit="1" customWidth="1"/>
    <col min="7686" max="7686" width="14.77734375" style="17" customWidth="1"/>
    <col min="7687" max="7936" width="11.44140625" style="17"/>
    <col min="7937" max="7937" width="18.77734375" style="17" customWidth="1"/>
    <col min="7938" max="7938" width="13.77734375" style="17" bestFit="1" customWidth="1"/>
    <col min="7939" max="7939" width="17.21875" style="17" customWidth="1"/>
    <col min="7940" max="7940" width="11" style="17" customWidth="1"/>
    <col min="7941" max="7941" width="12" style="17" bestFit="1" customWidth="1"/>
    <col min="7942" max="7942" width="14.77734375" style="17" customWidth="1"/>
    <col min="7943" max="8192" width="11.44140625" style="17"/>
    <col min="8193" max="8193" width="18.77734375" style="17" customWidth="1"/>
    <col min="8194" max="8194" width="13.77734375" style="17" bestFit="1" customWidth="1"/>
    <col min="8195" max="8195" width="17.21875" style="17" customWidth="1"/>
    <col min="8196" max="8196" width="11" style="17" customWidth="1"/>
    <col min="8197" max="8197" width="12" style="17" bestFit="1" customWidth="1"/>
    <col min="8198" max="8198" width="14.77734375" style="17" customWidth="1"/>
    <col min="8199" max="8448" width="11.44140625" style="17"/>
    <col min="8449" max="8449" width="18.77734375" style="17" customWidth="1"/>
    <col min="8450" max="8450" width="13.77734375" style="17" bestFit="1" customWidth="1"/>
    <col min="8451" max="8451" width="17.21875" style="17" customWidth="1"/>
    <col min="8452" max="8452" width="11" style="17" customWidth="1"/>
    <col min="8453" max="8453" width="12" style="17" bestFit="1" customWidth="1"/>
    <col min="8454" max="8454" width="14.77734375" style="17" customWidth="1"/>
    <col min="8455" max="8704" width="11.44140625" style="17"/>
    <col min="8705" max="8705" width="18.77734375" style="17" customWidth="1"/>
    <col min="8706" max="8706" width="13.77734375" style="17" bestFit="1" customWidth="1"/>
    <col min="8707" max="8707" width="17.21875" style="17" customWidth="1"/>
    <col min="8708" max="8708" width="11" style="17" customWidth="1"/>
    <col min="8709" max="8709" width="12" style="17" bestFit="1" customWidth="1"/>
    <col min="8710" max="8710" width="14.77734375" style="17" customWidth="1"/>
    <col min="8711" max="8960" width="11.44140625" style="17"/>
    <col min="8961" max="8961" width="18.77734375" style="17" customWidth="1"/>
    <col min="8962" max="8962" width="13.77734375" style="17" bestFit="1" customWidth="1"/>
    <col min="8963" max="8963" width="17.21875" style="17" customWidth="1"/>
    <col min="8964" max="8964" width="11" style="17" customWidth="1"/>
    <col min="8965" max="8965" width="12" style="17" bestFit="1" customWidth="1"/>
    <col min="8966" max="8966" width="14.77734375" style="17" customWidth="1"/>
    <col min="8967" max="9216" width="11.44140625" style="17"/>
    <col min="9217" max="9217" width="18.77734375" style="17" customWidth="1"/>
    <col min="9218" max="9218" width="13.77734375" style="17" bestFit="1" customWidth="1"/>
    <col min="9219" max="9219" width="17.21875" style="17" customWidth="1"/>
    <col min="9220" max="9220" width="11" style="17" customWidth="1"/>
    <col min="9221" max="9221" width="12" style="17" bestFit="1" customWidth="1"/>
    <col min="9222" max="9222" width="14.77734375" style="17" customWidth="1"/>
    <col min="9223" max="9472" width="11.44140625" style="17"/>
    <col min="9473" max="9473" width="18.77734375" style="17" customWidth="1"/>
    <col min="9474" max="9474" width="13.77734375" style="17" bestFit="1" customWidth="1"/>
    <col min="9475" max="9475" width="17.21875" style="17" customWidth="1"/>
    <col min="9476" max="9476" width="11" style="17" customWidth="1"/>
    <col min="9477" max="9477" width="12" style="17" bestFit="1" customWidth="1"/>
    <col min="9478" max="9478" width="14.77734375" style="17" customWidth="1"/>
    <col min="9479" max="9728" width="11.44140625" style="17"/>
    <col min="9729" max="9729" width="18.77734375" style="17" customWidth="1"/>
    <col min="9730" max="9730" width="13.77734375" style="17" bestFit="1" customWidth="1"/>
    <col min="9731" max="9731" width="17.21875" style="17" customWidth="1"/>
    <col min="9732" max="9732" width="11" style="17" customWidth="1"/>
    <col min="9733" max="9733" width="12" style="17" bestFit="1" customWidth="1"/>
    <col min="9734" max="9734" width="14.77734375" style="17" customWidth="1"/>
    <col min="9735" max="9984" width="11.44140625" style="17"/>
    <col min="9985" max="9985" width="18.77734375" style="17" customWidth="1"/>
    <col min="9986" max="9986" width="13.77734375" style="17" bestFit="1" customWidth="1"/>
    <col min="9987" max="9987" width="17.21875" style="17" customWidth="1"/>
    <col min="9988" max="9988" width="11" style="17" customWidth="1"/>
    <col min="9989" max="9989" width="12" style="17" bestFit="1" customWidth="1"/>
    <col min="9990" max="9990" width="14.77734375" style="17" customWidth="1"/>
    <col min="9991" max="10240" width="11.44140625" style="17"/>
    <col min="10241" max="10241" width="18.77734375" style="17" customWidth="1"/>
    <col min="10242" max="10242" width="13.77734375" style="17" bestFit="1" customWidth="1"/>
    <col min="10243" max="10243" width="17.21875" style="17" customWidth="1"/>
    <col min="10244" max="10244" width="11" style="17" customWidth="1"/>
    <col min="10245" max="10245" width="12" style="17" bestFit="1" customWidth="1"/>
    <col min="10246" max="10246" width="14.77734375" style="17" customWidth="1"/>
    <col min="10247" max="10496" width="11.44140625" style="17"/>
    <col min="10497" max="10497" width="18.77734375" style="17" customWidth="1"/>
    <col min="10498" max="10498" width="13.77734375" style="17" bestFit="1" customWidth="1"/>
    <col min="10499" max="10499" width="17.21875" style="17" customWidth="1"/>
    <col min="10500" max="10500" width="11" style="17" customWidth="1"/>
    <col min="10501" max="10501" width="12" style="17" bestFit="1" customWidth="1"/>
    <col min="10502" max="10502" width="14.77734375" style="17" customWidth="1"/>
    <col min="10503" max="10752" width="11.44140625" style="17"/>
    <col min="10753" max="10753" width="18.77734375" style="17" customWidth="1"/>
    <col min="10754" max="10754" width="13.77734375" style="17" bestFit="1" customWidth="1"/>
    <col min="10755" max="10755" width="17.21875" style="17" customWidth="1"/>
    <col min="10756" max="10756" width="11" style="17" customWidth="1"/>
    <col min="10757" max="10757" width="12" style="17" bestFit="1" customWidth="1"/>
    <col min="10758" max="10758" width="14.77734375" style="17" customWidth="1"/>
    <col min="10759" max="11008" width="11.44140625" style="17"/>
    <col min="11009" max="11009" width="18.77734375" style="17" customWidth="1"/>
    <col min="11010" max="11010" width="13.77734375" style="17" bestFit="1" customWidth="1"/>
    <col min="11011" max="11011" width="17.21875" style="17" customWidth="1"/>
    <col min="11012" max="11012" width="11" style="17" customWidth="1"/>
    <col min="11013" max="11013" width="12" style="17" bestFit="1" customWidth="1"/>
    <col min="11014" max="11014" width="14.77734375" style="17" customWidth="1"/>
    <col min="11015" max="11264" width="11.44140625" style="17"/>
    <col min="11265" max="11265" width="18.77734375" style="17" customWidth="1"/>
    <col min="11266" max="11266" width="13.77734375" style="17" bestFit="1" customWidth="1"/>
    <col min="11267" max="11267" width="17.21875" style="17" customWidth="1"/>
    <col min="11268" max="11268" width="11" style="17" customWidth="1"/>
    <col min="11269" max="11269" width="12" style="17" bestFit="1" customWidth="1"/>
    <col min="11270" max="11270" width="14.77734375" style="17" customWidth="1"/>
    <col min="11271" max="11520" width="11.44140625" style="17"/>
    <col min="11521" max="11521" width="18.77734375" style="17" customWidth="1"/>
    <col min="11522" max="11522" width="13.77734375" style="17" bestFit="1" customWidth="1"/>
    <col min="11523" max="11523" width="17.21875" style="17" customWidth="1"/>
    <col min="11524" max="11524" width="11" style="17" customWidth="1"/>
    <col min="11525" max="11525" width="12" style="17" bestFit="1" customWidth="1"/>
    <col min="11526" max="11526" width="14.77734375" style="17" customWidth="1"/>
    <col min="11527" max="11776" width="11.44140625" style="17"/>
    <col min="11777" max="11777" width="18.77734375" style="17" customWidth="1"/>
    <col min="11778" max="11778" width="13.77734375" style="17" bestFit="1" customWidth="1"/>
    <col min="11779" max="11779" width="17.21875" style="17" customWidth="1"/>
    <col min="11780" max="11780" width="11" style="17" customWidth="1"/>
    <col min="11781" max="11781" width="12" style="17" bestFit="1" customWidth="1"/>
    <col min="11782" max="11782" width="14.77734375" style="17" customWidth="1"/>
    <col min="11783" max="12032" width="11.44140625" style="17"/>
    <col min="12033" max="12033" width="18.77734375" style="17" customWidth="1"/>
    <col min="12034" max="12034" width="13.77734375" style="17" bestFit="1" customWidth="1"/>
    <col min="12035" max="12035" width="17.21875" style="17" customWidth="1"/>
    <col min="12036" max="12036" width="11" style="17" customWidth="1"/>
    <col min="12037" max="12037" width="12" style="17" bestFit="1" customWidth="1"/>
    <col min="12038" max="12038" width="14.77734375" style="17" customWidth="1"/>
    <col min="12039" max="12288" width="11.44140625" style="17"/>
    <col min="12289" max="12289" width="18.77734375" style="17" customWidth="1"/>
    <col min="12290" max="12290" width="13.77734375" style="17" bestFit="1" customWidth="1"/>
    <col min="12291" max="12291" width="17.21875" style="17" customWidth="1"/>
    <col min="12292" max="12292" width="11" style="17" customWidth="1"/>
    <col min="12293" max="12293" width="12" style="17" bestFit="1" customWidth="1"/>
    <col min="12294" max="12294" width="14.77734375" style="17" customWidth="1"/>
    <col min="12295" max="12544" width="11.44140625" style="17"/>
    <col min="12545" max="12545" width="18.77734375" style="17" customWidth="1"/>
    <col min="12546" max="12546" width="13.77734375" style="17" bestFit="1" customWidth="1"/>
    <col min="12547" max="12547" width="17.21875" style="17" customWidth="1"/>
    <col min="12548" max="12548" width="11" style="17" customWidth="1"/>
    <col min="12549" max="12549" width="12" style="17" bestFit="1" customWidth="1"/>
    <col min="12550" max="12550" width="14.77734375" style="17" customWidth="1"/>
    <col min="12551" max="12800" width="11.44140625" style="17"/>
    <col min="12801" max="12801" width="18.77734375" style="17" customWidth="1"/>
    <col min="12802" max="12802" width="13.77734375" style="17" bestFit="1" customWidth="1"/>
    <col min="12803" max="12803" width="17.21875" style="17" customWidth="1"/>
    <col min="12804" max="12804" width="11" style="17" customWidth="1"/>
    <col min="12805" max="12805" width="12" style="17" bestFit="1" customWidth="1"/>
    <col min="12806" max="12806" width="14.77734375" style="17" customWidth="1"/>
    <col min="12807" max="13056" width="11.44140625" style="17"/>
    <col min="13057" max="13057" width="18.77734375" style="17" customWidth="1"/>
    <col min="13058" max="13058" width="13.77734375" style="17" bestFit="1" customWidth="1"/>
    <col min="13059" max="13059" width="17.21875" style="17" customWidth="1"/>
    <col min="13060" max="13060" width="11" style="17" customWidth="1"/>
    <col min="13061" max="13061" width="12" style="17" bestFit="1" customWidth="1"/>
    <col min="13062" max="13062" width="14.77734375" style="17" customWidth="1"/>
    <col min="13063" max="13312" width="11.44140625" style="17"/>
    <col min="13313" max="13313" width="18.77734375" style="17" customWidth="1"/>
    <col min="13314" max="13314" width="13.77734375" style="17" bestFit="1" customWidth="1"/>
    <col min="13315" max="13315" width="17.21875" style="17" customWidth="1"/>
    <col min="13316" max="13316" width="11" style="17" customWidth="1"/>
    <col min="13317" max="13317" width="12" style="17" bestFit="1" customWidth="1"/>
    <col min="13318" max="13318" width="14.77734375" style="17" customWidth="1"/>
    <col min="13319" max="13568" width="11.44140625" style="17"/>
    <col min="13569" max="13569" width="18.77734375" style="17" customWidth="1"/>
    <col min="13570" max="13570" width="13.77734375" style="17" bestFit="1" customWidth="1"/>
    <col min="13571" max="13571" width="17.21875" style="17" customWidth="1"/>
    <col min="13572" max="13572" width="11" style="17" customWidth="1"/>
    <col min="13573" max="13573" width="12" style="17" bestFit="1" customWidth="1"/>
    <col min="13574" max="13574" width="14.77734375" style="17" customWidth="1"/>
    <col min="13575" max="13824" width="11.44140625" style="17"/>
    <col min="13825" max="13825" width="18.77734375" style="17" customWidth="1"/>
    <col min="13826" max="13826" width="13.77734375" style="17" bestFit="1" customWidth="1"/>
    <col min="13827" max="13827" width="17.21875" style="17" customWidth="1"/>
    <col min="13828" max="13828" width="11" style="17" customWidth="1"/>
    <col min="13829" max="13829" width="12" style="17" bestFit="1" customWidth="1"/>
    <col min="13830" max="13830" width="14.77734375" style="17" customWidth="1"/>
    <col min="13831" max="14080" width="11.44140625" style="17"/>
    <col min="14081" max="14081" width="18.77734375" style="17" customWidth="1"/>
    <col min="14082" max="14082" width="13.77734375" style="17" bestFit="1" customWidth="1"/>
    <col min="14083" max="14083" width="17.21875" style="17" customWidth="1"/>
    <col min="14084" max="14084" width="11" style="17" customWidth="1"/>
    <col min="14085" max="14085" width="12" style="17" bestFit="1" customWidth="1"/>
    <col min="14086" max="14086" width="14.77734375" style="17" customWidth="1"/>
    <col min="14087" max="14336" width="11.44140625" style="17"/>
    <col min="14337" max="14337" width="18.77734375" style="17" customWidth="1"/>
    <col min="14338" max="14338" width="13.77734375" style="17" bestFit="1" customWidth="1"/>
    <col min="14339" max="14339" width="17.21875" style="17" customWidth="1"/>
    <col min="14340" max="14340" width="11" style="17" customWidth="1"/>
    <col min="14341" max="14341" width="12" style="17" bestFit="1" customWidth="1"/>
    <col min="14342" max="14342" width="14.77734375" style="17" customWidth="1"/>
    <col min="14343" max="14592" width="11.44140625" style="17"/>
    <col min="14593" max="14593" width="18.77734375" style="17" customWidth="1"/>
    <col min="14594" max="14594" width="13.77734375" style="17" bestFit="1" customWidth="1"/>
    <col min="14595" max="14595" width="17.21875" style="17" customWidth="1"/>
    <col min="14596" max="14596" width="11" style="17" customWidth="1"/>
    <col min="14597" max="14597" width="12" style="17" bestFit="1" customWidth="1"/>
    <col min="14598" max="14598" width="14.77734375" style="17" customWidth="1"/>
    <col min="14599" max="14848" width="11.44140625" style="17"/>
    <col min="14849" max="14849" width="18.77734375" style="17" customWidth="1"/>
    <col min="14850" max="14850" width="13.77734375" style="17" bestFit="1" customWidth="1"/>
    <col min="14851" max="14851" width="17.21875" style="17" customWidth="1"/>
    <col min="14852" max="14852" width="11" style="17" customWidth="1"/>
    <col min="14853" max="14853" width="12" style="17" bestFit="1" customWidth="1"/>
    <col min="14854" max="14854" width="14.77734375" style="17" customWidth="1"/>
    <col min="14855" max="15104" width="11.44140625" style="17"/>
    <col min="15105" max="15105" width="18.77734375" style="17" customWidth="1"/>
    <col min="15106" max="15106" width="13.77734375" style="17" bestFit="1" customWidth="1"/>
    <col min="15107" max="15107" width="17.21875" style="17" customWidth="1"/>
    <col min="15108" max="15108" width="11" style="17" customWidth="1"/>
    <col min="15109" max="15109" width="12" style="17" bestFit="1" customWidth="1"/>
    <col min="15110" max="15110" width="14.77734375" style="17" customWidth="1"/>
    <col min="15111" max="15360" width="11.44140625" style="17"/>
    <col min="15361" max="15361" width="18.77734375" style="17" customWidth="1"/>
    <col min="15362" max="15362" width="13.77734375" style="17" bestFit="1" customWidth="1"/>
    <col min="15363" max="15363" width="17.21875" style="17" customWidth="1"/>
    <col min="15364" max="15364" width="11" style="17" customWidth="1"/>
    <col min="15365" max="15365" width="12" style="17" bestFit="1" customWidth="1"/>
    <col min="15366" max="15366" width="14.77734375" style="17" customWidth="1"/>
    <col min="15367" max="15616" width="11.44140625" style="17"/>
    <col min="15617" max="15617" width="18.77734375" style="17" customWidth="1"/>
    <col min="15618" max="15618" width="13.77734375" style="17" bestFit="1" customWidth="1"/>
    <col min="15619" max="15619" width="17.21875" style="17" customWidth="1"/>
    <col min="15620" max="15620" width="11" style="17" customWidth="1"/>
    <col min="15621" max="15621" width="12" style="17" bestFit="1" customWidth="1"/>
    <col min="15622" max="15622" width="14.77734375" style="17" customWidth="1"/>
    <col min="15623" max="15872" width="11.44140625" style="17"/>
    <col min="15873" max="15873" width="18.77734375" style="17" customWidth="1"/>
    <col min="15874" max="15874" width="13.77734375" style="17" bestFit="1" customWidth="1"/>
    <col min="15875" max="15875" width="17.21875" style="17" customWidth="1"/>
    <col min="15876" max="15876" width="11" style="17" customWidth="1"/>
    <col min="15877" max="15877" width="12" style="17" bestFit="1" customWidth="1"/>
    <col min="15878" max="15878" width="14.77734375" style="17" customWidth="1"/>
    <col min="15879" max="16128" width="11.44140625" style="17"/>
    <col min="16129" max="16129" width="18.77734375" style="17" customWidth="1"/>
    <col min="16130" max="16130" width="13.77734375" style="17" bestFit="1" customWidth="1"/>
    <col min="16131" max="16131" width="17.21875" style="17" customWidth="1"/>
    <col min="16132" max="16132" width="11" style="17" customWidth="1"/>
    <col min="16133" max="16133" width="12" style="17" bestFit="1" customWidth="1"/>
    <col min="16134" max="16134" width="14.77734375" style="17" customWidth="1"/>
    <col min="16135" max="16384" width="11.44140625" style="17"/>
  </cols>
  <sheetData>
    <row r="2" spans="1:11" x14ac:dyDescent="0.25">
      <c r="A2" s="17" t="s">
        <v>70</v>
      </c>
      <c r="B2" s="63">
        <f>'pooled normalised values'!B75</f>
        <v>0.14667051947282247</v>
      </c>
      <c r="D2" s="17" t="s">
        <v>9</v>
      </c>
      <c r="E2" s="18"/>
      <c r="F2" s="19" t="str">
        <f>'pooled normalised values'!J74</f>
        <v>BPA-2mg/L</v>
      </c>
      <c r="G2" s="18"/>
      <c r="H2" s="20"/>
      <c r="I2" s="19" t="str">
        <f>'pooled normalised values'!R74</f>
        <v>BPA-1mg/L + Testostérone</v>
      </c>
      <c r="J2" s="20"/>
      <c r="K2" s="17" t="s">
        <v>9</v>
      </c>
    </row>
    <row r="3" spans="1:11" x14ac:dyDescent="0.25">
      <c r="A3" s="17" t="s">
        <v>71</v>
      </c>
      <c r="B3" s="63">
        <f>'summary results'!E6</f>
        <v>0</v>
      </c>
      <c r="D3" s="21" t="s">
        <v>10</v>
      </c>
      <c r="E3" s="22"/>
      <c r="F3" s="19">
        <f>HLOOKUP(F2,'pooled normalised values'!B74:V83,2,FALSE)</f>
        <v>0.13088752662623473</v>
      </c>
      <c r="G3" s="22"/>
      <c r="H3" s="20"/>
      <c r="I3" s="19">
        <f>HLOOKUP(I2,'pooled normalised values'!N74:AL83,2,FALSE)</f>
        <v>1.5623906596752819</v>
      </c>
      <c r="J3" s="20"/>
      <c r="K3" s="21" t="s">
        <v>10</v>
      </c>
    </row>
    <row r="4" spans="1:11" x14ac:dyDescent="0.25">
      <c r="A4" s="17" t="s">
        <v>72</v>
      </c>
      <c r="B4" s="63">
        <f>'pooled normalised values'!O75</f>
        <v>1.0000000000000002</v>
      </c>
      <c r="D4" s="21" t="s">
        <v>2</v>
      </c>
      <c r="E4" s="22"/>
      <c r="F4" s="19">
        <f>HLOOKUP(F2,'pooled normalised values'!B74:V83,3,FALSE)</f>
        <v>4.6297894850398855E-2</v>
      </c>
      <c r="G4" s="22"/>
      <c r="H4" s="20"/>
      <c r="I4" s="19">
        <f>HLOOKUP(I2,'pooled normalised values'!N74:AL83,3,FALSE)</f>
        <v>0.40418974074974101</v>
      </c>
      <c r="J4" s="20"/>
      <c r="K4" s="21" t="s">
        <v>2</v>
      </c>
    </row>
    <row r="5" spans="1:11" x14ac:dyDescent="0.25">
      <c r="A5" s="17" t="s">
        <v>73</v>
      </c>
      <c r="B5" s="63">
        <f>'pooled normalised values'!P75</f>
        <v>7.9422768226667761</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0.19220220049028836</v>
      </c>
      <c r="D6" s="21" t="s">
        <v>12</v>
      </c>
      <c r="E6" s="24">
        <f>$B$2</f>
        <v>0.14667051947282247</v>
      </c>
      <c r="F6" s="24">
        <f>$B$2</f>
        <v>0.14667051947282247</v>
      </c>
      <c r="G6" s="24">
        <f>$B$2</f>
        <v>0.14667051947282247</v>
      </c>
      <c r="H6" s="25"/>
      <c r="I6" s="25"/>
      <c r="J6" s="25"/>
      <c r="K6" s="21" t="s">
        <v>12</v>
      </c>
    </row>
    <row r="7" spans="1:11" x14ac:dyDescent="0.25">
      <c r="B7" s="26"/>
      <c r="D7" s="26" t="s">
        <v>13</v>
      </c>
      <c r="E7" s="24"/>
      <c r="F7" s="24"/>
      <c r="G7" s="27"/>
      <c r="H7" s="25">
        <f t="shared" ref="H7:J7" si="0">$B$4</f>
        <v>1.0000000000000002</v>
      </c>
      <c r="I7" s="25">
        <f t="shared" si="0"/>
        <v>1.0000000000000002</v>
      </c>
      <c r="J7" s="25">
        <f t="shared" si="0"/>
        <v>1.0000000000000002</v>
      </c>
      <c r="K7" s="26" t="s">
        <v>13</v>
      </c>
    </row>
    <row r="8" spans="1:11" x14ac:dyDescent="0.25">
      <c r="D8" s="28" t="s">
        <v>14</v>
      </c>
      <c r="E8" s="24">
        <v>0</v>
      </c>
      <c r="F8" s="24">
        <v>0</v>
      </c>
      <c r="G8" s="27">
        <v>0</v>
      </c>
      <c r="H8" s="25">
        <f>$B$6</f>
        <v>0.19220220049028836</v>
      </c>
      <c r="I8" s="25">
        <f t="shared" ref="I8:J8" si="1">$B$6</f>
        <v>0.19220220049028836</v>
      </c>
      <c r="J8" s="25">
        <f t="shared" si="1"/>
        <v>0.19220220049028836</v>
      </c>
      <c r="K8" s="28" t="s">
        <v>14</v>
      </c>
    </row>
    <row r="9" spans="1:11" x14ac:dyDescent="0.25">
      <c r="D9" s="28" t="s">
        <v>15</v>
      </c>
      <c r="E9" s="29">
        <f>$B$3-E8</f>
        <v>0</v>
      </c>
      <c r="F9" s="29">
        <f>$B$3-F8</f>
        <v>0</v>
      </c>
      <c r="G9" s="29">
        <f>$B$3-G8</f>
        <v>0</v>
      </c>
      <c r="H9" s="25">
        <f>$B$5-H8</f>
        <v>7.7500746221764878</v>
      </c>
      <c r="I9" s="25">
        <f>$B$5-I8</f>
        <v>7.7500746221764878</v>
      </c>
      <c r="J9" s="25">
        <f>$B$5-J8</f>
        <v>7.7500746221764878</v>
      </c>
      <c r="K9" s="28" t="s">
        <v>15</v>
      </c>
    </row>
    <row r="10" spans="1:11" x14ac:dyDescent="0.25">
      <c r="D10" s="28" t="s">
        <v>16</v>
      </c>
      <c r="E10" s="27">
        <f t="shared" ref="E10:J10" si="2">2.5-E9</f>
        <v>2.5</v>
      </c>
      <c r="F10" s="27">
        <f t="shared" si="2"/>
        <v>2.5</v>
      </c>
      <c r="G10" s="27">
        <f t="shared" si="2"/>
        <v>2.5</v>
      </c>
      <c r="H10" s="25">
        <f t="shared" si="2"/>
        <v>-5.2500746221764878</v>
      </c>
      <c r="I10" s="25">
        <f t="shared" si="2"/>
        <v>-5.2500746221764878</v>
      </c>
      <c r="J10" s="25">
        <f t="shared" si="2"/>
        <v>-5.2500746221764878</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pageSetup paperSize="9" orientation="portrait" horizontalDpi="300" verticalDpi="300" r:id="rId1"/>
  <headerFooter>
    <oddFooter>&amp;C&amp;1#&amp;"Arial"&amp;10&amp;K000000Internal</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defaultColWidth="11.5546875" defaultRowHeight="14.4" x14ac:dyDescent="0.3"/>
  <cols>
    <col min="1" max="1" width="11.44140625" style="1"/>
    <col min="3" max="3" width="15.21875" customWidth="1"/>
    <col min="4" max="4" width="13.77734375" customWidth="1"/>
    <col min="5" max="5" width="18.21875" customWidth="1"/>
    <col min="6" max="6" width="14" customWidth="1"/>
    <col min="7" max="7" width="14.44140625" customWidth="1"/>
    <col min="8" max="8" width="14.21875" customWidth="1"/>
    <col min="9" max="9" width="17" customWidth="1"/>
    <col min="10" max="10" width="12.5546875" customWidth="1"/>
    <col min="11" max="11" width="13.21875" customWidth="1"/>
    <col min="12" max="12" width="15.77734375" customWidth="1"/>
    <col min="13" max="14" width="16.21875" customWidth="1"/>
    <col min="17" max="23" width="9.77734375" customWidth="1"/>
  </cols>
  <sheetData>
    <row r="1" spans="1:23" ht="29.4" thickBot="1" x14ac:dyDescent="0.35">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1" t="s">
        <v>99</v>
      </c>
      <c r="R1" s="231"/>
      <c r="S1" s="231"/>
      <c r="U1" s="231" t="s">
        <v>98</v>
      </c>
      <c r="V1" s="231"/>
      <c r="W1" s="231"/>
    </row>
    <row r="2" spans="1:23" x14ac:dyDescent="0.3">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3">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3">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3">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3">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pageSetup paperSize="9" orientation="portrait" horizontalDpi="300" verticalDpi="300" r:id="rId3"/>
  <headerFooter>
    <oddFooter>&amp;C&amp;1#&amp;"Arial"&amp;10&amp;K000000Internal</oddFooter>
  </headerFooter>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2206E2-0C12-4A48-8C82-7967F59662F5}">
  <ds:schemaRefs>
    <ds:schemaRef ds:uri="http://schemas.microsoft.com/sharepoint/v3/contenttype/forms"/>
  </ds:schemaRefs>
</ds:datastoreItem>
</file>

<file path=customXml/itemProps2.xml><?xml version="1.0" encoding="utf-8"?>
<ds:datastoreItem xmlns:ds="http://schemas.openxmlformats.org/officeDocument/2006/customXml" ds:itemID="{5A07430E-4B69-4771-BD7B-47F47B7032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14</vt:i4>
      </vt:variant>
      <vt:variant>
        <vt:lpstr>Charts</vt:lpstr>
      </vt:variant>
      <vt:variant>
        <vt:i4>4</vt:i4>
      </vt:variant>
      <vt:variant>
        <vt:lpstr>Named Ranges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R4</vt:lpstr>
      <vt:lpstr>Graph R2</vt:lpstr>
      <vt:lpstr>Graph R3</vt:lpstr>
      <vt:lpstr>pooled normalised graphe</vt:lpstr>
      <vt:lpstr>'Page de garde'!Print_Area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2022-12-22T12:34:41Z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2022-12-22T12:34:41Z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3ecae808-063d-4a2e-b422-d076ba0f38ce</vt:lpwstr>
  </property>
  <property fmtid="{D5CDD505-2E9C-101B-9397-08002B2CF9AE}" pid="8" name="MSIP_Label_06530cf4-8573-4c29-a912-bbcdac835909_ContentBits">
    <vt:lpwstr>2</vt:lpwstr>
  </property>
</Properties>
</file>