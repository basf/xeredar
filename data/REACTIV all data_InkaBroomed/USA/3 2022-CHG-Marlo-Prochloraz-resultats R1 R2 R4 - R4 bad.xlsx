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pivotTables/pivotTable2.xml" ContentType="application/vnd.openxmlformats-officedocument.spreadsheetml.pivotTable+xml"/>
  <Override PartName="/xl/tables/table4.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pivotTables/pivotTable3.xml" ContentType="application/vnd.openxmlformats-officedocument.spreadsheetml.pivotTable+xml"/>
  <Override PartName="/xl/tables/table5.xml" ContentType="application/vnd.openxmlformats-officedocument.spreadsheetml.table+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6.xml" ContentType="application/vnd.openxmlformats-officedocument.spreadsheetml.table+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ml.chartshapes+xml"/>
  <Override PartName="/xl/charts/chart10.xml" ContentType="application/vnd.openxmlformats-officedocument.drawingml.chart+xml"/>
  <Override PartName="/xl/drawings/drawing11.xml" ContentType="application/vnd.openxmlformats-officedocument.drawingml.chartshapes+xml"/>
  <Override PartName="/xl/charts/chart11.xml" ContentType="application/vnd.openxmlformats-officedocument.drawingml.chart+xml"/>
  <Override PartName="/xl/drawings/drawing12.xml" ContentType="application/vnd.openxmlformats-officedocument.drawingml.chartshapes+xml"/>
  <Override PartName="/xl/charts/chart12.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hidePivotFieldList="1" defaultThemeVersion="124226"/>
  <xr:revisionPtr revIDLastSave="19" documentId="13_ncr:1_{74BF789A-A840-4BDE-9B6F-B23D8F303F12}" xr6:coauthVersionLast="47" xr6:coauthVersionMax="47" xr10:uidLastSave="{F6C3788B-A8EC-495F-A5E3-CE4D000EC419}"/>
  <bookViews>
    <workbookView xWindow="-108" yWindow="-108" windowWidth="23256" windowHeight="12576" firstSheet="8" activeTab="9"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4"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91029"/>
  <pivotCaches>
    <pivotCache cacheId="0" r:id="rId20"/>
    <pivotCache cacheId="1" r:id="rId21"/>
    <pivotCache cacheId="2" r:id="rId22"/>
    <pivotCache cacheId="3" r:id="rId2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15" i="10"/>
  <c r="A7" i="22" s="1"/>
  <c r="A16" i="10"/>
  <c r="A8" i="22" s="1"/>
  <c r="A17" i="10"/>
  <c r="A9" i="22" s="1"/>
  <c r="A18" i="10"/>
  <c r="A10" i="22" s="1"/>
  <c r="A19" i="10"/>
  <c r="A11" i="22" s="1"/>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T35" i="33" s="1"/>
  <c r="T45" i="4" s="1"/>
  <c r="L23" i="33"/>
  <c r="J23" i="33"/>
  <c r="I23" i="33"/>
  <c r="H23" i="33"/>
  <c r="G23" i="33"/>
  <c r="F23" i="33"/>
  <c r="E23" i="33"/>
  <c r="D23" i="33"/>
  <c r="C23" i="33"/>
  <c r="B23" i="33"/>
  <c r="A22" i="33"/>
  <c r="H22" i="33"/>
  <c r="G45" i="33"/>
  <c r="F27" i="33"/>
  <c r="F52" i="33" s="1"/>
  <c r="E45" i="33"/>
  <c r="D22" i="33"/>
  <c r="C45" i="33"/>
  <c r="B45" i="33"/>
  <c r="P56" i="33"/>
  <c r="Q56" i="33"/>
  <c r="Q29" i="33" l="1"/>
  <c r="Q39" i="4" s="1"/>
  <c r="P33" i="33"/>
  <c r="P43" i="4" s="1"/>
  <c r="C28" i="33"/>
  <c r="C30" i="33"/>
  <c r="C40" i="4" s="1"/>
  <c r="Q33" i="33"/>
  <c r="Q43" i="4" s="1"/>
  <c r="H28" i="33"/>
  <c r="H38" i="4" s="1"/>
  <c r="P30" i="33"/>
  <c r="P40" i="4" s="1"/>
  <c r="P34" i="33"/>
  <c r="P44" i="4" s="1"/>
  <c r="P28" i="33"/>
  <c r="Q30" i="33"/>
  <c r="Q40" i="4" s="1"/>
  <c r="Q34" i="33"/>
  <c r="Q44" i="4" s="1"/>
  <c r="Q28" i="33"/>
  <c r="P31" i="33"/>
  <c r="P41" i="4" s="1"/>
  <c r="P35" i="33"/>
  <c r="P45" i="4" s="1"/>
  <c r="T28" i="33"/>
  <c r="T38" i="4" s="1"/>
  <c r="Q31" i="33"/>
  <c r="Q41" i="4" s="1"/>
  <c r="Q35" i="33"/>
  <c r="Q45" i="4" s="1"/>
  <c r="L29" i="33"/>
  <c r="L39" i="4" s="1"/>
  <c r="P32" i="33"/>
  <c r="P42" i="4" s="1"/>
  <c r="P29" i="33"/>
  <c r="P39" i="4" s="1"/>
  <c r="Q32" i="33"/>
  <c r="Q42" i="4" s="1"/>
  <c r="O43" i="33"/>
  <c r="O53" i="4" s="1"/>
  <c r="D35" i="33"/>
  <c r="D45" i="4" s="1"/>
  <c r="C32" i="33"/>
  <c r="C42" i="4" s="1"/>
  <c r="O42" i="33"/>
  <c r="O52" i="4" s="1"/>
  <c r="L31" i="33"/>
  <c r="L41" i="4" s="1"/>
  <c r="H30" i="33"/>
  <c r="H40" i="4" s="1"/>
  <c r="T30" i="33"/>
  <c r="T40" i="4" s="1"/>
  <c r="H32" i="33"/>
  <c r="H42" i="4" s="1"/>
  <c r="T32" i="33"/>
  <c r="T42" i="4" s="1"/>
  <c r="K28" i="33"/>
  <c r="D29" i="33"/>
  <c r="D39" i="4" s="1"/>
  <c r="K30" i="33"/>
  <c r="K40" i="4" s="1"/>
  <c r="D31" i="33"/>
  <c r="D41" i="4" s="1"/>
  <c r="K32" i="33"/>
  <c r="K42" i="4" s="1"/>
  <c r="G33" i="33"/>
  <c r="G43" i="4" s="1"/>
  <c r="T33" i="33"/>
  <c r="T43" i="4" s="1"/>
  <c r="O36" i="33"/>
  <c r="O46" i="4" s="1"/>
  <c r="O37" i="33"/>
  <c r="O47" i="4" s="1"/>
  <c r="O38" i="33"/>
  <c r="O48" i="4" s="1"/>
  <c r="O39" i="33"/>
  <c r="O49" i="4" s="1"/>
  <c r="O40" i="33"/>
  <c r="O50" i="4" s="1"/>
  <c r="O41" i="33"/>
  <c r="O51" i="4" s="1"/>
  <c r="G29" i="33"/>
  <c r="G39" i="4" s="1"/>
  <c r="U29" i="33"/>
  <c r="U39" i="4" s="1"/>
  <c r="G31" i="33"/>
  <c r="G41" i="4" s="1"/>
  <c r="U31" i="33"/>
  <c r="U41" i="4" s="1"/>
  <c r="K33" i="33"/>
  <c r="K43" i="4" s="1"/>
  <c r="C34" i="33"/>
  <c r="C44" i="4" s="1"/>
  <c r="O35" i="33"/>
  <c r="O45" i="4" s="1"/>
  <c r="G35" i="33"/>
  <c r="G45" i="4" s="1"/>
  <c r="D28" i="33"/>
  <c r="L28" i="33"/>
  <c r="L38" i="4" s="1"/>
  <c r="U28" i="33"/>
  <c r="H29" i="33"/>
  <c r="D30" i="33"/>
  <c r="D40" i="4" s="1"/>
  <c r="L30" i="33"/>
  <c r="L40" i="4" s="1"/>
  <c r="U30" i="33"/>
  <c r="U40" i="4" s="1"/>
  <c r="H31" i="33"/>
  <c r="H41" i="4" s="1"/>
  <c r="D32" i="33"/>
  <c r="D42" i="4" s="1"/>
  <c r="L32" i="33"/>
  <c r="L42" i="4" s="1"/>
  <c r="U32" i="33"/>
  <c r="U42" i="4" s="1"/>
  <c r="G34" i="33"/>
  <c r="G44" i="4" s="1"/>
  <c r="T34" i="33"/>
  <c r="T44" i="4" s="1"/>
  <c r="K35" i="33"/>
  <c r="K45" i="4" s="1"/>
  <c r="S35" i="33"/>
  <c r="S45" i="4" s="1"/>
  <c r="J35" i="33"/>
  <c r="J45" i="4" s="1"/>
  <c r="F35" i="33"/>
  <c r="F45" i="4" s="1"/>
  <c r="B35" i="33"/>
  <c r="B45" i="4" s="1"/>
  <c r="S34" i="33"/>
  <c r="S44" i="4" s="1"/>
  <c r="O34" i="33"/>
  <c r="O44" i="4" s="1"/>
  <c r="J34" i="33"/>
  <c r="J44" i="4" s="1"/>
  <c r="F34" i="33"/>
  <c r="F44" i="4" s="1"/>
  <c r="B34" i="33"/>
  <c r="B44" i="4" s="1"/>
  <c r="S33" i="33"/>
  <c r="S43" i="4" s="1"/>
  <c r="O33" i="33"/>
  <c r="O43" i="4" s="1"/>
  <c r="J33" i="33"/>
  <c r="J43" i="4" s="1"/>
  <c r="F33" i="33"/>
  <c r="F43" i="4" s="1"/>
  <c r="B33" i="33"/>
  <c r="B43" i="4" s="1"/>
  <c r="S32" i="33"/>
  <c r="S42" i="4" s="1"/>
  <c r="O32" i="33"/>
  <c r="O42" i="4" s="1"/>
  <c r="J32" i="33"/>
  <c r="J42" i="4" s="1"/>
  <c r="F32" i="33"/>
  <c r="F42" i="4" s="1"/>
  <c r="B32" i="33"/>
  <c r="B42" i="4" s="1"/>
  <c r="S31" i="33"/>
  <c r="S41" i="4" s="1"/>
  <c r="O31" i="33"/>
  <c r="O41" i="4" s="1"/>
  <c r="J31" i="33"/>
  <c r="J41" i="4" s="1"/>
  <c r="F31" i="33"/>
  <c r="F41" i="4" s="1"/>
  <c r="B31" i="33"/>
  <c r="B41" i="4" s="1"/>
  <c r="S30" i="33"/>
  <c r="S40" i="4" s="1"/>
  <c r="O30" i="33"/>
  <c r="O40" i="4" s="1"/>
  <c r="J30" i="33"/>
  <c r="J40" i="4" s="1"/>
  <c r="F30" i="33"/>
  <c r="F40" i="4" s="1"/>
  <c r="B30" i="33"/>
  <c r="B40" i="4" s="1"/>
  <c r="S29" i="33"/>
  <c r="S39" i="4" s="1"/>
  <c r="O29" i="33"/>
  <c r="O39" i="4" s="1"/>
  <c r="J29" i="33"/>
  <c r="J39" i="4" s="1"/>
  <c r="F29" i="33"/>
  <c r="F39" i="4" s="1"/>
  <c r="B29" i="33"/>
  <c r="B39" i="4" s="1"/>
  <c r="S28" i="33"/>
  <c r="S38" i="4" s="1"/>
  <c r="O28" i="33"/>
  <c r="O38" i="4" s="1"/>
  <c r="J28" i="33"/>
  <c r="J38" i="4" s="1"/>
  <c r="F28" i="33"/>
  <c r="F38" i="4" s="1"/>
  <c r="B28" i="33"/>
  <c r="B38" i="4" s="1"/>
  <c r="R35" i="33"/>
  <c r="R45" i="4" s="1"/>
  <c r="M35" i="33"/>
  <c r="M45" i="4" s="1"/>
  <c r="I35" i="33"/>
  <c r="I45" i="4" s="1"/>
  <c r="E35" i="33"/>
  <c r="E45" i="4" s="1"/>
  <c r="V34" i="33"/>
  <c r="V44" i="4" s="1"/>
  <c r="R34" i="33"/>
  <c r="R44" i="4" s="1"/>
  <c r="M34" i="33"/>
  <c r="M44" i="4" s="1"/>
  <c r="I34" i="33"/>
  <c r="I44" i="4" s="1"/>
  <c r="E34" i="33"/>
  <c r="E44" i="4" s="1"/>
  <c r="V33" i="33"/>
  <c r="V43" i="4" s="1"/>
  <c r="R33" i="33"/>
  <c r="R43" i="4" s="1"/>
  <c r="M33" i="33"/>
  <c r="M43" i="4" s="1"/>
  <c r="I33" i="33"/>
  <c r="I43" i="4" s="1"/>
  <c r="E33" i="33"/>
  <c r="E43" i="4" s="1"/>
  <c r="V32" i="33"/>
  <c r="V42" i="4" s="1"/>
  <c r="R32" i="33"/>
  <c r="R42" i="4" s="1"/>
  <c r="M32" i="33"/>
  <c r="M42" i="4" s="1"/>
  <c r="I32" i="33"/>
  <c r="I42" i="4" s="1"/>
  <c r="E32" i="33"/>
  <c r="E42" i="4" s="1"/>
  <c r="V31" i="33"/>
  <c r="V41" i="4" s="1"/>
  <c r="R31" i="33"/>
  <c r="R41" i="4" s="1"/>
  <c r="M31" i="33"/>
  <c r="M41" i="4" s="1"/>
  <c r="I31" i="33"/>
  <c r="I41" i="4" s="1"/>
  <c r="E31" i="33"/>
  <c r="E41" i="4" s="1"/>
  <c r="V30" i="33"/>
  <c r="V40" i="4" s="1"/>
  <c r="R30" i="33"/>
  <c r="R40" i="4" s="1"/>
  <c r="M30" i="33"/>
  <c r="M40" i="4" s="1"/>
  <c r="I30" i="33"/>
  <c r="I40" i="4" s="1"/>
  <c r="E30" i="33"/>
  <c r="E40" i="4" s="1"/>
  <c r="V29" i="33"/>
  <c r="V39" i="4" s="1"/>
  <c r="R29" i="33"/>
  <c r="R39" i="4" s="1"/>
  <c r="M29" i="33"/>
  <c r="M39" i="4" s="1"/>
  <c r="I29" i="33"/>
  <c r="I39" i="4" s="1"/>
  <c r="E29" i="33"/>
  <c r="E39" i="4" s="1"/>
  <c r="V28" i="33"/>
  <c r="V38" i="4" s="1"/>
  <c r="R28" i="33"/>
  <c r="R38" i="4" s="1"/>
  <c r="M28" i="33"/>
  <c r="M38" i="4" s="1"/>
  <c r="I28" i="33"/>
  <c r="I38" i="4" s="1"/>
  <c r="E28" i="33"/>
  <c r="E38" i="4" s="1"/>
  <c r="U35" i="33"/>
  <c r="U45" i="4" s="1"/>
  <c r="L35" i="33"/>
  <c r="L45" i="4" s="1"/>
  <c r="H35" i="33"/>
  <c r="H45" i="4" s="1"/>
  <c r="U33" i="33"/>
  <c r="U43" i="4" s="1"/>
  <c r="L33" i="33"/>
  <c r="L43" i="4" s="1"/>
  <c r="H33" i="33"/>
  <c r="H43" i="4" s="1"/>
  <c r="D33" i="33"/>
  <c r="D43" i="4" s="1"/>
  <c r="V35" i="33"/>
  <c r="V45" i="4" s="1"/>
  <c r="U34" i="33"/>
  <c r="U44" i="4" s="1"/>
  <c r="L34" i="33"/>
  <c r="L44" i="4" s="1"/>
  <c r="H34" i="33"/>
  <c r="H44" i="4" s="1"/>
  <c r="D34" i="33"/>
  <c r="D44" i="4" s="1"/>
  <c r="G28" i="33"/>
  <c r="G38" i="4" s="1"/>
  <c r="C29" i="33"/>
  <c r="K29" i="33"/>
  <c r="T29" i="33"/>
  <c r="G30" i="33"/>
  <c r="G40" i="4" s="1"/>
  <c r="C31" i="33"/>
  <c r="C41" i="4" s="1"/>
  <c r="K31" i="33"/>
  <c r="K41" i="4" s="1"/>
  <c r="T31" i="33"/>
  <c r="T41" i="4" s="1"/>
  <c r="G32" i="33"/>
  <c r="G42" i="4" s="1"/>
  <c r="C33" i="33"/>
  <c r="C43" i="4" s="1"/>
  <c r="K34" i="33"/>
  <c r="K44" i="4" s="1"/>
  <c r="C35" i="33"/>
  <c r="C45" i="4" s="1"/>
  <c r="D38" i="4"/>
  <c r="B22" i="33"/>
  <c r="E22" i="33"/>
  <c r="I45" i="33"/>
  <c r="I52" i="33"/>
  <c r="I27" i="33"/>
  <c r="C38" i="4"/>
  <c r="K38" i="4"/>
  <c r="P38" i="4"/>
  <c r="P47" i="33"/>
  <c r="P48" i="33" s="1"/>
  <c r="P54" i="33" s="1"/>
  <c r="B27" i="33"/>
  <c r="B52" i="33" s="1"/>
  <c r="Q47" i="33"/>
  <c r="Q48" i="33" s="1"/>
  <c r="Q54" i="33" s="1"/>
  <c r="Q38" i="4"/>
  <c r="D27" i="33"/>
  <c r="D52" i="33" s="1"/>
  <c r="I22" i="33"/>
  <c r="E27" i="33"/>
  <c r="E52" i="33" s="1"/>
  <c r="D45" i="33"/>
  <c r="P57" i="33"/>
  <c r="Q57" i="33"/>
  <c r="Q46" i="33"/>
  <c r="Q53" i="33" s="1"/>
  <c r="F22" i="33"/>
  <c r="F45" i="33"/>
  <c r="G22" i="33"/>
  <c r="G27" i="33"/>
  <c r="G52" i="33" s="1"/>
  <c r="C22" i="33"/>
  <c r="C27" i="33"/>
  <c r="C52" i="33" s="1"/>
  <c r="H27" i="33"/>
  <c r="H52" i="33" s="1"/>
  <c r="H45" i="33"/>
  <c r="C56" i="33"/>
  <c r="U56" i="33"/>
  <c r="L56" i="33"/>
  <c r="B56" i="33"/>
  <c r="T56" i="33"/>
  <c r="V56" i="33"/>
  <c r="R56" i="33"/>
  <c r="I56" i="33"/>
  <c r="D56" i="33"/>
  <c r="M56" i="33"/>
  <c r="O56" i="33"/>
  <c r="E56" i="33"/>
  <c r="K56" i="33"/>
  <c r="F56" i="33"/>
  <c r="S56" i="33"/>
  <c r="J56" i="33"/>
  <c r="G56" i="33"/>
  <c r="H56" i="33"/>
  <c r="P46" i="33" l="1"/>
  <c r="P53" i="33" s="1"/>
  <c r="L46" i="33"/>
  <c r="L53" i="33" s="1"/>
  <c r="K46" i="33"/>
  <c r="K53" i="33" s="1"/>
  <c r="U46" i="33"/>
  <c r="U53" i="33" s="1"/>
  <c r="C47" i="33"/>
  <c r="C48" i="33" s="1"/>
  <c r="C54" i="33" s="1"/>
  <c r="E46" i="33"/>
  <c r="E53" i="33" s="1"/>
  <c r="G46" i="33"/>
  <c r="G53" i="33" s="1"/>
  <c r="C46" i="33"/>
  <c r="C53" i="33" s="1"/>
  <c r="T47" i="33"/>
  <c r="T48" i="33" s="1"/>
  <c r="T54" i="33" s="1"/>
  <c r="D46" i="33"/>
  <c r="D53" i="33" s="1"/>
  <c r="F46" i="33"/>
  <c r="F53" i="33" s="1"/>
  <c r="V46" i="33"/>
  <c r="V53" i="33" s="1"/>
  <c r="L47" i="33"/>
  <c r="L48" i="33" s="1"/>
  <c r="L54" i="33" s="1"/>
  <c r="G47" i="33"/>
  <c r="G48" i="33" s="1"/>
  <c r="G54" i="33" s="1"/>
  <c r="M46" i="33"/>
  <c r="M53" i="33" s="1"/>
  <c r="J47" i="33"/>
  <c r="J48" i="33" s="1"/>
  <c r="J54" i="33" s="1"/>
  <c r="T46" i="33"/>
  <c r="T53" i="33" s="1"/>
  <c r="C57" i="33"/>
  <c r="M57" i="33"/>
  <c r="O57" i="33"/>
  <c r="P59" i="33" s="1"/>
  <c r="L57" i="33"/>
  <c r="K57" i="33"/>
  <c r="G57" i="33"/>
  <c r="R57" i="33"/>
  <c r="B57" i="33"/>
  <c r="S57" i="33"/>
  <c r="D57" i="33"/>
  <c r="I57" i="33"/>
  <c r="J57" i="33"/>
  <c r="U57" i="33"/>
  <c r="T57" i="33"/>
  <c r="E57" i="33"/>
  <c r="V57" i="33"/>
  <c r="F57" i="33"/>
  <c r="H57" i="33"/>
  <c r="C39" i="4"/>
  <c r="K39" i="4"/>
  <c r="V47" i="33"/>
  <c r="V48" i="33" s="1"/>
  <c r="V54" i="33" s="1"/>
  <c r="M47" i="33"/>
  <c r="M48" i="33" s="1"/>
  <c r="M54" i="33" s="1"/>
  <c r="E47" i="33"/>
  <c r="E48" i="33" s="1"/>
  <c r="E54" i="33" s="1"/>
  <c r="H47" i="33"/>
  <c r="H48" i="33" s="1"/>
  <c r="H54" i="33" s="1"/>
  <c r="O46" i="33"/>
  <c r="O53" i="33" s="1"/>
  <c r="O55" i="33" s="1"/>
  <c r="J46" i="33"/>
  <c r="J53" i="33" s="1"/>
  <c r="R46" i="33"/>
  <c r="R53" i="33" s="1"/>
  <c r="B46" i="33"/>
  <c r="B53" i="33" s="1"/>
  <c r="H46" i="33"/>
  <c r="H53" i="33" s="1"/>
  <c r="S47" i="33"/>
  <c r="S48" i="33" s="1"/>
  <c r="S54" i="33" s="1"/>
  <c r="O47" i="33"/>
  <c r="O48" i="33" s="1"/>
  <c r="O54" i="33" s="1"/>
  <c r="K47" i="33"/>
  <c r="K48" i="33" s="1"/>
  <c r="K54" i="33" s="1"/>
  <c r="I46" i="33"/>
  <c r="I53" i="33" s="1"/>
  <c r="R47" i="33"/>
  <c r="R48" i="33" s="1"/>
  <c r="R54" i="33" s="1"/>
  <c r="I47" i="33"/>
  <c r="I48" i="33" s="1"/>
  <c r="I54" i="33" s="1"/>
  <c r="B47" i="33"/>
  <c r="B48" i="33" s="1"/>
  <c r="B54" i="33" s="1"/>
  <c r="U47" i="33"/>
  <c r="U48" i="33" s="1"/>
  <c r="U54" i="33" s="1"/>
  <c r="D47" i="33"/>
  <c r="D48" i="33" s="1"/>
  <c r="D54" i="33" s="1"/>
  <c r="S46" i="33"/>
  <c r="S53" i="33" s="1"/>
  <c r="F47" i="33"/>
  <c r="F48" i="33" s="1"/>
  <c r="F54" i="33" s="1"/>
  <c r="U38" i="4"/>
  <c r="T39" i="4"/>
  <c r="H39" i="4"/>
  <c r="T59" i="33" l="1"/>
  <c r="M55" i="33"/>
  <c r="S59" i="33"/>
  <c r="S60" i="33" s="1"/>
  <c r="B64" i="33"/>
  <c r="R59" i="33"/>
  <c r="R60" i="33" s="1"/>
  <c r="V55" i="33"/>
  <c r="F59" i="33"/>
  <c r="F60" i="33" s="1"/>
  <c r="F61" i="33" s="1"/>
  <c r="U59" i="33"/>
  <c r="U60" i="33" s="1"/>
  <c r="T55" i="33"/>
  <c r="P55" i="33"/>
  <c r="R55" i="33"/>
  <c r="Q55" i="33"/>
  <c r="S55" i="33"/>
  <c r="U55" i="33"/>
  <c r="E59" i="33"/>
  <c r="E60" i="33" s="1"/>
  <c r="H59" i="33"/>
  <c r="H60" i="33" s="1"/>
  <c r="H61" i="33" s="1"/>
  <c r="J59" i="33"/>
  <c r="J60" i="33" s="1"/>
  <c r="B65" i="33"/>
  <c r="D59" i="33"/>
  <c r="D60" i="33" s="1"/>
  <c r="V59" i="33"/>
  <c r="V60" i="33" s="1"/>
  <c r="C59" i="33"/>
  <c r="C60" i="33" s="1"/>
  <c r="G59" i="33"/>
  <c r="G60" i="33" s="1"/>
  <c r="I59" i="33"/>
  <c r="I60" i="33" s="1"/>
  <c r="L59" i="33"/>
  <c r="L60" i="33" s="1"/>
  <c r="L61" i="33" s="1"/>
  <c r="O59" i="33"/>
  <c r="O60" i="33" s="1"/>
  <c r="Q59" i="33"/>
  <c r="Q60" i="33" s="1"/>
  <c r="K59" i="33"/>
  <c r="K60" i="33" s="1"/>
  <c r="K61" i="33" s="1"/>
  <c r="M59" i="33"/>
  <c r="M60" i="33" s="1"/>
  <c r="D55" i="33"/>
  <c r="B55" i="33"/>
  <c r="K55" i="33"/>
  <c r="L55" i="33"/>
  <c r="G55" i="33"/>
  <c r="F55" i="33"/>
  <c r="C55" i="33"/>
  <c r="J55" i="33"/>
  <c r="H55" i="33"/>
  <c r="I55" i="33"/>
  <c r="E55" i="33"/>
  <c r="P60" i="33"/>
  <c r="T60" i="33"/>
  <c r="C61" i="33" l="1"/>
  <c r="V61" i="33"/>
  <c r="U61" i="33"/>
  <c r="T61" i="33"/>
  <c r="S61" i="33"/>
  <c r="R61" i="33"/>
  <c r="M61" i="33"/>
  <c r="I61" i="33"/>
  <c r="E61" i="33"/>
  <c r="J61" i="33"/>
  <c r="Q61" i="33"/>
  <c r="P61" i="33"/>
  <c r="O61" i="33"/>
  <c r="D61" i="33"/>
  <c r="G61" i="33"/>
  <c r="M4" i="33"/>
  <c r="L4" i="33" l="1"/>
  <c r="L22" i="33" s="1"/>
  <c r="K4" i="33"/>
  <c r="K22" i="33" s="1"/>
  <c r="J4" i="33"/>
  <c r="J52" i="33" s="1"/>
  <c r="M45" i="33"/>
  <c r="M52" i="33"/>
  <c r="M27" i="33"/>
  <c r="M22" i="33"/>
  <c r="K52" i="33" l="1"/>
  <c r="K45"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U28" i="23"/>
  <c r="U22" i="4" s="1"/>
  <c r="V28" i="23"/>
  <c r="R29" i="23"/>
  <c r="R23" i="4" s="1"/>
  <c r="U29" i="23"/>
  <c r="U23" i="4" s="1"/>
  <c r="S30" i="23"/>
  <c r="S24" i="4" s="1"/>
  <c r="T30" i="23"/>
  <c r="T24" i="4" s="1"/>
  <c r="U30" i="23"/>
  <c r="U24" i="4" s="1"/>
  <c r="S31" i="23"/>
  <c r="S25" i="4" s="1"/>
  <c r="V31" i="23"/>
  <c r="V25" i="4" s="1"/>
  <c r="R32" i="23"/>
  <c r="R26" i="4" s="1"/>
  <c r="S32" i="23"/>
  <c r="S26" i="4" s="1"/>
  <c r="V32" i="23"/>
  <c r="V26" i="4" s="1"/>
  <c r="T33" i="23"/>
  <c r="U33" i="23"/>
  <c r="U27" i="4" s="1"/>
  <c r="V33" i="23"/>
  <c r="V27" i="4" s="1"/>
  <c r="T34" i="23"/>
  <c r="T28" i="4" s="1"/>
  <c r="R35" i="23"/>
  <c r="R29" i="4" s="1"/>
  <c r="S35" i="23"/>
  <c r="S29" i="4" s="1"/>
  <c r="T35" i="23"/>
  <c r="T29" i="4" s="1"/>
  <c r="P36" i="23"/>
  <c r="P30" i="4" s="1"/>
  <c r="Q36" i="23"/>
  <c r="Q30" i="4" s="1"/>
  <c r="R36" i="23"/>
  <c r="R30" i="4" s="1"/>
  <c r="S36" i="23"/>
  <c r="S30" i="4" s="1"/>
  <c r="T36" i="23"/>
  <c r="T30" i="4" s="1"/>
  <c r="U36" i="23"/>
  <c r="U30" i="4" s="1"/>
  <c r="V36" i="23"/>
  <c r="V30" i="4" s="1"/>
  <c r="P37" i="23"/>
  <c r="P31" i="4" s="1"/>
  <c r="Q37" i="23"/>
  <c r="Q31" i="4" s="1"/>
  <c r="R37" i="23"/>
  <c r="R31" i="4" s="1"/>
  <c r="S37" i="23"/>
  <c r="S31" i="4" s="1"/>
  <c r="T37" i="23"/>
  <c r="T31" i="4" s="1"/>
  <c r="U37" i="23"/>
  <c r="U31" i="4" s="1"/>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V39" i="23"/>
  <c r="V33" i="4" s="1"/>
  <c r="P40" i="23"/>
  <c r="P34" i="4" s="1"/>
  <c r="Q40" i="23"/>
  <c r="Q34" i="4" s="1"/>
  <c r="R40" i="23"/>
  <c r="R34" i="4" s="1"/>
  <c r="S40" i="23"/>
  <c r="S34" i="4" s="1"/>
  <c r="T40" i="23"/>
  <c r="T34" i="4" s="1"/>
  <c r="U40" i="23"/>
  <c r="U34" i="4" s="1"/>
  <c r="V40" i="23"/>
  <c r="V34" i="4" s="1"/>
  <c r="P41" i="23"/>
  <c r="P35" i="4" s="1"/>
  <c r="Q41" i="23"/>
  <c r="Q35" i="4" s="1"/>
  <c r="R41" i="23"/>
  <c r="R35" i="4" s="1"/>
  <c r="S41" i="23"/>
  <c r="S35" i="4" s="1"/>
  <c r="T41" i="23"/>
  <c r="T35" i="4" s="1"/>
  <c r="U41" i="23"/>
  <c r="U35" i="4" s="1"/>
  <c r="V41" i="23"/>
  <c r="V35" i="4" s="1"/>
  <c r="P42" i="23"/>
  <c r="P36" i="4" s="1"/>
  <c r="Q42" i="23"/>
  <c r="Q36" i="4" s="1"/>
  <c r="R42" i="23"/>
  <c r="R36" i="4" s="1"/>
  <c r="S42" i="23"/>
  <c r="T42" i="23"/>
  <c r="T36" i="4" s="1"/>
  <c r="U42" i="23"/>
  <c r="U36" i="4" s="1"/>
  <c r="V42" i="23"/>
  <c r="V36" i="4" s="1"/>
  <c r="P43" i="23"/>
  <c r="Q43" i="23"/>
  <c r="Q37" i="4" s="1"/>
  <c r="R43" i="23"/>
  <c r="S43" i="23"/>
  <c r="T43" i="23"/>
  <c r="U43" i="23"/>
  <c r="U37" i="4" s="1"/>
  <c r="V43" i="23"/>
  <c r="L28" i="23"/>
  <c r="L32" i="23"/>
  <c r="L26" i="4" s="1"/>
  <c r="M33" i="23"/>
  <c r="M27" i="4" s="1"/>
  <c r="K35" i="23"/>
  <c r="K29" i="4" s="1"/>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V29" i="1"/>
  <c r="V7" i="4" s="1"/>
  <c r="V31" i="1"/>
  <c r="V9" i="4" s="1"/>
  <c r="V33" i="1"/>
  <c r="V11" i="4" s="1"/>
  <c r="V35" i="1"/>
  <c r="V13" i="4" s="1"/>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I43" i="23"/>
  <c r="H43" i="23"/>
  <c r="G43" i="23"/>
  <c r="F43" i="23"/>
  <c r="E43" i="23"/>
  <c r="D43" i="23"/>
  <c r="C43" i="23"/>
  <c r="B43" i="23"/>
  <c r="S36" i="4"/>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U33" i="4"/>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F29" i="23"/>
  <c r="F23" i="4" s="1"/>
  <c r="C28" i="23"/>
  <c r="J29" i="23"/>
  <c r="J23" i="4" s="1"/>
  <c r="J40" i="23"/>
  <c r="J34" i="4" s="1"/>
  <c r="J36" i="23"/>
  <c r="J30" i="4" s="1"/>
  <c r="G35" i="23"/>
  <c r="G29" i="4" s="1"/>
  <c r="H34" i="23"/>
  <c r="H28" i="4" s="1"/>
  <c r="I33" i="23"/>
  <c r="I27" i="4" s="1"/>
  <c r="J32" i="23"/>
  <c r="J26" i="4" s="1"/>
  <c r="G31" i="23"/>
  <c r="G25" i="4" s="1"/>
  <c r="H30" i="23"/>
  <c r="H24" i="4" s="1"/>
  <c r="I29" i="23"/>
  <c r="I23" i="4" s="1"/>
  <c r="E29" i="23"/>
  <c r="E23" i="4" s="1"/>
  <c r="J28" i="23"/>
  <c r="F28" i="23"/>
  <c r="J42" i="23"/>
  <c r="J36" i="4" s="1"/>
  <c r="J38" i="23"/>
  <c r="J32" i="4" s="1"/>
  <c r="J34" i="23"/>
  <c r="J28" i="4" s="1"/>
  <c r="F34" i="23"/>
  <c r="F28" i="4" s="1"/>
  <c r="H32" i="23"/>
  <c r="H26" i="4" s="1"/>
  <c r="I31" i="23"/>
  <c r="I25" i="4" s="1"/>
  <c r="E31" i="23"/>
  <c r="E25" i="4" s="1"/>
  <c r="J30" i="23"/>
  <c r="J24" i="4" s="1"/>
  <c r="F30" i="23"/>
  <c r="F24" i="4" s="1"/>
  <c r="D28" i="23"/>
  <c r="J41" i="23"/>
  <c r="J35" i="4" s="1"/>
  <c r="J37" i="23"/>
  <c r="J31" i="4" s="1"/>
  <c r="H35" i="23"/>
  <c r="H29" i="4" s="1"/>
  <c r="I34" i="23"/>
  <c r="I28" i="4" s="1"/>
  <c r="E34" i="23"/>
  <c r="E28" i="4" s="1"/>
  <c r="J43" i="23"/>
  <c r="J39" i="23"/>
  <c r="J33" i="4" s="1"/>
  <c r="J35" i="23"/>
  <c r="J29" i="4" s="1"/>
  <c r="G34" i="23"/>
  <c r="G28" i="4" s="1"/>
  <c r="H33" i="23"/>
  <c r="H27" i="4" s="1"/>
  <c r="I32" i="23"/>
  <c r="I26" i="4" s="1"/>
  <c r="J31" i="23"/>
  <c r="J25" i="4" s="1"/>
  <c r="G30" i="23"/>
  <c r="G24" i="4" s="1"/>
  <c r="D29" i="23"/>
  <c r="D23" i="4" s="1"/>
  <c r="I28" i="23"/>
  <c r="E28" i="23"/>
  <c r="I35" i="23"/>
  <c r="I29" i="4" s="1"/>
  <c r="E35" i="23"/>
  <c r="E29" i="4" s="1"/>
  <c r="D32" i="23"/>
  <c r="D26" i="4" s="1"/>
  <c r="H28" i="23"/>
  <c r="J33" i="23"/>
  <c r="J27" i="4" s="1"/>
  <c r="G32" i="23"/>
  <c r="G26" i="4" s="1"/>
  <c r="G28" i="23"/>
  <c r="I30" i="23"/>
  <c r="I24" i="4" s="1"/>
  <c r="P22" i="23"/>
  <c r="S23" i="1"/>
  <c r="T23" i="1"/>
  <c r="U23" i="1"/>
  <c r="V23" i="1"/>
  <c r="S24" i="1"/>
  <c r="T24" i="1"/>
  <c r="U24" i="1"/>
  <c r="V24" i="1"/>
  <c r="L23" i="1"/>
  <c r="M23" i="1"/>
  <c r="L24" i="1"/>
  <c r="M24" i="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H34" i="1"/>
  <c r="H12" i="4" s="1"/>
  <c r="D33" i="1"/>
  <c r="D11" i="4" s="1"/>
  <c r="H33" i="1"/>
  <c r="H11" i="4" s="1"/>
  <c r="E33" i="1"/>
  <c r="E11" i="4" s="1"/>
  <c r="I33" i="1"/>
  <c r="I11" i="4" s="1"/>
  <c r="G35" i="1"/>
  <c r="G13" i="4" s="1"/>
  <c r="G34" i="1"/>
  <c r="G12" i="4" s="1"/>
  <c r="O39" i="1"/>
  <c r="O17" i="4" s="1"/>
  <c r="P28" i="1"/>
  <c r="P30" i="1"/>
  <c r="P8" i="4" s="1"/>
  <c r="Q35" i="1"/>
  <c r="Q13" i="4" s="1"/>
  <c r="O38" i="1"/>
  <c r="O16"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T56" i="23"/>
  <c r="S56" i="1"/>
  <c r="T56" i="1"/>
  <c r="V56" i="1"/>
  <c r="U56" i="23"/>
  <c r="J56" i="23"/>
  <c r="S56" i="23"/>
  <c r="I56" i="23"/>
  <c r="V56" i="23"/>
  <c r="R56" i="23"/>
  <c r="U56" i="1"/>
  <c r="U35" i="1" l="1"/>
  <c r="U13" i="4" s="1"/>
  <c r="U29" i="1"/>
  <c r="U7" i="4" s="1"/>
  <c r="O40" i="1"/>
  <c r="O18" i="4" s="1"/>
  <c r="G29" i="1"/>
  <c r="T29" i="1"/>
  <c r="T7" i="4" s="1"/>
  <c r="U33" i="1"/>
  <c r="U11" i="4" s="1"/>
  <c r="Q33" i="1"/>
  <c r="Q11" i="4" s="1"/>
  <c r="F33" i="1"/>
  <c r="F11" i="4" s="1"/>
  <c r="I30" i="1"/>
  <c r="I8" i="4" s="1"/>
  <c r="T35" i="1"/>
  <c r="T13" i="4" s="1"/>
  <c r="T33" i="1"/>
  <c r="T11" i="4" s="1"/>
  <c r="T31" i="1"/>
  <c r="T9" i="4" s="1"/>
  <c r="Q28" i="1"/>
  <c r="O32" i="1"/>
  <c r="O10" i="4" s="1"/>
  <c r="G30" i="1"/>
  <c r="G8" i="4" s="1"/>
  <c r="F30" i="1"/>
  <c r="F8" i="4" s="1"/>
  <c r="E30" i="1"/>
  <c r="E8" i="4" s="1"/>
  <c r="S35" i="1"/>
  <c r="S13" i="4" s="1"/>
  <c r="S33" i="1"/>
  <c r="S11" i="4" s="1"/>
  <c r="S31" i="1"/>
  <c r="S9" i="4" s="1"/>
  <c r="S29" i="1"/>
  <c r="S7" i="4" s="1"/>
  <c r="K31" i="23"/>
  <c r="K25" i="4" s="1"/>
  <c r="V34" i="23"/>
  <c r="V28" i="4" s="1"/>
  <c r="S33" i="23"/>
  <c r="S27" i="4" s="1"/>
  <c r="U31" i="23"/>
  <c r="U25" i="4" s="1"/>
  <c r="R30" i="23"/>
  <c r="R24" i="4" s="1"/>
  <c r="T28" i="23"/>
  <c r="T22" i="4" s="1"/>
  <c r="H32" i="1"/>
  <c r="H10" i="4" s="1"/>
  <c r="B33" i="1"/>
  <c r="B11" i="4" s="1"/>
  <c r="O42" i="1"/>
  <c r="O20" i="4" s="1"/>
  <c r="F29" i="1"/>
  <c r="F7" i="4" s="1"/>
  <c r="I29" i="1"/>
  <c r="I7" i="4" s="1"/>
  <c r="H35" i="1"/>
  <c r="H13" i="4" s="1"/>
  <c r="V34" i="1"/>
  <c r="V12" i="4" s="1"/>
  <c r="V32" i="1"/>
  <c r="V10" i="4" s="1"/>
  <c r="V30" i="1"/>
  <c r="V8" i="4" s="1"/>
  <c r="V28" i="1"/>
  <c r="M29" i="23"/>
  <c r="M23" i="4" s="1"/>
  <c r="U34" i="23"/>
  <c r="U28" i="4" s="1"/>
  <c r="R33" i="23"/>
  <c r="R27" i="4" s="1"/>
  <c r="T31" i="23"/>
  <c r="T25" i="4" s="1"/>
  <c r="V29" i="23"/>
  <c r="V23" i="4" s="1"/>
  <c r="S28" i="23"/>
  <c r="S22" i="4" s="1"/>
  <c r="R33" i="1"/>
  <c r="R11" i="4" s="1"/>
  <c r="U34" i="1"/>
  <c r="U12" i="4" s="1"/>
  <c r="U32" i="1"/>
  <c r="U10" i="4" s="1"/>
  <c r="U30" i="1"/>
  <c r="U8" i="4" s="1"/>
  <c r="U28" i="1"/>
  <c r="U6" i="4" s="1"/>
  <c r="R28" i="23"/>
  <c r="T34" i="1"/>
  <c r="T12" i="4" s="1"/>
  <c r="T32" i="1"/>
  <c r="T10" i="4" s="1"/>
  <c r="T30" i="1"/>
  <c r="T8" i="4" s="1"/>
  <c r="T28" i="1"/>
  <c r="V35" i="23"/>
  <c r="V29" i="4" s="1"/>
  <c r="S34" i="23"/>
  <c r="S28" i="4" s="1"/>
  <c r="U32" i="23"/>
  <c r="U26" i="4" s="1"/>
  <c r="R31" i="23"/>
  <c r="R25" i="4" s="1"/>
  <c r="T29" i="23"/>
  <c r="T23" i="4" s="1"/>
  <c r="H30" i="1"/>
  <c r="H8" i="4" s="1"/>
  <c r="U31" i="1"/>
  <c r="U9" i="4" s="1"/>
  <c r="O41" i="1"/>
  <c r="O19" i="4" s="1"/>
  <c r="Q34" i="1"/>
  <c r="Q12" i="4" s="1"/>
  <c r="E29" i="1"/>
  <c r="E7" i="4" s="1"/>
  <c r="D35" i="1"/>
  <c r="D13" i="4" s="1"/>
  <c r="P34" i="1"/>
  <c r="P12" i="4" s="1"/>
  <c r="Q31" i="1"/>
  <c r="Q9" i="4" s="1"/>
  <c r="C35" i="1"/>
  <c r="C13" i="4" s="1"/>
  <c r="F35" i="1"/>
  <c r="F13" i="4" s="1"/>
  <c r="H31" i="1"/>
  <c r="P33" i="1"/>
  <c r="P11" i="4" s="1"/>
  <c r="O43" i="1"/>
  <c r="O21" i="4" s="1"/>
  <c r="F34" i="1"/>
  <c r="F12" i="4" s="1"/>
  <c r="I34" i="1"/>
  <c r="I12" i="4" s="1"/>
  <c r="E35" i="1"/>
  <c r="E13" i="4" s="1"/>
  <c r="J32" i="1"/>
  <c r="S34" i="1"/>
  <c r="S12" i="4" s="1"/>
  <c r="S32" i="1"/>
  <c r="S10" i="4" s="1"/>
  <c r="S30" i="1"/>
  <c r="S8" i="4" s="1"/>
  <c r="S28" i="1"/>
  <c r="S46" i="1" s="1"/>
  <c r="S53" i="1" s="1"/>
  <c r="U35" i="23"/>
  <c r="U29" i="4" s="1"/>
  <c r="R34" i="23"/>
  <c r="R28" i="4" s="1"/>
  <c r="T32" i="23"/>
  <c r="T26" i="4" s="1"/>
  <c r="V30" i="23"/>
  <c r="V24" i="4" s="1"/>
  <c r="S29" i="23"/>
  <c r="S23" i="4" s="1"/>
  <c r="M34" i="23"/>
  <c r="M28" i="4" s="1"/>
  <c r="L33" i="23"/>
  <c r="L27" i="4" s="1"/>
  <c r="K32" i="23"/>
  <c r="K26" i="4" s="1"/>
  <c r="M30" i="23"/>
  <c r="M24" i="4" s="1"/>
  <c r="L29" i="23"/>
  <c r="K28" i="23"/>
  <c r="P35" i="23"/>
  <c r="P29" i="4" s="1"/>
  <c r="Q32" i="23"/>
  <c r="Q26" i="4" s="1"/>
  <c r="M35" i="23"/>
  <c r="M29" i="4" s="1"/>
  <c r="L34" i="23"/>
  <c r="L28" i="4" s="1"/>
  <c r="K33" i="23"/>
  <c r="K27" i="4" s="1"/>
  <c r="M31" i="23"/>
  <c r="M25" i="4" s="1"/>
  <c r="L30" i="23"/>
  <c r="L24" i="4" s="1"/>
  <c r="K29" i="23"/>
  <c r="K23" i="4" s="1"/>
  <c r="O40" i="23"/>
  <c r="O34" i="4" s="1"/>
  <c r="L35" i="23"/>
  <c r="L29" i="4" s="1"/>
  <c r="K34" i="23"/>
  <c r="K28" i="4" s="1"/>
  <c r="M32" i="23"/>
  <c r="M26" i="4" s="1"/>
  <c r="L31" i="23"/>
  <c r="L25" i="4" s="1"/>
  <c r="K30" i="23"/>
  <c r="K24" i="4" s="1"/>
  <c r="M28" i="23"/>
  <c r="O33" i="23"/>
  <c r="O27" i="4" s="1"/>
  <c r="E32" i="1"/>
  <c r="E10" i="4" s="1"/>
  <c r="C33" i="1"/>
  <c r="C11" i="4" s="1"/>
  <c r="J35" i="1"/>
  <c r="J13" i="4" s="1"/>
  <c r="J31" i="1"/>
  <c r="J9" i="4" s="1"/>
  <c r="J28" i="1"/>
  <c r="J6" i="4" s="1"/>
  <c r="F32" i="1"/>
  <c r="F10" i="4" s="1"/>
  <c r="J34" i="1"/>
  <c r="J12" i="4" s="1"/>
  <c r="J30" i="1"/>
  <c r="J8" i="4" s="1"/>
  <c r="J33" i="1"/>
  <c r="J11" i="4" s="1"/>
  <c r="J29" i="1"/>
  <c r="J7" i="4" s="1"/>
  <c r="P31" i="23"/>
  <c r="P25" i="4" s="1"/>
  <c r="Q28" i="23"/>
  <c r="H31" i="23"/>
  <c r="H25" i="4" s="1"/>
  <c r="D35" i="23"/>
  <c r="D29" i="4" s="1"/>
  <c r="G33" i="23"/>
  <c r="G27" i="4" s="1"/>
  <c r="C30" i="23"/>
  <c r="C24" i="4" s="1"/>
  <c r="E32" i="23"/>
  <c r="E26" i="4" s="1"/>
  <c r="C34" i="23"/>
  <c r="C28" i="4" s="1"/>
  <c r="C33" i="23"/>
  <c r="C27" i="4" s="1"/>
  <c r="C31" i="23"/>
  <c r="C25" i="4" s="1"/>
  <c r="E33" i="23"/>
  <c r="E27" i="4" s="1"/>
  <c r="C35" i="23"/>
  <c r="C29" i="4" s="1"/>
  <c r="E30" i="23"/>
  <c r="O43" i="23"/>
  <c r="O39" i="23"/>
  <c r="O33" i="4" s="1"/>
  <c r="O29" i="23"/>
  <c r="O23" i="4" s="1"/>
  <c r="Q33" i="23"/>
  <c r="Q27" i="4" s="1"/>
  <c r="P32" i="23"/>
  <c r="P26" i="4" s="1"/>
  <c r="Q29" i="23"/>
  <c r="Q23" i="4" s="1"/>
  <c r="P28" i="23"/>
  <c r="O42" i="23"/>
  <c r="O36" i="4" s="1"/>
  <c r="O36" i="23"/>
  <c r="O30" i="4" s="1"/>
  <c r="Q34" i="23"/>
  <c r="Q28" i="4" s="1"/>
  <c r="P33" i="23"/>
  <c r="P27" i="4" s="1"/>
  <c r="Q30" i="23"/>
  <c r="Q24" i="4" s="1"/>
  <c r="P29" i="23"/>
  <c r="P23" i="4" s="1"/>
  <c r="F33" i="23"/>
  <c r="F27" i="4" s="1"/>
  <c r="G29" i="23"/>
  <c r="G47" i="23" s="1"/>
  <c r="G48" i="23" s="1"/>
  <c r="G54" i="23" s="1"/>
  <c r="H29" i="23"/>
  <c r="F31" i="23"/>
  <c r="D33" i="23"/>
  <c r="D27" i="4" s="1"/>
  <c r="F35" i="23"/>
  <c r="F29" i="4" s="1"/>
  <c r="C32" i="23"/>
  <c r="C26" i="4" s="1"/>
  <c r="C29" i="23"/>
  <c r="D30" i="23"/>
  <c r="F32" i="23"/>
  <c r="F26" i="4" s="1"/>
  <c r="D34" i="23"/>
  <c r="D28" i="4" s="1"/>
  <c r="D31" i="23"/>
  <c r="D25" i="4" s="1"/>
  <c r="O41" i="23"/>
  <c r="O35" i="4" s="1"/>
  <c r="O35" i="23"/>
  <c r="O29" i="4" s="1"/>
  <c r="Q35" i="23"/>
  <c r="Q29" i="4" s="1"/>
  <c r="P34" i="23"/>
  <c r="P28" i="4" s="1"/>
  <c r="Q31" i="23"/>
  <c r="Q25" i="4" s="1"/>
  <c r="P30" i="23"/>
  <c r="P24" i="4" s="1"/>
  <c r="M34" i="1"/>
  <c r="M12" i="4" s="1"/>
  <c r="L33" i="1"/>
  <c r="L11" i="4" s="1"/>
  <c r="K32" i="1"/>
  <c r="K10" i="4" s="1"/>
  <c r="M30" i="1"/>
  <c r="M8" i="4" s="1"/>
  <c r="L29" i="1"/>
  <c r="L7" i="4" s="1"/>
  <c r="K28" i="1"/>
  <c r="K6" i="4" s="1"/>
  <c r="M35" i="1"/>
  <c r="M13" i="4" s="1"/>
  <c r="L34" i="1"/>
  <c r="L12" i="4" s="1"/>
  <c r="K33" i="1"/>
  <c r="K11" i="4" s="1"/>
  <c r="M31" i="1"/>
  <c r="M9" i="4" s="1"/>
  <c r="L30" i="1"/>
  <c r="L8" i="4" s="1"/>
  <c r="K29" i="1"/>
  <c r="K7" i="4" s="1"/>
  <c r="L35" i="1"/>
  <c r="L13" i="4" s="1"/>
  <c r="K34" i="1"/>
  <c r="K12" i="4" s="1"/>
  <c r="M32" i="1"/>
  <c r="M10" i="4" s="1"/>
  <c r="L31" i="1"/>
  <c r="L9" i="4" s="1"/>
  <c r="K30" i="1"/>
  <c r="K8" i="4" s="1"/>
  <c r="M28" i="1"/>
  <c r="M6" i="4" s="1"/>
  <c r="K35" i="1"/>
  <c r="K13" i="4" s="1"/>
  <c r="M33" i="1"/>
  <c r="M11" i="4" s="1"/>
  <c r="L32" i="1"/>
  <c r="L10" i="4" s="1"/>
  <c r="K31" i="1"/>
  <c r="K9" i="4" s="1"/>
  <c r="M29" i="1"/>
  <c r="M7" i="4" s="1"/>
  <c r="L28" i="1"/>
  <c r="L6" i="4" s="1"/>
  <c r="O9" i="12"/>
  <c r="O10" i="12" s="1"/>
  <c r="E22" i="4"/>
  <c r="F22" i="4"/>
  <c r="T6" i="4"/>
  <c r="M22" i="4"/>
  <c r="P6" i="4"/>
  <c r="Q6" i="4"/>
  <c r="H22" i="4"/>
  <c r="I22" i="4"/>
  <c r="D22" i="4"/>
  <c r="J22" i="4"/>
  <c r="C22" i="4"/>
  <c r="L22" i="4"/>
  <c r="Q22" i="4"/>
  <c r="G22"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R21" i="4"/>
  <c r="Q21" i="4"/>
  <c r="S4" i="33"/>
  <c r="C27" i="23"/>
  <c r="C52" i="23" s="1"/>
  <c r="I27" i="23"/>
  <c r="V21" i="4"/>
  <c r="T21" i="4"/>
  <c r="B21" i="4"/>
  <c r="O37" i="23"/>
  <c r="O31" i="4" s="1"/>
  <c r="O34" i="23"/>
  <c r="O28" i="4" s="1"/>
  <c r="O38" i="23"/>
  <c r="T37" i="4"/>
  <c r="B38" i="23"/>
  <c r="F37" i="4"/>
  <c r="L37" i="4"/>
  <c r="P37" i="4"/>
  <c r="S37" i="4"/>
  <c r="J37" i="4"/>
  <c r="H37" i="4"/>
  <c r="M37" i="4"/>
  <c r="O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R46" i="23"/>
  <c r="R53" i="23" s="1"/>
  <c r="B28" i="23"/>
  <c r="B30" i="23"/>
  <c r="B24" i="4" s="1"/>
  <c r="B34" i="23"/>
  <c r="B28" i="4" s="1"/>
  <c r="B35" i="23"/>
  <c r="O28" i="23"/>
  <c r="B31" i="23"/>
  <c r="B25" i="4" s="1"/>
  <c r="B29" i="23"/>
  <c r="B23" i="4" s="1"/>
  <c r="M46" i="23"/>
  <c r="M53" i="23" s="1"/>
  <c r="Q32" i="1"/>
  <c r="P32" i="1"/>
  <c r="P10" i="4" s="1"/>
  <c r="D4" i="4"/>
  <c r="O29" i="1"/>
  <c r="O7" i="4" s="1"/>
  <c r="B27" i="23"/>
  <c r="B52" i="23" s="1"/>
  <c r="K45" i="23"/>
  <c r="E27" i="23"/>
  <c r="E52" i="23" s="1"/>
  <c r="Q30" i="1"/>
  <c r="Q8" i="4" s="1"/>
  <c r="B29" i="1"/>
  <c r="B7" i="4" s="1"/>
  <c r="P35" i="1"/>
  <c r="P13" i="4" s="1"/>
  <c r="P31" i="1"/>
  <c r="P9" i="4" s="1"/>
  <c r="H22" i="23"/>
  <c r="K47" i="23"/>
  <c r="K48" i="23" s="1"/>
  <c r="K54" i="23" s="1"/>
  <c r="P37" i="1"/>
  <c r="F22" i="23"/>
  <c r="O36" i="1"/>
  <c r="H45" i="23"/>
  <c r="T46" i="23"/>
  <c r="T53" i="23" s="1"/>
  <c r="R31" i="1"/>
  <c r="R9" i="4" s="1"/>
  <c r="R22" i="4"/>
  <c r="V22" i="4"/>
  <c r="T47" i="23"/>
  <c r="T48" i="23" s="1"/>
  <c r="T54" i="23" s="1"/>
  <c r="T27" i="4"/>
  <c r="V57" i="1"/>
  <c r="U57" i="23"/>
  <c r="J57" i="23"/>
  <c r="U57" i="1"/>
  <c r="T57" i="23"/>
  <c r="I57" i="23"/>
  <c r="T57" i="1"/>
  <c r="S57" i="23"/>
  <c r="S57" i="1"/>
  <c r="V57" i="23"/>
  <c r="R57" i="23"/>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B32" i="1"/>
  <c r="D28" i="1"/>
  <c r="C32" i="1"/>
  <c r="B28" i="1"/>
  <c r="D32" i="1"/>
  <c r="B30" i="1"/>
  <c r="B8" i="4" s="1"/>
  <c r="C28" i="1"/>
  <c r="D31" i="1"/>
  <c r="D9" i="4" s="1"/>
  <c r="U46" i="1"/>
  <c r="U53" i="1" s="1"/>
  <c r="O28" i="1"/>
  <c r="C30" i="1"/>
  <c r="C8" i="4" s="1"/>
  <c r="C31" i="1"/>
  <c r="C9" i="4" s="1"/>
  <c r="D29" i="1"/>
  <c r="D7" i="4" s="1"/>
  <c r="D30" i="1"/>
  <c r="T46" i="1"/>
  <c r="T53" i="1" s="1"/>
  <c r="T47" i="1"/>
  <c r="T48" i="1" s="1"/>
  <c r="T54" i="1" s="1"/>
  <c r="V46" i="1"/>
  <c r="V53" i="1" s="1"/>
  <c r="V6" i="4"/>
  <c r="V47" i="1"/>
  <c r="V48" i="1" s="1"/>
  <c r="V54" i="1" s="1"/>
  <c r="G21" i="4"/>
  <c r="I21" i="4"/>
  <c r="F21" i="4"/>
  <c r="H21" i="4"/>
  <c r="E21" i="4"/>
  <c r="L52" i="23"/>
  <c r="D17" i="4"/>
  <c r="H9" i="4"/>
  <c r="J10" i="4"/>
  <c r="G7" i="4"/>
  <c r="C4" i="4"/>
  <c r="J47" i="23"/>
  <c r="J48" i="23" s="1"/>
  <c r="J54" i="23" s="1"/>
  <c r="I46" i="23"/>
  <c r="I53" i="23" s="1"/>
  <c r="A47" i="22"/>
  <c r="J46" i="23"/>
  <c r="J53" i="23" s="1"/>
  <c r="I47" i="23"/>
  <c r="I48" i="23" s="1"/>
  <c r="I54" i="23" s="1"/>
  <c r="G27" i="23"/>
  <c r="G52" i="23" s="1"/>
  <c r="A50" i="22"/>
  <c r="H50" i="22" s="1"/>
  <c r="K27" i="23"/>
  <c r="L22" i="1"/>
  <c r="D27" i="1"/>
  <c r="D52" i="1" s="1"/>
  <c r="D45" i="1"/>
  <c r="D22" i="23"/>
  <c r="D45" i="23"/>
  <c r="D27" i="23"/>
  <c r="D52"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J56" i="1"/>
  <c r="E56" i="1"/>
  <c r="I56" i="1"/>
  <c r="D56" i="23"/>
  <c r="G56" i="23"/>
  <c r="P56" i="1"/>
  <c r="R56" i="1"/>
  <c r="H56" i="1"/>
  <c r="M78" i="4"/>
  <c r="J78" i="4"/>
  <c r="O56" i="23"/>
  <c r="L56" i="1"/>
  <c r="E56" i="23"/>
  <c r="L56" i="23"/>
  <c r="T78" i="4"/>
  <c r="S78" i="4"/>
  <c r="P56" i="23"/>
  <c r="K56" i="1"/>
  <c r="Q56" i="1"/>
  <c r="C56" i="1"/>
  <c r="K56" i="23"/>
  <c r="F56" i="1"/>
  <c r="B56" i="1"/>
  <c r="M56" i="23"/>
  <c r="D56" i="1"/>
  <c r="G56" i="1"/>
  <c r="U78" i="4"/>
  <c r="M56" i="1"/>
  <c r="C56" i="23"/>
  <c r="Q56" i="23"/>
  <c r="O56" i="1"/>
  <c r="H56" i="23"/>
  <c r="B56" i="23"/>
  <c r="V78" i="4"/>
  <c r="F56" i="23"/>
  <c r="P47" i="23" l="1"/>
  <c r="P48" i="23" s="1"/>
  <c r="P54" i="23" s="1"/>
  <c r="V47" i="23"/>
  <c r="V48" i="23" s="1"/>
  <c r="V54" i="23" s="1"/>
  <c r="V46" i="23"/>
  <c r="V53" i="23" s="1"/>
  <c r="U47" i="23"/>
  <c r="U48" i="23" s="1"/>
  <c r="U54" i="23" s="1"/>
  <c r="U47" i="1"/>
  <c r="U48" i="1" s="1"/>
  <c r="U54" i="1" s="1"/>
  <c r="U46" i="23"/>
  <c r="U53" i="23" s="1"/>
  <c r="S47" i="23"/>
  <c r="S48" i="23" s="1"/>
  <c r="S54" i="23" s="1"/>
  <c r="S47" i="1"/>
  <c r="S48" i="1" s="1"/>
  <c r="S54" i="1" s="1"/>
  <c r="R47" i="23"/>
  <c r="R48" i="23" s="1"/>
  <c r="R54" i="23" s="1"/>
  <c r="S6" i="4"/>
  <c r="S46" i="23"/>
  <c r="S53" i="23" s="1"/>
  <c r="K57" i="23"/>
  <c r="M57" i="23"/>
  <c r="L57" i="23"/>
  <c r="Q47" i="23"/>
  <c r="Q48" i="23" s="1"/>
  <c r="Q54" i="23" s="1"/>
  <c r="L47" i="23"/>
  <c r="L48" i="23" s="1"/>
  <c r="L54" i="23" s="1"/>
  <c r="D47" i="23"/>
  <c r="D48" i="23" s="1"/>
  <c r="D54" i="23" s="1"/>
  <c r="K46" i="23"/>
  <c r="K53" i="23" s="1"/>
  <c r="L46" i="23"/>
  <c r="L53" i="23" s="1"/>
  <c r="K22" i="4"/>
  <c r="Q46" i="23"/>
  <c r="Q53" i="23" s="1"/>
  <c r="M47" i="23"/>
  <c r="M48" i="23" s="1"/>
  <c r="M54" i="23" s="1"/>
  <c r="L23" i="4"/>
  <c r="L56" i="4" s="1"/>
  <c r="L75" i="4" s="1"/>
  <c r="M47" i="1"/>
  <c r="M48" i="1" s="1"/>
  <c r="M54" i="1" s="1"/>
  <c r="K47" i="1"/>
  <c r="K48" i="1" s="1"/>
  <c r="K54" i="1" s="1"/>
  <c r="J57" i="1"/>
  <c r="J46" i="1"/>
  <c r="J53" i="1" s="1"/>
  <c r="J47" i="1"/>
  <c r="J48" i="1" s="1"/>
  <c r="J54" i="1" s="1"/>
  <c r="M46" i="1"/>
  <c r="M53" i="1" s="1"/>
  <c r="V79" i="4"/>
  <c r="S79" i="4"/>
  <c r="T79" i="4"/>
  <c r="U79" i="4"/>
  <c r="C57" i="23"/>
  <c r="F57" i="23"/>
  <c r="Q57" i="23"/>
  <c r="G57" i="23"/>
  <c r="P57" i="23"/>
  <c r="D57" i="23"/>
  <c r="H57" i="23"/>
  <c r="E57" i="23"/>
  <c r="F46" i="23"/>
  <c r="F53" i="23" s="1"/>
  <c r="C47" i="23"/>
  <c r="C48" i="23" s="1"/>
  <c r="C54" i="23" s="1"/>
  <c r="H46" i="23"/>
  <c r="H53" i="23" s="1"/>
  <c r="H47" i="23"/>
  <c r="H48" i="23" s="1"/>
  <c r="H54" i="23" s="1"/>
  <c r="E46" i="23"/>
  <c r="E53" i="23" s="1"/>
  <c r="C23" i="4"/>
  <c r="F25" i="4"/>
  <c r="G23" i="4"/>
  <c r="F47" i="23"/>
  <c r="F48" i="23" s="1"/>
  <c r="F54" i="23" s="1"/>
  <c r="D46" i="23"/>
  <c r="D53" i="23" s="1"/>
  <c r="D24" i="4"/>
  <c r="C46" i="23"/>
  <c r="C53" i="23" s="1"/>
  <c r="E47" i="23"/>
  <c r="E48" i="23" s="1"/>
  <c r="E54" i="23" s="1"/>
  <c r="G46" i="23"/>
  <c r="G53" i="23" s="1"/>
  <c r="P46" i="23"/>
  <c r="P53" i="23" s="1"/>
  <c r="P22" i="4"/>
  <c r="H23" i="4"/>
  <c r="E24" i="4"/>
  <c r="S63" i="4"/>
  <c r="S64" i="4" s="1"/>
  <c r="L57" i="1"/>
  <c r="M57" i="1"/>
  <c r="K57" i="1"/>
  <c r="K46" i="1"/>
  <c r="K53" i="1" s="1"/>
  <c r="L47" i="1"/>
  <c r="L48" i="1" s="1"/>
  <c r="L54" i="1" s="1"/>
  <c r="L46" i="1"/>
  <c r="L53" i="1" s="1"/>
  <c r="F46" i="1"/>
  <c r="F53" i="1" s="1"/>
  <c r="M63" i="4"/>
  <c r="M64" i="4" s="1"/>
  <c r="P47" i="1"/>
  <c r="P48" i="1" s="1"/>
  <c r="P54" i="1" s="1"/>
  <c r="D6" i="4"/>
  <c r="R6" i="4"/>
  <c r="C6" i="4"/>
  <c r="B22" i="4"/>
  <c r="I6" i="4"/>
  <c r="P7" i="4"/>
  <c r="E6" i="4"/>
  <c r="H6" i="4"/>
  <c r="F6" i="4"/>
  <c r="O6" i="4"/>
  <c r="B6" i="4"/>
  <c r="G6" i="4"/>
  <c r="Q7" i="4"/>
  <c r="K63" i="4"/>
  <c r="K64" i="4" s="1"/>
  <c r="U63" i="4"/>
  <c r="U64" i="4" s="1"/>
  <c r="J63" i="4"/>
  <c r="J64" i="4" s="1"/>
  <c r="V63" i="4"/>
  <c r="V64" i="4" s="1"/>
  <c r="T63" i="4"/>
  <c r="T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M57" i="4"/>
  <c r="M58" i="4" s="1"/>
  <c r="M76" i="4" s="1"/>
  <c r="T57" i="4"/>
  <c r="T58" i="4" s="1"/>
  <c r="T76" i="4" s="1"/>
  <c r="H57" i="1"/>
  <c r="G57" i="1"/>
  <c r="F57" i="1"/>
  <c r="I57" i="1"/>
  <c r="E57" i="1"/>
  <c r="H7" i="4"/>
  <c r="G46" i="1"/>
  <c r="G53" i="1" s="1"/>
  <c r="H46" i="1"/>
  <c r="H53" i="1" s="1"/>
  <c r="H47" i="1"/>
  <c r="H48" i="1" s="1"/>
  <c r="H54" i="1" s="1"/>
  <c r="G11" i="4"/>
  <c r="F9" i="4"/>
  <c r="I13" i="4"/>
  <c r="E12" i="4"/>
  <c r="I55" i="4"/>
  <c r="I62" i="4"/>
  <c r="V57" i="4"/>
  <c r="V58" i="4" s="1"/>
  <c r="V76" i="4" s="1"/>
  <c r="V56" i="4"/>
  <c r="V75" i="4" s="1"/>
  <c r="U57" i="4"/>
  <c r="U58" i="4" s="1"/>
  <c r="U76" i="4" s="1"/>
  <c r="S56" i="4"/>
  <c r="S75" i="4" s="1"/>
  <c r="K57" i="4"/>
  <c r="K58" i="4" s="1"/>
  <c r="K76" i="4" s="1"/>
  <c r="J56" i="4"/>
  <c r="J75" i="4" s="1"/>
  <c r="O55" i="4"/>
  <c r="O62" i="4"/>
  <c r="F55" i="4"/>
  <c r="F62" i="4"/>
  <c r="M55" i="4"/>
  <c r="M62" i="4"/>
  <c r="J55" i="4"/>
  <c r="J62" i="4"/>
  <c r="K56" i="4"/>
  <c r="K75" i="4" s="1"/>
  <c r="J57" i="4"/>
  <c r="J58" i="4" s="1"/>
  <c r="J76" i="4" s="1"/>
  <c r="P55" i="4"/>
  <c r="P62" i="4"/>
  <c r="G55" i="4"/>
  <c r="G62" i="4"/>
  <c r="H74" i="4"/>
  <c r="H62" i="4"/>
  <c r="U22" i="33"/>
  <c r="U45" i="33"/>
  <c r="U27" i="33"/>
  <c r="U52" i="33" s="1"/>
  <c r="R45" i="33"/>
  <c r="R27" i="33"/>
  <c r="R52" i="33" s="1"/>
  <c r="R22" i="33"/>
  <c r="U56" i="4"/>
  <c r="U75" i="4" s="1"/>
  <c r="M56" i="4"/>
  <c r="M75" i="4" s="1"/>
  <c r="T56" i="4"/>
  <c r="T75" i="4" s="1"/>
  <c r="C74" i="4"/>
  <c r="C62" i="4"/>
  <c r="D55" i="4"/>
  <c r="D62" i="4"/>
  <c r="S27" i="33"/>
  <c r="S52" i="33" s="1"/>
  <c r="S22" i="33"/>
  <c r="S45" i="33"/>
  <c r="A36" i="22"/>
  <c r="H36" i="22" s="1"/>
  <c r="V4" i="33"/>
  <c r="S57" i="4"/>
  <c r="S58" i="4" s="1"/>
  <c r="S76" i="4" s="1"/>
  <c r="Q55" i="4"/>
  <c r="V4" i="1"/>
  <c r="V45" i="1" s="1"/>
  <c r="O32" i="4"/>
  <c r="Q10" i="4"/>
  <c r="B32" i="4"/>
  <c r="H55" i="4"/>
  <c r="R10" i="4"/>
  <c r="O14" i="4"/>
  <c r="P15" i="4"/>
  <c r="V4" i="23"/>
  <c r="V45" i="23" s="1"/>
  <c r="B10" i="4"/>
  <c r="A32" i="22"/>
  <c r="H32" i="22" s="1"/>
  <c r="D13" i="28"/>
  <c r="D9" i="28"/>
  <c r="D5" i="28"/>
  <c r="D14" i="28"/>
  <c r="D10" i="28"/>
  <c r="D6" i="28"/>
  <c r="D15" i="28"/>
  <c r="D11" i="28"/>
  <c r="D7" i="28"/>
  <c r="D3" i="28"/>
  <c r="D12" i="28"/>
  <c r="D8" i="28"/>
  <c r="D4" i="28"/>
  <c r="M79" i="4"/>
  <c r="J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55"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T4" i="1"/>
  <c r="T4" i="23"/>
  <c r="F74" i="4"/>
  <c r="I74" i="4"/>
  <c r="O74" i="4"/>
  <c r="P74" i="4"/>
  <c r="AD2" i="12"/>
  <c r="B78" i="4"/>
  <c r="C78" i="4"/>
  <c r="O78" i="4"/>
  <c r="K78" i="4"/>
  <c r="H78" i="4"/>
  <c r="Q78" i="4"/>
  <c r="I78" i="4"/>
  <c r="R78" i="4"/>
  <c r="L78" i="4"/>
  <c r="D78" i="4"/>
  <c r="F78" i="4"/>
  <c r="P78" i="4"/>
  <c r="G78" i="4"/>
  <c r="E78" i="4"/>
  <c r="L57" i="4" l="1"/>
  <c r="L58" i="4" s="1"/>
  <c r="L76" i="4" s="1"/>
  <c r="L79" i="4"/>
  <c r="K79" i="4"/>
  <c r="L63" i="4"/>
  <c r="L64" i="4" s="1"/>
  <c r="R79" i="4"/>
  <c r="F55" i="23"/>
  <c r="C55" i="23"/>
  <c r="C63" i="4"/>
  <c r="C64" i="4" s="1"/>
  <c r="R63" i="4"/>
  <c r="R64" i="4" s="1"/>
  <c r="I57" i="4"/>
  <c r="I58" i="4" s="1"/>
  <c r="I76" i="4" s="1"/>
  <c r="H56" i="4"/>
  <c r="H75" i="4" s="1"/>
  <c r="G55" i="1"/>
  <c r="V4" i="4"/>
  <c r="V55" i="4" s="1"/>
  <c r="I63" i="4"/>
  <c r="I64" i="4" s="1"/>
  <c r="F63" i="4"/>
  <c r="F64" i="4" s="1"/>
  <c r="P55" i="23"/>
  <c r="V55" i="23"/>
  <c r="Q55" i="23"/>
  <c r="U55" i="23"/>
  <c r="T55" i="1"/>
  <c r="R55" i="23"/>
  <c r="T55" i="23"/>
  <c r="V55" i="1"/>
  <c r="R55" i="1"/>
  <c r="P55" i="1"/>
  <c r="S55" i="1"/>
  <c r="U55" i="1"/>
  <c r="Q55" i="1"/>
  <c r="S55" i="23"/>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J4" i="12"/>
  <c r="M4" i="12"/>
  <c r="G4" i="12"/>
  <c r="H4" i="12"/>
  <c r="F4" i="12"/>
  <c r="I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AH2" i="12"/>
  <c r="V45" i="33"/>
  <c r="V27" i="33"/>
  <c r="V52" i="33" s="1"/>
  <c r="V22" i="33"/>
  <c r="D57" i="4"/>
  <c r="D58" i="4" s="1"/>
  <c r="D76" i="4" s="1"/>
  <c r="O57" i="4"/>
  <c r="O58" i="4" s="1"/>
  <c r="O76" i="4" s="1"/>
  <c r="C57" i="4"/>
  <c r="C58" i="4" s="1"/>
  <c r="C76" i="4" s="1"/>
  <c r="Q2" i="12"/>
  <c r="Q4" i="12" s="1"/>
  <c r="P2" i="12"/>
  <c r="P4" i="12" s="1"/>
  <c r="Q56" i="4"/>
  <c r="Q75" i="4" s="1"/>
  <c r="O56" i="4"/>
  <c r="O75" i="4" s="1"/>
  <c r="C56" i="4"/>
  <c r="C75" i="4" s="1"/>
  <c r="R2" i="12"/>
  <c r="R4" i="12" s="1"/>
  <c r="P56" i="4"/>
  <c r="R57" i="4"/>
  <c r="R58" i="4" s="1"/>
  <c r="R76" i="4" s="1"/>
  <c r="Q57" i="4"/>
  <c r="Q58" i="4" s="1"/>
  <c r="Q76" i="4" s="1"/>
  <c r="Q79" i="4"/>
  <c r="P79" i="4"/>
  <c r="U4" i="4"/>
  <c r="F2" i="27"/>
  <c r="F4" i="27" s="1"/>
  <c r="O2" i="12"/>
  <c r="O4" i="12" s="1"/>
  <c r="U27" i="1"/>
  <c r="U52" i="1" s="1"/>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D55" i="23"/>
  <c r="H55" i="23"/>
  <c r="K55" i="23"/>
  <c r="J55" i="23"/>
  <c r="M55" i="23"/>
  <c r="G55" i="23"/>
  <c r="E55" i="23"/>
  <c r="I55" i="23"/>
  <c r="R59" i="23"/>
  <c r="R60" i="23" s="1"/>
  <c r="O79" i="4"/>
  <c r="B79" i="4"/>
  <c r="B64" i="23"/>
  <c r="L59" i="23"/>
  <c r="L60" i="23" s="1"/>
  <c r="F59" i="23"/>
  <c r="F60" i="23" s="1"/>
  <c r="Q59" i="23"/>
  <c r="Q60" i="23" s="1"/>
  <c r="V59" i="23"/>
  <c r="V60" i="23" s="1"/>
  <c r="P59" i="23"/>
  <c r="P60" i="23" s="1"/>
  <c r="T59" i="23"/>
  <c r="T60" i="23" s="1"/>
  <c r="U59" i="23"/>
  <c r="U60" i="23" s="1"/>
  <c r="S59" i="23"/>
  <c r="S60" i="23" s="1"/>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C59" i="23"/>
  <c r="C60" i="23" s="1"/>
  <c r="E59" i="23"/>
  <c r="E60" i="23" s="1"/>
  <c r="J59" i="23"/>
  <c r="J60" i="23" s="1"/>
  <c r="K59" i="23"/>
  <c r="K60" i="23" s="1"/>
  <c r="D59" i="23"/>
  <c r="D60" i="23" s="1"/>
  <c r="I59" i="23"/>
  <c r="I60" i="23" s="1"/>
  <c r="O59" i="23"/>
  <c r="O60" i="23" s="1"/>
  <c r="G59" i="23"/>
  <c r="G60" i="23" s="1"/>
  <c r="H59" i="23"/>
  <c r="H60" i="23" s="1"/>
  <c r="M59" i="23"/>
  <c r="M60" i="23" s="1"/>
  <c r="C55" i="1"/>
  <c r="H55" i="1"/>
  <c r="F55" i="1"/>
  <c r="I55" i="1"/>
  <c r="L55" i="1"/>
  <c r="J55" i="1"/>
  <c r="D55" i="1"/>
  <c r="K55" i="1"/>
  <c r="E55" i="1"/>
  <c r="H3" i="12"/>
  <c r="O59" i="1"/>
  <c r="O60" i="1" s="1"/>
  <c r="J59" i="1"/>
  <c r="J60" i="1" s="1"/>
  <c r="F59" i="1"/>
  <c r="F60" i="1" s="1"/>
  <c r="M59" i="1"/>
  <c r="M60" i="1" s="1"/>
  <c r="I59" i="1"/>
  <c r="I60" i="1" s="1"/>
  <c r="E59" i="1"/>
  <c r="E60" i="1" s="1"/>
  <c r="L59" i="1"/>
  <c r="L60" i="1" s="1"/>
  <c r="H59" i="1"/>
  <c r="H60" i="1" s="1"/>
  <c r="D59" i="1"/>
  <c r="D60" i="1" s="1"/>
  <c r="K59" i="1"/>
  <c r="K60" i="1" s="1"/>
  <c r="C59" i="1"/>
  <c r="C60" i="1" s="1"/>
  <c r="G59" i="1"/>
  <c r="G60" i="1" s="1"/>
  <c r="M55" i="1"/>
  <c r="T59" i="1"/>
  <c r="T60" i="1" s="1"/>
  <c r="P59" i="1"/>
  <c r="P60" i="1" s="1"/>
  <c r="S59" i="1"/>
  <c r="S60" i="1" s="1"/>
  <c r="V59" i="1"/>
  <c r="V60" i="1" s="1"/>
  <c r="R59" i="1"/>
  <c r="R60" i="1" s="1"/>
  <c r="U59" i="1"/>
  <c r="U60" i="1" s="1"/>
  <c r="Q59" i="1"/>
  <c r="Q60" i="1" s="1"/>
  <c r="B65" i="1"/>
  <c r="B64" i="1"/>
  <c r="B55" i="1"/>
  <c r="G3" i="12"/>
  <c r="T27" i="23"/>
  <c r="T52" i="23" s="1"/>
  <c r="T45" i="23"/>
  <c r="T22" i="23"/>
  <c r="F3" i="12"/>
  <c r="J3" i="12"/>
  <c r="I3" i="12"/>
  <c r="T27" i="1"/>
  <c r="T52" i="1" s="1"/>
  <c r="T45" i="1"/>
  <c r="T4" i="4"/>
  <c r="T62" i="4" s="1"/>
  <c r="T22" i="1"/>
  <c r="T77" i="4" l="1"/>
  <c r="E94" i="4"/>
  <c r="H94" i="4"/>
  <c r="D94" i="4"/>
  <c r="V62" i="4"/>
  <c r="V74" i="4"/>
  <c r="Z2" i="12" s="1"/>
  <c r="AA2" i="12"/>
  <c r="P75" i="4"/>
  <c r="O81" i="4"/>
  <c r="O82" i="4" s="1"/>
  <c r="AE2" i="12"/>
  <c r="U74" i="4"/>
  <c r="Y2" i="12" s="1"/>
  <c r="U62" i="4"/>
  <c r="B6" i="12"/>
  <c r="B6" i="27"/>
  <c r="R61" i="23"/>
  <c r="U55" i="4"/>
  <c r="F3" i="27"/>
  <c r="V77" i="4"/>
  <c r="U77" i="4"/>
  <c r="O77" i="4"/>
  <c r="S77" i="4"/>
  <c r="Q77" i="4"/>
  <c r="R77" i="4"/>
  <c r="P81" i="4"/>
  <c r="P82" i="4" s="1"/>
  <c r="Q81" i="4"/>
  <c r="Q82" i="4" s="1"/>
  <c r="B86" i="4"/>
  <c r="B87" i="4"/>
  <c r="B75" i="4"/>
  <c r="C94" i="4" s="1"/>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O3" i="12"/>
  <c r="R3" i="12"/>
  <c r="S3" i="12"/>
  <c r="N3" i="12"/>
  <c r="M3" i="12"/>
  <c r="L3" i="12"/>
  <c r="AC2" i="12"/>
  <c r="S55" i="4"/>
  <c r="S74" i="4"/>
  <c r="W2" i="12" s="1"/>
  <c r="AG2" i="12"/>
  <c r="R55" i="4"/>
  <c r="R74" i="4"/>
  <c r="P3" i="12"/>
  <c r="Q3" i="12"/>
  <c r="K2" i="12"/>
  <c r="K4" i="12" s="1"/>
  <c r="B4" i="27"/>
  <c r="B4" i="12"/>
  <c r="O61" i="1"/>
  <c r="Q61" i="1"/>
  <c r="P61" i="1"/>
  <c r="C61" i="1"/>
  <c r="R61" i="1"/>
  <c r="AB2" i="12"/>
  <c r="AF2" i="12"/>
  <c r="T55" i="4"/>
  <c r="T74" i="4"/>
  <c r="Q94" i="4" l="1"/>
  <c r="F94" i="4"/>
  <c r="G94" i="4"/>
  <c r="B5" i="27"/>
  <c r="P94" i="4"/>
  <c r="N94" i="4"/>
  <c r="B94" i="4"/>
  <c r="T94" i="4"/>
  <c r="K94" i="4"/>
  <c r="M94" i="4"/>
  <c r="J94" i="4"/>
  <c r="L94" i="4"/>
  <c r="V94" i="4"/>
  <c r="U94" i="4"/>
  <c r="S94" i="4"/>
  <c r="I94" i="4"/>
  <c r="O94" i="4"/>
  <c r="R94" i="4"/>
  <c r="B5" i="12"/>
  <c r="P77" i="4"/>
  <c r="AB4" i="12"/>
  <c r="AD4" i="12"/>
  <c r="AE4" i="12"/>
  <c r="Z4" i="12"/>
  <c r="W4" i="12"/>
  <c r="AG4" i="12"/>
  <c r="AC4" i="12"/>
  <c r="AH4" i="12"/>
  <c r="AF4" i="12"/>
  <c r="Y4" i="12"/>
  <c r="AA4" i="12"/>
  <c r="K77" i="4"/>
  <c r="J77" i="4"/>
  <c r="G77" i="4"/>
  <c r="F77" i="4"/>
  <c r="L77" i="4"/>
  <c r="B77" i="4"/>
  <c r="B2" i="27"/>
  <c r="G6" i="27" s="1"/>
  <c r="M77" i="4"/>
  <c r="I77" i="4"/>
  <c r="B2" i="12"/>
  <c r="E6" i="12" s="1"/>
  <c r="H77" i="4"/>
  <c r="D77" i="4"/>
  <c r="C77" i="4"/>
  <c r="E77" i="4"/>
  <c r="AG8" i="12"/>
  <c r="U8" i="12"/>
  <c r="U9" i="12" s="1"/>
  <c r="U10" i="12" s="1"/>
  <c r="AJ8" i="12"/>
  <c r="AB8" i="12"/>
  <c r="Z8" i="12"/>
  <c r="AC8" i="12"/>
  <c r="AC9" i="12" s="1"/>
  <c r="AC10" i="12" s="1"/>
  <c r="V8" i="12"/>
  <c r="X8" i="12"/>
  <c r="AH8" i="12"/>
  <c r="AD8" i="12"/>
  <c r="AD9" i="12" s="1"/>
  <c r="AD10" i="12" s="1"/>
  <c r="AI8" i="12"/>
  <c r="W8" i="12"/>
  <c r="Y8" i="12"/>
  <c r="AE8" i="12"/>
  <c r="AE9" i="12" s="1"/>
  <c r="AE10" i="12" s="1"/>
  <c r="AA8" i="12"/>
  <c r="AF8" i="12"/>
  <c r="H8" i="27"/>
  <c r="H9" i="27" s="1"/>
  <c r="H10" i="27" s="1"/>
  <c r="J8" i="27"/>
  <c r="J9" i="27" s="1"/>
  <c r="J10" i="27" s="1"/>
  <c r="I8" i="27"/>
  <c r="I9" i="27" s="1"/>
  <c r="I10" i="27" s="1"/>
  <c r="P83" i="4"/>
  <c r="S5" i="12"/>
  <c r="Q83" i="4"/>
  <c r="O83" i="4"/>
  <c r="O61" i="23"/>
  <c r="AG3" i="12"/>
  <c r="AD3" i="12"/>
  <c r="AE3" i="12"/>
  <c r="AC3" i="12"/>
  <c r="W3" i="12"/>
  <c r="Y3" i="12"/>
  <c r="I2" i="27"/>
  <c r="I4" i="27" s="1"/>
  <c r="V2" i="12"/>
  <c r="V4" i="12" s="1"/>
  <c r="J2" i="28"/>
  <c r="K3" i="12"/>
  <c r="F2" i="28"/>
  <c r="J3" i="28"/>
  <c r="F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Y9" i="12" l="1"/>
  <c r="Y10" i="12" s="1"/>
  <c r="AH9" i="12"/>
  <c r="AH10" i="12" s="1"/>
  <c r="Z9" i="12"/>
  <c r="Z10" i="12" s="1"/>
  <c r="AG9" i="12"/>
  <c r="AG10" i="12" s="1"/>
  <c r="AF9" i="12"/>
  <c r="AF10" i="12" s="1"/>
  <c r="W9" i="12"/>
  <c r="W10" i="12" s="1"/>
  <c r="X9" i="12"/>
  <c r="X10" i="12" s="1"/>
  <c r="AB9" i="12"/>
  <c r="AB10" i="12" s="1"/>
  <c r="AA9" i="12"/>
  <c r="AA10" i="12" s="1"/>
  <c r="AI9" i="12"/>
  <c r="AI10" i="12" s="1"/>
  <c r="V9" i="12"/>
  <c r="V10" i="12" s="1"/>
  <c r="AJ9" i="12"/>
  <c r="AJ10" i="12" s="1"/>
  <c r="R5" i="12"/>
  <c r="Q5" i="12"/>
  <c r="P5" i="12"/>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G7" i="22" s="1"/>
  <c r="F19" i="22"/>
  <c r="G19" i="22" s="1"/>
  <c r="F23" i="22"/>
  <c r="G23" i="22" s="1"/>
  <c r="N5" i="12"/>
  <c r="M5" i="12"/>
  <c r="I5" i="12"/>
  <c r="F20" i="22"/>
  <c r="I20" i="22" s="1"/>
  <c r="F9" i="22"/>
  <c r="F12" i="22"/>
  <c r="K12" i="22" s="1"/>
  <c r="M12" i="22" s="1"/>
  <c r="F16" i="22"/>
  <c r="G16" i="22" s="1"/>
  <c r="F22" i="22"/>
  <c r="I22" i="22" s="1"/>
  <c r="J5" i="12"/>
  <c r="F15" i="22"/>
  <c r="K15" i="22" s="1"/>
  <c r="M15" i="22" s="1"/>
  <c r="L5" i="12"/>
  <c r="F21" i="22"/>
  <c r="G21" i="22" s="1"/>
  <c r="F5" i="12"/>
  <c r="F24" i="22"/>
  <c r="K24" i="22" s="1"/>
  <c r="M24" i="22" s="1"/>
  <c r="F10" i="22"/>
  <c r="F11" i="22"/>
  <c r="F13" i="22"/>
  <c r="I13" i="22" s="1"/>
  <c r="F14" i="22"/>
  <c r="K14" i="22" s="1"/>
  <c r="M14" i="22" s="1"/>
  <c r="F18" i="22"/>
  <c r="G18" i="22" s="1"/>
  <c r="F8" i="22"/>
  <c r="G8" i="22" s="1"/>
  <c r="F5" i="27"/>
  <c r="F25" i="22"/>
  <c r="G25" i="22" s="1"/>
  <c r="G5" i="12"/>
  <c r="H5" i="12"/>
  <c r="F17" i="22"/>
  <c r="K17" i="22" s="1"/>
  <c r="M17" i="22" s="1"/>
  <c r="K5" i="12"/>
  <c r="G51" i="22"/>
  <c r="J51" i="22" s="1"/>
  <c r="I51" i="22"/>
  <c r="M51" i="22" s="1"/>
  <c r="K51" i="22"/>
  <c r="N51" i="22" s="1"/>
  <c r="G44" i="22"/>
  <c r="J44" i="22" s="1"/>
  <c r="I44" i="22"/>
  <c r="M44" i="22" s="1"/>
  <c r="K44" i="22"/>
  <c r="N44" i="22" s="1"/>
  <c r="G9" i="22"/>
  <c r="G38" i="22"/>
  <c r="J38" i="22" s="1"/>
  <c r="I38" i="22"/>
  <c r="M38" i="22" s="1"/>
  <c r="K38" i="22"/>
  <c r="N38" i="22" s="1"/>
  <c r="G33" i="22"/>
  <c r="J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I14" i="22"/>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G39" i="22"/>
  <c r="J39" i="22" s="1"/>
  <c r="I39" i="22"/>
  <c r="M39" i="22" s="1"/>
  <c r="K39" i="22"/>
  <c r="N39" i="22" s="1"/>
  <c r="G32" i="22"/>
  <c r="J32" i="22" s="1"/>
  <c r="G45" i="22"/>
  <c r="J45" i="22" s="1"/>
  <c r="I45" i="22"/>
  <c r="M45" i="22" s="1"/>
  <c r="K45" i="22"/>
  <c r="N45" i="22" s="1"/>
  <c r="G36" i="22"/>
  <c r="J36" i="22" s="1"/>
  <c r="G48" i="22"/>
  <c r="J48" i="22" s="1"/>
  <c r="I48" i="22"/>
  <c r="M48" i="22" s="1"/>
  <c r="K48" i="22"/>
  <c r="N48" i="22" s="1"/>
  <c r="G43" i="22"/>
  <c r="J43" i="22" s="1"/>
  <c r="I43" i="22"/>
  <c r="M43" i="22" s="1"/>
  <c r="K43" i="22"/>
  <c r="N43" i="22" s="1"/>
  <c r="L3" i="28"/>
  <c r="G12" i="22" l="1"/>
  <c r="G13" i="22"/>
  <c r="I12" i="22"/>
  <c r="G24" i="22"/>
  <c r="K25" i="22"/>
  <c r="M25" i="22" s="1"/>
  <c r="G14" i="22"/>
  <c r="I24" i="22"/>
  <c r="I36" i="22"/>
  <c r="I15" i="22"/>
  <c r="G15" i="22"/>
  <c r="I34" i="22"/>
  <c r="K34" i="22" s="1"/>
  <c r="N34" i="22" s="1"/>
  <c r="I25" i="22"/>
  <c r="I32" i="22"/>
  <c r="K32" i="22" s="1"/>
  <c r="N32" i="22" s="1"/>
  <c r="I7" i="22"/>
  <c r="G3" i="28" s="1"/>
  <c r="I33" i="22"/>
  <c r="I9" i="22"/>
  <c r="K26" i="22"/>
  <c r="M26" i="22" s="1"/>
  <c r="I35" i="22"/>
  <c r="M35" i="22" s="1"/>
  <c r="I18" i="22"/>
  <c r="K19" i="22"/>
  <c r="M19" i="22" s="1"/>
  <c r="K16" i="22"/>
  <c r="M16" i="22" s="1"/>
  <c r="I19" i="22"/>
  <c r="K18" i="22"/>
  <c r="M18" i="22" s="1"/>
  <c r="G10" i="22"/>
  <c r="I10" i="22" s="1"/>
  <c r="K10" i="22" s="1"/>
  <c r="G22" i="22"/>
  <c r="K21" i="22"/>
  <c r="M21" i="22" s="1"/>
  <c r="G11" i="22"/>
  <c r="I11" i="22" s="1"/>
  <c r="K11" i="22" s="1"/>
  <c r="M11" i="22" s="1"/>
  <c r="I17" i="22"/>
  <c r="I26" i="22"/>
  <c r="G17" i="22"/>
  <c r="K13" i="22"/>
  <c r="M13" i="22" s="1"/>
  <c r="K9" i="22"/>
  <c r="M9" i="22" s="1"/>
  <c r="I16" i="22"/>
  <c r="G20" i="22"/>
  <c r="K23" i="22"/>
  <c r="M23" i="22" s="1"/>
  <c r="I21" i="22"/>
  <c r="K22" i="22"/>
  <c r="M22" i="22" s="1"/>
  <c r="I8" i="22"/>
  <c r="K8" i="22" s="1"/>
  <c r="M8" i="22" s="1"/>
  <c r="I23" i="22"/>
  <c r="K20" i="22"/>
  <c r="M20" i="22" s="1"/>
  <c r="H3" i="28"/>
  <c r="N15" i="22"/>
  <c r="N12" i="22"/>
  <c r="N24" i="22"/>
  <c r="N25" i="22"/>
  <c r="N17" i="22"/>
  <c r="N14" i="22"/>
  <c r="L2" i="28"/>
  <c r="K3" i="28"/>
  <c r="K2" i="28"/>
  <c r="G2" i="28"/>
  <c r="G13" i="28"/>
  <c r="G14" i="28"/>
  <c r="G4" i="28"/>
  <c r="G8" i="28"/>
  <c r="G11" i="28"/>
  <c r="G12" i="28"/>
  <c r="G9" i="28"/>
  <c r="G6" i="28"/>
  <c r="G15" i="28"/>
  <c r="G7" i="28"/>
  <c r="G5" i="28"/>
  <c r="G10" i="28"/>
  <c r="H6" i="28"/>
  <c r="H15" i="28"/>
  <c r="H12" i="28"/>
  <c r="H9" i="28"/>
  <c r="H14" i="28"/>
  <c r="H10" i="28"/>
  <c r="H13" i="28"/>
  <c r="H11" i="28"/>
  <c r="H8" i="28"/>
  <c r="H5" i="28"/>
  <c r="H4" i="28"/>
  <c r="H7" i="28"/>
  <c r="H2" i="28"/>
  <c r="K7" i="22" l="1"/>
  <c r="M7" i="22" s="1"/>
  <c r="M32" i="22"/>
  <c r="M34" i="22"/>
  <c r="M36" i="22"/>
  <c r="K36" i="22"/>
  <c r="N36" i="22" s="1"/>
  <c r="N20" i="22"/>
  <c r="N26" i="22"/>
  <c r="M10" i="22"/>
  <c r="N10" i="22"/>
  <c r="M33" i="22"/>
  <c r="K33" i="22"/>
  <c r="N33" i="22" s="1"/>
  <c r="K35" i="22"/>
  <c r="N35" i="22" s="1"/>
  <c r="N18" i="22"/>
  <c r="N13" i="22"/>
  <c r="N19" i="22"/>
  <c r="N16" i="22"/>
  <c r="N8" i="22"/>
  <c r="N21" i="22"/>
  <c r="N11" i="22"/>
  <c r="N9" i="22"/>
  <c r="N23" i="22"/>
  <c r="N22" i="22"/>
  <c r="N7"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<sst xmlns="http://schemas.openxmlformats.org/spreadsheetml/2006/main" count="493" uniqueCount="176">
  <si>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</si>
  <si>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</si>
  <si>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</si>
  <si>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</si>
  <si>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</si>
  <si>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</si>
  <si>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</si>
  <si>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</si>
  <si>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</si>
  <si>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</si>
  <si>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</si>
  <si>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</si>
  <si>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</si>
  <si>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</si>
  <si>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</si>
  <si>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</si>
  <si>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</si>
  <si>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</si>
  <si>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</si>
  <si>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</si>
  <si>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</si>
  <si>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</si>
  <si>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</si>
  <si>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</si>
  <si>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</si>
  <si>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</si>
  <si>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</si>
  <si>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</si>
  <si>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</si>
  <si>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</si>
  <si>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</si>
  <si>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</si>
  <si>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</si>
  <si>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</si>
  <si>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</si>
  <si>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</si>
  <si>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</si>
  <si>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</si>
  <si>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</si>
  <si>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</si>
  <si>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</si>
  <si>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</si>
  <si>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</si>
  <si>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</si>
  <si>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</si>
  <si>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</si>
  <si>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</si>
  <si>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</si>
  <si>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</si>
  <si>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</si>
  <si>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</si>
  <si>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</si>
  <si>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</si>
  <si>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</si>
  <si>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</si>
  <si>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</si>
  <si>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</si>
  <si>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</si>
  <si>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</si>
  <si>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</si>
  <si>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</si>
  <si>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</si>
  <si>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</si>
  <si>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</si>
  <si>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</si>
  <si>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</si>
  <si>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</si>
  <si>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</si>
  <si>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</si>
  <si>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</si>
  <si>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</si>
  <si>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</si>
  <si>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</si>
  <si>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</si>
  <si>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</si>
  <si>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</si>
  <si>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</si>
  <si>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</si>
  <si>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</si>
  <si>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</si>
  <si>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</si>
  <si>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</si>
  <si>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</si>
  <si>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</si>
  <si>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</si>
  <si>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</si>
  <si>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</si>
  <si>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</si>
  <si>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</si>
  <si>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</si>
  <si>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</si>
  <si>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</si>
  <si>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</si>
  <si>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</si>
  <si>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</si>
  <si>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</si>
  <si>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</si>
  <si>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</si>
  <si>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</si>
  <si>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</si>
  <si>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</si>
  <si>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</si>
  <si>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</si>
  <si>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</si>
  <si>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</si>
  <si>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</si>
  <si>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</si>
  <si>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</si>
  <si>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</si>
  <si>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</si>
  <si>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</si>
  <si>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</si>
  <si>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</si>
  <si>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</si>
  <si>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</si>
  <si>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</si>
  <si>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</si>
  <si>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</si>
  <si>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</si>
  <si>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</si>
  <si>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</si>
  <si>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</si>
  <si>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</si>
  <si>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</si>
  <si>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</si>
  <si>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</si>
  <si>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</si>
  <si>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</si>
  <si>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</si>
  <si>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</si>
  <si>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</si>
  <si>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</si>
  <si>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</si>
  <si>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</si>
  <si>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</si>
  <si>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</si>
  <si>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</si>
  <si>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</si>
  <si>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</si>
  <si>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</si>
  <si>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</si>
  <si>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</si>
  <si>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</si>
  <si>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</si>
  <si>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</si>
  <si>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</si>
  <si>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</si>
  <si>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</si>
  <si>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</si>
  <si>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</si>
  <si>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</si>
  <si>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</si>
  <si>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</si>
  <si>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</si>
  <si>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</si>
  <si>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</si>
  <si>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</si>
  <si>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</si>
  <si>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</si>
  <si>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</si>
  <si>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</si>
  <si>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</si>
  <si>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</si>
  <si>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</si>
  <si>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#VALEUR!</t>
  </si>
  <si>
    <t>n'utilisez pas cette ligne SVP</t>
  </si>
  <si>
    <t>Prochloraz</t>
  </si>
  <si>
    <t>mg/L</t>
  </si>
  <si>
    <t>Test</t>
  </si>
  <si>
    <t>ns</t>
  </si>
  <si>
    <t>&gt;0,99</t>
  </si>
  <si>
    <t>**</t>
  </si>
  <si>
    <t>***</t>
  </si>
  <si>
    <t>&lt;0,001</t>
  </si>
  <si>
    <t>*</t>
  </si>
  <si>
    <t>Kruskal-Wallis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</si>
</sst>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2">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0" fillId="2" borderId="0" xfId="0" applyFill="1"/>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ercent"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'R1'!$N$48:$V$48</c:f>
                <c:numCache>
                  <c:formatCode>General</c:formatCode>
                  <c:ptCount val="9"/>
                  <c:pt idx="0">
                    <c:v>0</c:v>
                  </c:pt>
                  <c:pt idx="1">
                    <c:v>0.29364615881916128</c:v>
                  </c:pt>
                  <c:pt idx="2">
                    <c:v>0.56830742815943824</c:v>
                  </c:pt>
                  <c:pt idx="3">
                    <c:v>2.3884628342554053E-2</c:v>
                  </c:pt>
                  <c:pt idx="4">
                    <c:v>0.43720374637313753</c:v>
                  </c:pt>
                  <c:pt idx="5">
                    <c:v>0.1371968151503738</c:v>
                  </c:pt>
                  <c:pt idx="6">
                    <c:v>0.1771266614066471</c:v>
                  </c:pt>
                  <c:pt idx="7">
                    <c:v>5.2819657268401106E-2</c:v>
                  </c:pt>
                  <c:pt idx="8">
                    <c:v>0.23725136138916039</c:v>
                  </c:pt>
                </c:numCache>
              </c:numRef>
            </c:plus>
            <c:minus>
              <c:numRef>
                <c:f>'R1'!$N$48:$V$48</c:f>
                <c:numCache>
                  <c:formatCode>General</c:formatCode>
                  <c:ptCount val="9"/>
                  <c:pt idx="0">
                    <c:v>0</c:v>
                  </c:pt>
                  <c:pt idx="1">
                    <c:v>0.29364615881916128</c:v>
                  </c:pt>
                  <c:pt idx="2">
                    <c:v>0.56830742815943824</c:v>
                  </c:pt>
                  <c:pt idx="3">
                    <c:v>2.3884628342554053E-2</c:v>
                  </c:pt>
                  <c:pt idx="4">
                    <c:v>0.43720374637313753</c:v>
                  </c:pt>
                  <c:pt idx="5">
                    <c:v>0.1371968151503738</c:v>
                  </c:pt>
                  <c:pt idx="6">
                    <c:v>0.1771266614066471</c:v>
                  </c:pt>
                  <c:pt idx="7">
                    <c:v>5.2819657268401106E-2</c:v>
                  </c:pt>
                  <c:pt idx="8">
                    <c:v>0.23725136138916039</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Prochloraz-0.063mg/L</c:v>
                </c:pt>
                <c:pt idx="8">
                  <c:v>Prochloraz-0.13mg/L</c:v>
                </c:pt>
                <c:pt idx="9">
                  <c:v>Prochloraz-0.25mg/L</c:v>
                </c:pt>
                <c:pt idx="10">
                  <c:v>Prochloraz-0.5mg/L</c:v>
                </c:pt>
                <c:pt idx="11">
                  <c:v>Prochloraz-1mg/L</c:v>
                </c:pt>
                <c:pt idx="13">
                  <c:v>Testo -30µg/L</c:v>
                </c:pt>
                <c:pt idx="14">
                  <c:v>Testo 30µg/L + EE2 -64ng/L</c:v>
                </c:pt>
                <c:pt idx="15">
                  <c:v>Testo 30µg/L + FAD-10µg/L</c:v>
                </c:pt>
                <c:pt idx="16">
                  <c:v>Prochloraz-0.063mg/L + Testostérone</c:v>
                </c:pt>
                <c:pt idx="17">
                  <c:v>Prochloraz-0.13mg/L + Testostérone</c:v>
                </c:pt>
                <c:pt idx="18">
                  <c:v>Prochloraz-0.25mg/L + Testostérone</c:v>
                </c:pt>
                <c:pt idx="19">
                  <c:v>Prochloraz-0.5mg/L + Testostérone</c:v>
                </c:pt>
                <c:pt idx="20">
                  <c:v>Prochloraz-1mg/L + Testostérone</c:v>
                </c:pt>
              </c:strCache>
            </c:strRef>
          </c:cat>
          <c:val>
            <c:numRef>
              <c:f>'R1'!$B$53:$V$53</c:f>
              <c:numCache>
                <c:formatCode>0.0000</c:formatCode>
                <c:ptCount val="21"/>
                <c:pt idx="0">
                  <c:v>3.5506449656302459E-2</c:v>
                </c:pt>
                <c:pt idx="1">
                  <c:v>0.26183312688414656</c:v>
                </c:pt>
                <c:pt idx="2">
                  <c:v>0.64747592348695293</c:v>
                </c:pt>
                <c:pt idx="3">
                  <c:v>1.1443093696330195</c:v>
                </c:pt>
                <c:pt idx="4">
                  <c:v>3.644829905372001</c:v>
                </c:pt>
                <c:pt idx="5">
                  <c:v>6.0717925535194093</c:v>
                </c:pt>
                <c:pt idx="6">
                  <c:v>5.8491207238824465</c:v>
                </c:pt>
                <c:pt idx="7">
                  <c:v>5.9518353844118417E-2</c:v>
                </c:pt>
                <c:pt idx="8">
                  <c:v>3.5728339261185758E-2</c:v>
                </c:pt>
                <c:pt idx="9">
                  <c:v>6.7787274291847763E-2</c:v>
                </c:pt>
                <c:pt idx="10">
                  <c:v>0.14442237087294846</c:v>
                </c:pt>
                <c:pt idx="11">
                  <c:v>0.10976163113331196</c:v>
                </c:pt>
                <c:pt idx="13">
                  <c:v>0.99999999999999989</c:v>
                </c:pt>
                <c:pt idx="14">
                  <c:v>4.78077564092216</c:v>
                </c:pt>
                <c:pt idx="15">
                  <c:v>5.0170082803483645E-2</c:v>
                </c:pt>
                <c:pt idx="16">
                  <c:v>0.70010519705966456</c:v>
                </c:pt>
                <c:pt idx="17">
                  <c:v>0.26228564595323439</c:v>
                </c:pt>
                <c:pt idx="18">
                  <c:v>0.48825655949576968</c:v>
                </c:pt>
                <c:pt idx="19">
                  <c:v>0.10020361815780834</c:v>
                </c:pt>
                <c:pt idx="20">
                  <c:v>0.27453158430191416</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7904"/>
        <c:crosses val="autoZero"/>
        <c:auto val="1"/>
        <c:lblAlgn val="ctr"/>
        <c:lblOffset val="100"/>
        <c:noMultiLvlLbl val="0"/>
      </c:catAx>
      <c:valAx>
        <c:axId val="324817904"/>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8.5688074346385069E-3</c:v>
                  </c:pt>
                  <c:pt idx="1">
                    <c:v>2.9771016429878998E-2</c:v>
                  </c:pt>
                  <c:pt idx="2">
                    <c:v>3.6613154918315696E-2</c:v>
                  </c:pt>
                  <c:pt idx="3">
                    <c:v>0.27617704209975386</c:v>
                  </c:pt>
                  <c:pt idx="4">
                    <c:v>0.41392212356534408</c:v>
                  </c:pt>
                  <c:pt idx="5">
                    <c:v>0.47332893369862322</c:v>
                  </c:pt>
                  <c:pt idx="6">
                    <c:v>0.70392206361864595</c:v>
                  </c:pt>
                  <c:pt idx="7">
                    <c:v>1.496331957444307E-2</c:v>
                  </c:pt>
                  <c:pt idx="8">
                    <c:v>4.0113325544827549E-2</c:v>
                  </c:pt>
                  <c:pt idx="9">
                    <c:v>9.2023427791158054E-3</c:v>
                  </c:pt>
                  <c:pt idx="10">
                    <c:v>1.0202028506016514E-2</c:v>
                  </c:pt>
                  <c:pt idx="11">
                    <c:v>6.3618145103356708E-3</c:v>
                  </c:pt>
                  <c:pt idx="13">
                    <c:v>0.16739383036532982</c:v>
                  </c:pt>
                  <c:pt idx="14">
                    <c:v>0.30291162294516416</c:v>
                  </c:pt>
                  <c:pt idx="15">
                    <c:v>1.1002275912691845E-2</c:v>
                  </c:pt>
                  <c:pt idx="16">
                    <c:v>8.2506786926574802E-2</c:v>
                  </c:pt>
                  <c:pt idx="17">
                    <c:v>0.11075385891231192</c:v>
                  </c:pt>
                  <c:pt idx="18">
                    <c:v>7.1157775357517147E-2</c:v>
                  </c:pt>
                  <c:pt idx="19">
                    <c:v>1.0976496289473196E-2</c:v>
                  </c:pt>
                  <c:pt idx="20">
                    <c:v>3.1578484574881188E-2</c:v>
                  </c:pt>
                </c:numCache>
              </c:numRef>
            </c:plus>
            <c:minus>
              <c:numRef>
                <c:f>'R1'!$N$48:$V$48</c:f>
                <c:numCache>
                  <c:formatCode>General</c:formatCode>
                  <c:ptCount val="9"/>
                  <c:pt idx="0">
                    <c:v>0</c:v>
                  </c:pt>
                  <c:pt idx="1">
                    <c:v>0.29364615881916128</c:v>
                  </c:pt>
                  <c:pt idx="2">
                    <c:v>0.56830742815943824</c:v>
                  </c:pt>
                  <c:pt idx="3">
                    <c:v>2.3884628342554053E-2</c:v>
                  </c:pt>
                  <c:pt idx="4">
                    <c:v>0.43720374637313753</c:v>
                  </c:pt>
                  <c:pt idx="5">
                    <c:v>0.1371968151503738</c:v>
                  </c:pt>
                  <c:pt idx="6">
                    <c:v>0.1771266614066471</c:v>
                  </c:pt>
                  <c:pt idx="7">
                    <c:v>5.2819657268401106E-2</c:v>
                  </c:pt>
                  <c:pt idx="8">
                    <c:v>0.23725136138916039</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Prochloraz-0.063mg/L</c:v>
                </c:pt>
                <c:pt idx="8">
                  <c:v>Prochloraz-0.13mg/L</c:v>
                </c:pt>
                <c:pt idx="9">
                  <c:v>Prochloraz-0.25mg/L</c:v>
                </c:pt>
                <c:pt idx="10">
                  <c:v>Prochloraz-0.5mg/L</c:v>
                </c:pt>
                <c:pt idx="11">
                  <c:v>Prochloraz-1mg/L</c:v>
                </c:pt>
                <c:pt idx="13">
                  <c:v>Testo -30µg/L</c:v>
                </c:pt>
                <c:pt idx="14">
                  <c:v>Testo 30µg/L + EE2 -64ng/L</c:v>
                </c:pt>
                <c:pt idx="15">
                  <c:v>Testo 30µg/L + FAD-10µg/L</c:v>
                </c:pt>
                <c:pt idx="16">
                  <c:v>Prochloraz-0.063mg/L + Testostérone</c:v>
                </c:pt>
                <c:pt idx="17">
                  <c:v>Prochloraz-0.13mg/L + Testostérone</c:v>
                </c:pt>
                <c:pt idx="18">
                  <c:v>Prochloraz-0.25mg/L + Testostérone</c:v>
                </c:pt>
                <c:pt idx="19">
                  <c:v>Prochloraz-0.5mg/L + Testostérone</c:v>
                </c:pt>
                <c:pt idx="20">
                  <c:v>Prochloraz-1mg/L + Testostérone</c:v>
                </c:pt>
              </c:strCache>
            </c:strRef>
          </c:cat>
          <c:val>
            <c:numRef>
              <c:f>'R2'!$B$53:$V$53</c:f>
              <c:numCache>
                <c:formatCode>0.0000</c:formatCode>
                <c:ptCount val="21"/>
                <c:pt idx="0">
                  <c:v>2.7115925505846135E-2</c:v>
                </c:pt>
                <c:pt idx="1">
                  <c:v>7.7683180250138276E-2</c:v>
                </c:pt>
                <c:pt idx="2">
                  <c:v>0.12390053811915266</c:v>
                </c:pt>
                <c:pt idx="3">
                  <c:v>0.87993238342040181</c:v>
                </c:pt>
                <c:pt idx="4">
                  <c:v>2.3891860047851998</c:v>
                </c:pt>
                <c:pt idx="5">
                  <c:v>3.1008022698347544</c:v>
                </c:pt>
                <c:pt idx="6">
                  <c:v>4.9223349850300071</c:v>
                </c:pt>
                <c:pt idx="7">
                  <c:v>8.6041058845168161E-2</c:v>
                </c:pt>
                <c:pt idx="8">
                  <c:v>0.11424894060370766</c:v>
                </c:pt>
                <c:pt idx="9">
                  <c:v>3.741796336570484E-2</c:v>
                </c:pt>
                <c:pt idx="10">
                  <c:v>4.4058535267535684E-2</c:v>
                </c:pt>
                <c:pt idx="11">
                  <c:v>2.6992210530027372E-2</c:v>
                </c:pt>
                <c:pt idx="13">
                  <c:v>1.0000000000000002</c:v>
                </c:pt>
                <c:pt idx="14">
                  <c:v>1.5505161263578786</c:v>
                </c:pt>
                <c:pt idx="15">
                  <c:v>3.3716419961925953E-2</c:v>
                </c:pt>
                <c:pt idx="16">
                  <c:v>0.18541149671568891</c:v>
                </c:pt>
                <c:pt idx="17">
                  <c:v>0.2672943664201658</c:v>
                </c:pt>
                <c:pt idx="18">
                  <c:v>0.1119980584493263</c:v>
                </c:pt>
                <c:pt idx="19">
                  <c:v>3.8151641482062994E-2</c:v>
                </c:pt>
                <c:pt idx="20">
                  <c:v>6.6380676543330283E-2</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8688"/>
        <c:crosses val="autoZero"/>
        <c:auto val="1"/>
        <c:lblAlgn val="ctr"/>
        <c:lblOffset val="100"/>
        <c:noMultiLvlLbl val="0"/>
      </c:catAx>
      <c:valAx>
        <c:axId val="324818688"/>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2.625181688458118E-2</c:v>
                  </c:pt>
                  <c:pt idx="1">
                    <c:v>9.9221494473681147E-3</c:v>
                  </c:pt>
                  <c:pt idx="2">
                    <c:v>5.0519056445874413E-3</c:v>
                  </c:pt>
                  <c:pt idx="3">
                    <c:v>3.6476936806782425E-3</c:v>
                  </c:pt>
                  <c:pt idx="4">
                    <c:v>1.0833526563670511E-2</c:v>
                  </c:pt>
                  <c:pt idx="5">
                    <c:v>3.7532330739047041E-2</c:v>
                  </c:pt>
                  <c:pt idx="6">
                    <c:v>0.98663854316463584</c:v>
                  </c:pt>
                  <c:pt idx="7">
                    <c:v>1.5385606140453532E-2</c:v>
                  </c:pt>
                  <c:pt idx="8">
                    <c:v>1.8526902657699986E-2</c:v>
                  </c:pt>
                  <c:pt idx="9">
                    <c:v>9.104481082044957E-3</c:v>
                  </c:pt>
                  <c:pt idx="10">
                    <c:v>1.7970157185401934E-2</c:v>
                  </c:pt>
                  <c:pt idx="11">
                    <c:v>1.2262246334318614E-2</c:v>
                  </c:pt>
                  <c:pt idx="13">
                    <c:v>0.33227178455812367</c:v>
                  </c:pt>
                  <c:pt idx="14">
                    <c:v>2.3730704840606669</c:v>
                  </c:pt>
                  <c:pt idx="15">
                    <c:v>3.0393190008361781E-2</c:v>
                  </c:pt>
                  <c:pt idx="16">
                    <c:v>0.19129028190587954</c:v>
                  </c:pt>
                  <c:pt idx="17">
                    <c:v>0.23030996745253404</c:v>
                  </c:pt>
                  <c:pt idx="18">
                    <c:v>1.7016692016392762E-2</c:v>
                  </c:pt>
                  <c:pt idx="19">
                    <c:v>6.4756162481956286E-2</c:v>
                  </c:pt>
                  <c:pt idx="20">
                    <c:v>1.2393956315729322E-2</c:v>
                  </c:pt>
                </c:numCache>
              </c:numRef>
            </c:plus>
            <c:minus>
              <c:numRef>
                <c:f>'R1'!$N$48:$V$48</c:f>
                <c:numCache>
                  <c:formatCode>General</c:formatCode>
                  <c:ptCount val="9"/>
                  <c:pt idx="0">
                    <c:v>0</c:v>
                  </c:pt>
                  <c:pt idx="1">
                    <c:v>0.29364615881916128</c:v>
                  </c:pt>
                  <c:pt idx="2">
                    <c:v>0.56830742815943824</c:v>
                  </c:pt>
                  <c:pt idx="3">
                    <c:v>2.3884628342554053E-2</c:v>
                  </c:pt>
                  <c:pt idx="4">
                    <c:v>0.43720374637313753</c:v>
                  </c:pt>
                  <c:pt idx="5">
                    <c:v>0.1371968151503738</c:v>
                  </c:pt>
                  <c:pt idx="6">
                    <c:v>0.1771266614066471</c:v>
                  </c:pt>
                  <c:pt idx="7">
                    <c:v>5.2819657268401106E-2</c:v>
                  </c:pt>
                  <c:pt idx="8">
                    <c:v>0.23725136138916039</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Prochloraz-0.063mg/L</c:v>
                </c:pt>
                <c:pt idx="8">
                  <c:v>Prochloraz-0.13mg/L</c:v>
                </c:pt>
                <c:pt idx="9">
                  <c:v>Prochloraz-0.25mg/L</c:v>
                </c:pt>
                <c:pt idx="10">
                  <c:v>Prochloraz-0.5mg/L</c:v>
                </c:pt>
                <c:pt idx="11">
                  <c:v>Prochloraz-1mg/L</c:v>
                </c:pt>
                <c:pt idx="13">
                  <c:v>Testo -30µg/L</c:v>
                </c:pt>
                <c:pt idx="14">
                  <c:v>Testo 30µg/L + EE2 -64ng/L</c:v>
                </c:pt>
                <c:pt idx="15">
                  <c:v>Testo 30µg/L + FAD-10µg/L</c:v>
                </c:pt>
                <c:pt idx="16">
                  <c:v>Prochloraz-0.063mg/L + Testostérone</c:v>
                </c:pt>
                <c:pt idx="17">
                  <c:v>Prochloraz-0.13mg/L + Testostérone</c:v>
                </c:pt>
                <c:pt idx="18">
                  <c:v>Prochloraz-0.25mg/L + Testostérone</c:v>
                </c:pt>
                <c:pt idx="19">
                  <c:v>Prochloraz-0.5mg/L + Testostérone</c:v>
                </c:pt>
                <c:pt idx="20">
                  <c:v>Prochloraz-1mg/L + Testostérone</c:v>
                </c:pt>
              </c:strCache>
            </c:strRef>
          </c:cat>
          <c:val>
            <c:numRef>
              <c:f>'R3'!$B$53:$V$53</c:f>
              <c:numCache>
                <c:formatCode>0.0000</c:formatCode>
                <c:ptCount val="21"/>
                <c:pt idx="0">
                  <c:v>6.5970765495018888E-2</c:v>
                </c:pt>
                <c:pt idx="1">
                  <c:v>1.6469775667889437E-2</c:v>
                </c:pt>
                <c:pt idx="2">
                  <c:v>1.4782576415243099E-2</c:v>
                </c:pt>
                <c:pt idx="3">
                  <c:v>1.1917675302352304E-2</c:v>
                </c:pt>
                <c:pt idx="4">
                  <c:v>2.5066522445301401E-2</c:v>
                </c:pt>
                <c:pt idx="5">
                  <c:v>6.2276520173678664E-2</c:v>
                </c:pt>
                <c:pt idx="6">
                  <c:v>3.8169361565028859</c:v>
                </c:pt>
                <c:pt idx="7">
                  <c:v>3.1026892675532242E-2</c:v>
                </c:pt>
                <c:pt idx="8">
                  <c:v>5.550286132509509E-2</c:v>
                </c:pt>
                <c:pt idx="9">
                  <c:v>3.2146697104821938E-2</c:v>
                </c:pt>
                <c:pt idx="10">
                  <c:v>4.9081695659089028E-2</c:v>
                </c:pt>
                <c:pt idx="11">
                  <c:v>2.6910725907772118E-2</c:v>
                </c:pt>
                <c:pt idx="13">
                  <c:v>1.0000000000000002</c:v>
                </c:pt>
                <c:pt idx="14">
                  <c:v>15.291773762723388</c:v>
                </c:pt>
                <c:pt idx="15">
                  <c:v>8.0722982248988245E-2</c:v>
                </c:pt>
                <c:pt idx="16">
                  <c:v>0.34812450516549687</c:v>
                </c:pt>
                <c:pt idx="17">
                  <c:v>0.32444528301115683</c:v>
                </c:pt>
                <c:pt idx="18">
                  <c:v>4.0947447183068614E-2</c:v>
                </c:pt>
                <c:pt idx="19">
                  <c:v>8.4096699608034384E-2</c:v>
                </c:pt>
                <c:pt idx="20">
                  <c:v>3.3012774557280487E-2</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BD5B5572-E8FB-4174-BDC5-7BCF4969BA0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AA0D5E90-555D-485F-AA6E-AACE7399894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5FC269F9-1DAB-4313-B344-0452DAACCBF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F5218503-CD60-45A8-9235-A07FD6AF3F6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00A3E6AE-74C9-4E4F-BB2C-4A89C320213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C735A738-9678-48AB-9D93-2D17877558A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E966684C-1B72-4BA6-BDA3-45587690351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B0EB4EFC-4BC1-44D0-A7D6-75207F462BC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AE326F5F-4A5F-4709-A72F-043E24E5A1C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7592356B-80D0-4623-90EE-78D71A81193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F2C66EB7-87F9-4CB8-8A85-37A1F19744D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8833D9D4-6D26-4833-8288-ED47FFB26E4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7A7B4DD6-713F-43E5-8681-D608593E38B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0488604E-322D-45B3-8B43-6151DFAD5D9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4DDE7264-D2B2-4839-BE52-483A903D00D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A3D39997-1928-475B-8AD5-538288F2ABF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DCBD9D1D-3C89-400C-BC05-EDDBF3DE7B2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C8413B06-589A-4108-979C-E54B45B0B58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C18DD84E-7AEB-4282-9896-A9E29803DDA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66C42CCC-FB86-4B85-9BB1-7375E5F0CED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1.0056183789942471E-2</c:v>
                  </c:pt>
                  <c:pt idx="1">
                    <c:v>4.3530887353432378E-2</c:v>
                  </c:pt>
                  <c:pt idx="2">
                    <c:v>0.11309936948229524</c:v>
                  </c:pt>
                  <c:pt idx="3">
                    <c:v>0.1671179586156484</c:v>
                  </c:pt>
                  <c:pt idx="4">
                    <c:v>0.36750064057189819</c:v>
                  </c:pt>
                  <c:pt idx="5">
                    <c:v>0.60048526401347735</c:v>
                  </c:pt>
                  <c:pt idx="6">
                    <c:v>0.4730542380463103</c:v>
                  </c:pt>
                  <c:pt idx="7">
                    <c:v>1.0559188870281217E-2</c:v>
                  </c:pt>
                  <c:pt idx="8">
                    <c:v>1.5918873847472471E-2</c:v>
                  </c:pt>
                  <c:pt idx="9">
                    <c:v>1.0428831152142612E-2</c:v>
                  </c:pt>
                  <c:pt idx="10">
                    <c:v>2.4705545928523701E-2</c:v>
                  </c:pt>
                  <c:pt idx="11">
                    <c:v>1.1176934954399705E-2</c:v>
                  </c:pt>
                  <c:pt idx="13">
                    <c:v>0.1545939430177421</c:v>
                  </c:pt>
                  <c:pt idx="14">
                    <c:v>1.4524805667157339</c:v>
                  </c:pt>
                  <c:pt idx="15">
                    <c:v>1.3429817936972982E-2</c:v>
                  </c:pt>
                  <c:pt idx="16">
                    <c:v>0.16469856371714606</c:v>
                  </c:pt>
                  <c:pt idx="17">
                    <c:v>9.257268951388499E-2</c:v>
                  </c:pt>
                  <c:pt idx="18">
                    <c:v>7.349021301143932E-2</c:v>
                  </c:pt>
                  <c:pt idx="19">
                    <c:v>2.7399336545402463E-2</c:v>
                  </c:pt>
                  <c:pt idx="20">
                    <c:v>7.2765308863406125E-2</c:v>
                  </c:pt>
                </c:numCache>
              </c:numRef>
            </c:plus>
            <c:minus>
              <c:numRef>
                <c:f>'pooled normalised values'!$B$76:$V$76</c:f>
                <c:numCache>
                  <c:formatCode>General</c:formatCode>
                  <c:ptCount val="21"/>
                  <c:pt idx="0">
                    <c:v>1.0056183789942471E-2</c:v>
                  </c:pt>
                  <c:pt idx="1">
                    <c:v>4.3530887353432378E-2</c:v>
                  </c:pt>
                  <c:pt idx="2">
                    <c:v>0.11309936948229524</c:v>
                  </c:pt>
                  <c:pt idx="3">
                    <c:v>0.1671179586156484</c:v>
                  </c:pt>
                  <c:pt idx="4">
                    <c:v>0.36750064057189819</c:v>
                  </c:pt>
                  <c:pt idx="5">
                    <c:v>0.60048526401347735</c:v>
                  </c:pt>
                  <c:pt idx="6">
                    <c:v>0.4730542380463103</c:v>
                  </c:pt>
                  <c:pt idx="7">
                    <c:v>1.0559188870281217E-2</c:v>
                  </c:pt>
                  <c:pt idx="8">
                    <c:v>1.5918873847472471E-2</c:v>
                  </c:pt>
                  <c:pt idx="9">
                    <c:v>1.0428831152142612E-2</c:v>
                  </c:pt>
                  <c:pt idx="10">
                    <c:v>2.4705545928523701E-2</c:v>
                  </c:pt>
                  <c:pt idx="11">
                    <c:v>1.1176934954399705E-2</c:v>
                  </c:pt>
                  <c:pt idx="13">
                    <c:v>0.1545939430177421</c:v>
                  </c:pt>
                  <c:pt idx="14">
                    <c:v>1.4524805667157339</c:v>
                  </c:pt>
                  <c:pt idx="15">
                    <c:v>1.3429817936972982E-2</c:v>
                  </c:pt>
                  <c:pt idx="16">
                    <c:v>0.16469856371714606</c:v>
                  </c:pt>
                  <c:pt idx="17">
                    <c:v>9.257268951388499E-2</c:v>
                  </c:pt>
                  <c:pt idx="18">
                    <c:v>7.349021301143932E-2</c:v>
                  </c:pt>
                  <c:pt idx="19">
                    <c:v>2.7399336545402463E-2</c:v>
                  </c:pt>
                  <c:pt idx="20">
                    <c:v>7.2765308863406125E-2</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Prochloraz-0.063mg/L</c:v>
                </c:pt>
                <c:pt idx="8">
                  <c:v>Prochloraz-0.13mg/L</c:v>
                </c:pt>
                <c:pt idx="9">
                  <c:v>Prochloraz-0.25mg/L</c:v>
                </c:pt>
                <c:pt idx="10">
                  <c:v>Prochloraz-0.5mg/L</c:v>
                </c:pt>
                <c:pt idx="11">
                  <c:v>Prochloraz-1mg/L</c:v>
                </c:pt>
                <c:pt idx="13">
                  <c:v>Testo -30µg/L</c:v>
                </c:pt>
                <c:pt idx="14">
                  <c:v>Testo 30µg/L + EE2 -64ng/L</c:v>
                </c:pt>
                <c:pt idx="15">
                  <c:v>Testo 30µg/L + FAD-10µg/L</c:v>
                </c:pt>
                <c:pt idx="16">
                  <c:v>Prochloraz-0.063mg/L + Testostérone</c:v>
                </c:pt>
                <c:pt idx="17">
                  <c:v>Prochloraz-0.13mg/L + Testostérone</c:v>
                </c:pt>
                <c:pt idx="18">
                  <c:v>Prochloraz-0.25mg/L + Testostérone</c:v>
                </c:pt>
                <c:pt idx="19">
                  <c:v>Prochloraz-0.5mg/L + Testostérone</c:v>
                </c:pt>
                <c:pt idx="20">
                  <c:v>Prochloraz-1mg/L + Testostérone</c:v>
                </c:pt>
              </c:strCache>
            </c:strRef>
          </c:cat>
          <c:val>
            <c:numRef>
              <c:f>'pooled normalised values'!$B$75:$V$75</c:f>
              <c:numCache>
                <c:formatCode>0.0000</c:formatCode>
                <c:ptCount val="21"/>
                <c:pt idx="0">
                  <c:v>4.185975477227482E-2</c:v>
                </c:pt>
                <c:pt idx="1">
                  <c:v>0.11866202760072476</c:v>
                </c:pt>
                <c:pt idx="2">
                  <c:v>0.26205301267378284</c:v>
                </c:pt>
                <c:pt idx="3">
                  <c:v>0.67871980945192434</c:v>
                </c:pt>
                <c:pt idx="4">
                  <c:v>2.0196941442008347</c:v>
                </c:pt>
                <c:pt idx="5">
                  <c:v>2.948138182378405</c:v>
                </c:pt>
                <c:pt idx="6">
                  <c:v>4.8627972884717794</c:v>
                </c:pt>
                <c:pt idx="7">
                  <c:v>5.883356909019271E-2</c:v>
                </c:pt>
                <c:pt idx="8">
                  <c:v>6.8493380396662834E-2</c:v>
                </c:pt>
                <c:pt idx="9">
                  <c:v>4.5783978254124842E-2</c:v>
                </c:pt>
                <c:pt idx="10">
                  <c:v>7.9187533933191057E-2</c:v>
                </c:pt>
                <c:pt idx="11">
                  <c:v>5.5753231740820204E-2</c:v>
                </c:pt>
                <c:pt idx="13">
                  <c:v>1</c:v>
                </c:pt>
                <c:pt idx="14">
                  <c:v>7.2076885100011419</c:v>
                </c:pt>
                <c:pt idx="15">
                  <c:v>5.4869828338132608E-2</c:v>
                </c:pt>
                <c:pt idx="16">
                  <c:v>0.41395674288527418</c:v>
                </c:pt>
                <c:pt idx="17">
                  <c:v>0.284675098461519</c:v>
                </c:pt>
                <c:pt idx="18">
                  <c:v>0.21373402170938816</c:v>
                </c:pt>
                <c:pt idx="19">
                  <c:v>7.4150653082635243E-2</c:v>
                </c:pt>
                <c:pt idx="20">
                  <c:v>0.11812472603992545</c:v>
                </c:pt>
              </c:numCache>
            </c:numRef>
          </c:val>
          <c:extLst>
            <c:ext xmlns:c15="http://schemas.microsoft.com/office/drawing/2012/chart" uri="{02D57815-91ED-43cb-92C2-25804820EDAC}">
              <c15:datalabelsRange>
                <c15:f>'pooled normalised values'!$B$83:$V$83</c15:f>
                <c15:dlblRangeCache>
                  <c:ptCount val="21"/>
                  <c:pt idx="1">
                    <c:v>ns</c:v>
                  </c:pt>
                  <c:pt idx="2">
                    <c:v>ns</c:v>
                  </c:pt>
                  <c:pt idx="3">
                    <c:v>ns</c:v>
                  </c:pt>
                  <c:pt idx="4">
                    <c:v>**</c:v>
                  </c:pt>
                  <c:pt idx="5">
                    <c:v>***</c:v>
                  </c:pt>
                  <c:pt idx="6">
                    <c:v>***</c:v>
                  </c:pt>
                  <c:pt idx="7">
                    <c:v>ns</c:v>
                  </c:pt>
                  <c:pt idx="8">
                    <c:v>ns</c:v>
                  </c:pt>
                  <c:pt idx="9">
                    <c:v>ns</c:v>
                  </c:pt>
                  <c:pt idx="10">
                    <c:v>ns</c:v>
                  </c:pt>
                  <c:pt idx="11">
                    <c:v>ns</c:v>
                  </c:pt>
                  <c:pt idx="13">
                    <c:v>#NAME?</c:v>
                  </c:pt>
                  <c:pt idx="14">
                    <c:v>#NAME?</c:v>
                  </c:pt>
                  <c:pt idx="15">
                    <c:v>#NAME?</c:v>
                  </c:pt>
                  <c:pt idx="16">
                    <c:v>ns</c:v>
                  </c:pt>
                  <c:pt idx="17">
                    <c:v>*</c:v>
                  </c:pt>
                  <c:pt idx="18">
                    <c:v>***</c:v>
                  </c:pt>
                  <c:pt idx="19">
                    <c:v>***</c:v>
                  </c:pt>
                  <c:pt idx="20">
                    <c:v>***</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Prochloraz-0.063mg/L : 0%</c:v>
                  </c:pt>
                  <c:pt idx="1">
                    <c:v>Prochloraz-0.13mg/L : 0%</c:v>
                  </c:pt>
                  <c:pt idx="2">
                    <c:v>Prochloraz-0.25mg/L : 0%</c:v>
                  </c:pt>
                  <c:pt idx="3">
                    <c:v>Prochloraz-0.5mg/L : 0%</c:v>
                  </c:pt>
                  <c:pt idx="4">
                    <c:v>Prochloraz-1mg/L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Prochloraz-0.063mg/L : 0%</c:v>
                  </c:pt>
                  <c:pt idx="1">
                    <c:v>#NUM!</c:v>
                  </c:pt>
                  <c:pt idx="2">
                    <c:v>#NUM!</c:v>
                  </c:pt>
                  <c:pt idx="3">
                    <c:v>#NUM!</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Prochloraz-0.063mg/L : 0%</c:v>
                  </c:pt>
                  <c:pt idx="1">
                    <c:v>Prochloraz-0.13mg/L : 0%</c:v>
                  </c:pt>
                  <c:pt idx="2">
                    <c:v>Prochloraz-0.25mg/L : 0%</c:v>
                  </c:pt>
                  <c:pt idx="3">
                    <c:v>Prochloraz-0.5mg/L : 0%</c:v>
                  </c:pt>
                  <c:pt idx="4">
                    <c:v>Prochloraz-1mg/L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Prochloraz-0.063mg/L : 0%</c:v>
                  </c:pt>
                  <c:pt idx="1">
                    <c:v>#NUM!</c:v>
                  </c:pt>
                  <c:pt idx="2">
                    <c:v>#NUM!</c:v>
                  </c:pt>
                  <c:pt idx="3">
                    <c:v>#NUM!</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Prochloraz-0.13mg/L</c:v>
                </c:pt>
                <c:pt idx="2">
                  <c:v>Prochloraz-0.25mg/L</c:v>
                </c:pt>
                <c:pt idx="3">
                  <c:v>Prochloraz-0.5mg/L</c:v>
                </c:pt>
                <c:pt idx="4">
                  <c:v>Prochloraz-1mg/L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Prochloraz-0.13mg/L</c:v>
                </c:pt>
                <c:pt idx="2">
                  <c:v>Prochloraz-0.25mg/L</c:v>
                </c:pt>
                <c:pt idx="3">
                  <c:v>Prochloraz-0.5mg/L</c:v>
                </c:pt>
                <c:pt idx="4">
                  <c:v>Prochloraz-1mg/L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Prochloraz-0.13mg/L</c:v>
                </c:pt>
                <c:pt idx="2">
                  <c:v>Prochloraz-0.25mg/L</c:v>
                </c:pt>
                <c:pt idx="3">
                  <c:v>Prochloraz-0.5mg/L</c:v>
                </c:pt>
                <c:pt idx="4">
                  <c:v>Prochloraz-1mg/L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B8D3D959-6922-4D3D-BBDE-EE4FAF744C7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D631338C-9665-4659-BBB8-D49E8396296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1C71A944-7D2D-437D-B687-369D0DE15FF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A2961FF3-57BF-46DF-9578-2170A94668E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2215B9F0-F8DA-47F7-A79A-B69D8D48BF7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4FFCAABC-F2EF-49A4-800B-35C2F67EF16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A3DDE71F-B155-4C27-B6AC-3AF58C72F68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4C76E88E-0E22-4270-A916-31C79D41B33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FB0C533C-65DB-4952-8802-F24C32CD0A6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DDC06ED6-251F-40EF-AC76-D3E812433BC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2062E858-09AF-4132-972A-8639D32446E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C259E6D3-3982-45FB-A1E5-DE2D3D87892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95039588-8200-4796-A0CC-AF6A2EBD545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1A3A584A-0F5D-466D-A3BE-93377503B6F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1.5918873847472471E-2</c:v>
                  </c:pt>
                  <c:pt idx="2">
                    <c:v>1.0428831152142612E-2</c:v>
                  </c:pt>
                  <c:pt idx="3">
                    <c:v>2.4705545928523701E-2</c:v>
                  </c:pt>
                  <c:pt idx="4">
                    <c:v>1.1176934954399705E-2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1.5918873847472471E-2</c:v>
                  </c:pt>
                  <c:pt idx="2">
                    <c:v>1.0428831152142612E-2</c:v>
                  </c:pt>
                  <c:pt idx="3">
                    <c:v>2.4705545928523701E-2</c:v>
                  </c:pt>
                  <c:pt idx="4">
                    <c:v>1.1176934954399705E-2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Prochloraz-0.13mg/L</c:v>
                </c:pt>
                <c:pt idx="2">
                  <c:v>Prochloraz-0.25mg/L</c:v>
                </c:pt>
                <c:pt idx="3">
                  <c:v>Prochloraz-0.5mg/L</c:v>
                </c:pt>
                <c:pt idx="4">
                  <c:v>Prochloraz-1mg/L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6.8493380396662834E-2</c:v>
                </c:pt>
                <c:pt idx="2">
                  <c:v>4.5783978254124842E-2</c:v>
                </c:pt>
                <c:pt idx="3">
                  <c:v>7.9187533933191057E-2</c:v>
                </c:pt>
                <c:pt idx="4">
                  <c:v>5.5753231740820204E-2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4.185975477227482E-2</c:v>
                </c:pt>
                <c:pt idx="1">
                  <c:v>4.185975477227482E-2</c:v>
                </c:pt>
                <c:pt idx="2">
                  <c:v>4.185975477227482E-2</c:v>
                </c:pt>
                <c:pt idx="3">
                  <c:v>4.185975477227482E-2</c:v>
                </c:pt>
                <c:pt idx="4">
                  <c:v>4.185975477227482E-2</c:v>
                </c:pt>
                <c:pt idx="5">
                  <c:v>4.185975477227482E-2</c:v>
                </c:pt>
                <c:pt idx="6">
                  <c:v>4.185975477227482E-2</c:v>
                </c:pt>
                <c:pt idx="7">
                  <c:v>4.185975477227482E-2</c:v>
                </c:pt>
                <c:pt idx="8">
                  <c:v>4.185975477227482E-2</c:v>
                </c:pt>
                <c:pt idx="9">
                  <c:v>4.185975477227482E-2</c:v>
                </c:pt>
                <c:pt idx="10">
                  <c:v>4.185975477227482E-2</c:v>
                </c:pt>
                <c:pt idx="11">
                  <c:v>4.185975477227482E-2</c:v>
                </c:pt>
                <c:pt idx="12">
                  <c:v>4.185975477227482E-2</c:v>
                </c:pt>
                <c:pt idx="13">
                  <c:v>4.185975477227482E-2</c:v>
                </c:pt>
                <c:pt idx="14">
                  <c:v>4.185975477227482E-2</c:v>
                </c:pt>
                <c:pt idx="15">
                  <c:v>4.185975477227482E-2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7976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Prochloraz-0.063mg/L + Testostérone</c:v>
                </c:pt>
                <c:pt idx="2">
                  <c:v>Prochloraz-0.13mg/L + Testostérone</c:v>
                </c:pt>
                <c:pt idx="3">
                  <c:v>Prochloraz-0.25mg/L + Testostérone</c:v>
                </c:pt>
                <c:pt idx="4">
                  <c:v>Prochloraz-0.5mg/L + Testostérone</c:v>
                </c:pt>
                <c:pt idx="5">
                  <c:v>Prochloraz-1mg/L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5.4869828338132608E-2</c:v>
                </c:pt>
                <c:pt idx="1">
                  <c:v>5.4869828338132608E-2</c:v>
                </c:pt>
                <c:pt idx="2">
                  <c:v>5.4869828338132608E-2</c:v>
                </c:pt>
                <c:pt idx="3">
                  <c:v>5.4869828338132608E-2</c:v>
                </c:pt>
                <c:pt idx="4">
                  <c:v>5.4869828338132608E-2</c:v>
                </c:pt>
                <c:pt idx="5">
                  <c:v>5.4869828338132608E-2</c:v>
                </c:pt>
                <c:pt idx="6">
                  <c:v>5.4869828338132608E-2</c:v>
                </c:pt>
                <c:pt idx="7">
                  <c:v>5.4869828338132608E-2</c:v>
                </c:pt>
                <c:pt idx="8">
                  <c:v>5.4869828338132608E-2</c:v>
                </c:pt>
                <c:pt idx="9">
                  <c:v>5.4869828338132608E-2</c:v>
                </c:pt>
                <c:pt idx="10">
                  <c:v>5.4869828338132608E-2</c:v>
                </c:pt>
                <c:pt idx="11">
                  <c:v>5.4869828338132608E-2</c:v>
                </c:pt>
                <c:pt idx="12">
                  <c:v>5.4869828338132608E-2</c:v>
                </c:pt>
                <c:pt idx="13">
                  <c:v>5.4869828338132608E-2</c:v>
                </c:pt>
                <c:pt idx="14">
                  <c:v>5.4869828338132608E-2</c:v>
                </c:pt>
                <c:pt idx="15">
                  <c:v>5.4869828338132608E-2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Prochloraz-0.063mg/L + Testostérone</c:v>
                </c:pt>
                <c:pt idx="2">
                  <c:v>Prochloraz-0.13mg/L + Testostérone</c:v>
                </c:pt>
                <c:pt idx="3">
                  <c:v>Prochloraz-0.25mg/L + Testostérone</c:v>
                </c:pt>
                <c:pt idx="4">
                  <c:v>Prochloraz-0.5mg/L + Testostérone</c:v>
                </c:pt>
                <c:pt idx="5">
                  <c:v>Prochloraz-1mg/L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7.1528186816630095</c:v>
                </c:pt>
                <c:pt idx="1">
                  <c:v>7.1528186816630095</c:v>
                </c:pt>
                <c:pt idx="2">
                  <c:v>7.1528186816630095</c:v>
                </c:pt>
                <c:pt idx="3">
                  <c:v>7.1528186816630095</c:v>
                </c:pt>
                <c:pt idx="4">
                  <c:v>7.1528186816630095</c:v>
                </c:pt>
                <c:pt idx="5">
                  <c:v>7.1528186816630095</c:v>
                </c:pt>
                <c:pt idx="6">
                  <c:v>7.1528186816630095</c:v>
                </c:pt>
                <c:pt idx="7">
                  <c:v>7.1528186816630095</c:v>
                </c:pt>
                <c:pt idx="8">
                  <c:v>7.1528186816630095</c:v>
                </c:pt>
                <c:pt idx="9">
                  <c:v>7.1528186816630095</c:v>
                </c:pt>
                <c:pt idx="10">
                  <c:v>7.1528186816630095</c:v>
                </c:pt>
                <c:pt idx="11">
                  <c:v>7.1528186816630095</c:v>
                </c:pt>
                <c:pt idx="12">
                  <c:v>7.1528186816630095</c:v>
                </c:pt>
                <c:pt idx="13">
                  <c:v>7.1528186816630095</c:v>
                </c:pt>
                <c:pt idx="14">
                  <c:v>7.1528186816630095</c:v>
                </c:pt>
                <c:pt idx="15">
                  <c:v>7.1528186816630095</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Prochloraz-0.063mg/L + Testostérone</c:v>
                </c:pt>
                <c:pt idx="2">
                  <c:v>Prochloraz-0.13mg/L + Testostérone</c:v>
                </c:pt>
                <c:pt idx="3">
                  <c:v>Prochloraz-0.25mg/L + Testostérone</c:v>
                </c:pt>
                <c:pt idx="4">
                  <c:v>Prochloraz-0.5mg/L + Testostérone</c:v>
                </c:pt>
                <c:pt idx="5">
                  <c:v>Prochloraz-1mg/L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-4.6528186816630095</c:v>
                </c:pt>
                <c:pt idx="1">
                  <c:v>-4.6528186816630095</c:v>
                </c:pt>
                <c:pt idx="2">
                  <c:v>-4.6528186816630095</c:v>
                </c:pt>
                <c:pt idx="3">
                  <c:v>-4.6528186816630095</c:v>
                </c:pt>
                <c:pt idx="4">
                  <c:v>-4.6528186816630095</c:v>
                </c:pt>
                <c:pt idx="5">
                  <c:v>-4.6528186816630095</c:v>
                </c:pt>
                <c:pt idx="6">
                  <c:v>-4.6528186816630095</c:v>
                </c:pt>
                <c:pt idx="7">
                  <c:v>-4.6528186816630095</c:v>
                </c:pt>
                <c:pt idx="8">
                  <c:v>-4.6528186816630095</c:v>
                </c:pt>
                <c:pt idx="9">
                  <c:v>-4.6528186816630095</c:v>
                </c:pt>
                <c:pt idx="10">
                  <c:v>-4.6528186816630095</c:v>
                </c:pt>
                <c:pt idx="11">
                  <c:v>-4.6528186816630095</c:v>
                </c:pt>
                <c:pt idx="12">
                  <c:v>-4.6528186816630095</c:v>
                </c:pt>
                <c:pt idx="13">
                  <c:v>-4.6528186816630095</c:v>
                </c:pt>
                <c:pt idx="14">
                  <c:v>-4.6528186816630095</c:v>
                </c:pt>
                <c:pt idx="15">
                  <c:v>-4.6528186816630095</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602951BB-99DE-4E9D-AB69-155DBA832C2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F2EF8655-AD9E-4D3B-A561-6419F382470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E7AABFE1-A9F0-4540-9485-DD14FCEF92D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001A0171-1BCC-4908-A57A-2669F087C82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2FBB012E-96DD-46EE-B38C-18B9023B99E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925215F1-4210-482A-9A3D-F93C4ACC2F6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2E131728-EA6C-4ACF-948D-113F9DD1BCD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8D9075F6-4232-4276-9A50-F60AEC595E8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537EE3F4-612C-4ADD-884A-7A6C311E97D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CEA75E66-96FC-493D-8AE5-352E3E4A0A0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9031260A-8B5A-42FD-93F5-344C7AF7A5A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B4F72FDE-EDA8-4222-B019-69FA3367D7F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18DFD6B7-7455-4A1C-BF1A-2018088D344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C8BC5B45-E1DE-4047-B5A9-75744ED1187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0.16469856371714606</c:v>
                  </c:pt>
                  <c:pt idx="2">
                    <c:v>9.257268951388499E-2</c:v>
                  </c:pt>
                  <c:pt idx="3">
                    <c:v>7.349021301143932E-2</c:v>
                  </c:pt>
                  <c:pt idx="4">
                    <c:v>2.7399336545402463E-2</c:v>
                  </c:pt>
                  <c:pt idx="5">
                    <c:v>7.2765308863406125E-2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0.16469856371714606</c:v>
                  </c:pt>
                  <c:pt idx="2">
                    <c:v>9.257268951388499E-2</c:v>
                  </c:pt>
                  <c:pt idx="3">
                    <c:v>7.349021301143932E-2</c:v>
                  </c:pt>
                  <c:pt idx="4">
                    <c:v>2.7399336545402463E-2</c:v>
                  </c:pt>
                  <c:pt idx="5">
                    <c:v>7.2765308863406125E-2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Prochloraz-0.063mg/L + Testostérone</c:v>
                </c:pt>
                <c:pt idx="2">
                  <c:v>Prochloraz-0.13mg/L + Testostérone</c:v>
                </c:pt>
                <c:pt idx="3">
                  <c:v>Prochloraz-0.25mg/L + Testostérone</c:v>
                </c:pt>
                <c:pt idx="4">
                  <c:v>Prochloraz-0.5mg/L + Testostérone</c:v>
                </c:pt>
                <c:pt idx="5">
                  <c:v>Prochloraz-1mg/L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0.41395674288527418</c:v>
                </c:pt>
                <c:pt idx="2">
                  <c:v>0.284675098461519</c:v>
                </c:pt>
                <c:pt idx="3">
                  <c:v>0.21373402170938816</c:v>
                </c:pt>
                <c:pt idx="4">
                  <c:v>7.4150653082635243E-2</c:v>
                </c:pt>
                <c:pt idx="5">
                  <c:v>0.11812472603992545</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Prochloraz-0.063mg/L + Testostérone</c:v>
                </c:pt>
                <c:pt idx="2">
                  <c:v>Prochloraz-0.13mg/L + Testostérone</c:v>
                </c:pt>
                <c:pt idx="3">
                  <c:v>Prochloraz-0.25mg/L + Testostérone</c:v>
                </c:pt>
                <c:pt idx="4">
                  <c:v>Prochloraz-0.5mg/L + Testostérone</c:v>
                </c:pt>
                <c:pt idx="5">
                  <c:v>Prochloraz-1mg/L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093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Prochloraz-0.13mg/L</c:v>
                </c:pt>
                <c:pt idx="2">
                  <c:v>Prochloraz-0.25mg/L</c:v>
                </c:pt>
                <c:pt idx="3">
                  <c:v>Prochloraz-0.5mg/L</c:v>
                </c:pt>
                <c:pt idx="4">
                  <c:v>Prochloraz-1mg/L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Prochloraz-0.13mg/L</c:v>
                </c:pt>
                <c:pt idx="2">
                  <c:v>Prochloraz-0.25mg/L</c:v>
                </c:pt>
                <c:pt idx="3">
                  <c:v>Prochloraz-0.5mg/L</c:v>
                </c:pt>
                <c:pt idx="4">
                  <c:v>Prochloraz-1mg/L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Prochloraz-0.13mg/L</c:v>
                </c:pt>
                <c:pt idx="2">
                  <c:v>Prochloraz-0.25mg/L</c:v>
                </c:pt>
                <c:pt idx="3">
                  <c:v>Prochloraz-0.5mg/L</c:v>
                </c:pt>
                <c:pt idx="4">
                  <c:v>Prochloraz-1mg/L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035B27E1-E9B6-4D05-9231-BD09839BD0F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3D4DA1DC-08E8-4100-BF74-09EAD899B70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E78083FE-3470-47CE-A9F7-B50E6B858C0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AB087EA1-5BA2-40A7-B117-B8B6D5BD15F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97C46AF7-D8DD-4549-8E60-1611A167D9C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7EB58AF2-3061-4BA5-B51B-3FA1E7D2296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385C5C27-4962-4349-AA8C-71B6730F94D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2514520C-64A6-43F9-86AF-00EB833EFB6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4E02410E-4560-41AB-8BB0-CA4875164DA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5A54E6F9-FEFA-490C-8D04-60D2022456D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8A0B5EC1-6ACC-4F3C-A5D1-DBF2D9132A8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4EC21849-7D83-4552-AFDD-CA8F172C2DD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3CBB3FE2-B9F5-429F-BA1F-3BFA9584AF8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7951A43B-DB1F-4B15-94E3-800E5BF9245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1.5918873847472471E-2</c:v>
                  </c:pt>
                  <c:pt idx="2">
                    <c:v>1.0428831152142612E-2</c:v>
                  </c:pt>
                  <c:pt idx="3">
                    <c:v>2.4705545928523701E-2</c:v>
                  </c:pt>
                  <c:pt idx="4">
                    <c:v>1.1176934954399705E-2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1.5918873847472471E-2</c:v>
                  </c:pt>
                  <c:pt idx="2">
                    <c:v>1.0428831152142612E-2</c:v>
                  </c:pt>
                  <c:pt idx="3">
                    <c:v>2.4705545928523701E-2</c:v>
                  </c:pt>
                  <c:pt idx="4">
                    <c:v>1.1176934954399705E-2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Prochloraz-0.13mg/L</c:v>
                </c:pt>
                <c:pt idx="2">
                  <c:v>Prochloraz-0.25mg/L</c:v>
                </c:pt>
                <c:pt idx="3">
                  <c:v>Prochloraz-0.5mg/L</c:v>
                </c:pt>
                <c:pt idx="4">
                  <c:v>Prochloraz-1mg/L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6.8493380396662834E-2</c:v>
                </c:pt>
                <c:pt idx="2">
                  <c:v>4.5783978254124842E-2</c:v>
                </c:pt>
                <c:pt idx="3">
                  <c:v>7.9187533933191057E-2</c:v>
                </c:pt>
                <c:pt idx="4">
                  <c:v>5.5753231740820204E-2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4.185975477227482E-2</c:v>
                </c:pt>
                <c:pt idx="1">
                  <c:v>4.185975477227482E-2</c:v>
                </c:pt>
                <c:pt idx="2">
                  <c:v>4.185975477227482E-2</c:v>
                </c:pt>
                <c:pt idx="3">
                  <c:v>4.185975477227482E-2</c:v>
                </c:pt>
                <c:pt idx="4">
                  <c:v>4.185975477227482E-2</c:v>
                </c:pt>
                <c:pt idx="5">
                  <c:v>4.185975477227482E-2</c:v>
                </c:pt>
                <c:pt idx="6">
                  <c:v>4.185975477227482E-2</c:v>
                </c:pt>
                <c:pt idx="7">
                  <c:v>4.185975477227482E-2</c:v>
                </c:pt>
                <c:pt idx="8">
                  <c:v>4.185975477227482E-2</c:v>
                </c:pt>
                <c:pt idx="9">
                  <c:v>4.185975477227482E-2</c:v>
                </c:pt>
                <c:pt idx="10">
                  <c:v>4.185975477227482E-2</c:v>
                </c:pt>
                <c:pt idx="11">
                  <c:v>4.185975477227482E-2</c:v>
                </c:pt>
                <c:pt idx="12">
                  <c:v>4.185975477227482E-2</c:v>
                </c:pt>
                <c:pt idx="13">
                  <c:v>4.185975477227482E-2</c:v>
                </c:pt>
                <c:pt idx="14">
                  <c:v>4.185975477227482E-2</c:v>
                </c:pt>
                <c:pt idx="15">
                  <c:v>4.185975477227482E-2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211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Prochloraz-0.063mg/L + Testostérone</c:v>
                </c:pt>
                <c:pt idx="2">
                  <c:v>Prochloraz-0.13mg/L + Testostérone</c:v>
                </c:pt>
                <c:pt idx="3">
                  <c:v>Prochloraz-0.25mg/L + Testostérone</c:v>
                </c:pt>
                <c:pt idx="4">
                  <c:v>Prochloraz-0.5mg/L + Testostérone</c:v>
                </c:pt>
                <c:pt idx="5">
                  <c:v>Prochloraz-1mg/L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5.4869828338132608E-2</c:v>
                </c:pt>
                <c:pt idx="1">
                  <c:v>5.4869828338132608E-2</c:v>
                </c:pt>
                <c:pt idx="2">
                  <c:v>5.4869828338132608E-2</c:v>
                </c:pt>
                <c:pt idx="3">
                  <c:v>5.4869828338132608E-2</c:v>
                </c:pt>
                <c:pt idx="4">
                  <c:v>5.4869828338132608E-2</c:v>
                </c:pt>
                <c:pt idx="5">
                  <c:v>5.4869828338132608E-2</c:v>
                </c:pt>
                <c:pt idx="6">
                  <c:v>5.4869828338132608E-2</c:v>
                </c:pt>
                <c:pt idx="7">
                  <c:v>5.4869828338132608E-2</c:v>
                </c:pt>
                <c:pt idx="8">
                  <c:v>5.4869828338132608E-2</c:v>
                </c:pt>
                <c:pt idx="9">
                  <c:v>5.4869828338132608E-2</c:v>
                </c:pt>
                <c:pt idx="10">
                  <c:v>5.4869828338132608E-2</c:v>
                </c:pt>
                <c:pt idx="11">
                  <c:v>5.4869828338132608E-2</c:v>
                </c:pt>
                <c:pt idx="12">
                  <c:v>5.4869828338132608E-2</c:v>
                </c:pt>
                <c:pt idx="13">
                  <c:v>5.4869828338132608E-2</c:v>
                </c:pt>
                <c:pt idx="14">
                  <c:v>5.4869828338132608E-2</c:v>
                </c:pt>
                <c:pt idx="15">
                  <c:v>5.4869828338132608E-2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Prochloraz-0.063mg/L + Testostérone</c:v>
                </c:pt>
                <c:pt idx="2">
                  <c:v>Prochloraz-0.13mg/L + Testostérone</c:v>
                </c:pt>
                <c:pt idx="3">
                  <c:v>Prochloraz-0.25mg/L + Testostérone</c:v>
                </c:pt>
                <c:pt idx="4">
                  <c:v>Prochloraz-0.5mg/L + Testostérone</c:v>
                </c:pt>
                <c:pt idx="5">
                  <c:v>Prochloraz-1mg/L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7.1528186816630095</c:v>
                </c:pt>
                <c:pt idx="1">
                  <c:v>7.1528186816630095</c:v>
                </c:pt>
                <c:pt idx="2">
                  <c:v>7.1528186816630095</c:v>
                </c:pt>
                <c:pt idx="3">
                  <c:v>7.1528186816630095</c:v>
                </c:pt>
                <c:pt idx="4">
                  <c:v>7.1528186816630095</c:v>
                </c:pt>
                <c:pt idx="5">
                  <c:v>7.1528186816630095</c:v>
                </c:pt>
                <c:pt idx="6">
                  <c:v>7.1528186816630095</c:v>
                </c:pt>
                <c:pt idx="7">
                  <c:v>7.1528186816630095</c:v>
                </c:pt>
                <c:pt idx="8">
                  <c:v>7.1528186816630095</c:v>
                </c:pt>
                <c:pt idx="9">
                  <c:v>7.1528186816630095</c:v>
                </c:pt>
                <c:pt idx="10">
                  <c:v>7.1528186816630095</c:v>
                </c:pt>
                <c:pt idx="11">
                  <c:v>7.1528186816630095</c:v>
                </c:pt>
                <c:pt idx="12">
                  <c:v>7.1528186816630095</c:v>
                </c:pt>
                <c:pt idx="13">
                  <c:v>7.1528186816630095</c:v>
                </c:pt>
                <c:pt idx="14">
                  <c:v>7.1528186816630095</c:v>
                </c:pt>
                <c:pt idx="15">
                  <c:v>7.1528186816630095</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Prochloraz-0.063mg/L + Testostérone</c:v>
                </c:pt>
                <c:pt idx="2">
                  <c:v>Prochloraz-0.13mg/L + Testostérone</c:v>
                </c:pt>
                <c:pt idx="3">
                  <c:v>Prochloraz-0.25mg/L + Testostérone</c:v>
                </c:pt>
                <c:pt idx="4">
                  <c:v>Prochloraz-0.5mg/L + Testostérone</c:v>
                </c:pt>
                <c:pt idx="5">
                  <c:v>Prochloraz-1mg/L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-4.6528186816630095</c:v>
                </c:pt>
                <c:pt idx="1">
                  <c:v>-4.6528186816630095</c:v>
                </c:pt>
                <c:pt idx="2">
                  <c:v>-4.6528186816630095</c:v>
                </c:pt>
                <c:pt idx="3">
                  <c:v>-4.6528186816630095</c:v>
                </c:pt>
                <c:pt idx="4">
                  <c:v>-4.6528186816630095</c:v>
                </c:pt>
                <c:pt idx="5">
                  <c:v>-4.6528186816630095</c:v>
                </c:pt>
                <c:pt idx="6">
                  <c:v>-4.6528186816630095</c:v>
                </c:pt>
                <c:pt idx="7">
                  <c:v>-4.6528186816630095</c:v>
                </c:pt>
                <c:pt idx="8">
                  <c:v>-4.6528186816630095</c:v>
                </c:pt>
                <c:pt idx="9">
                  <c:v>-4.6528186816630095</c:v>
                </c:pt>
                <c:pt idx="10">
                  <c:v>-4.6528186816630095</c:v>
                </c:pt>
                <c:pt idx="11">
                  <c:v>-4.6528186816630095</c:v>
                </c:pt>
                <c:pt idx="12">
                  <c:v>-4.6528186816630095</c:v>
                </c:pt>
                <c:pt idx="13">
                  <c:v>-4.6528186816630095</c:v>
                </c:pt>
                <c:pt idx="14">
                  <c:v>-4.6528186816630095</c:v>
                </c:pt>
                <c:pt idx="15">
                  <c:v>-4.6528186816630095</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1D290EA3-95A9-4955-991C-C3A546E5588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6E600DD6-A106-454A-969C-FFB5F864D9F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1DB30A95-0C84-446A-A40E-ED8788F6BE4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CB260B26-F51A-4079-99A5-C4195B61133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F1F911D7-F3A1-418E-AAD7-1C95DB48688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BDBBFC4A-848F-45C3-806D-6C905AB0070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A3F1F0AE-2548-4700-B92E-CE88F1E12F6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1F808DEB-8B46-4194-89E3-29ECBBBFBA8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22070CB6-9902-42AD-94A3-7B018C2AC1F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0EC6A255-49E7-440E-8405-49514E5B7B5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C76CE702-851E-428A-B98D-CA3F396C516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94F6B0F5-2BD2-46F5-B9FE-29E1DD4E6AB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6A9B9E55-8E87-4555-A4E7-40675B962D9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3FEB1BF2-86E4-4B80-A4EF-749111D45EB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0.16469856371714606</c:v>
                  </c:pt>
                  <c:pt idx="2">
                    <c:v>9.257268951388499E-2</c:v>
                  </c:pt>
                  <c:pt idx="3">
                    <c:v>7.349021301143932E-2</c:v>
                  </c:pt>
                  <c:pt idx="4">
                    <c:v>2.7399336545402463E-2</c:v>
                  </c:pt>
                  <c:pt idx="5">
                    <c:v>7.2765308863406125E-2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0.16469856371714606</c:v>
                  </c:pt>
                  <c:pt idx="2">
                    <c:v>9.257268951388499E-2</c:v>
                  </c:pt>
                  <c:pt idx="3">
                    <c:v>7.349021301143932E-2</c:v>
                  </c:pt>
                  <c:pt idx="4">
                    <c:v>2.7399336545402463E-2</c:v>
                  </c:pt>
                  <c:pt idx="5">
                    <c:v>7.2765308863406125E-2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Prochloraz-0.063mg/L + Testostérone</c:v>
                </c:pt>
                <c:pt idx="2">
                  <c:v>Prochloraz-0.13mg/L + Testostérone</c:v>
                </c:pt>
                <c:pt idx="3">
                  <c:v>Prochloraz-0.25mg/L + Testostérone</c:v>
                </c:pt>
                <c:pt idx="4">
                  <c:v>Prochloraz-0.5mg/L + Testostérone</c:v>
                </c:pt>
                <c:pt idx="5">
                  <c:v>Prochloraz-1mg/L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0.41395674288527418</c:v>
                </c:pt>
                <c:pt idx="2">
                  <c:v>0.284675098461519</c:v>
                </c:pt>
                <c:pt idx="3">
                  <c:v>0.21373402170938816</c:v>
                </c:pt>
                <c:pt idx="4">
                  <c:v>7.4150653082635243E-2</c:v>
                </c:pt>
                <c:pt idx="5">
                  <c:v>0.11812472603992545</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Prochloraz-0.063mg/L + Testostérone</c:v>
                </c:pt>
                <c:pt idx="2">
                  <c:v>Prochloraz-0.13mg/L + Testostérone</c:v>
                </c:pt>
                <c:pt idx="3">
                  <c:v>Prochloraz-0.25mg/L + Testostérone</c:v>
                </c:pt>
                <c:pt idx="4">
                  <c:v>Prochloraz-0.5mg/L + Testostérone</c:v>
                </c:pt>
                <c:pt idx="5">
                  <c:v>Prochloraz-1mg/L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3288"/>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Prochloraz-0.13mg/L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Prochloraz-0.13mg/L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Prochloraz-0.13mg/L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ADB9EF2D-28B4-4ED4-9996-DEA7982390A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263CEB59-B372-4901-A464-66070FCF781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1.5918873847472471E-2</c:v>
                  </c:pt>
                </c:numCache>
              </c:numRef>
            </c:plus>
            <c:minus>
              <c:numRef>
                <c:f>'Graph format rapport CHG 1éch'!$E$4:$G$4</c:f>
                <c:numCache>
                  <c:formatCode>General</c:formatCode>
                  <c:ptCount val="3"/>
                  <c:pt idx="1">
                    <c:v>1.5918873847472471E-2</c:v>
                  </c:pt>
                </c:numCache>
              </c:numRef>
            </c:minus>
          </c:errBars>
          <c:cat>
            <c:strRef>
              <c:f>'Graph format rapport CHG 1éch'!$E$2:$G$2</c:f>
              <c:strCache>
                <c:ptCount val="2"/>
                <c:pt idx="1">
                  <c:v>Prochloraz-0.13mg/L</c:v>
                </c:pt>
              </c:strCache>
            </c:strRef>
          </c:cat>
          <c:val>
            <c:numRef>
              <c:f>'Graph format rapport CHG 1éch'!$E$3:$G$3</c:f>
              <c:numCache>
                <c:formatCode>General</c:formatCode>
                <c:ptCount val="3"/>
                <c:pt idx="1">
                  <c:v>6.8493380396662834E-2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4.185975477227482E-2</c:v>
                </c:pt>
                <c:pt idx="1">
                  <c:v>4.185975477227482E-2</c:v>
                </c:pt>
                <c:pt idx="2">
                  <c:v>4.185975477227482E-2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4464"/>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Prochloraz-0.063mg/L + Testostérone</c:v>
                </c:pt>
              </c:strCache>
            </c:strRef>
          </c:cat>
          <c:val>
            <c:numRef>
              <c:f>'Graph format rapport CHG 1éch'!$H$8:$J$8</c:f>
              <c:numCache>
                <c:formatCode>General</c:formatCode>
                <c:ptCount val="3"/>
                <c:pt idx="0">
                  <c:v>5.4869828338132608E-2</c:v>
                </c:pt>
                <c:pt idx="1">
                  <c:v>5.4869828338132608E-2</c:v>
                </c:pt>
                <c:pt idx="2">
                  <c:v>5.4869828338132608E-2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Prochloraz-0.063mg/L + Testostérone</c:v>
                </c:pt>
              </c:strCache>
            </c:strRef>
          </c:cat>
          <c:val>
            <c:numRef>
              <c:f>'Graph format rapport CHG 1éch'!$H$9:$J$9</c:f>
              <c:numCache>
                <c:formatCode>General</c:formatCode>
                <c:ptCount val="3"/>
                <c:pt idx="0">
                  <c:v>7.1528186816630095</c:v>
                </c:pt>
                <c:pt idx="1">
                  <c:v>7.1528186816630095</c:v>
                </c:pt>
                <c:pt idx="2">
                  <c:v>7.1528186816630095</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Prochloraz-0.063mg/L + Testostérone</c:v>
                </c:pt>
              </c:strCache>
            </c:strRef>
          </c:cat>
          <c:val>
            <c:numRef>
              <c:f>'Graph format rapport CHG 1éch'!$H$10:$J$10</c:f>
              <c:numCache>
                <c:formatCode>General</c:formatCode>
                <c:ptCount val="3"/>
                <c:pt idx="0">
                  <c:v>-4.6528186816630095</c:v>
                </c:pt>
                <c:pt idx="1">
                  <c:v>-4.6528186816630095</c:v>
                </c:pt>
                <c:pt idx="2">
                  <c:v>-4.6528186816630095</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513A1F37-3C57-42EB-AAD8-7A483A2CDC1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324DDDFD-73EF-44CC-8CA3-5E4CC1F89D4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0.16469856371714606</c:v>
                  </c:pt>
                </c:numCache>
              </c:numRef>
            </c:plus>
            <c:minus>
              <c:numRef>
                <c:f>'Graph format rapport CHG 1éch'!$H$4:$J$4</c:f>
                <c:numCache>
                  <c:formatCode>General</c:formatCode>
                  <c:ptCount val="3"/>
                  <c:pt idx="1">
                    <c:v>0.16469856371714606</c:v>
                  </c:pt>
                </c:numCache>
              </c:numRef>
            </c:minus>
          </c:errBars>
          <c:cat>
            <c:strRef>
              <c:f>'Graph format rapport CHG 1éch'!$H$2:$J$2</c:f>
              <c:strCache>
                <c:ptCount val="2"/>
                <c:pt idx="1">
                  <c:v>Prochloraz-0.063mg/L + Testostérone</c:v>
                </c:pt>
              </c:strCache>
            </c:strRef>
          </c:cat>
          <c:val>
            <c:numRef>
              <c:f>'Graph format rapport CHG 1éch'!$H$3:$J$3</c:f>
              <c:numCache>
                <c:formatCode>General</c:formatCode>
                <c:ptCount val="3"/>
                <c:pt idx="1">
                  <c:v>0.41395674288527418</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Prochloraz-0.063mg/L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564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Prochloraz-0.13mg/L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Prochloraz-0.13mg/L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Prochloraz-0.13mg/L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2CB42453-4805-429F-B692-E9CB18EC82B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7852F467-6FCF-412F-9E9A-2CB71DF3531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1.5918873847472471E-2</c:v>
                  </c:pt>
                </c:numCache>
              </c:numRef>
            </c:plus>
            <c:minus>
              <c:numRef>
                <c:f>'Graph format rapport CHG 1éch'!$E$4:$G$4</c:f>
                <c:numCache>
                  <c:formatCode>General</c:formatCode>
                  <c:ptCount val="3"/>
                  <c:pt idx="1">
                    <c:v>1.5918873847472471E-2</c:v>
                  </c:pt>
                </c:numCache>
              </c:numRef>
            </c:minus>
          </c:errBars>
          <c:cat>
            <c:strRef>
              <c:f>'Graph format rapport CHG 1éch'!$E$2:$G$2</c:f>
              <c:strCache>
                <c:ptCount val="2"/>
                <c:pt idx="1">
                  <c:v>Prochloraz-0.13mg/L</c:v>
                </c:pt>
              </c:strCache>
            </c:strRef>
          </c:cat>
          <c:val>
            <c:numRef>
              <c:f>'Graph format rapport CHG 1éch'!$E$3:$G$3</c:f>
              <c:numCache>
                <c:formatCode>General</c:formatCode>
                <c:ptCount val="3"/>
                <c:pt idx="1">
                  <c:v>6.8493380396662834E-2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4.185975477227482E-2</c:v>
                </c:pt>
                <c:pt idx="1">
                  <c:v>4.185975477227482E-2</c:v>
                </c:pt>
                <c:pt idx="2">
                  <c:v>4.185975477227482E-2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681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Prochloraz-0.063mg/L + Testostérone</c:v>
                </c:pt>
              </c:strCache>
            </c:strRef>
          </c:cat>
          <c:val>
            <c:numRef>
              <c:f>'Graph format rapport CHG 1éch'!$H$8:$J$8</c:f>
              <c:numCache>
                <c:formatCode>General</c:formatCode>
                <c:ptCount val="3"/>
                <c:pt idx="0">
                  <c:v>5.4869828338132608E-2</c:v>
                </c:pt>
                <c:pt idx="1">
                  <c:v>5.4869828338132608E-2</c:v>
                </c:pt>
                <c:pt idx="2">
                  <c:v>5.4869828338132608E-2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Prochloraz-0.063mg/L + Testostérone</c:v>
                </c:pt>
              </c:strCache>
            </c:strRef>
          </c:cat>
          <c:val>
            <c:numRef>
              <c:f>'Graph format rapport CHG 1éch'!$H$9:$J$9</c:f>
              <c:numCache>
                <c:formatCode>General</c:formatCode>
                <c:ptCount val="3"/>
                <c:pt idx="0">
                  <c:v>7.1528186816630095</c:v>
                </c:pt>
                <c:pt idx="1">
                  <c:v>7.1528186816630095</c:v>
                </c:pt>
                <c:pt idx="2">
                  <c:v>7.1528186816630095</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Prochloraz-0.063mg/L + Testostérone</c:v>
                </c:pt>
              </c:strCache>
            </c:strRef>
          </c:cat>
          <c:val>
            <c:numRef>
              <c:f>'Graph format rapport CHG 1éch'!$H$10:$J$10</c:f>
              <c:numCache>
                <c:formatCode>General</c:formatCode>
                <c:ptCount val="3"/>
                <c:pt idx="0">
                  <c:v>-4.6528186816630095</c:v>
                </c:pt>
                <c:pt idx="1">
                  <c:v>-4.6528186816630095</c:v>
                </c:pt>
                <c:pt idx="2">
                  <c:v>-4.6528186816630095</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E54A69D0-6E33-406D-BCEA-82995BD51FE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12F61AD2-CDF6-4646-8F3F-6C353671392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0.16469856371714606</c:v>
                  </c:pt>
                </c:numCache>
              </c:numRef>
            </c:plus>
            <c:minus>
              <c:numRef>
                <c:f>'Graph format rapport CHG 1éch'!$H$4:$J$4</c:f>
                <c:numCache>
                  <c:formatCode>General</c:formatCode>
                  <c:ptCount val="3"/>
                  <c:pt idx="1">
                    <c:v>0.16469856371714606</c:v>
                  </c:pt>
                </c:numCache>
              </c:numRef>
            </c:minus>
          </c:errBars>
          <c:cat>
            <c:strRef>
              <c:f>'Graph format rapport CHG 1éch'!$H$2:$J$2</c:f>
              <c:strCache>
                <c:ptCount val="2"/>
                <c:pt idx="1">
                  <c:v>Prochloraz-0.063mg/L + Testostérone</c:v>
                </c:pt>
              </c:strCache>
            </c:strRef>
          </c:cat>
          <c:val>
            <c:numRef>
              <c:f>'Graph format rapport CHG 1éch'!$H$3:$J$3</c:f>
              <c:numCache>
                <c:formatCode>General</c:formatCode>
                <c:ptCount val="3"/>
                <c:pt idx="1">
                  <c:v>0.41395674288527418</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Prochloraz-0.063mg/L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799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70" workbookViewId="0"/>
  </sheetViews>
  <pageMargins left="0.7" right="0.7" top="0.75" bottom="0.75" header="0.3" footer="0.3"/>
  <pageSetup paperSize="9" orientation="landscape" r:id="rId1"/>
  <headerFooter>
    <oddFooter>&amp;C&amp;1#&amp;"Arial"&amp;10&amp;K000000Internal</oddFooter>
  </headerFooter>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70" workbookViewId="0"/>
  </sheetViews>
  <pageMargins left="0.7" right="0.7" top="0.75" bottom="0.75" header="0.3" footer="0.3"/>
  <pageSetup paperSize="9" orientation="landscape" r:id="rId1"/>
  <headerFooter>
    <oddFooter>&amp;C&amp;1#&amp;"Arial"&amp;10&amp;K000000Internal</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89143" cy="6059714"/>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014376" y="9913925"/>
          <a:ext cx="8260636" cy="1056562"/>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177852" y="3792683"/>
          <a:ext cx="8260636" cy="1048398"/>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195487" y="9913925"/>
          <a:ext cx="8260636" cy="1056562"/>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358963" y="3792683"/>
          <a:ext cx="8260636" cy="1048398"/>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41.420742013892" createdVersion="6" refreshedVersion="8" minRefreshableVersion="3" recordCount="52" xr:uid="{8DEF666A-6C7D-4C16-AD6D-82242760D5D9}">
  <cacheSource type="worksheet">
    <worksheetSource name="liste_groupe"/>
  </cacheSource>
  <cacheFields count="6">
    <cacheField name="Nom sur le graphique" numFmtId="0">
      <sharedItems count="14">
        <s v="Témoin solvant"/>
        <s v="EE2-22,5ng/L"/>
        <s v="EE2-33,8ng/L"/>
        <s v="EE2-50,6ng/L"/>
        <s v="EE2-76ng/L"/>
        <s v="EE2-114ng/L"/>
        <s v="EE2-170,9ng/L"/>
        <s v="EE2-488ng/L"/>
        <s v=" "/>
        <s v="Testo -30µg/L"/>
        <s v="Testo 30µg/L + EE2 -64ng/L"/>
        <s v="Testo 30µg/L + FAD-10µg/L"/>
        <s v="0-00 + Testostérone"/>
        <s v="Testo 30µg/L + FAD-10mg/L" u="1"/>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41.420742361108" createdVersion="5" refreshedVersion="8" minRefreshableVersion="3" recordCount="1710" xr:uid="{00000000-000A-0000-FFFF-FFFF14000000}">
  <cacheSource type="worksheet">
    <worksheetSource name="Tableau467"/>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41.420742592592" createdVersion="5" refreshedVersion="8" minRefreshableVersion="3" recordCount="1530" xr:uid="{00000000-000A-0000-FFFF-FFFF10000000}">
  <cacheSource type="worksheet">
    <worksheetSource name="Tableau46"/>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41.420742708331" createdVersion="5" refreshedVersion="8" minRefreshableVersion="3" recordCount="1556" xr:uid="{00000000-000A-0000-FFFF-FFFF0C000000}">
  <cacheSource type="worksheet">
    <worksheetSource name="Tableau4"/>
  </cacheSource>
  <cacheFields count="9">
    <cacheField name="Nom groupe" numFmtId="0">
      <sharedItems containsBlank="1" count="2">
        <s v=""/>
        <m u="1"/>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9"/>
    <x v="0"/>
    <n v="30"/>
    <s v="µg/L"/>
    <s v="Testo "/>
    <x v="0"/>
  </r>
  <r>
    <x v="10"/>
    <x v="0"/>
    <n v="64"/>
    <s v="ng/L"/>
    <s v="Testo 30µg/L + EE2 "/>
    <x v="0"/>
  </r>
  <r>
    <x v="11"/>
    <x v="0"/>
    <n v="10"/>
    <s v="µg/L"/>
    <s v="Testo 30µg/L + FAD"/>
    <x v="0"/>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3"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3">
        <item m="1" x="1"/>
        <item x="0"/>
        <item t="default"/>
      </items>
    </pivotField>
    <pivotField axis="axisRow" subtotalTop="0" showAll="0" sortType="ascending">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v="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2"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1"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0"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14">
        <item x="12"/>
        <item x="8"/>
        <item x="1"/>
        <item x="2"/>
        <item x="3"/>
        <item x="4"/>
        <item x="5"/>
        <item x="6"/>
        <item x="7"/>
        <item x="10"/>
        <item m="1" x="13"/>
        <item x="9"/>
        <item x="0"/>
        <item x="11"/>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0"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14">
        <item x="12"/>
        <item x="8"/>
        <item x="1"/>
        <item x="2"/>
        <item x="3"/>
        <item x="4"/>
        <item x="5"/>
        <item x="6"/>
        <item x="7"/>
        <item x="10"/>
        <item m="1" x="13"/>
        <item x="9"/>
        <item x="0"/>
        <item x="11"/>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I1557" totalsRowShown="0">
  <autoFilter ref="A1:I1557" xr:uid="{00000000-0009-0000-0100-000004000000}"/>
  <tableColumns count="9">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I1531" totalsRowShown="0">
  <autoFilter ref="A1:I1531" xr:uid="{00000000-0009-0000-0100-000005000000}"/>
  <tableColumns count="9">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rinterSettings" Target="../printerSettings/printerSettings9.bin"/><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zoomScale="55" zoomScaleNormal="55" workbookViewId="0">
      <selection activeCell="B15" sqref="B15:B19"/>
    </sheetView>
  </sheetViews>
  <sheetFormatPr defaultColWidth="11.5546875" defaultRowHeight="39" customHeight="1" x14ac:dyDescent="0.3"/>
  <cols>
    <col min="1" max="1" width="42" bestFit="1" customWidth="1"/>
    <col min="2" max="2" width="33.77734375" style="44" bestFit="1" customWidth="1"/>
    <col min="3" max="3" width="21.21875" customWidth="1"/>
    <col min="4" max="4" width="30.44140625" customWidth="1"/>
    <col min="5" max="5" width="62.21875" style="160" bestFit="1" customWidth="1"/>
    <col min="6" max="6" width="56.77734375" bestFit="1" customWidth="1"/>
    <col min="7" max="7" width="19.44140625" customWidth="1"/>
    <col min="8" max="8" width="15.21875" customWidth="1"/>
    <col min="9" max="9" width="18" customWidth="1"/>
    <col min="10" max="10" width="19.5546875" bestFit="1" customWidth="1"/>
  </cols>
  <sheetData>
    <row r="1" spans="1:9" ht="39" customHeight="1" thickBot="1" x14ac:dyDescent="0.35">
      <c r="A1" s="195" t="s">
        <v>36</v>
      </c>
      <c r="B1" s="196"/>
      <c r="C1" s="196"/>
      <c r="D1" s="196"/>
      <c r="E1" s="196"/>
      <c r="F1" s="196"/>
      <c r="G1" s="196"/>
      <c r="H1" s="196"/>
      <c r="I1" s="197"/>
    </row>
    <row r="2" spans="1:9" ht="21" x14ac:dyDescent="0.4">
      <c r="A2" s="188" t="s">
        <v>17</v>
      </c>
      <c r="B2" s="42" t="s">
        <v>115</v>
      </c>
      <c r="C2" s="198"/>
      <c r="D2" s="199"/>
      <c r="E2" s="42" t="s">
        <v>21</v>
      </c>
      <c r="F2" s="210"/>
      <c r="G2" s="211"/>
      <c r="H2" s="211"/>
      <c r="I2" s="212"/>
    </row>
    <row r="3" spans="1:9" ht="21" x14ac:dyDescent="0.4">
      <c r="A3" s="189" t="s">
        <v>18</v>
      </c>
      <c r="B3" s="43" t="s">
        <v>115</v>
      </c>
      <c r="C3" s="200"/>
      <c r="D3" s="201"/>
      <c r="E3" s="43" t="s">
        <v>21</v>
      </c>
      <c r="F3" s="207"/>
      <c r="G3" s="208"/>
      <c r="H3" s="208"/>
      <c r="I3" s="209"/>
    </row>
    <row r="4" spans="1:9" ht="21.6" thickBot="1" x14ac:dyDescent="0.45">
      <c r="A4" s="190" t="s">
        <v>22</v>
      </c>
      <c r="B4" s="178" t="s">
        <v>115</v>
      </c>
      <c r="C4" s="202"/>
      <c r="D4" s="203"/>
      <c r="E4" s="178" t="s">
        <v>21</v>
      </c>
      <c r="F4" s="204"/>
      <c r="G4" s="205"/>
      <c r="H4" s="205"/>
      <c r="I4" s="206"/>
    </row>
    <row r="5" spans="1:9" s="1" customFormat="1" ht="65.25" customHeight="1" thickBot="1" x14ac:dyDescent="0.35">
      <c r="A5" s="195" t="s">
        <v>37</v>
      </c>
      <c r="B5" s="196"/>
      <c r="C5" s="196"/>
      <c r="D5" s="196"/>
      <c r="E5" s="196"/>
      <c r="F5" s="196"/>
      <c r="G5" s="196"/>
      <c r="H5" s="196"/>
      <c r="I5" s="197"/>
    </row>
    <row r="6" spans="1:9" s="109" customFormat="1" ht="39" customHeight="1" x14ac:dyDescent="0.4">
      <c r="A6" s="75" t="s">
        <v>35</v>
      </c>
      <c r="B6" s="100" t="s">
        <v>7</v>
      </c>
      <c r="C6" s="64" t="s">
        <v>19</v>
      </c>
      <c r="D6" s="64" t="s">
        <v>75</v>
      </c>
      <c r="E6" s="157" t="s">
        <v>51</v>
      </c>
      <c r="F6" s="108" t="s">
        <v>78</v>
      </c>
    </row>
    <row r="7" spans="1:9" s="166" customFormat="1" ht="39" customHeight="1" x14ac:dyDescent="0.4">
      <c r="A7"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2" t="s">
        <v>123</v>
      </c>
      <c r="C7" s="163"/>
      <c r="D7" s="164"/>
      <c r="E7" s="165" t="s">
        <v>125</v>
      </c>
      <c r="F7" s="110"/>
    </row>
    <row r="8" spans="1:9" s="166" customFormat="1" ht="39" customHeight="1" x14ac:dyDescent="0.4">
      <c r="A8"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2" t="s">
        <v>123</v>
      </c>
      <c r="C8" s="163">
        <v>22.5</v>
      </c>
      <c r="D8" s="164" t="s">
        <v>124</v>
      </c>
      <c r="E8" s="165" t="s">
        <v>126</v>
      </c>
      <c r="F8" s="110"/>
    </row>
    <row r="9" spans="1:9" s="166" customFormat="1" ht="39" customHeight="1" x14ac:dyDescent="0.4">
      <c r="A9"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2" t="s">
        <v>123</v>
      </c>
      <c r="C9" s="163">
        <v>33.799999999999997</v>
      </c>
      <c r="D9" s="164" t="s">
        <v>124</v>
      </c>
      <c r="E9" s="165" t="s">
        <v>126</v>
      </c>
      <c r="F9" s="110"/>
    </row>
    <row r="10" spans="1:9" s="166" customFormat="1" ht="39" customHeight="1" x14ac:dyDescent="0.4">
      <c r="A10"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2" t="s">
        <v>123</v>
      </c>
      <c r="C10" s="163">
        <v>50.6</v>
      </c>
      <c r="D10" s="164" t="s">
        <v>124</v>
      </c>
      <c r="E10" s="165" t="s">
        <v>126</v>
      </c>
      <c r="F10" s="110"/>
    </row>
    <row r="11" spans="1:9" s="166" customFormat="1" ht="39" customHeight="1" x14ac:dyDescent="0.4">
      <c r="A11"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2" t="s">
        <v>123</v>
      </c>
      <c r="C11" s="163">
        <v>76</v>
      </c>
      <c r="D11" s="164" t="s">
        <v>124</v>
      </c>
      <c r="E11" s="165" t="s">
        <v>126</v>
      </c>
      <c r="F11" s="110"/>
    </row>
    <row r="12" spans="1:9" s="166" customFormat="1" ht="39" customHeight="1" x14ac:dyDescent="0.4">
      <c r="A12"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2" t="s">
        <v>123</v>
      </c>
      <c r="C12" s="163">
        <v>114</v>
      </c>
      <c r="D12" s="164" t="s">
        <v>124</v>
      </c>
      <c r="E12" s="165" t="s">
        <v>126</v>
      </c>
      <c r="F12" s="110"/>
    </row>
    <row r="13" spans="1:9" s="166" customFormat="1" ht="39" customHeight="1" x14ac:dyDescent="0.4">
      <c r="A13"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2" t="s">
        <v>123</v>
      </c>
      <c r="C13" s="163">
        <v>170.9</v>
      </c>
      <c r="D13" s="164" t="s">
        <v>124</v>
      </c>
      <c r="E13" s="165" t="s">
        <v>126</v>
      </c>
      <c r="F13" s="110"/>
    </row>
    <row r="14" spans="1:9" s="166" customFormat="1" ht="39" customHeight="1" x14ac:dyDescent="0.4">
      <c r="A14"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2" t="s">
        <v>123</v>
      </c>
      <c r="C14" s="163">
        <v>488</v>
      </c>
      <c r="D14" s="164" t="s">
        <v>124</v>
      </c>
      <c r="E14" s="165" t="s">
        <v>126</v>
      </c>
      <c r="F14" s="110"/>
    </row>
    <row r="15" spans="1:9" s="166" customFormat="1" ht="39" customHeight="1" x14ac:dyDescent="0.4">
      <c r="A15"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Prochloraz-0.063mg/L</v>
      </c>
      <c r="B15" s="162" t="s">
        <v>168</v>
      </c>
      <c r="C15" s="163">
        <v>6.3E-2</v>
      </c>
      <c r="D15" s="164" t="s">
        <v>167</v>
      </c>
      <c r="E15" s="165" t="s">
        <v>166</v>
      </c>
      <c r="F15" s="110"/>
    </row>
    <row r="16" spans="1:9" s="111" customFormat="1" ht="39" customHeight="1" x14ac:dyDescent="0.3">
      <c r="A1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Prochloraz-0.13mg/L</v>
      </c>
      <c r="B16" s="162" t="s">
        <v>168</v>
      </c>
      <c r="C16" s="105">
        <v>0.13</v>
      </c>
      <c r="D16" s="164" t="s">
        <v>167</v>
      </c>
      <c r="E16" s="165" t="s">
        <v>166</v>
      </c>
      <c r="F16" s="110"/>
    </row>
    <row r="17" spans="1:6" s="111" customFormat="1" ht="39" customHeight="1" x14ac:dyDescent="0.3">
      <c r="A1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Prochloraz-0.25mg/L</v>
      </c>
      <c r="B17" s="162" t="s">
        <v>168</v>
      </c>
      <c r="C17" s="105">
        <v>0.25</v>
      </c>
      <c r="D17" s="164" t="s">
        <v>167</v>
      </c>
      <c r="E17" s="165" t="s">
        <v>166</v>
      </c>
      <c r="F17" s="110"/>
    </row>
    <row r="18" spans="1:6" s="111" customFormat="1" ht="39" customHeight="1" x14ac:dyDescent="0.3">
      <c r="A1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Prochloraz-0.5mg/L</v>
      </c>
      <c r="B18" s="162" t="s">
        <v>168</v>
      </c>
      <c r="C18" s="105">
        <v>0.5</v>
      </c>
      <c r="D18" s="164" t="s">
        <v>167</v>
      </c>
      <c r="E18" s="165" t="s">
        <v>166</v>
      </c>
      <c r="F18" s="110"/>
    </row>
    <row r="19" spans="1:6" s="111" customFormat="1" ht="39" customHeight="1" x14ac:dyDescent="0.3">
      <c r="A1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Prochloraz-1mg/L</v>
      </c>
      <c r="B19" s="162" t="s">
        <v>168</v>
      </c>
      <c r="C19" s="105">
        <v>1</v>
      </c>
      <c r="D19" s="164" t="s">
        <v>167</v>
      </c>
      <c r="E19" s="165" t="s">
        <v>166</v>
      </c>
      <c r="F19" s="110"/>
    </row>
    <row r="20" spans="1:6" s="111" customFormat="1" ht="39" customHeight="1" x14ac:dyDescent="0.3">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5"/>
      <c r="D20" s="105"/>
      <c r="E20" s="40"/>
      <c r="F20" s="110"/>
    </row>
    <row r="21" spans="1:6" s="111" customFormat="1" ht="39" customHeight="1" x14ac:dyDescent="0.3">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1"/>
      <c r="C21" s="105"/>
      <c r="D21" s="105"/>
      <c r="E21" s="101"/>
      <c r="F21" s="110"/>
    </row>
    <row r="22" spans="1:6" s="111" customFormat="1" ht="39" customHeight="1" x14ac:dyDescent="0.3">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5"/>
      <c r="D22" s="105"/>
      <c r="E22" s="40"/>
      <c r="F22" s="110"/>
    </row>
    <row r="23" spans="1:6" s="111" customFormat="1" ht="39" customHeight="1" x14ac:dyDescent="0.3">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1"/>
      <c r="C23" s="105"/>
      <c r="D23" s="105"/>
      <c r="E23" s="101"/>
      <c r="F23" s="110"/>
    </row>
    <row r="24" spans="1:6" s="111" customFormat="1" ht="39" customHeight="1" x14ac:dyDescent="0.3">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5"/>
      <c r="D24" s="105"/>
      <c r="E24" s="40"/>
      <c r="F24" s="110"/>
    </row>
    <row r="25" spans="1:6" s="111" customFormat="1" ht="39" customHeight="1" x14ac:dyDescent="0.3">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1"/>
      <c r="C25" s="105"/>
      <c r="D25" s="105"/>
      <c r="E25" s="101"/>
      <c r="F25" s="110"/>
    </row>
    <row r="26" spans="1:6" s="111" customFormat="1" ht="39" customHeight="1" x14ac:dyDescent="0.3">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5"/>
      <c r="D26" s="105"/>
      <c r="E26" s="40"/>
      <c r="F26" s="110"/>
    </row>
    <row r="27" spans="1:6" s="111" customFormat="1" ht="39" customHeight="1" x14ac:dyDescent="0.3">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1"/>
      <c r="C27" s="105"/>
      <c r="D27" s="105"/>
      <c r="E27" s="101"/>
      <c r="F27" s="110"/>
    </row>
    <row r="28" spans="1:6" s="111" customFormat="1" ht="39" customHeight="1" x14ac:dyDescent="0.3">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5"/>
      <c r="D28" s="105"/>
      <c r="E28" s="40"/>
      <c r="F28" s="110"/>
    </row>
    <row r="29" spans="1:6" s="111" customFormat="1" ht="39" customHeight="1" x14ac:dyDescent="0.3">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1"/>
      <c r="C29" s="105"/>
      <c r="D29" s="105"/>
      <c r="E29" s="101"/>
      <c r="F29" s="110"/>
    </row>
    <row r="30" spans="1:6" s="111" customFormat="1" ht="39" customHeight="1" x14ac:dyDescent="0.3">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5"/>
      <c r="D30" s="114"/>
      <c r="E30" s="40"/>
      <c r="F30" s="110"/>
    </row>
    <row r="31" spans="1:6" s="111" customFormat="1" ht="39" customHeight="1" x14ac:dyDescent="0.3">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1"/>
      <c r="C31" s="105"/>
      <c r="D31" s="114"/>
      <c r="E31" s="101"/>
      <c r="F31" s="110"/>
    </row>
    <row r="32" spans="1:6" s="111" customFormat="1" ht="39" customHeight="1" x14ac:dyDescent="0.3">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5"/>
      <c r="D32" s="114"/>
      <c r="E32" s="40"/>
      <c r="F32" s="110"/>
    </row>
    <row r="33" spans="1:6" s="111" customFormat="1" ht="39" customHeight="1" x14ac:dyDescent="0.3">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1"/>
      <c r="C33" s="105"/>
      <c r="D33" s="114"/>
      <c r="E33" s="101"/>
      <c r="F33" s="110"/>
    </row>
    <row r="34" spans="1:6" s="111" customFormat="1" ht="39" customHeight="1" x14ac:dyDescent="0.3">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5"/>
      <c r="D34" s="114"/>
      <c r="E34" s="40"/>
      <c r="F34" s="110"/>
    </row>
    <row r="35" spans="1:6" s="111" customFormat="1" ht="39" customHeight="1" thickBot="1" x14ac:dyDescent="0.35">
      <c r="A35"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7"/>
      <c r="C35" s="168"/>
      <c r="D35" s="115"/>
      <c r="E35" s="167"/>
      <c r="F35" s="110"/>
    </row>
    <row r="36" spans="1:6" s="111" customFormat="1" ht="39" customHeight="1" x14ac:dyDescent="0.3">
      <c r="A36" s="16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2" t="s">
        <v>123</v>
      </c>
      <c r="C36" s="106">
        <v>30</v>
      </c>
      <c r="D36" s="116" t="s">
        <v>127</v>
      </c>
      <c r="E36" s="158" t="s">
        <v>20</v>
      </c>
      <c r="F36" s="170"/>
    </row>
    <row r="37" spans="1:6" s="111" customFormat="1" ht="39" customHeight="1" thickBot="1" x14ac:dyDescent="0.35">
      <c r="A37" s="17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3" t="s">
        <v>123</v>
      </c>
      <c r="C37" s="107">
        <v>64</v>
      </c>
      <c r="D37" s="117" t="s">
        <v>124</v>
      </c>
      <c r="E37" s="159" t="s">
        <v>128</v>
      </c>
      <c r="F37" s="172"/>
    </row>
    <row r="38" spans="1:6" s="111" customFormat="1" ht="39" customHeight="1" thickBot="1" x14ac:dyDescent="0.35">
      <c r="A38" s="1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FAD-10µg/L</v>
      </c>
      <c r="B38" s="174" t="s">
        <v>123</v>
      </c>
      <c r="C38" s="175">
        <v>10</v>
      </c>
      <c r="D38" s="116" t="s">
        <v>127</v>
      </c>
      <c r="E38" s="176" t="s">
        <v>129</v>
      </c>
      <c r="F38" s="177"/>
    </row>
    <row r="39" spans="1:6" s="111" customFormat="1" ht="39" customHeight="1" x14ac:dyDescent="0.3">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Prochloraz-0.063mg/L + Testostérone</v>
      </c>
      <c r="B39" s="191" t="str">
        <f>B15</f>
        <v>Test</v>
      </c>
      <c r="C39" s="191">
        <f t="shared" ref="C39:E39" si="0">C15</f>
        <v>6.3E-2</v>
      </c>
      <c r="D39" s="191" t="str">
        <f t="shared" si="0"/>
        <v>mg/L</v>
      </c>
      <c r="E39" s="191" t="str">
        <f t="shared" si="0"/>
        <v>Prochloraz</v>
      </c>
      <c r="F39" s="112" t="s">
        <v>50</v>
      </c>
    </row>
    <row r="40" spans="1:6" s="111" customFormat="1" ht="39" customHeight="1" x14ac:dyDescent="0.3">
      <c r="A4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Prochloraz-0.13mg/L + Testostérone</v>
      </c>
      <c r="B40" s="193" t="str">
        <f t="shared" ref="B40:E40" si="1">B16</f>
        <v>Test</v>
      </c>
      <c r="C40" s="193">
        <f t="shared" si="1"/>
        <v>0.13</v>
      </c>
      <c r="D40" s="193" t="str">
        <f t="shared" si="1"/>
        <v>mg/L</v>
      </c>
      <c r="E40" s="193" t="str">
        <f t="shared" si="1"/>
        <v>Prochloraz</v>
      </c>
      <c r="F40" s="113" t="s">
        <v>50</v>
      </c>
    </row>
    <row r="41" spans="1:6" s="111" customFormat="1" ht="39" customHeight="1" x14ac:dyDescent="0.3">
      <c r="A4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Prochloraz-0.25mg/L + Testostérone</v>
      </c>
      <c r="B41" s="193" t="str">
        <f t="shared" ref="B41:E41" si="2">B17</f>
        <v>Test</v>
      </c>
      <c r="C41" s="193">
        <f t="shared" si="2"/>
        <v>0.25</v>
      </c>
      <c r="D41" s="193" t="str">
        <f t="shared" si="2"/>
        <v>mg/L</v>
      </c>
      <c r="E41" s="193" t="str">
        <f t="shared" si="2"/>
        <v>Prochloraz</v>
      </c>
      <c r="F41" s="113" t="s">
        <v>50</v>
      </c>
    </row>
    <row r="42" spans="1:6" s="111" customFormat="1" ht="39" customHeight="1" x14ac:dyDescent="0.3">
      <c r="A4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Prochloraz-0.5mg/L + Testostérone</v>
      </c>
      <c r="B42" s="193" t="str">
        <f t="shared" ref="B42:E42" si="3">B18</f>
        <v>Test</v>
      </c>
      <c r="C42" s="193">
        <f t="shared" si="3"/>
        <v>0.5</v>
      </c>
      <c r="D42" s="193" t="str">
        <f t="shared" si="3"/>
        <v>mg/L</v>
      </c>
      <c r="E42" s="193" t="str">
        <f t="shared" si="3"/>
        <v>Prochloraz</v>
      </c>
      <c r="F42" s="113" t="s">
        <v>50</v>
      </c>
    </row>
    <row r="43" spans="1:6" s="111" customFormat="1" ht="39" customHeight="1" x14ac:dyDescent="0.3">
      <c r="A4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Prochloraz-1mg/L + Testostérone</v>
      </c>
      <c r="B43" s="193" t="str">
        <f t="shared" ref="B43:E43" si="4">B19</f>
        <v>Test</v>
      </c>
      <c r="C43" s="193">
        <f t="shared" si="4"/>
        <v>1</v>
      </c>
      <c r="D43" s="193" t="str">
        <f t="shared" si="4"/>
        <v>mg/L</v>
      </c>
      <c r="E43" s="193" t="str">
        <f t="shared" si="4"/>
        <v>Prochloraz</v>
      </c>
      <c r="F43" s="113" t="s">
        <v>50</v>
      </c>
    </row>
    <row r="44" spans="1:6" s="111" customFormat="1" ht="39" customHeight="1" x14ac:dyDescent="0.3">
      <c r="A4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3">
        <f t="shared" ref="B44:E44" si="5">B20</f>
        <v>0</v>
      </c>
      <c r="C44" s="193">
        <f t="shared" si="5"/>
        <v>0</v>
      </c>
      <c r="D44" s="193">
        <f t="shared" si="5"/>
        <v>0</v>
      </c>
      <c r="E44" s="193">
        <f t="shared" si="5"/>
        <v>0</v>
      </c>
      <c r="F44" s="113" t="s">
        <v>50</v>
      </c>
    </row>
    <row r="45" spans="1:6" s="111" customFormat="1" ht="39" customHeight="1" x14ac:dyDescent="0.3">
      <c r="A4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3">
        <f t="shared" ref="B45:E45" si="6">B21</f>
        <v>0</v>
      </c>
      <c r="C45" s="193">
        <f t="shared" si="6"/>
        <v>0</v>
      </c>
      <c r="D45" s="193">
        <f t="shared" si="6"/>
        <v>0</v>
      </c>
      <c r="E45" s="193">
        <f t="shared" si="6"/>
        <v>0</v>
      </c>
      <c r="F45" s="113" t="s">
        <v>50</v>
      </c>
    </row>
    <row r="46" spans="1:6" s="111" customFormat="1" ht="39" customHeight="1" x14ac:dyDescent="0.3">
      <c r="A4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3">
        <f t="shared" ref="B46:E46" si="7">B22</f>
        <v>0</v>
      </c>
      <c r="C46" s="193">
        <f t="shared" si="7"/>
        <v>0</v>
      </c>
      <c r="D46" s="193">
        <f t="shared" si="7"/>
        <v>0</v>
      </c>
      <c r="E46" s="193">
        <f t="shared" si="7"/>
        <v>0</v>
      </c>
      <c r="F46" s="113" t="s">
        <v>50</v>
      </c>
    </row>
    <row r="47" spans="1:6" s="111" customFormat="1" ht="39" customHeight="1" x14ac:dyDescent="0.3">
      <c r="A4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3">
        <f t="shared" ref="B47:E47" si="8">B23</f>
        <v>0</v>
      </c>
      <c r="C47" s="193">
        <f t="shared" si="8"/>
        <v>0</v>
      </c>
      <c r="D47" s="193">
        <f t="shared" si="8"/>
        <v>0</v>
      </c>
      <c r="E47" s="193">
        <f t="shared" si="8"/>
        <v>0</v>
      </c>
      <c r="F47" s="113" t="s">
        <v>50</v>
      </c>
    </row>
    <row r="48" spans="1:6" s="111" customFormat="1" ht="39" customHeight="1" x14ac:dyDescent="0.3">
      <c r="A48"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3">
        <f t="shared" ref="B48:E48" si="9">B24</f>
        <v>0</v>
      </c>
      <c r="C48" s="193">
        <f t="shared" si="9"/>
        <v>0</v>
      </c>
      <c r="D48" s="193">
        <f t="shared" si="9"/>
        <v>0</v>
      </c>
      <c r="E48" s="193">
        <f t="shared" si="9"/>
        <v>0</v>
      </c>
      <c r="F48" s="113" t="s">
        <v>50</v>
      </c>
    </row>
    <row r="49" spans="1:6" s="111" customFormat="1" ht="39" customHeight="1" x14ac:dyDescent="0.3">
      <c r="A49"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3">
        <f t="shared" ref="B49:E49" si="10">B25</f>
        <v>0</v>
      </c>
      <c r="C49" s="193">
        <f t="shared" si="10"/>
        <v>0</v>
      </c>
      <c r="D49" s="193">
        <f t="shared" si="10"/>
        <v>0</v>
      </c>
      <c r="E49" s="193">
        <f t="shared" si="10"/>
        <v>0</v>
      </c>
      <c r="F49" s="113" t="s">
        <v>50</v>
      </c>
    </row>
    <row r="50" spans="1:6" s="111" customFormat="1" ht="39" customHeight="1" x14ac:dyDescent="0.3">
      <c r="A5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3">
        <f t="shared" ref="B50:E50" si="11">B26</f>
        <v>0</v>
      </c>
      <c r="C50" s="193">
        <f t="shared" si="11"/>
        <v>0</v>
      </c>
      <c r="D50" s="193">
        <f t="shared" si="11"/>
        <v>0</v>
      </c>
      <c r="E50" s="193">
        <f t="shared" si="11"/>
        <v>0</v>
      </c>
      <c r="F50" s="113" t="s">
        <v>50</v>
      </c>
    </row>
    <row r="51" spans="1:6" s="111" customFormat="1" ht="39" customHeight="1" x14ac:dyDescent="0.3">
      <c r="A5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3">
        <f t="shared" ref="B51:E51" si="12">B27</f>
        <v>0</v>
      </c>
      <c r="C51" s="193">
        <f t="shared" si="12"/>
        <v>0</v>
      </c>
      <c r="D51" s="193">
        <f t="shared" si="12"/>
        <v>0</v>
      </c>
      <c r="E51" s="193">
        <f t="shared" si="12"/>
        <v>0</v>
      </c>
      <c r="F51" s="113" t="s">
        <v>50</v>
      </c>
    </row>
    <row r="52" spans="1:6" s="111" customFormat="1" ht="39" customHeight="1" x14ac:dyDescent="0.3">
      <c r="A5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3">
        <f t="shared" ref="B52:E52" si="13">B28</f>
        <v>0</v>
      </c>
      <c r="C52" s="193">
        <f t="shared" si="13"/>
        <v>0</v>
      </c>
      <c r="D52" s="193">
        <f t="shared" si="13"/>
        <v>0</v>
      </c>
      <c r="E52" s="193">
        <f t="shared" si="13"/>
        <v>0</v>
      </c>
      <c r="F52" s="113" t="s">
        <v>50</v>
      </c>
    </row>
    <row r="53" spans="1:6" s="111" customFormat="1" ht="39" customHeight="1" x14ac:dyDescent="0.3">
      <c r="A5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3">
        <f t="shared" ref="B53:E53" si="14">B29</f>
        <v>0</v>
      </c>
      <c r="C53" s="193">
        <f t="shared" si="14"/>
        <v>0</v>
      </c>
      <c r="D53" s="193">
        <f t="shared" si="14"/>
        <v>0</v>
      </c>
      <c r="E53" s="193">
        <f t="shared" si="14"/>
        <v>0</v>
      </c>
      <c r="F53" s="113" t="s">
        <v>50</v>
      </c>
    </row>
    <row r="54" spans="1:6" s="111" customFormat="1" ht="39" customHeight="1" x14ac:dyDescent="0.3">
      <c r="A5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3">
        <f t="shared" ref="B54:E54" si="15">B30</f>
        <v>0</v>
      </c>
      <c r="C54" s="193">
        <f t="shared" si="15"/>
        <v>0</v>
      </c>
      <c r="D54" s="193">
        <f t="shared" si="15"/>
        <v>0</v>
      </c>
      <c r="E54" s="193">
        <f t="shared" si="15"/>
        <v>0</v>
      </c>
      <c r="F54" s="113" t="s">
        <v>50</v>
      </c>
    </row>
    <row r="55" spans="1:6" s="111" customFormat="1" ht="39" customHeight="1" x14ac:dyDescent="0.3">
      <c r="A5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3">
        <f t="shared" ref="B55:E55" si="16">B31</f>
        <v>0</v>
      </c>
      <c r="C55" s="193">
        <f t="shared" si="16"/>
        <v>0</v>
      </c>
      <c r="D55" s="193">
        <f t="shared" si="16"/>
        <v>0</v>
      </c>
      <c r="E55" s="193">
        <f t="shared" si="16"/>
        <v>0</v>
      </c>
      <c r="F55" s="113" t="s">
        <v>50</v>
      </c>
    </row>
    <row r="56" spans="1:6" s="111" customFormat="1" ht="39" customHeight="1" x14ac:dyDescent="0.3">
      <c r="A5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3">
        <f t="shared" ref="B56:E56" si="17">B32</f>
        <v>0</v>
      </c>
      <c r="C56" s="193">
        <f t="shared" si="17"/>
        <v>0</v>
      </c>
      <c r="D56" s="193">
        <f t="shared" si="17"/>
        <v>0</v>
      </c>
      <c r="E56" s="193">
        <f t="shared" si="17"/>
        <v>0</v>
      </c>
      <c r="F56" s="113" t="s">
        <v>50</v>
      </c>
    </row>
    <row r="57" spans="1:6" s="111" customFormat="1" ht="39" customHeight="1" x14ac:dyDescent="0.3">
      <c r="A5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3">
        <f t="shared" ref="B57:E57" si="18">B33</f>
        <v>0</v>
      </c>
      <c r="C57" s="193">
        <f t="shared" si="18"/>
        <v>0</v>
      </c>
      <c r="D57" s="193">
        <f t="shared" si="18"/>
        <v>0</v>
      </c>
      <c r="E57" s="193">
        <f t="shared" si="18"/>
        <v>0</v>
      </c>
      <c r="F57" s="113" t="s">
        <v>50</v>
      </c>
    </row>
    <row r="58" spans="1:6" s="111" customFormat="1" ht="39" customHeight="1" x14ac:dyDescent="0.3">
      <c r="A58" s="10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2">
        <f t="shared" ref="B58:E58" si="19">B34</f>
        <v>0</v>
      </c>
      <c r="C58" s="192">
        <f t="shared" si="19"/>
        <v>0</v>
      </c>
      <c r="D58" s="192">
        <f t="shared" si="19"/>
        <v>0</v>
      </c>
      <c r="E58" s="192">
        <f t="shared" si="19"/>
        <v>0</v>
      </c>
      <c r="F58" s="113" t="s">
        <v>50</v>
      </c>
    </row>
  </sheetData>
  <protectedRanges>
    <protectedRange sqref="A16:A52 C20:D38 C16:C19"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24" orientation="landscape" r:id="rId1"/>
  <headerFooter>
    <oddHeader>&amp;C&amp;"-,Gras"&amp;20Résultats&amp;R&amp;"-,Gras"&amp;20Page : &amp;P/&amp;P</oddHeader>
    <oddFooter>&amp;C&amp;1#&amp;"Arial"&amp;10&amp;K000000Internal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defaultColWidth="11.5546875" defaultRowHeight="14.4" x14ac:dyDescent="0.3"/>
  <cols>
    <col min="1" max="1" width="14.21875" customWidth="1"/>
    <col min="2" max="2" width="14" customWidth="1"/>
    <col min="3" max="3" width="11.5546875" customWidth="1"/>
    <col min="4" max="4" width="12.44140625" customWidth="1"/>
    <col min="5" max="5" width="17.21875" customWidth="1"/>
    <col min="7" max="7" width="19.5546875" customWidth="1"/>
    <col min="9" max="9" width="15.77734375" customWidth="1"/>
  </cols>
  <sheetData>
    <row r="1" spans="1:9" x14ac:dyDescent="0.3">
      <c r="A1" t="s">
        <v>107</v>
      </c>
      <c r="B1" t="s">
        <v>108</v>
      </c>
      <c r="C1" t="s">
        <v>109</v>
      </c>
      <c r="D1" t="s">
        <v>110</v>
      </c>
      <c r="E1" t="s">
        <v>111</v>
      </c>
      <c r="F1" t="s">
        <v>112</v>
      </c>
      <c r="G1" t="s">
        <v>113</v>
      </c>
      <c r="H1" t="s">
        <v>117</v>
      </c>
      <c r="I1" t="s">
        <v>118</v>
      </c>
    </row>
    <row r="2" spans="1:9" x14ac:dyDescent="0.3">
      <c r="A2" t="s">
        <v>152</v>
      </c>
      <c r="B2" t="s">
        <v>163</v>
      </c>
      <c r="C2" t="s">
        <v>143</v>
      </c>
      <c r="D2" t="s">
        <v>146</v>
      </c>
      <c r="E2" t="s">
        <v>147</v>
      </c>
      <c r="F2" t="s">
        <v>112</v>
      </c>
      <c r="G2">
        <v>360268</v>
      </c>
    </row>
    <row r="3" spans="1:9" x14ac:dyDescent="0.3">
      <c r="A3" t="s">
        <v>152</v>
      </c>
      <c r="B3" t="s">
        <v>163</v>
      </c>
      <c r="C3" t="s">
        <v>144</v>
      </c>
      <c r="D3" t="s">
        <v>148</v>
      </c>
      <c r="E3" t="s">
        <v>149</v>
      </c>
      <c r="F3" t="s">
        <v>112</v>
      </c>
      <c r="G3">
        <v>372315</v>
      </c>
    </row>
    <row r="4" spans="1:9" x14ac:dyDescent="0.3">
      <c r="A4" t="s">
        <v>152</v>
      </c>
      <c r="B4" t="s">
        <v>163</v>
      </c>
      <c r="C4" t="s">
        <v>145</v>
      </c>
      <c r="D4" t="s">
        <v>150</v>
      </c>
      <c r="E4" t="s">
        <v>151</v>
      </c>
      <c r="F4" t="s">
        <v>112</v>
      </c>
      <c r="G4">
        <v>237626</v>
      </c>
    </row>
    <row r="5" spans="1:9" x14ac:dyDescent="0.3">
      <c r="A5" t="s">
        <v>152</v>
      </c>
      <c r="B5" t="s">
        <v>163</v>
      </c>
      <c r="C5" t="s">
        <v>160</v>
      </c>
      <c r="D5" t="s">
        <v>161</v>
      </c>
      <c r="E5" t="s">
        <v>162</v>
      </c>
      <c r="F5" t="s">
        <v>112</v>
      </c>
      <c r="G5">
        <v>1439015</v>
      </c>
    </row>
    <row r="6" spans="1:9" x14ac:dyDescent="0.3">
      <c r="A6" t="s">
        <v>152</v>
      </c>
      <c r="B6" t="s">
        <v>163</v>
      </c>
      <c r="C6" t="s">
        <v>157</v>
      </c>
      <c r="D6" t="s">
        <v>158</v>
      </c>
      <c r="E6" t="s">
        <v>159</v>
      </c>
      <c r="F6" t="s">
        <v>112</v>
      </c>
      <c r="G6">
        <v>1433586</v>
      </c>
    </row>
    <row r="7" spans="1:9" x14ac:dyDescent="0.3">
      <c r="A7" t="s">
        <v>152</v>
      </c>
      <c r="B7" t="s">
        <v>163</v>
      </c>
      <c r="C7" t="s">
        <v>154</v>
      </c>
      <c r="D7" t="s">
        <v>155</v>
      </c>
      <c r="E7" t="s">
        <v>156</v>
      </c>
      <c r="F7" t="s">
        <v>112</v>
      </c>
      <c r="G7">
        <v>1115346</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A1536" zoomScale="70" zoomScaleNormal="70" workbookViewId="0">
      <selection activeCell="A2" sqref="A2:A1557"/>
    </sheetView>
  </sheetViews>
  <sheetFormatPr defaultColWidth="11.44140625" defaultRowHeight="14.4" x14ac:dyDescent="0.3"/>
  <cols>
    <col min="1" max="1" width="15" style="1" customWidth="1"/>
    <col min="2" max="2" width="26.5546875" style="1" customWidth="1"/>
    <col min="3" max="3" width="87.21875" style="1" bestFit="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5.44140625" style="1" customWidth="1"/>
    <col min="12" max="12" width="15.44140625" style="1" customWidth="1"/>
    <col min="13" max="14" width="12.77734375" style="1" customWidth="1"/>
    <col min="15" max="20" width="12.21875" style="1" customWidth="1"/>
    <col min="21" max="21" width="17.44140625" style="1" customWidth="1"/>
    <col min="22" max="25" width="12.21875" style="1" customWidth="1"/>
    <col min="26" max="27" width="15.5546875" style="1" customWidth="1"/>
    <col min="28" max="28" width="14.21875" style="1" customWidth="1"/>
    <col min="29" max="16384" width="11.44140625" style="1"/>
  </cols>
  <sheetData>
    <row r="1" spans="1:144" x14ac:dyDescent="0.3">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
      </c>
      <c r="B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
      </c>
      <c r="B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
      </c>
      <c r="B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
      </c>
      <c r="B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
      </c>
      <c r="B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
      </c>
      <c r="B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
      </c>
      <c r="B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
      </c>
      <c r="B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
      </c>
      <c r="B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
      </c>
      <c r="B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 spans="1:144" x14ac:dyDescent="0.3">
      <c r="A12" s="1" t="str">
        <f t="shared" si="0"/>
        <v/>
      </c>
      <c r="B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 spans="1:144" x14ac:dyDescent="0.3">
      <c r="A13" s="1" t="str">
        <f t="shared" si="0"/>
        <v/>
      </c>
      <c r="B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 spans="1:144" x14ac:dyDescent="0.3">
      <c r="A14" s="1" t="str">
        <f t="shared" si="0"/>
        <v/>
      </c>
      <c r="B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 spans="1:144" x14ac:dyDescent="0.3">
      <c r="A15" s="1" t="str">
        <f t="shared" si="0"/>
        <v/>
      </c>
      <c r="B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 spans="1:144" x14ac:dyDescent="0.3">
      <c r="A16" s="1" t="str">
        <f t="shared" si="0"/>
        <v/>
      </c>
      <c r="B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6"/>
      <c r="N16"/>
      <c r="O16"/>
      <c r="P16"/>
      <c r="Q16"/>
      <c r="R16"/>
      <c r="S16"/>
      <c r="T16"/>
      <c r="U16"/>
      <c r="V16"/>
      <c r="W16"/>
      <c r="X16"/>
      <c r="Y16"/>
      <c r="Z16"/>
      <c r="AA16"/>
      <c r="AB16"/>
      <c r="AC16"/>
      <c r="AD16"/>
      <c r="AE16"/>
      <c r="AF16"/>
      <c r="AG16"/>
      <c r="AH16"/>
    </row>
    <row r="17" spans="1:34" x14ac:dyDescent="0.3">
      <c r="A17" s="1" t="str">
        <f t="shared" si="0"/>
        <v/>
      </c>
      <c r="B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7"/>
      <c r="N17"/>
      <c r="O17"/>
      <c r="P17"/>
      <c r="Q17"/>
      <c r="R17"/>
      <c r="S17"/>
      <c r="T17"/>
      <c r="U17"/>
      <c r="V17"/>
      <c r="W17"/>
      <c r="X17"/>
      <c r="Y17"/>
      <c r="Z17"/>
      <c r="AA17"/>
      <c r="AB17"/>
      <c r="AC17"/>
      <c r="AD17"/>
      <c r="AE17"/>
      <c r="AF17"/>
      <c r="AG17"/>
      <c r="AH17"/>
    </row>
    <row r="18" spans="1:34" x14ac:dyDescent="0.3">
      <c r="A18" s="1" t="str">
        <f t="shared" si="0"/>
        <v/>
      </c>
      <c r="B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8"/>
      <c r="N18"/>
      <c r="O18"/>
      <c r="P18"/>
      <c r="Q18"/>
      <c r="R18"/>
      <c r="S18"/>
      <c r="T18"/>
      <c r="U18"/>
      <c r="V18"/>
      <c r="W18"/>
      <c r="X18"/>
      <c r="Y18"/>
      <c r="Z18"/>
      <c r="AA18"/>
      <c r="AB18"/>
      <c r="AC18"/>
      <c r="AD18"/>
      <c r="AE18"/>
      <c r="AF18"/>
      <c r="AG18"/>
      <c r="AH18"/>
    </row>
    <row r="19" spans="1:34" x14ac:dyDescent="0.3">
      <c r="A19" s="1" t="str">
        <f t="shared" si="0"/>
        <v/>
      </c>
      <c r="B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9"/>
      <c r="L19"/>
      <c r="M19"/>
      <c r="N19"/>
      <c r="O19"/>
      <c r="P19"/>
      <c r="Q19"/>
      <c r="R19"/>
      <c r="S19"/>
      <c r="T19"/>
      <c r="U19"/>
      <c r="V19"/>
      <c r="W19"/>
      <c r="X19"/>
      <c r="Y19"/>
      <c r="Z19"/>
      <c r="AA19"/>
      <c r="AB19"/>
      <c r="AC19"/>
      <c r="AD19"/>
      <c r="AE19"/>
      <c r="AF19"/>
      <c r="AG19"/>
      <c r="AH19"/>
    </row>
    <row r="20" spans="1:34" x14ac:dyDescent="0.3">
      <c r="A20" s="1" t="str">
        <f t="shared" si="0"/>
        <v/>
      </c>
      <c r="B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0"/>
      <c r="L20"/>
      <c r="M20"/>
      <c r="N20"/>
      <c r="O20"/>
      <c r="P20"/>
      <c r="Q20"/>
      <c r="R20"/>
      <c r="S20"/>
      <c r="T20"/>
      <c r="U20"/>
      <c r="V20"/>
      <c r="W20"/>
      <c r="X20"/>
      <c r="Y20"/>
      <c r="Z20"/>
      <c r="AA20"/>
      <c r="AB20"/>
      <c r="AC20"/>
      <c r="AD20"/>
      <c r="AE20"/>
      <c r="AF20"/>
      <c r="AG20"/>
      <c r="AH20"/>
    </row>
    <row r="21" spans="1:34" x14ac:dyDescent="0.3">
      <c r="A21" s="1" t="str">
        <f t="shared" si="0"/>
        <v/>
      </c>
      <c r="B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1"/>
      <c r="L21"/>
      <c r="M21"/>
      <c r="N21"/>
      <c r="O21"/>
      <c r="P21"/>
      <c r="Q21"/>
      <c r="R21"/>
      <c r="S21"/>
      <c r="T21"/>
      <c r="U21"/>
      <c r="V21"/>
      <c r="W21"/>
      <c r="X21"/>
      <c r="Y21"/>
      <c r="Z21"/>
      <c r="AA21"/>
      <c r="AB21"/>
      <c r="AC21"/>
      <c r="AD21"/>
      <c r="AE21"/>
      <c r="AF21"/>
      <c r="AG21"/>
      <c r="AH21"/>
    </row>
    <row r="22" spans="1:34" x14ac:dyDescent="0.3">
      <c r="A22" s="1" t="str">
        <f t="shared" si="0"/>
        <v/>
      </c>
      <c r="B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2"/>
      <c r="L22"/>
      <c r="M22"/>
      <c r="N22"/>
      <c r="O22"/>
      <c r="P22"/>
      <c r="Q22"/>
      <c r="R22"/>
      <c r="S22"/>
      <c r="T22"/>
      <c r="U22"/>
      <c r="V22"/>
      <c r="W22"/>
      <c r="X22"/>
      <c r="Y22"/>
      <c r="Z22"/>
      <c r="AA22"/>
      <c r="AB22"/>
      <c r="AC22"/>
      <c r="AD22"/>
      <c r="AE22"/>
      <c r="AF22"/>
      <c r="AG22"/>
      <c r="AH22"/>
    </row>
    <row r="23" spans="1:34" x14ac:dyDescent="0.3">
      <c r="A23" s="1" t="str">
        <f t="shared" si="0"/>
        <v/>
      </c>
      <c r="B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3"/>
      <c r="L23"/>
      <c r="M23"/>
      <c r="N23"/>
      <c r="O23"/>
      <c r="P23"/>
      <c r="Q23"/>
      <c r="R23"/>
      <c r="S23"/>
      <c r="T23"/>
      <c r="U23"/>
      <c r="V23"/>
      <c r="W23"/>
      <c r="X23"/>
      <c r="Y23"/>
      <c r="Z23"/>
      <c r="AA23"/>
      <c r="AB23"/>
      <c r="AC23"/>
      <c r="AD23"/>
      <c r="AE23"/>
      <c r="AF23"/>
      <c r="AG23"/>
      <c r="AH23"/>
    </row>
    <row r="24" spans="1:34" x14ac:dyDescent="0.3">
      <c r="A24" s="1" t="str">
        <f t="shared" si="0"/>
        <v/>
      </c>
      <c r="B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4"/>
      <c r="L24"/>
      <c r="M24"/>
      <c r="N24"/>
      <c r="O24"/>
      <c r="P24"/>
      <c r="Q24"/>
      <c r="R24"/>
      <c r="S24"/>
      <c r="T24"/>
      <c r="U24"/>
      <c r="V24"/>
      <c r="W24"/>
      <c r="X24"/>
      <c r="Y24"/>
      <c r="Z24"/>
      <c r="AA24"/>
      <c r="AB24"/>
      <c r="AC24"/>
      <c r="AD24"/>
      <c r="AE24"/>
      <c r="AF24"/>
      <c r="AG24"/>
      <c r="AH24"/>
    </row>
    <row r="25" spans="1:34" x14ac:dyDescent="0.3">
      <c r="A25" s="1" t="str">
        <f t="shared" si="0"/>
        <v/>
      </c>
      <c r="B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5"/>
      <c r="L25"/>
      <c r="M25"/>
      <c r="N25"/>
      <c r="O25"/>
      <c r="P25"/>
      <c r="Q25"/>
      <c r="R25"/>
      <c r="S25"/>
      <c r="T25"/>
      <c r="U25"/>
      <c r="V25"/>
      <c r="W25"/>
      <c r="X25"/>
      <c r="Y25"/>
      <c r="Z25"/>
      <c r="AA25"/>
      <c r="AB25"/>
      <c r="AC25"/>
      <c r="AD25"/>
      <c r="AE25"/>
      <c r="AF25"/>
      <c r="AG25"/>
      <c r="AH25"/>
    </row>
    <row r="26" spans="1:34" x14ac:dyDescent="0.3">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6"/>
      <c r="L26"/>
      <c r="M26"/>
      <c r="N26"/>
      <c r="O26"/>
      <c r="P26"/>
      <c r="Q26"/>
      <c r="R26"/>
      <c r="S26"/>
      <c r="T26"/>
      <c r="U26"/>
      <c r="V26"/>
      <c r="W26"/>
      <c r="X26"/>
      <c r="Y26"/>
      <c r="Z26"/>
      <c r="AA26"/>
      <c r="AB26"/>
      <c r="AC26"/>
      <c r="AD26"/>
      <c r="AE26"/>
      <c r="AF26"/>
      <c r="AG26"/>
      <c r="AH26"/>
    </row>
    <row r="27" spans="1:34" x14ac:dyDescent="0.3">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7"/>
      <c r="L27"/>
      <c r="M27"/>
      <c r="N27"/>
      <c r="O27"/>
      <c r="P27"/>
      <c r="Q27"/>
      <c r="R27"/>
      <c r="S27"/>
      <c r="T27"/>
      <c r="U27"/>
      <c r="V27"/>
      <c r="W27"/>
      <c r="X27"/>
      <c r="Y27"/>
      <c r="Z27"/>
      <c r="AA27"/>
      <c r="AB27"/>
      <c r="AC27"/>
      <c r="AD27"/>
      <c r="AE27"/>
      <c r="AF27"/>
      <c r="AG27"/>
      <c r="AH27"/>
    </row>
    <row r="28" spans="1:34" x14ac:dyDescent="0.3">
      <c r="A28" s="1" t="str">
        <f t="shared" si="0"/>
        <v/>
      </c>
      <c r="B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8"/>
      <c r="L28"/>
      <c r="M28"/>
      <c r="N28"/>
      <c r="O28"/>
      <c r="P28"/>
      <c r="Q28"/>
      <c r="R28"/>
      <c r="S28"/>
      <c r="T28"/>
      <c r="U28"/>
      <c r="V28"/>
      <c r="W28"/>
      <c r="X28"/>
      <c r="Y28"/>
      <c r="Z28"/>
      <c r="AA28"/>
      <c r="AB28"/>
      <c r="AC28"/>
      <c r="AD28"/>
      <c r="AE28"/>
      <c r="AF28"/>
      <c r="AG28"/>
      <c r="AH28"/>
    </row>
    <row r="29" spans="1:34" x14ac:dyDescent="0.3">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9"/>
      <c r="L29"/>
      <c r="M29"/>
      <c r="N29"/>
      <c r="O29"/>
      <c r="P29"/>
      <c r="Q29"/>
      <c r="R29"/>
      <c r="S29"/>
      <c r="T29"/>
      <c r="U29"/>
      <c r="V29"/>
      <c r="W29"/>
      <c r="X29"/>
      <c r="Y29"/>
      <c r="Z29"/>
      <c r="AA29"/>
      <c r="AB29"/>
      <c r="AC29"/>
      <c r="AD29"/>
      <c r="AE29"/>
      <c r="AF29"/>
      <c r="AG29"/>
      <c r="AH29"/>
    </row>
    <row r="30" spans="1:34" x14ac:dyDescent="0.3">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0"/>
      <c r="L30"/>
      <c r="M30"/>
      <c r="N30"/>
      <c r="O30"/>
      <c r="P30"/>
      <c r="Q30"/>
      <c r="R30"/>
      <c r="S30"/>
      <c r="T30"/>
      <c r="U30"/>
      <c r="V30"/>
      <c r="W30"/>
      <c r="X30"/>
      <c r="Y30"/>
      <c r="Z30"/>
      <c r="AA30"/>
      <c r="AB30"/>
      <c r="AC30"/>
      <c r="AD30"/>
      <c r="AE30"/>
      <c r="AF30"/>
      <c r="AG30"/>
      <c r="AH30"/>
    </row>
    <row r="31" spans="1:34" x14ac:dyDescent="0.3">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1"/>
      <c r="L31"/>
      <c r="M31"/>
      <c r="N31"/>
      <c r="O31"/>
      <c r="P31"/>
      <c r="Q31"/>
      <c r="R31"/>
      <c r="S31"/>
      <c r="T31"/>
      <c r="U31"/>
      <c r="V31"/>
      <c r="W31"/>
      <c r="X31"/>
      <c r="Y31"/>
      <c r="Z31"/>
      <c r="AA31"/>
      <c r="AB31"/>
      <c r="AC31"/>
      <c r="AD31"/>
      <c r="AE31"/>
      <c r="AF31"/>
      <c r="AG31"/>
      <c r="AH31"/>
    </row>
    <row r="32" spans="1:34" x14ac:dyDescent="0.3">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2"/>
      <c r="L32"/>
      <c r="M32"/>
      <c r="N32"/>
      <c r="O32"/>
      <c r="P32"/>
      <c r="Q32"/>
      <c r="R32"/>
      <c r="S32"/>
      <c r="T32"/>
      <c r="U32"/>
      <c r="V32"/>
      <c r="W32"/>
      <c r="X32"/>
      <c r="Y32"/>
      <c r="Z32"/>
      <c r="AA32"/>
      <c r="AB32"/>
      <c r="AC32"/>
      <c r="AD32"/>
      <c r="AE32"/>
      <c r="AF32"/>
      <c r="AG32"/>
      <c r="AH32"/>
    </row>
    <row r="33" spans="1:34" x14ac:dyDescent="0.3">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3"/>
      <c r="L33"/>
      <c r="M33"/>
      <c r="N33"/>
      <c r="O33"/>
      <c r="P33"/>
      <c r="Q33"/>
      <c r="R33"/>
      <c r="S33"/>
      <c r="T33"/>
      <c r="U33"/>
      <c r="V33"/>
      <c r="W33"/>
      <c r="X33"/>
      <c r="Y33"/>
      <c r="Z33"/>
      <c r="AA33"/>
      <c r="AB33"/>
      <c r="AC33"/>
      <c r="AD33"/>
      <c r="AE33"/>
      <c r="AF33"/>
      <c r="AG33"/>
      <c r="AH33"/>
    </row>
    <row r="34" spans="1:34" x14ac:dyDescent="0.3">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4"/>
      <c r="L34"/>
      <c r="M34"/>
      <c r="N34"/>
      <c r="O34"/>
      <c r="P34"/>
      <c r="Q34"/>
      <c r="R34"/>
      <c r="S34"/>
      <c r="T34"/>
      <c r="U34"/>
      <c r="V34"/>
      <c r="W34"/>
      <c r="X34"/>
      <c r="Y34"/>
      <c r="Z34"/>
      <c r="AA34"/>
      <c r="AB34"/>
      <c r="AC34"/>
      <c r="AD34"/>
      <c r="AE34"/>
      <c r="AF34"/>
      <c r="AG34"/>
      <c r="AH34"/>
    </row>
    <row r="35" spans="1:34" x14ac:dyDescent="0.3">
      <c r="A35" s="1" t="str">
        <f t="shared" si="0"/>
        <v/>
      </c>
      <c r="B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5"/>
      <c r="L35"/>
      <c r="M35"/>
      <c r="N35"/>
      <c r="O35"/>
      <c r="P35"/>
      <c r="Q35"/>
      <c r="R35"/>
      <c r="S35"/>
      <c r="T35"/>
      <c r="U35"/>
      <c r="V35"/>
      <c r="W35"/>
      <c r="X35"/>
      <c r="Y35"/>
      <c r="Z35"/>
      <c r="AA35"/>
      <c r="AB35"/>
      <c r="AC35"/>
      <c r="AD35"/>
      <c r="AE35"/>
      <c r="AF35"/>
      <c r="AG35"/>
      <c r="AH35"/>
    </row>
    <row r="36" spans="1:34" x14ac:dyDescent="0.3">
      <c r="A36" s="1" t="str">
        <f t="shared" si="0"/>
        <v/>
      </c>
      <c r="B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6"/>
      <c r="L36"/>
      <c r="M36"/>
      <c r="N36"/>
      <c r="O36"/>
      <c r="P36"/>
      <c r="Q36"/>
      <c r="R36"/>
      <c r="S36"/>
      <c r="T36"/>
      <c r="U36"/>
      <c r="V36"/>
      <c r="W36"/>
      <c r="X36"/>
      <c r="Y36"/>
      <c r="Z36"/>
      <c r="AA36"/>
      <c r="AB36"/>
      <c r="AC36"/>
      <c r="AD36"/>
      <c r="AE36"/>
      <c r="AF36"/>
      <c r="AG36"/>
      <c r="AH36"/>
    </row>
    <row r="37" spans="1:34" x14ac:dyDescent="0.3">
      <c r="A37" s="1" t="str">
        <f t="shared" si="0"/>
        <v/>
      </c>
      <c r="B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7"/>
      <c r="L37"/>
      <c r="M37"/>
      <c r="N37"/>
      <c r="O37"/>
      <c r="P37"/>
      <c r="Q37"/>
      <c r="R37"/>
      <c r="S37"/>
      <c r="T37"/>
      <c r="U37"/>
      <c r="V37"/>
      <c r="W37"/>
      <c r="X37"/>
      <c r="Y37"/>
      <c r="Z37"/>
      <c r="AA37"/>
      <c r="AB37"/>
      <c r="AC37"/>
      <c r="AD37"/>
      <c r="AE37"/>
      <c r="AF37"/>
      <c r="AG37"/>
      <c r="AH37"/>
    </row>
    <row r="38" spans="1:34" x14ac:dyDescent="0.3">
      <c r="A38" s="1" t="str">
        <f t="shared" si="0"/>
        <v/>
      </c>
      <c r="B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8"/>
      <c r="L38"/>
      <c r="M38"/>
      <c r="N38"/>
      <c r="O38"/>
      <c r="P38"/>
      <c r="Q38"/>
      <c r="R38"/>
      <c r="S38"/>
      <c r="T38"/>
      <c r="U38"/>
      <c r="V38"/>
      <c r="W38"/>
      <c r="X38"/>
      <c r="Y38"/>
      <c r="Z38"/>
      <c r="AA38"/>
      <c r="AB38"/>
      <c r="AC38"/>
      <c r="AD38"/>
      <c r="AE38"/>
      <c r="AF38"/>
      <c r="AG38"/>
      <c r="AH38"/>
    </row>
    <row r="39" spans="1:34" x14ac:dyDescent="0.3">
      <c r="A39" s="1" t="str">
        <f t="shared" si="0"/>
        <v/>
      </c>
      <c r="B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 spans="1:34" x14ac:dyDescent="0.3">
      <c r="A40" s="1" t="str">
        <f t="shared" si="0"/>
        <v/>
      </c>
      <c r="B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 spans="1:34" x14ac:dyDescent="0.3">
      <c r="A41" s="1" t="str">
        <f t="shared" si="0"/>
        <v/>
      </c>
      <c r="B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 spans="1:34" x14ac:dyDescent="0.3">
      <c r="A42" s="1" t="str">
        <f t="shared" si="0"/>
        <v/>
      </c>
      <c r="B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 spans="1:34" x14ac:dyDescent="0.3">
      <c r="A43" s="1" t="str">
        <f t="shared" si="0"/>
        <v/>
      </c>
      <c r="B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 spans="1:34" x14ac:dyDescent="0.3">
      <c r="A44" s="1" t="str">
        <f t="shared" si="0"/>
        <v/>
      </c>
      <c r="B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 spans="1:34" x14ac:dyDescent="0.3">
      <c r="A45" s="1" t="str">
        <f t="shared" si="0"/>
        <v/>
      </c>
      <c r="B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 spans="1:34" x14ac:dyDescent="0.3">
      <c r="A46" s="1" t="str">
        <f t="shared" si="0"/>
        <v/>
      </c>
      <c r="B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 spans="1:34" x14ac:dyDescent="0.3">
      <c r="A47" s="1" t="str">
        <f t="shared" si="0"/>
        <v/>
      </c>
      <c r="B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 spans="1:34" x14ac:dyDescent="0.3">
      <c r="A48" s="1" t="str">
        <f t="shared" si="0"/>
        <v/>
      </c>
      <c r="B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 spans="1:2" x14ac:dyDescent="0.3">
      <c r="A49" s="1" t="str">
        <f t="shared" si="0"/>
        <v/>
      </c>
      <c r="B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 spans="1:2" x14ac:dyDescent="0.3">
      <c r="A50" s="1" t="str">
        <f t="shared" si="0"/>
        <v/>
      </c>
      <c r="B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 spans="1:2" x14ac:dyDescent="0.3">
      <c r="A51" s="1" t="str">
        <f t="shared" si="0"/>
        <v/>
      </c>
      <c r="B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 spans="1:2" x14ac:dyDescent="0.3">
      <c r="A52" s="1" t="str">
        <f t="shared" si="0"/>
        <v/>
      </c>
      <c r="B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 spans="1:2" x14ac:dyDescent="0.3">
      <c r="A53" s="1" t="str">
        <f t="shared" si="0"/>
        <v/>
      </c>
      <c r="B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 spans="1:2" x14ac:dyDescent="0.3">
      <c r="A54" s="1" t="str">
        <f t="shared" si="0"/>
        <v/>
      </c>
      <c r="B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 spans="1:2" x14ac:dyDescent="0.3">
      <c r="A55" s="1" t="str">
        <f t="shared" si="0"/>
        <v/>
      </c>
      <c r="B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 spans="1:2" x14ac:dyDescent="0.3">
      <c r="A56" s="1" t="str">
        <f t="shared" si="0"/>
        <v/>
      </c>
      <c r="B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 spans="1:2" x14ac:dyDescent="0.3">
      <c r="A57" s="1" t="str">
        <f t="shared" si="0"/>
        <v/>
      </c>
      <c r="B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 spans="1:2" x14ac:dyDescent="0.3">
      <c r="A58" s="1" t="str">
        <f t="shared" si="0"/>
        <v/>
      </c>
      <c r="B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 spans="1:2" x14ac:dyDescent="0.3">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 spans="1:2" x14ac:dyDescent="0.3">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 spans="1:2" x14ac:dyDescent="0.3">
      <c r="A61" s="1" t="str">
        <f t="shared" si="0"/>
        <v/>
      </c>
      <c r="B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 spans="1:2" x14ac:dyDescent="0.3">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 spans="1:2" x14ac:dyDescent="0.3">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 spans="1:2" x14ac:dyDescent="0.3">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 spans="1:2" x14ac:dyDescent="0.3">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 spans="1:2" x14ac:dyDescent="0.3">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 spans="1:2" x14ac:dyDescent="0.3">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 spans="1:2" x14ac:dyDescent="0.3">
      <c r="A68" s="1" t="str">
        <f t="shared" si="1"/>
        <v/>
      </c>
      <c r="B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 spans="1:2" x14ac:dyDescent="0.3">
      <c r="A69" s="1" t="str">
        <f t="shared" si="1"/>
        <v/>
      </c>
      <c r="B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 spans="1:2" x14ac:dyDescent="0.3">
      <c r="A70" s="1" t="str">
        <f t="shared" si="1"/>
        <v/>
      </c>
      <c r="B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 spans="1:2" x14ac:dyDescent="0.3">
      <c r="A71" s="1" t="str">
        <f t="shared" si="1"/>
        <v/>
      </c>
      <c r="B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 spans="1:2" x14ac:dyDescent="0.3">
      <c r="A72" s="1" t="str">
        <f t="shared" si="1"/>
        <v/>
      </c>
      <c r="B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 spans="1:2" x14ac:dyDescent="0.3">
      <c r="A73" s="1" t="str">
        <f t="shared" si="1"/>
        <v/>
      </c>
      <c r="B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 spans="1:2" x14ac:dyDescent="0.3">
      <c r="A74" s="1" t="str">
        <f t="shared" si="1"/>
        <v/>
      </c>
      <c r="B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 spans="1:2" x14ac:dyDescent="0.3">
      <c r="A75" s="1" t="str">
        <f t="shared" si="1"/>
        <v/>
      </c>
      <c r="B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 spans="1:2" x14ac:dyDescent="0.3">
      <c r="A76" s="1" t="str">
        <f t="shared" si="1"/>
        <v/>
      </c>
      <c r="B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 spans="1:2" x14ac:dyDescent="0.3">
      <c r="A77" s="1" t="str">
        <f t="shared" si="1"/>
        <v/>
      </c>
      <c r="B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 spans="1:2" x14ac:dyDescent="0.3">
      <c r="A78" s="1" t="str">
        <f t="shared" si="1"/>
        <v/>
      </c>
      <c r="B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 spans="1:2" x14ac:dyDescent="0.3">
      <c r="A79" s="1" t="str">
        <f t="shared" si="1"/>
        <v/>
      </c>
      <c r="B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 spans="1:2" x14ac:dyDescent="0.3">
      <c r="A80" s="1" t="str">
        <f t="shared" si="1"/>
        <v/>
      </c>
      <c r="B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 spans="1:2" x14ac:dyDescent="0.3">
      <c r="A81" s="1" t="str">
        <f t="shared" si="1"/>
        <v/>
      </c>
      <c r="B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 spans="1:2" x14ac:dyDescent="0.3">
      <c r="A82" s="1" t="str">
        <f t="shared" si="1"/>
        <v/>
      </c>
      <c r="B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 spans="1:2" x14ac:dyDescent="0.3">
      <c r="A83" s="1" t="str">
        <f t="shared" si="1"/>
        <v/>
      </c>
      <c r="B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 spans="1:2" x14ac:dyDescent="0.3">
      <c r="A84" s="1" t="str">
        <f t="shared" si="1"/>
        <v/>
      </c>
      <c r="B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 spans="1:2" x14ac:dyDescent="0.3">
      <c r="A85" s="1" t="str">
        <f t="shared" si="1"/>
        <v/>
      </c>
      <c r="B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 spans="1:2" x14ac:dyDescent="0.3">
      <c r="A86" s="1" t="str">
        <f t="shared" si="1"/>
        <v/>
      </c>
      <c r="B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 spans="1:2" x14ac:dyDescent="0.3">
      <c r="A87" s="1" t="str">
        <f t="shared" si="1"/>
        <v/>
      </c>
      <c r="B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 spans="1:2" x14ac:dyDescent="0.3">
      <c r="A88" s="1" t="str">
        <f t="shared" si="1"/>
        <v/>
      </c>
      <c r="B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 spans="1:2" x14ac:dyDescent="0.3">
      <c r="A89" s="1" t="str">
        <f t="shared" si="1"/>
        <v/>
      </c>
      <c r="B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 spans="1:2" x14ac:dyDescent="0.3">
      <c r="A90" s="1" t="str">
        <f t="shared" si="1"/>
        <v/>
      </c>
      <c r="B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 spans="1:2" x14ac:dyDescent="0.3">
      <c r="A91" s="1" t="str">
        <f t="shared" si="1"/>
        <v/>
      </c>
      <c r="B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 spans="1:2" x14ac:dyDescent="0.3">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 spans="1:2" x14ac:dyDescent="0.3">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 spans="1:2" x14ac:dyDescent="0.3">
      <c r="A94" s="1" t="str">
        <f t="shared" si="1"/>
        <v/>
      </c>
      <c r="B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 spans="1:2" x14ac:dyDescent="0.3">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 spans="1:2" x14ac:dyDescent="0.3">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 spans="1:2" x14ac:dyDescent="0.3">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 spans="1:2" x14ac:dyDescent="0.3">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 spans="1:2" x14ac:dyDescent="0.3">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 spans="1:2" x14ac:dyDescent="0.3">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 spans="1:2" x14ac:dyDescent="0.3">
      <c r="A101" s="1" t="str">
        <f t="shared" si="1"/>
        <v/>
      </c>
      <c r="B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 spans="1:2" x14ac:dyDescent="0.3">
      <c r="A102" s="1" t="str">
        <f t="shared" si="1"/>
        <v/>
      </c>
      <c r="B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 spans="1:2" x14ac:dyDescent="0.3">
      <c r="A103" s="1" t="str">
        <f t="shared" si="1"/>
        <v/>
      </c>
      <c r="B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 spans="1:2" x14ac:dyDescent="0.3">
      <c r="A104" s="1" t="str">
        <f t="shared" si="1"/>
        <v/>
      </c>
      <c r="B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 spans="1:2" x14ac:dyDescent="0.3">
      <c r="A105" s="1" t="str">
        <f t="shared" si="1"/>
        <v/>
      </c>
      <c r="B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 spans="1:2" x14ac:dyDescent="0.3">
      <c r="A106" s="1" t="str">
        <f t="shared" si="1"/>
        <v/>
      </c>
      <c r="B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 spans="1:2" x14ac:dyDescent="0.3">
      <c r="A107" s="1" t="str">
        <f t="shared" si="1"/>
        <v/>
      </c>
      <c r="B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 spans="1:2" x14ac:dyDescent="0.3">
      <c r="A108" s="1" t="str">
        <f t="shared" si="1"/>
        <v/>
      </c>
      <c r="B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 spans="1:2" x14ac:dyDescent="0.3">
      <c r="A109" s="1" t="str">
        <f t="shared" si="1"/>
        <v/>
      </c>
      <c r="B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 spans="1:2" x14ac:dyDescent="0.3">
      <c r="A110" s="1" t="str">
        <f t="shared" si="1"/>
        <v/>
      </c>
      <c r="B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 spans="1:2" x14ac:dyDescent="0.3">
      <c r="A111" s="1" t="str">
        <f t="shared" si="1"/>
        <v/>
      </c>
      <c r="B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 spans="1:2" x14ac:dyDescent="0.3">
      <c r="A112" s="1" t="str">
        <f t="shared" si="1"/>
        <v/>
      </c>
      <c r="B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 spans="1:2" x14ac:dyDescent="0.3">
      <c r="A113" s="1" t="str">
        <f t="shared" si="1"/>
        <v/>
      </c>
      <c r="B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 spans="1:2" x14ac:dyDescent="0.3">
      <c r="A114" s="1" t="str">
        <f t="shared" si="1"/>
        <v/>
      </c>
      <c r="B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 spans="1:2" x14ac:dyDescent="0.3">
      <c r="A115" s="1" t="str">
        <f t="shared" si="1"/>
        <v/>
      </c>
      <c r="B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 spans="1:2" x14ac:dyDescent="0.3">
      <c r="A116" s="1" t="str">
        <f t="shared" si="1"/>
        <v/>
      </c>
      <c r="B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 spans="1:2" x14ac:dyDescent="0.3">
      <c r="A117" s="1" t="str">
        <f t="shared" si="1"/>
        <v/>
      </c>
      <c r="B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 spans="1:2" x14ac:dyDescent="0.3">
      <c r="A118" s="1" t="str">
        <f t="shared" si="1"/>
        <v/>
      </c>
      <c r="B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 spans="1:2" x14ac:dyDescent="0.3">
      <c r="A119" s="1" t="str">
        <f t="shared" si="1"/>
        <v/>
      </c>
      <c r="B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 spans="1:2" x14ac:dyDescent="0.3">
      <c r="A120" s="1" t="str">
        <f t="shared" si="1"/>
        <v/>
      </c>
      <c r="B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 spans="1:2" x14ac:dyDescent="0.3">
      <c r="A121" s="1" t="str">
        <f t="shared" si="1"/>
        <v/>
      </c>
      <c r="B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 spans="1:2" x14ac:dyDescent="0.3">
      <c r="A122" s="1" t="str">
        <f t="shared" si="1"/>
        <v/>
      </c>
      <c r="B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 spans="1:2" x14ac:dyDescent="0.3">
      <c r="A123" s="1" t="str">
        <f t="shared" si="1"/>
        <v/>
      </c>
      <c r="B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 spans="1:2" x14ac:dyDescent="0.3">
      <c r="A124" s="1" t="str">
        <f t="shared" si="1"/>
        <v/>
      </c>
      <c r="B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 spans="1:2" x14ac:dyDescent="0.3">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 spans="1:2" x14ac:dyDescent="0.3">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 spans="1:2" x14ac:dyDescent="0.3">
      <c r="A127" s="1" t="str">
        <f t="shared" si="1"/>
        <v/>
      </c>
      <c r="B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 spans="1:2" x14ac:dyDescent="0.3">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 spans="1:2" x14ac:dyDescent="0.3">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 spans="1:2" x14ac:dyDescent="0.3">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 spans="1:2" x14ac:dyDescent="0.3">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 spans="1:2" x14ac:dyDescent="0.3">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 spans="1:2" x14ac:dyDescent="0.3">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 spans="1:2" x14ac:dyDescent="0.3">
      <c r="A134" s="1" t="str">
        <f t="shared" si="2"/>
        <v/>
      </c>
      <c r="B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 spans="1:2" x14ac:dyDescent="0.3">
      <c r="A135" s="1" t="str">
        <f t="shared" si="2"/>
        <v/>
      </c>
      <c r="B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 spans="1:2" x14ac:dyDescent="0.3">
      <c r="A136" s="1" t="str">
        <f t="shared" si="2"/>
        <v/>
      </c>
      <c r="B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 spans="1:2" x14ac:dyDescent="0.3">
      <c r="A137" s="1" t="str">
        <f t="shared" si="2"/>
        <v/>
      </c>
      <c r="B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 spans="1:2" x14ac:dyDescent="0.3">
      <c r="A138" s="1" t="str">
        <f t="shared" si="2"/>
        <v/>
      </c>
      <c r="B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 spans="1:2" x14ac:dyDescent="0.3">
      <c r="A139" s="1" t="str">
        <f t="shared" si="2"/>
        <v/>
      </c>
      <c r="B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 spans="1:2" x14ac:dyDescent="0.3">
      <c r="A140" s="1" t="str">
        <f t="shared" si="2"/>
        <v/>
      </c>
      <c r="B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 spans="1:2" x14ac:dyDescent="0.3">
      <c r="A141" s="1" t="str">
        <f t="shared" si="2"/>
        <v/>
      </c>
      <c r="B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 spans="1:2" x14ac:dyDescent="0.3">
      <c r="A142" s="1" t="str">
        <f t="shared" si="2"/>
        <v/>
      </c>
      <c r="B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 spans="1:2" x14ac:dyDescent="0.3">
      <c r="A143" s="1" t="str">
        <f t="shared" si="2"/>
        <v/>
      </c>
      <c r="B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 spans="1:2" x14ac:dyDescent="0.3">
      <c r="A144" s="1" t="str">
        <f t="shared" si="2"/>
        <v/>
      </c>
      <c r="B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 spans="1:2" x14ac:dyDescent="0.3">
      <c r="A145" s="1" t="str">
        <f t="shared" si="2"/>
        <v/>
      </c>
      <c r="B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 spans="1:2" x14ac:dyDescent="0.3">
      <c r="A146" s="1" t="str">
        <f t="shared" si="2"/>
        <v/>
      </c>
      <c r="B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 spans="1:2" x14ac:dyDescent="0.3">
      <c r="A147" s="1" t="str">
        <f t="shared" si="2"/>
        <v/>
      </c>
      <c r="B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 spans="1:2" x14ac:dyDescent="0.3">
      <c r="A148" s="1" t="str">
        <f t="shared" si="2"/>
        <v/>
      </c>
      <c r="B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 spans="1:2" x14ac:dyDescent="0.3">
      <c r="A149" s="1" t="str">
        <f t="shared" si="2"/>
        <v/>
      </c>
      <c r="B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 spans="1:2" x14ac:dyDescent="0.3">
      <c r="A150" s="1" t="str">
        <f t="shared" si="2"/>
        <v/>
      </c>
      <c r="B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 spans="1:2" x14ac:dyDescent="0.3">
      <c r="A151" s="1" t="str">
        <f t="shared" si="2"/>
        <v/>
      </c>
      <c r="B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 spans="1:2" x14ac:dyDescent="0.3">
      <c r="A152" s="1" t="str">
        <f t="shared" si="2"/>
        <v/>
      </c>
      <c r="B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 spans="1:2" x14ac:dyDescent="0.3">
      <c r="A153" s="1" t="str">
        <f t="shared" si="2"/>
        <v/>
      </c>
      <c r="B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 spans="1:2" x14ac:dyDescent="0.3">
      <c r="A154" s="1" t="str">
        <f t="shared" si="2"/>
        <v/>
      </c>
      <c r="B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 spans="1:2" x14ac:dyDescent="0.3">
      <c r="A155" s="1" t="str">
        <f t="shared" si="2"/>
        <v/>
      </c>
      <c r="B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6" spans="1:2" x14ac:dyDescent="0.3">
      <c r="A156" s="1" t="str">
        <f t="shared" si="2"/>
        <v/>
      </c>
      <c r="B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7" spans="1:2" x14ac:dyDescent="0.3">
      <c r="A157" s="1" t="str">
        <f t="shared" si="2"/>
        <v/>
      </c>
      <c r="B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8" spans="1:2" x14ac:dyDescent="0.3">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9" spans="1:2" x14ac:dyDescent="0.3">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0" spans="1:2" x14ac:dyDescent="0.3">
      <c r="A160" s="1" t="str">
        <f t="shared" si="2"/>
        <v/>
      </c>
      <c r="B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1" spans="1:2" x14ac:dyDescent="0.3">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2" spans="1:2" x14ac:dyDescent="0.3">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3" spans="1:2" x14ac:dyDescent="0.3">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4" spans="1:2" x14ac:dyDescent="0.3">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5" spans="1:2" x14ac:dyDescent="0.3">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6" spans="1:2" x14ac:dyDescent="0.3">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7" spans="1:2" x14ac:dyDescent="0.3">
      <c r="A167" s="1" t="str">
        <f t="shared" si="2"/>
        <v/>
      </c>
      <c r="B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8" spans="1:2" x14ac:dyDescent="0.3">
      <c r="A168" s="1" t="str">
        <f t="shared" si="2"/>
        <v/>
      </c>
      <c r="B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9" spans="1:2" x14ac:dyDescent="0.3">
      <c r="A169" s="1" t="str">
        <f t="shared" si="2"/>
        <v/>
      </c>
      <c r="B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0" spans="1:2" x14ac:dyDescent="0.3">
      <c r="A170" s="1" t="str">
        <f t="shared" si="2"/>
        <v/>
      </c>
      <c r="B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1" spans="1:2" x14ac:dyDescent="0.3">
      <c r="A171" s="1" t="str">
        <f t="shared" si="2"/>
        <v/>
      </c>
      <c r="B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2" spans="1:2" x14ac:dyDescent="0.3">
      <c r="A172" s="1" t="str">
        <f t="shared" si="2"/>
        <v/>
      </c>
      <c r="B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3" spans="1:2" x14ac:dyDescent="0.3">
      <c r="A173" s="1" t="str">
        <f t="shared" si="2"/>
        <v/>
      </c>
      <c r="B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4" spans="1:2" x14ac:dyDescent="0.3">
      <c r="A174" s="1" t="str">
        <f t="shared" si="2"/>
        <v/>
      </c>
      <c r="B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5" spans="1:2" x14ac:dyDescent="0.3">
      <c r="A175" s="1" t="str">
        <f t="shared" si="2"/>
        <v/>
      </c>
      <c r="B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6" spans="1:2" x14ac:dyDescent="0.3">
      <c r="A176" s="1" t="str">
        <f t="shared" si="2"/>
        <v/>
      </c>
      <c r="B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7" spans="1:2" x14ac:dyDescent="0.3">
      <c r="A177" s="1" t="str">
        <f t="shared" si="2"/>
        <v/>
      </c>
      <c r="B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8" spans="1:2" x14ac:dyDescent="0.3">
      <c r="A178" s="1" t="str">
        <f t="shared" si="2"/>
        <v/>
      </c>
      <c r="B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9" spans="1:2" x14ac:dyDescent="0.3">
      <c r="A179" s="1" t="str">
        <f t="shared" si="2"/>
        <v/>
      </c>
      <c r="B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0" spans="1:2" x14ac:dyDescent="0.3">
      <c r="A180" s="1" t="str">
        <f t="shared" si="2"/>
        <v/>
      </c>
      <c r="B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1" spans="1:2" x14ac:dyDescent="0.3">
      <c r="A181" s="1" t="str">
        <f t="shared" si="2"/>
        <v/>
      </c>
      <c r="B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2" spans="1:2" x14ac:dyDescent="0.3">
      <c r="A182" s="1" t="str">
        <f t="shared" si="2"/>
        <v/>
      </c>
      <c r="B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3" spans="1:2" x14ac:dyDescent="0.3">
      <c r="A183" s="1" t="str">
        <f t="shared" si="2"/>
        <v/>
      </c>
      <c r="B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4" spans="1:2" x14ac:dyDescent="0.3">
      <c r="A184" s="1" t="str">
        <f t="shared" si="2"/>
        <v/>
      </c>
      <c r="B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5" spans="1:2" x14ac:dyDescent="0.3">
      <c r="A185" s="1" t="str">
        <f t="shared" si="2"/>
        <v/>
      </c>
      <c r="B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6" spans="1:2" x14ac:dyDescent="0.3">
      <c r="A186" s="1" t="str">
        <f t="shared" si="2"/>
        <v/>
      </c>
      <c r="B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7" spans="1:2" x14ac:dyDescent="0.3">
      <c r="A187" s="1" t="str">
        <f t="shared" si="2"/>
        <v/>
      </c>
      <c r="B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8" spans="1:2" x14ac:dyDescent="0.3">
      <c r="A188" s="1" t="str">
        <f t="shared" si="2"/>
        <v/>
      </c>
      <c r="B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9" spans="1:2" x14ac:dyDescent="0.3">
      <c r="A189" s="1" t="str">
        <f t="shared" si="2"/>
        <v/>
      </c>
      <c r="B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0" spans="1:2" x14ac:dyDescent="0.3">
      <c r="A190" s="1" t="str">
        <f t="shared" si="2"/>
        <v/>
      </c>
      <c r="B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1" spans="1:2" x14ac:dyDescent="0.3">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2" spans="1:2" x14ac:dyDescent="0.3">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3" spans="1:2" x14ac:dyDescent="0.3">
      <c r="A193" s="1" t="str">
        <f t="shared" si="2"/>
        <v/>
      </c>
      <c r="B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4" spans="1:2" x14ac:dyDescent="0.3">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5" spans="1:2" x14ac:dyDescent="0.3">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6" spans="1:2" x14ac:dyDescent="0.3">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7" spans="1:2" x14ac:dyDescent="0.3">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8" spans="1:2" x14ac:dyDescent="0.3">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9" spans="1:2" x14ac:dyDescent="0.3">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0" spans="1:2" x14ac:dyDescent="0.3">
      <c r="A200" s="1" t="str">
        <f t="shared" si="3"/>
        <v/>
      </c>
      <c r="B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1" spans="1:2" x14ac:dyDescent="0.3">
      <c r="A201" s="1" t="str">
        <f t="shared" si="3"/>
        <v/>
      </c>
      <c r="B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2" spans="1:2" x14ac:dyDescent="0.3">
      <c r="A202" s="1" t="str">
        <f t="shared" si="3"/>
        <v/>
      </c>
      <c r="B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3" spans="1:2" x14ac:dyDescent="0.3">
      <c r="A203" s="1" t="str">
        <f t="shared" si="3"/>
        <v/>
      </c>
      <c r="B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4" spans="1:2" x14ac:dyDescent="0.3">
      <c r="A204" s="1" t="str">
        <f t="shared" si="3"/>
        <v/>
      </c>
      <c r="B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5" spans="1:2" x14ac:dyDescent="0.3">
      <c r="A205" s="1" t="str">
        <f t="shared" si="3"/>
        <v/>
      </c>
      <c r="B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6" spans="1:2" x14ac:dyDescent="0.3">
      <c r="A206" s="1" t="str">
        <f t="shared" si="3"/>
        <v/>
      </c>
      <c r="B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7" spans="1:2" x14ac:dyDescent="0.3">
      <c r="A207" s="1" t="str">
        <f t="shared" si="3"/>
        <v/>
      </c>
      <c r="B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8" spans="1:2" x14ac:dyDescent="0.3">
      <c r="A208" s="1" t="str">
        <f t="shared" si="3"/>
        <v/>
      </c>
      <c r="B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9" spans="1:2" x14ac:dyDescent="0.3">
      <c r="A209" s="1" t="str">
        <f t="shared" si="3"/>
        <v/>
      </c>
      <c r="B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0" spans="1:2" x14ac:dyDescent="0.3">
      <c r="A210" s="1" t="str">
        <f t="shared" si="3"/>
        <v/>
      </c>
      <c r="B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1" spans="1:2" x14ac:dyDescent="0.3">
      <c r="A211" s="1" t="str">
        <f t="shared" si="3"/>
        <v/>
      </c>
      <c r="B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2" spans="1:2" x14ac:dyDescent="0.3">
      <c r="A212" s="1" t="str">
        <f t="shared" si="3"/>
        <v/>
      </c>
      <c r="B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3" spans="1:2" x14ac:dyDescent="0.3">
      <c r="A213" s="1" t="str">
        <f t="shared" si="3"/>
        <v/>
      </c>
      <c r="B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4" spans="1:2" x14ac:dyDescent="0.3">
      <c r="A214" s="1" t="str">
        <f t="shared" si="3"/>
        <v/>
      </c>
      <c r="B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5" spans="1:2" x14ac:dyDescent="0.3">
      <c r="A215" s="1" t="str">
        <f t="shared" si="3"/>
        <v/>
      </c>
      <c r="B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6" spans="1:2" x14ac:dyDescent="0.3">
      <c r="A216" s="1" t="str">
        <f t="shared" si="3"/>
        <v/>
      </c>
      <c r="B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7" spans="1:2" x14ac:dyDescent="0.3">
      <c r="A217" s="1" t="str">
        <f t="shared" si="3"/>
        <v/>
      </c>
      <c r="B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8" spans="1:2" x14ac:dyDescent="0.3">
      <c r="A218" s="1" t="str">
        <f t="shared" si="3"/>
        <v/>
      </c>
      <c r="B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9" spans="1:2" x14ac:dyDescent="0.3">
      <c r="A219" s="1" t="str">
        <f t="shared" si="3"/>
        <v/>
      </c>
      <c r="B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0" spans="1:2" x14ac:dyDescent="0.3">
      <c r="A220" s="1" t="str">
        <f t="shared" si="3"/>
        <v/>
      </c>
      <c r="B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1" spans="1:2" x14ac:dyDescent="0.3">
      <c r="A221" s="1" t="str">
        <f t="shared" si="3"/>
        <v/>
      </c>
      <c r="B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2" spans="1:2" x14ac:dyDescent="0.3">
      <c r="A222" s="1" t="str">
        <f t="shared" si="3"/>
        <v/>
      </c>
      <c r="B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3" spans="1:2" x14ac:dyDescent="0.3">
      <c r="A223" s="1" t="str">
        <f t="shared" si="3"/>
        <v/>
      </c>
      <c r="B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4" spans="1:2" x14ac:dyDescent="0.3">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5" spans="1:2" x14ac:dyDescent="0.3">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6" spans="1:2" x14ac:dyDescent="0.3">
      <c r="A226" s="1" t="str">
        <f t="shared" si="3"/>
        <v/>
      </c>
      <c r="B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7" spans="1:2" x14ac:dyDescent="0.3">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8" spans="1:2" x14ac:dyDescent="0.3">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9" spans="1:2" x14ac:dyDescent="0.3">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0" spans="1:2" x14ac:dyDescent="0.3">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1" spans="1:2" x14ac:dyDescent="0.3">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2" spans="1:2" x14ac:dyDescent="0.3">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3" spans="1:2" x14ac:dyDescent="0.3">
      <c r="A233" s="1" t="str">
        <f t="shared" si="3"/>
        <v/>
      </c>
      <c r="B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4" spans="1:2" x14ac:dyDescent="0.3">
      <c r="A234" s="1" t="str">
        <f t="shared" si="3"/>
        <v/>
      </c>
      <c r="B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5" spans="1:2" x14ac:dyDescent="0.3">
      <c r="A235" s="1" t="str">
        <f t="shared" si="3"/>
        <v/>
      </c>
      <c r="B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6" spans="1:2" x14ac:dyDescent="0.3">
      <c r="A236" s="1" t="str">
        <f t="shared" si="3"/>
        <v/>
      </c>
      <c r="B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7" spans="1:2" x14ac:dyDescent="0.3">
      <c r="A237" s="1" t="str">
        <f t="shared" si="3"/>
        <v/>
      </c>
      <c r="B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8" spans="1:2" x14ac:dyDescent="0.3">
      <c r="A238" s="1" t="str">
        <f t="shared" si="3"/>
        <v/>
      </c>
      <c r="B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9" spans="1:2" x14ac:dyDescent="0.3">
      <c r="A239" s="1" t="str">
        <f t="shared" si="3"/>
        <v/>
      </c>
      <c r="B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0" spans="1:2" x14ac:dyDescent="0.3">
      <c r="A240" s="1" t="str">
        <f t="shared" si="3"/>
        <v/>
      </c>
      <c r="B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1" spans="1:2" x14ac:dyDescent="0.3">
      <c r="A241" s="1" t="str">
        <f t="shared" si="3"/>
        <v/>
      </c>
      <c r="B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2" spans="1:2" x14ac:dyDescent="0.3">
      <c r="A242" s="1" t="str">
        <f t="shared" si="3"/>
        <v/>
      </c>
      <c r="B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3" spans="1:2" x14ac:dyDescent="0.3">
      <c r="A243" s="1" t="str">
        <f t="shared" si="3"/>
        <v/>
      </c>
      <c r="B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4" spans="1:2" x14ac:dyDescent="0.3">
      <c r="A244" s="1" t="str">
        <f t="shared" si="3"/>
        <v/>
      </c>
      <c r="B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5" spans="1:2" x14ac:dyDescent="0.3">
      <c r="A245" s="1" t="str">
        <f t="shared" si="3"/>
        <v/>
      </c>
      <c r="B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6" spans="1:2" x14ac:dyDescent="0.3">
      <c r="A246" s="1" t="str">
        <f t="shared" si="3"/>
        <v/>
      </c>
      <c r="B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7" spans="1:2" x14ac:dyDescent="0.3">
      <c r="A247" s="1" t="str">
        <f t="shared" si="3"/>
        <v/>
      </c>
      <c r="B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8" spans="1:2" x14ac:dyDescent="0.3">
      <c r="A248" s="1" t="str">
        <f t="shared" si="3"/>
        <v/>
      </c>
      <c r="B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9" spans="1:2" x14ac:dyDescent="0.3">
      <c r="A249" s="1" t="str">
        <f t="shared" si="3"/>
        <v/>
      </c>
      <c r="B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0" spans="1:2" x14ac:dyDescent="0.3">
      <c r="A250" s="1" t="str">
        <f t="shared" si="3"/>
        <v/>
      </c>
      <c r="B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1" spans="1:2" x14ac:dyDescent="0.3">
      <c r="A251" s="1" t="str">
        <f t="shared" si="3"/>
        <v/>
      </c>
      <c r="B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2" spans="1:2" x14ac:dyDescent="0.3">
      <c r="A252" s="1" t="str">
        <f t="shared" si="3"/>
        <v/>
      </c>
      <c r="B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3" spans="1:2" x14ac:dyDescent="0.3">
      <c r="A253" s="1" t="str">
        <f t="shared" si="3"/>
        <v/>
      </c>
      <c r="B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4" spans="1:2" x14ac:dyDescent="0.3">
      <c r="A254" s="1" t="str">
        <f t="shared" si="3"/>
        <v/>
      </c>
      <c r="B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5" spans="1:2" x14ac:dyDescent="0.3">
      <c r="A255" s="1" t="str">
        <f t="shared" si="3"/>
        <v/>
      </c>
      <c r="B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6" spans="1:2" x14ac:dyDescent="0.3">
      <c r="A256" s="1" t="str">
        <f t="shared" si="3"/>
        <v/>
      </c>
      <c r="B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7" spans="1:2" x14ac:dyDescent="0.3">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8" spans="1:2" x14ac:dyDescent="0.3">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9" spans="1:2" x14ac:dyDescent="0.3">
      <c r="A259" s="1" t="str">
        <f t="shared" si="4"/>
        <v/>
      </c>
      <c r="B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0" spans="1:2" x14ac:dyDescent="0.3">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1" spans="1:2" x14ac:dyDescent="0.3">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2" spans="1:2" x14ac:dyDescent="0.3">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3" spans="1:2" x14ac:dyDescent="0.3">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4" spans="1:2" x14ac:dyDescent="0.3">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5" spans="1:2" x14ac:dyDescent="0.3">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6" spans="1:2" x14ac:dyDescent="0.3">
      <c r="A266" s="1" t="str">
        <f t="shared" si="4"/>
        <v/>
      </c>
      <c r="B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7" spans="1:2" x14ac:dyDescent="0.3">
      <c r="A267" s="1" t="str">
        <f t="shared" si="4"/>
        <v/>
      </c>
      <c r="B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8" spans="1:2" x14ac:dyDescent="0.3">
      <c r="A268" s="1" t="str">
        <f t="shared" si="4"/>
        <v/>
      </c>
      <c r="B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9" spans="1:2" x14ac:dyDescent="0.3">
      <c r="A269" s="1" t="str">
        <f t="shared" si="4"/>
        <v/>
      </c>
      <c r="B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0" spans="1:2" x14ac:dyDescent="0.3">
      <c r="A270" s="1" t="str">
        <f t="shared" si="4"/>
        <v/>
      </c>
      <c r="B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1" spans="1:2" x14ac:dyDescent="0.3">
      <c r="A271" s="1" t="str">
        <f t="shared" si="4"/>
        <v/>
      </c>
      <c r="B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2" spans="1:2" x14ac:dyDescent="0.3">
      <c r="A272" s="1" t="str">
        <f t="shared" si="4"/>
        <v/>
      </c>
      <c r="B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3" spans="1:2" x14ac:dyDescent="0.3">
      <c r="A273" s="1" t="str">
        <f t="shared" si="4"/>
        <v/>
      </c>
      <c r="B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4" spans="1:2" x14ac:dyDescent="0.3">
      <c r="A274" s="1" t="str">
        <f t="shared" si="4"/>
        <v/>
      </c>
      <c r="B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5" spans="1:2" x14ac:dyDescent="0.3">
      <c r="A275" s="1" t="str">
        <f t="shared" si="4"/>
        <v/>
      </c>
      <c r="B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6" spans="1:2" x14ac:dyDescent="0.3">
      <c r="A276" s="1" t="str">
        <f t="shared" si="4"/>
        <v/>
      </c>
      <c r="B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7" spans="1:2" x14ac:dyDescent="0.3">
      <c r="A277" s="1" t="str">
        <f t="shared" si="4"/>
        <v/>
      </c>
      <c r="B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8" spans="1:2" x14ac:dyDescent="0.3">
      <c r="A278" s="1" t="str">
        <f t="shared" si="4"/>
        <v/>
      </c>
      <c r="B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9" spans="1:2" x14ac:dyDescent="0.3">
      <c r="A279" s="1" t="str">
        <f t="shared" si="4"/>
        <v/>
      </c>
      <c r="B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0" spans="1:2" x14ac:dyDescent="0.3">
      <c r="A280" s="1" t="str">
        <f t="shared" si="4"/>
        <v/>
      </c>
      <c r="B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1" spans="1:2" x14ac:dyDescent="0.3">
      <c r="A281" s="1" t="str">
        <f t="shared" si="4"/>
        <v/>
      </c>
      <c r="B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2" spans="1:2" x14ac:dyDescent="0.3">
      <c r="A282" s="1" t="str">
        <f t="shared" si="4"/>
        <v/>
      </c>
      <c r="B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3" spans="1:2" x14ac:dyDescent="0.3">
      <c r="A283" s="1" t="str">
        <f t="shared" si="4"/>
        <v/>
      </c>
      <c r="B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4" spans="1:2" x14ac:dyDescent="0.3">
      <c r="A284" s="1" t="str">
        <f t="shared" si="4"/>
        <v/>
      </c>
      <c r="B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5" spans="1:2" x14ac:dyDescent="0.3">
      <c r="A285" s="1" t="str">
        <f t="shared" si="4"/>
        <v/>
      </c>
      <c r="B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6" spans="1:2" x14ac:dyDescent="0.3">
      <c r="A286" s="1" t="str">
        <f t="shared" si="4"/>
        <v/>
      </c>
      <c r="B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7" spans="1:2" x14ac:dyDescent="0.3">
      <c r="A287" s="1" t="str">
        <f t="shared" si="4"/>
        <v/>
      </c>
      <c r="B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8" spans="1:2" x14ac:dyDescent="0.3">
      <c r="A288" s="1" t="str">
        <f t="shared" si="4"/>
        <v/>
      </c>
      <c r="B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9" spans="1:2" x14ac:dyDescent="0.3">
      <c r="A289" s="1" t="str">
        <f t="shared" si="4"/>
        <v/>
      </c>
      <c r="B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0" spans="1:2" x14ac:dyDescent="0.3">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1" spans="1:2" x14ac:dyDescent="0.3">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2" spans="1:2" x14ac:dyDescent="0.3">
      <c r="A292" s="1" t="str">
        <f t="shared" si="4"/>
        <v/>
      </c>
      <c r="B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3" spans="1:2" x14ac:dyDescent="0.3">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4" spans="1:2" x14ac:dyDescent="0.3">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5" spans="1:2" x14ac:dyDescent="0.3">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6" spans="1:2" x14ac:dyDescent="0.3">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7" spans="1:2" x14ac:dyDescent="0.3">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8" spans="1:2" x14ac:dyDescent="0.3">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9" spans="1:2" x14ac:dyDescent="0.3">
      <c r="A299" s="1" t="str">
        <f t="shared" si="4"/>
        <v/>
      </c>
      <c r="B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0" spans="1:2" x14ac:dyDescent="0.3">
      <c r="A300" s="1" t="str">
        <f t="shared" si="4"/>
        <v/>
      </c>
      <c r="B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1" spans="1:2" x14ac:dyDescent="0.3">
      <c r="A301" s="1" t="str">
        <f t="shared" si="4"/>
        <v/>
      </c>
      <c r="B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2" spans="1:2" x14ac:dyDescent="0.3">
      <c r="A302" s="1" t="str">
        <f t="shared" si="4"/>
        <v/>
      </c>
      <c r="B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3" spans="1:2" x14ac:dyDescent="0.3">
      <c r="A303" s="1" t="str">
        <f t="shared" si="4"/>
        <v/>
      </c>
      <c r="B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4" spans="1:2" x14ac:dyDescent="0.3">
      <c r="A304" s="1" t="str">
        <f t="shared" si="4"/>
        <v/>
      </c>
      <c r="B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5" spans="1:2" x14ac:dyDescent="0.3">
      <c r="A305" s="1" t="str">
        <f t="shared" si="4"/>
        <v/>
      </c>
      <c r="B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6" spans="1:2" x14ac:dyDescent="0.3">
      <c r="A306" s="1" t="str">
        <f t="shared" si="4"/>
        <v/>
      </c>
      <c r="B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7" spans="1:2" x14ac:dyDescent="0.3">
      <c r="A307" s="1" t="str">
        <f t="shared" si="4"/>
        <v/>
      </c>
      <c r="B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8" spans="1:2" x14ac:dyDescent="0.3">
      <c r="A308" s="1" t="str">
        <f t="shared" si="4"/>
        <v/>
      </c>
      <c r="B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9" spans="1:2" x14ac:dyDescent="0.3">
      <c r="A309" s="1" t="str">
        <f t="shared" si="4"/>
        <v/>
      </c>
      <c r="B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0" spans="1:2" x14ac:dyDescent="0.3">
      <c r="A310" s="1" t="str">
        <f t="shared" si="4"/>
        <v/>
      </c>
      <c r="B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1" spans="1:2" x14ac:dyDescent="0.3">
      <c r="A311" s="1" t="str">
        <f t="shared" si="4"/>
        <v/>
      </c>
      <c r="B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2" spans="1:2" x14ac:dyDescent="0.3">
      <c r="A312" s="1" t="str">
        <f t="shared" si="4"/>
        <v/>
      </c>
      <c r="B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3" spans="1:2" x14ac:dyDescent="0.3">
      <c r="A313" s="1" t="str">
        <f t="shared" si="4"/>
        <v/>
      </c>
      <c r="B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4" spans="1:2" x14ac:dyDescent="0.3">
      <c r="A314" s="1" t="str">
        <f t="shared" si="4"/>
        <v/>
      </c>
      <c r="B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5" spans="1:2" x14ac:dyDescent="0.3">
      <c r="A315" s="1" t="str">
        <f t="shared" si="4"/>
        <v/>
      </c>
      <c r="B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6" spans="1:2" x14ac:dyDescent="0.3">
      <c r="A316" s="1" t="str">
        <f t="shared" si="4"/>
        <v/>
      </c>
      <c r="B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7" spans="1:2" x14ac:dyDescent="0.3">
      <c r="A317" s="1" t="str">
        <f t="shared" si="4"/>
        <v/>
      </c>
      <c r="B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8" spans="1:2" x14ac:dyDescent="0.3">
      <c r="A318" s="1" t="str">
        <f t="shared" si="4"/>
        <v/>
      </c>
      <c r="B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9" spans="1:2" x14ac:dyDescent="0.3">
      <c r="A319" s="1" t="str">
        <f t="shared" si="4"/>
        <v/>
      </c>
      <c r="B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0" spans="1:2" x14ac:dyDescent="0.3">
      <c r="A320" s="1" t="str">
        <f t="shared" si="4"/>
        <v/>
      </c>
      <c r="B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1" spans="1:2" x14ac:dyDescent="0.3">
      <c r="A321" s="1" t="str">
        <f t="shared" si="4"/>
        <v/>
      </c>
      <c r="B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2" spans="1:2" x14ac:dyDescent="0.3">
      <c r="A322" s="1" t="str">
        <f t="shared" ref="A322:A385" si="5">IFERROR(LEFT(RIGHT(C322,LEN(C322)-SEARCH("@",C322)),SEARCH("/",RIGHT(C322,LEN(C322)-SEARCH("@",C322)-1))),"")</f>
        <v/>
      </c>
      <c r="B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3" spans="1:2" x14ac:dyDescent="0.3">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4" spans="1:2" x14ac:dyDescent="0.3">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5" spans="1:2" x14ac:dyDescent="0.3">
      <c r="A325" s="1" t="str">
        <f t="shared" si="5"/>
        <v/>
      </c>
      <c r="B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6" spans="1:2" x14ac:dyDescent="0.3">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7" spans="1:2" x14ac:dyDescent="0.3">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8" spans="1:2" x14ac:dyDescent="0.3">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9" spans="1:2" x14ac:dyDescent="0.3">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0" spans="1:2" x14ac:dyDescent="0.3">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1" spans="1:2" x14ac:dyDescent="0.3">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2" spans="1:2" x14ac:dyDescent="0.3">
      <c r="A332" s="1" t="str">
        <f t="shared" si="5"/>
        <v/>
      </c>
      <c r="B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3" spans="1:2" x14ac:dyDescent="0.3">
      <c r="A333" s="1" t="str">
        <f t="shared" si="5"/>
        <v/>
      </c>
      <c r="B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4" spans="1:2" x14ac:dyDescent="0.3">
      <c r="A334" s="1" t="str">
        <f t="shared" si="5"/>
        <v/>
      </c>
      <c r="B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5" spans="1:2" x14ac:dyDescent="0.3">
      <c r="A335" s="1" t="str">
        <f t="shared" si="5"/>
        <v/>
      </c>
      <c r="B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6" spans="1:2" x14ac:dyDescent="0.3">
      <c r="A336" s="1" t="str">
        <f t="shared" si="5"/>
        <v/>
      </c>
      <c r="B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7" spans="1:2" x14ac:dyDescent="0.3">
      <c r="A337" s="1" t="str">
        <f t="shared" si="5"/>
        <v/>
      </c>
      <c r="B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8" spans="1:2" x14ac:dyDescent="0.3">
      <c r="A338" s="1" t="str">
        <f t="shared" si="5"/>
        <v/>
      </c>
      <c r="B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9" spans="1:2" x14ac:dyDescent="0.3">
      <c r="A339" s="1" t="str">
        <f t="shared" si="5"/>
        <v/>
      </c>
      <c r="B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0" spans="1:2" x14ac:dyDescent="0.3">
      <c r="A340" s="1" t="str">
        <f t="shared" si="5"/>
        <v/>
      </c>
      <c r="B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1" spans="1:2" x14ac:dyDescent="0.3">
      <c r="A341" s="1" t="str">
        <f t="shared" si="5"/>
        <v/>
      </c>
      <c r="B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2" spans="1:2" x14ac:dyDescent="0.3">
      <c r="A342" s="1" t="str">
        <f t="shared" si="5"/>
        <v/>
      </c>
      <c r="B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3" spans="1:2" x14ac:dyDescent="0.3">
      <c r="A343" s="1" t="str">
        <f t="shared" si="5"/>
        <v/>
      </c>
      <c r="B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4" spans="1:2" x14ac:dyDescent="0.3">
      <c r="A344" s="1" t="str">
        <f t="shared" si="5"/>
        <v/>
      </c>
      <c r="B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5" spans="1:2" x14ac:dyDescent="0.3">
      <c r="A345" s="1" t="str">
        <f t="shared" si="5"/>
        <v/>
      </c>
      <c r="B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6" spans="1:2" x14ac:dyDescent="0.3">
      <c r="A346" s="1" t="str">
        <f t="shared" si="5"/>
        <v/>
      </c>
      <c r="B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7" spans="1:2" x14ac:dyDescent="0.3">
      <c r="A347" s="1" t="str">
        <f t="shared" si="5"/>
        <v/>
      </c>
      <c r="B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8" spans="1:2" x14ac:dyDescent="0.3">
      <c r="A348" s="1" t="str">
        <f t="shared" si="5"/>
        <v/>
      </c>
      <c r="B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9" spans="1:2" x14ac:dyDescent="0.3">
      <c r="A349" s="1" t="str">
        <f t="shared" si="5"/>
        <v/>
      </c>
      <c r="B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0" spans="1:2" x14ac:dyDescent="0.3">
      <c r="A350" s="1" t="str">
        <f t="shared" si="5"/>
        <v/>
      </c>
      <c r="B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1" spans="1:2" x14ac:dyDescent="0.3">
      <c r="A351" s="1" t="str">
        <f t="shared" si="5"/>
        <v/>
      </c>
      <c r="B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2" spans="1:2" x14ac:dyDescent="0.3">
      <c r="A352" s="1" t="str">
        <f t="shared" si="5"/>
        <v/>
      </c>
      <c r="B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3" spans="1:2" x14ac:dyDescent="0.3">
      <c r="A353" s="1" t="str">
        <f t="shared" si="5"/>
        <v/>
      </c>
      <c r="B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4" spans="1:2" x14ac:dyDescent="0.3">
      <c r="A354" s="1" t="str">
        <f t="shared" si="5"/>
        <v/>
      </c>
      <c r="B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5" spans="1:2" x14ac:dyDescent="0.3">
      <c r="A355" s="1" t="str">
        <f t="shared" si="5"/>
        <v/>
      </c>
      <c r="B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6" spans="1:2" x14ac:dyDescent="0.3">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7" spans="1:2" x14ac:dyDescent="0.3">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8" spans="1:2" x14ac:dyDescent="0.3">
      <c r="A358" s="1" t="str">
        <f t="shared" si="5"/>
        <v/>
      </c>
      <c r="B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9" spans="1:2" x14ac:dyDescent="0.3">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0" spans="1:2" x14ac:dyDescent="0.3">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1" spans="1:2" x14ac:dyDescent="0.3">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2" spans="1:2" x14ac:dyDescent="0.3">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3" spans="1:2" x14ac:dyDescent="0.3">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4" spans="1:2" x14ac:dyDescent="0.3">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5" spans="1:2" x14ac:dyDescent="0.3">
      <c r="A365" s="1" t="str">
        <f t="shared" si="5"/>
        <v/>
      </c>
      <c r="B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6" spans="1:2" x14ac:dyDescent="0.3">
      <c r="A366" s="1" t="str">
        <f t="shared" si="5"/>
        <v/>
      </c>
      <c r="B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7" spans="1:2" x14ac:dyDescent="0.3">
      <c r="A367" s="1" t="str">
        <f t="shared" si="5"/>
        <v/>
      </c>
      <c r="B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8" spans="1:2" x14ac:dyDescent="0.3">
      <c r="A368" s="1" t="str">
        <f t="shared" si="5"/>
        <v/>
      </c>
      <c r="B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9" spans="1:2" x14ac:dyDescent="0.3">
      <c r="A369" s="1" t="str">
        <f t="shared" si="5"/>
        <v/>
      </c>
      <c r="B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0" spans="1:2" x14ac:dyDescent="0.3">
      <c r="A370" s="1" t="str">
        <f t="shared" si="5"/>
        <v/>
      </c>
      <c r="B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1" spans="1:2" x14ac:dyDescent="0.3">
      <c r="A371" s="1" t="str">
        <f t="shared" si="5"/>
        <v/>
      </c>
      <c r="B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2" spans="1:2" x14ac:dyDescent="0.3">
      <c r="A372" s="1" t="str">
        <f t="shared" si="5"/>
        <v/>
      </c>
      <c r="B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3" spans="1:2" x14ac:dyDescent="0.3">
      <c r="A373" s="1" t="str">
        <f t="shared" si="5"/>
        <v/>
      </c>
      <c r="B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4" spans="1:2" x14ac:dyDescent="0.3">
      <c r="A374" s="1" t="str">
        <f t="shared" si="5"/>
        <v/>
      </c>
      <c r="B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5" spans="1:2" x14ac:dyDescent="0.3">
      <c r="A375" s="1" t="str">
        <f t="shared" si="5"/>
        <v/>
      </c>
      <c r="B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6" spans="1:2" x14ac:dyDescent="0.3">
      <c r="A376" s="1" t="str">
        <f t="shared" si="5"/>
        <v/>
      </c>
      <c r="B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7" spans="1:2" x14ac:dyDescent="0.3">
      <c r="A377" s="1" t="str">
        <f t="shared" si="5"/>
        <v/>
      </c>
      <c r="B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8" spans="1:2" x14ac:dyDescent="0.3">
      <c r="A378" s="1" t="str">
        <f t="shared" si="5"/>
        <v/>
      </c>
      <c r="B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9" spans="1:2" x14ac:dyDescent="0.3">
      <c r="A379" s="1" t="str">
        <f t="shared" si="5"/>
        <v/>
      </c>
      <c r="B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0" spans="1:2" x14ac:dyDescent="0.3">
      <c r="A380" s="1" t="str">
        <f t="shared" si="5"/>
        <v/>
      </c>
      <c r="B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1" spans="1:2" x14ac:dyDescent="0.3">
      <c r="A381" s="1" t="str">
        <f t="shared" si="5"/>
        <v/>
      </c>
      <c r="B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2" spans="1:2" x14ac:dyDescent="0.3">
      <c r="A382" s="1" t="str">
        <f t="shared" si="5"/>
        <v/>
      </c>
      <c r="B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3" spans="1:2" x14ac:dyDescent="0.3">
      <c r="A383" s="1" t="str">
        <f t="shared" si="5"/>
        <v/>
      </c>
      <c r="B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4" spans="1:2" x14ac:dyDescent="0.3">
      <c r="A384" s="1" t="str">
        <f t="shared" si="5"/>
        <v/>
      </c>
      <c r="B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5" spans="1:2" x14ac:dyDescent="0.3">
      <c r="A385" s="1" t="str">
        <f t="shared" si="5"/>
        <v/>
      </c>
      <c r="B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6" spans="1:2" x14ac:dyDescent="0.3">
      <c r="A386" s="1" t="str">
        <f t="shared" ref="A386:A449" si="6">IFERROR(LEFT(RIGHT(C386,LEN(C386)-SEARCH("@",C386)),SEARCH("/",RIGHT(C386,LEN(C386)-SEARCH("@",C386)-1))),"")</f>
        <v/>
      </c>
      <c r="B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7" spans="1:2" x14ac:dyDescent="0.3">
      <c r="A387" s="1" t="str">
        <f t="shared" si="6"/>
        <v/>
      </c>
      <c r="B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8" spans="1:2" x14ac:dyDescent="0.3">
      <c r="A388" s="1" t="str">
        <f t="shared" si="6"/>
        <v/>
      </c>
      <c r="B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9" spans="1:2" x14ac:dyDescent="0.3">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0" spans="1:2" x14ac:dyDescent="0.3">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1" spans="1:2" x14ac:dyDescent="0.3">
      <c r="A391" s="1" t="str">
        <f t="shared" si="6"/>
        <v/>
      </c>
      <c r="B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2" spans="1:2" x14ac:dyDescent="0.3">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3" spans="1:2" x14ac:dyDescent="0.3">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4" spans="1:2" x14ac:dyDescent="0.3">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5" spans="1:2" x14ac:dyDescent="0.3">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6" spans="1:2" x14ac:dyDescent="0.3">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7" spans="1:2" x14ac:dyDescent="0.3">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8" spans="1:2" x14ac:dyDescent="0.3">
      <c r="A398" s="1" t="str">
        <f t="shared" si="6"/>
        <v/>
      </c>
      <c r="B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9" spans="1:2" x14ac:dyDescent="0.3">
      <c r="A399" s="1" t="str">
        <f t="shared" si="6"/>
        <v/>
      </c>
      <c r="B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0" spans="1:2" x14ac:dyDescent="0.3">
      <c r="A400" s="1" t="str">
        <f t="shared" si="6"/>
        <v/>
      </c>
      <c r="B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1" spans="1:2" x14ac:dyDescent="0.3">
      <c r="A401" s="1" t="str">
        <f t="shared" si="6"/>
        <v/>
      </c>
      <c r="B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2" spans="1:2" x14ac:dyDescent="0.3">
      <c r="A402" s="1" t="str">
        <f t="shared" si="6"/>
        <v/>
      </c>
      <c r="B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3" spans="1:2" x14ac:dyDescent="0.3">
      <c r="A403" s="1" t="str">
        <f t="shared" si="6"/>
        <v/>
      </c>
      <c r="B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4" spans="1:2" x14ac:dyDescent="0.3">
      <c r="A404" s="1" t="str">
        <f t="shared" si="6"/>
        <v/>
      </c>
      <c r="B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5" spans="1:2" x14ac:dyDescent="0.3">
      <c r="A405" s="1" t="str">
        <f t="shared" si="6"/>
        <v/>
      </c>
      <c r="B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6" spans="1:2" x14ac:dyDescent="0.3">
      <c r="A406" s="1" t="str">
        <f t="shared" si="6"/>
        <v/>
      </c>
      <c r="B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7" spans="1:2" x14ac:dyDescent="0.3">
      <c r="A407" s="1" t="str">
        <f t="shared" si="6"/>
        <v/>
      </c>
      <c r="B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8" spans="1:2" x14ac:dyDescent="0.3">
      <c r="A408" s="1" t="str">
        <f t="shared" si="6"/>
        <v/>
      </c>
      <c r="B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9" spans="1:2" x14ac:dyDescent="0.3">
      <c r="A409" s="1" t="str">
        <f t="shared" si="6"/>
        <v/>
      </c>
      <c r="B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0" spans="1:2" x14ac:dyDescent="0.3">
      <c r="A410" s="1" t="str">
        <f t="shared" si="6"/>
        <v/>
      </c>
      <c r="B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1" spans="1:2" x14ac:dyDescent="0.3">
      <c r="A411" s="1" t="str">
        <f t="shared" si="6"/>
        <v/>
      </c>
      <c r="B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2" spans="1:2" x14ac:dyDescent="0.3">
      <c r="A412" s="1" t="str">
        <f t="shared" si="6"/>
        <v/>
      </c>
      <c r="B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3" spans="1:2" x14ac:dyDescent="0.3">
      <c r="A413" s="1" t="str">
        <f t="shared" si="6"/>
        <v/>
      </c>
      <c r="B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4" spans="1:2" x14ac:dyDescent="0.3">
      <c r="A414" s="1" t="str">
        <f t="shared" si="6"/>
        <v/>
      </c>
      <c r="B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5" spans="1:2" x14ac:dyDescent="0.3">
      <c r="A415" s="1" t="str">
        <f t="shared" si="6"/>
        <v/>
      </c>
      <c r="B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6" spans="1:2" x14ac:dyDescent="0.3">
      <c r="A416" s="1" t="str">
        <f t="shared" si="6"/>
        <v/>
      </c>
      <c r="B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7" spans="1:2" x14ac:dyDescent="0.3">
      <c r="A417" s="1" t="str">
        <f t="shared" si="6"/>
        <v/>
      </c>
      <c r="B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8" spans="1:2" x14ac:dyDescent="0.3">
      <c r="A418" s="1" t="str">
        <f t="shared" si="6"/>
        <v/>
      </c>
      <c r="B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9" spans="1:2" x14ac:dyDescent="0.3">
      <c r="A419" s="1" t="str">
        <f t="shared" si="6"/>
        <v/>
      </c>
      <c r="B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0" spans="1:2" x14ac:dyDescent="0.3">
      <c r="A420" s="1" t="str">
        <f t="shared" si="6"/>
        <v/>
      </c>
      <c r="B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1" spans="1:2" x14ac:dyDescent="0.3">
      <c r="A421" s="1" t="str">
        <f t="shared" si="6"/>
        <v/>
      </c>
      <c r="B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2" spans="1:2" x14ac:dyDescent="0.3">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3" spans="1:2" x14ac:dyDescent="0.3">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4" spans="1:2" x14ac:dyDescent="0.3">
      <c r="A424" s="1" t="str">
        <f t="shared" si="6"/>
        <v/>
      </c>
      <c r="B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5" spans="1:2" x14ac:dyDescent="0.3">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6" spans="1:2" x14ac:dyDescent="0.3">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7" spans="1:2" x14ac:dyDescent="0.3">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8" spans="1:2" x14ac:dyDescent="0.3">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9" spans="1:2" x14ac:dyDescent="0.3">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0" spans="1:2" x14ac:dyDescent="0.3">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1" spans="1:2" x14ac:dyDescent="0.3">
      <c r="A431" s="1" t="str">
        <f t="shared" si="6"/>
        <v/>
      </c>
      <c r="B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2" spans="1:2" x14ac:dyDescent="0.3">
      <c r="A432" s="1" t="str">
        <f t="shared" si="6"/>
        <v/>
      </c>
      <c r="B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3" spans="1:2" x14ac:dyDescent="0.3">
      <c r="A433" s="1" t="str">
        <f t="shared" si="6"/>
        <v/>
      </c>
      <c r="B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4" spans="1:2" x14ac:dyDescent="0.3">
      <c r="A434" s="1" t="str">
        <f t="shared" si="6"/>
        <v/>
      </c>
      <c r="B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5" spans="1:2" x14ac:dyDescent="0.3">
      <c r="A435" s="1" t="str">
        <f t="shared" si="6"/>
        <v/>
      </c>
      <c r="B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6" spans="1:2" x14ac:dyDescent="0.3">
      <c r="A436" s="1" t="str">
        <f t="shared" si="6"/>
        <v/>
      </c>
      <c r="B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7" spans="1:2" x14ac:dyDescent="0.3">
      <c r="A437" s="1" t="str">
        <f t="shared" si="6"/>
        <v/>
      </c>
      <c r="B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8" spans="1:2" x14ac:dyDescent="0.3">
      <c r="A438" s="1" t="str">
        <f t="shared" si="6"/>
        <v/>
      </c>
      <c r="B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9" spans="1:2" x14ac:dyDescent="0.3">
      <c r="A439" s="1" t="str">
        <f t="shared" si="6"/>
        <v/>
      </c>
      <c r="B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0" spans="1:2" x14ac:dyDescent="0.3">
      <c r="A440" s="1" t="str">
        <f t="shared" si="6"/>
        <v/>
      </c>
      <c r="B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1" spans="1:2" x14ac:dyDescent="0.3">
      <c r="A441" s="1" t="str">
        <f t="shared" si="6"/>
        <v/>
      </c>
      <c r="B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2" spans="1:2" x14ac:dyDescent="0.3">
      <c r="A442" s="1" t="str">
        <f t="shared" si="6"/>
        <v/>
      </c>
      <c r="B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3" spans="1:2" x14ac:dyDescent="0.3">
      <c r="A443" s="1" t="str">
        <f t="shared" si="6"/>
        <v/>
      </c>
      <c r="B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4" spans="1:2" x14ac:dyDescent="0.3">
      <c r="A444" s="1" t="str">
        <f t="shared" si="6"/>
        <v/>
      </c>
      <c r="B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5" spans="1:2" x14ac:dyDescent="0.3">
      <c r="A445" s="1" t="str">
        <f t="shared" si="6"/>
        <v/>
      </c>
      <c r="B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6" spans="1:2" x14ac:dyDescent="0.3">
      <c r="A446" s="1" t="str">
        <f t="shared" si="6"/>
        <v/>
      </c>
      <c r="B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7" spans="1:2" x14ac:dyDescent="0.3">
      <c r="A447" s="1" t="str">
        <f t="shared" si="6"/>
        <v/>
      </c>
      <c r="B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8" spans="1:2" x14ac:dyDescent="0.3">
      <c r="A448" s="1" t="str">
        <f t="shared" si="6"/>
        <v/>
      </c>
      <c r="B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9" spans="1:2" x14ac:dyDescent="0.3">
      <c r="A449" s="1" t="str">
        <f t="shared" si="6"/>
        <v/>
      </c>
      <c r="B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0" spans="1:2" x14ac:dyDescent="0.3">
      <c r="A450" s="1" t="str">
        <f t="shared" ref="A450:A513" si="7">IFERROR(LEFT(RIGHT(C450,LEN(C450)-SEARCH("@",C450)),SEARCH("/",RIGHT(C450,LEN(C450)-SEARCH("@",C450)-1))),"")</f>
        <v/>
      </c>
      <c r="B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1" spans="1:2" x14ac:dyDescent="0.3">
      <c r="A451" s="1" t="str">
        <f t="shared" si="7"/>
        <v/>
      </c>
      <c r="B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2" spans="1:2" x14ac:dyDescent="0.3">
      <c r="A452" s="1" t="str">
        <f t="shared" si="7"/>
        <v/>
      </c>
      <c r="B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3" spans="1:2" x14ac:dyDescent="0.3">
      <c r="A453" s="1" t="str">
        <f t="shared" si="7"/>
        <v/>
      </c>
      <c r="B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4" spans="1:2" x14ac:dyDescent="0.3">
      <c r="A454" s="1" t="str">
        <f t="shared" si="7"/>
        <v/>
      </c>
      <c r="B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5" spans="1:2" x14ac:dyDescent="0.3">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6" spans="1:2" x14ac:dyDescent="0.3">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7" spans="1:2" x14ac:dyDescent="0.3">
      <c r="A457" s="1" t="str">
        <f t="shared" si="7"/>
        <v/>
      </c>
      <c r="B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8" spans="1:2" x14ac:dyDescent="0.3">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9" spans="1:2" x14ac:dyDescent="0.3">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0" spans="1:2" x14ac:dyDescent="0.3">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1" spans="1:2" x14ac:dyDescent="0.3">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2" spans="1:2" x14ac:dyDescent="0.3">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3" spans="1:2" x14ac:dyDescent="0.3">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4" spans="1:2" x14ac:dyDescent="0.3">
      <c r="A464" s="1" t="str">
        <f t="shared" si="7"/>
        <v/>
      </c>
      <c r="B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5" spans="1:2" x14ac:dyDescent="0.3">
      <c r="A465" s="1" t="str">
        <f t="shared" si="7"/>
        <v/>
      </c>
      <c r="B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6" spans="1:2" x14ac:dyDescent="0.3">
      <c r="A466" s="1" t="str">
        <f t="shared" si="7"/>
        <v/>
      </c>
      <c r="B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7" spans="1:2" x14ac:dyDescent="0.3">
      <c r="A467" s="1" t="str">
        <f t="shared" si="7"/>
        <v/>
      </c>
      <c r="B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8" spans="1:2" x14ac:dyDescent="0.3">
      <c r="A468" s="1" t="str">
        <f t="shared" si="7"/>
        <v/>
      </c>
      <c r="B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9" spans="1:2" x14ac:dyDescent="0.3">
      <c r="A469" s="1" t="str">
        <f t="shared" si="7"/>
        <v/>
      </c>
      <c r="B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0" spans="1:2" x14ac:dyDescent="0.3">
      <c r="A470" s="1" t="str">
        <f t="shared" si="7"/>
        <v/>
      </c>
      <c r="B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1" spans="1:2" x14ac:dyDescent="0.3">
      <c r="A471" s="1" t="str">
        <f t="shared" si="7"/>
        <v/>
      </c>
      <c r="B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2" spans="1:2" x14ac:dyDescent="0.3">
      <c r="A472" s="1" t="str">
        <f t="shared" si="7"/>
        <v/>
      </c>
      <c r="B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3" spans="1:2" x14ac:dyDescent="0.3">
      <c r="A473" s="1" t="str">
        <f t="shared" si="7"/>
        <v/>
      </c>
      <c r="B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4" spans="1:2" x14ac:dyDescent="0.3">
      <c r="A474" s="1" t="str">
        <f t="shared" si="7"/>
        <v/>
      </c>
      <c r="B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5" spans="1:2" x14ac:dyDescent="0.3">
      <c r="A475" s="1" t="str">
        <f t="shared" si="7"/>
        <v/>
      </c>
      <c r="B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6" spans="1:2" x14ac:dyDescent="0.3">
      <c r="A476" s="1" t="str">
        <f t="shared" si="7"/>
        <v/>
      </c>
      <c r="B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7" spans="1:2" x14ac:dyDescent="0.3">
      <c r="A477" s="1" t="str">
        <f t="shared" si="7"/>
        <v/>
      </c>
      <c r="B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8" spans="1:2" x14ac:dyDescent="0.3">
      <c r="A478" s="1" t="str">
        <f t="shared" si="7"/>
        <v/>
      </c>
      <c r="B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9" spans="1:2" x14ac:dyDescent="0.3">
      <c r="A479" s="1" t="str">
        <f t="shared" si="7"/>
        <v/>
      </c>
      <c r="B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0" spans="1:2" x14ac:dyDescent="0.3">
      <c r="A480" s="1" t="str">
        <f t="shared" si="7"/>
        <v/>
      </c>
      <c r="B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1" spans="1:2" x14ac:dyDescent="0.3">
      <c r="A481" s="1" t="str">
        <f t="shared" si="7"/>
        <v/>
      </c>
      <c r="B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2" spans="1:2" x14ac:dyDescent="0.3">
      <c r="A482" s="1" t="str">
        <f t="shared" si="7"/>
        <v/>
      </c>
      <c r="B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3" spans="1:2" x14ac:dyDescent="0.3">
      <c r="A483" s="1" t="str">
        <f t="shared" si="7"/>
        <v/>
      </c>
      <c r="B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4" spans="1:2" x14ac:dyDescent="0.3">
      <c r="A484" s="1" t="str">
        <f t="shared" si="7"/>
        <v/>
      </c>
      <c r="B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5" spans="1:2" x14ac:dyDescent="0.3">
      <c r="A485" s="1" t="str">
        <f t="shared" si="7"/>
        <v/>
      </c>
      <c r="B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6" spans="1:2" x14ac:dyDescent="0.3">
      <c r="A486" s="1" t="str">
        <f t="shared" si="7"/>
        <v/>
      </c>
      <c r="B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7" spans="1:2" x14ac:dyDescent="0.3">
      <c r="A487" s="1" t="str">
        <f t="shared" si="7"/>
        <v/>
      </c>
      <c r="B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8" spans="1:2" x14ac:dyDescent="0.3">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9" spans="1:2" x14ac:dyDescent="0.3">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0" spans="1:2" x14ac:dyDescent="0.3">
      <c r="A490" s="1" t="str">
        <f t="shared" si="7"/>
        <v/>
      </c>
      <c r="B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1" spans="1:2" x14ac:dyDescent="0.3">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2" spans="1:2" x14ac:dyDescent="0.3">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3" spans="1:2" x14ac:dyDescent="0.3">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4" spans="1:2" x14ac:dyDescent="0.3">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5" spans="1:2" x14ac:dyDescent="0.3">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6" spans="1:2" x14ac:dyDescent="0.3">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7" spans="1:2" x14ac:dyDescent="0.3">
      <c r="A497" s="1" t="str">
        <f t="shared" si="7"/>
        <v/>
      </c>
      <c r="B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8" spans="1:2" x14ac:dyDescent="0.3">
      <c r="A498" s="1" t="str">
        <f t="shared" si="7"/>
        <v/>
      </c>
      <c r="B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9" spans="1:2" x14ac:dyDescent="0.3">
      <c r="A499" s="1" t="str">
        <f t="shared" si="7"/>
        <v/>
      </c>
      <c r="B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0" spans="1:2" x14ac:dyDescent="0.3">
      <c r="A500" s="1" t="str">
        <f t="shared" si="7"/>
        <v/>
      </c>
      <c r="B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1" spans="1:2" x14ac:dyDescent="0.3">
      <c r="A501" s="1" t="str">
        <f t="shared" si="7"/>
        <v/>
      </c>
      <c r="B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2" spans="1:2" x14ac:dyDescent="0.3">
      <c r="A502" s="1" t="str">
        <f t="shared" si="7"/>
        <v/>
      </c>
      <c r="B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3" spans="1:2" x14ac:dyDescent="0.3">
      <c r="A503" s="1" t="str">
        <f t="shared" si="7"/>
        <v/>
      </c>
      <c r="B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4" spans="1:2" x14ac:dyDescent="0.3">
      <c r="A504" s="1" t="str">
        <f t="shared" si="7"/>
        <v/>
      </c>
      <c r="B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5" spans="1:2" x14ac:dyDescent="0.3">
      <c r="A505" s="1" t="str">
        <f t="shared" si="7"/>
        <v/>
      </c>
      <c r="B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6" spans="1:2" x14ac:dyDescent="0.3">
      <c r="A506" s="1" t="str">
        <f t="shared" si="7"/>
        <v/>
      </c>
      <c r="B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7" spans="1:2" x14ac:dyDescent="0.3">
      <c r="A507" s="1" t="str">
        <f t="shared" si="7"/>
        <v/>
      </c>
      <c r="B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8" spans="1:2" x14ac:dyDescent="0.3">
      <c r="A508" s="1" t="str">
        <f t="shared" si="7"/>
        <v/>
      </c>
      <c r="B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9" spans="1:2" x14ac:dyDescent="0.3">
      <c r="A509" s="1" t="str">
        <f t="shared" si="7"/>
        <v/>
      </c>
      <c r="B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0" spans="1:2" x14ac:dyDescent="0.3">
      <c r="A510" s="1" t="str">
        <f t="shared" si="7"/>
        <v/>
      </c>
      <c r="B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1" spans="1:2" x14ac:dyDescent="0.3">
      <c r="A511" s="1" t="str">
        <f t="shared" si="7"/>
        <v/>
      </c>
      <c r="B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2" spans="1:2" x14ac:dyDescent="0.3">
      <c r="A512" s="1" t="str">
        <f t="shared" si="7"/>
        <v/>
      </c>
      <c r="B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3" spans="1:2" x14ac:dyDescent="0.3">
      <c r="A513" s="1" t="str">
        <f t="shared" si="7"/>
        <v/>
      </c>
      <c r="B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4" spans="1:2" x14ac:dyDescent="0.3">
      <c r="A514" s="1" t="str">
        <f t="shared" ref="A514:A577" si="8">IFERROR(LEFT(RIGHT(C514,LEN(C514)-SEARCH("@",C514)),SEARCH("/",RIGHT(C514,LEN(C514)-SEARCH("@",C514)-1))),"")</f>
        <v/>
      </c>
      <c r="B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5" spans="1:2" x14ac:dyDescent="0.3">
      <c r="A515" s="1" t="str">
        <f t="shared" si="8"/>
        <v/>
      </c>
      <c r="B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6" spans="1:2" x14ac:dyDescent="0.3">
      <c r="A516" s="1" t="str">
        <f t="shared" si="8"/>
        <v/>
      </c>
      <c r="B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7" spans="1:2" x14ac:dyDescent="0.3">
      <c r="A517" s="1" t="str">
        <f t="shared" si="8"/>
        <v/>
      </c>
      <c r="B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8" spans="1:2" x14ac:dyDescent="0.3">
      <c r="A518" s="1" t="str">
        <f t="shared" si="8"/>
        <v/>
      </c>
      <c r="B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9" spans="1:2" x14ac:dyDescent="0.3">
      <c r="A519" s="1" t="str">
        <f t="shared" si="8"/>
        <v/>
      </c>
      <c r="B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0" spans="1:2" x14ac:dyDescent="0.3">
      <c r="A520" s="1" t="str">
        <f t="shared" si="8"/>
        <v/>
      </c>
      <c r="B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1" spans="1:2" x14ac:dyDescent="0.3">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2" spans="1:2" x14ac:dyDescent="0.3">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3" spans="1:2" x14ac:dyDescent="0.3">
      <c r="A523" s="1" t="str">
        <f t="shared" si="8"/>
        <v/>
      </c>
      <c r="B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4" spans="1:2" x14ac:dyDescent="0.3">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5" spans="1:2" x14ac:dyDescent="0.3">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6" spans="1:2" x14ac:dyDescent="0.3">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7" spans="1:2" x14ac:dyDescent="0.3">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8" spans="1:2" x14ac:dyDescent="0.3">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9" spans="1:2" x14ac:dyDescent="0.3">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0" spans="1:2" x14ac:dyDescent="0.3">
      <c r="A530" s="1" t="str">
        <f t="shared" si="8"/>
        <v/>
      </c>
      <c r="B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1" spans="1:2" x14ac:dyDescent="0.3">
      <c r="A531" s="1" t="str">
        <f t="shared" si="8"/>
        <v/>
      </c>
      <c r="B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2" spans="1:2" x14ac:dyDescent="0.3">
      <c r="A532" s="1" t="str">
        <f t="shared" si="8"/>
        <v/>
      </c>
      <c r="B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3" spans="1:2" x14ac:dyDescent="0.3">
      <c r="A533" s="1" t="str">
        <f t="shared" si="8"/>
        <v/>
      </c>
      <c r="B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4" spans="1:2" x14ac:dyDescent="0.3">
      <c r="A534" s="1" t="str">
        <f t="shared" si="8"/>
        <v/>
      </c>
      <c r="B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5" spans="1:2" x14ac:dyDescent="0.3">
      <c r="A535" s="1" t="str">
        <f t="shared" si="8"/>
        <v/>
      </c>
      <c r="B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6" spans="1:2" x14ac:dyDescent="0.3">
      <c r="A536" s="1" t="str">
        <f t="shared" si="8"/>
        <v/>
      </c>
      <c r="B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7" spans="1:2" x14ac:dyDescent="0.3">
      <c r="A537" s="1" t="str">
        <f t="shared" si="8"/>
        <v/>
      </c>
      <c r="B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8" spans="1:2" x14ac:dyDescent="0.3">
      <c r="A538" s="1" t="str">
        <f t="shared" si="8"/>
        <v/>
      </c>
      <c r="B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9" spans="1:2" x14ac:dyDescent="0.3">
      <c r="A539" s="1" t="str">
        <f t="shared" si="8"/>
        <v/>
      </c>
      <c r="B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0" spans="1:2" x14ac:dyDescent="0.3">
      <c r="A540" s="1" t="str">
        <f t="shared" si="8"/>
        <v/>
      </c>
      <c r="B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1" spans="1:2" x14ac:dyDescent="0.3">
      <c r="A541" s="1" t="str">
        <f t="shared" si="8"/>
        <v/>
      </c>
      <c r="B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2" spans="1:2" x14ac:dyDescent="0.3">
      <c r="A542" s="1" t="str">
        <f t="shared" si="8"/>
        <v/>
      </c>
      <c r="B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3" spans="1:2" x14ac:dyDescent="0.3">
      <c r="A543" s="1" t="str">
        <f t="shared" si="8"/>
        <v/>
      </c>
      <c r="B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4" spans="1:2" x14ac:dyDescent="0.3">
      <c r="A544" s="1" t="str">
        <f t="shared" si="8"/>
        <v/>
      </c>
      <c r="B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5" spans="1:2" x14ac:dyDescent="0.3">
      <c r="A545" s="1" t="str">
        <f t="shared" si="8"/>
        <v/>
      </c>
      <c r="B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6" spans="1:2" x14ac:dyDescent="0.3">
      <c r="A546" s="1" t="str">
        <f t="shared" si="8"/>
        <v/>
      </c>
      <c r="B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7" spans="1:2" x14ac:dyDescent="0.3">
      <c r="A547" s="1" t="str">
        <f t="shared" si="8"/>
        <v/>
      </c>
      <c r="B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8" spans="1:2" x14ac:dyDescent="0.3">
      <c r="A548" s="1" t="str">
        <f t="shared" si="8"/>
        <v/>
      </c>
      <c r="B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9" spans="1:2" x14ac:dyDescent="0.3">
      <c r="A549" s="1" t="str">
        <f t="shared" si="8"/>
        <v/>
      </c>
      <c r="B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0" spans="1:2" x14ac:dyDescent="0.3">
      <c r="A550" s="1" t="str">
        <f t="shared" si="8"/>
        <v/>
      </c>
      <c r="B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1" spans="1:2" x14ac:dyDescent="0.3">
      <c r="A551" s="1" t="str">
        <f t="shared" si="8"/>
        <v/>
      </c>
      <c r="B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2" spans="1:2" x14ac:dyDescent="0.3">
      <c r="A552" s="1" t="str">
        <f t="shared" si="8"/>
        <v/>
      </c>
      <c r="B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3" spans="1:2" x14ac:dyDescent="0.3">
      <c r="A553" s="1" t="str">
        <f t="shared" si="8"/>
        <v/>
      </c>
      <c r="B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4" spans="1:2" x14ac:dyDescent="0.3">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5" spans="1:2" x14ac:dyDescent="0.3">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6" spans="1:2" x14ac:dyDescent="0.3">
      <c r="A556" s="1" t="str">
        <f t="shared" si="8"/>
        <v/>
      </c>
      <c r="B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7" spans="1:2" x14ac:dyDescent="0.3">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8" spans="1:2" x14ac:dyDescent="0.3">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9" spans="1:2" x14ac:dyDescent="0.3">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0" spans="1:2" x14ac:dyDescent="0.3">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1" spans="1:2" x14ac:dyDescent="0.3">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2" spans="1:2" x14ac:dyDescent="0.3">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3" spans="1:2" x14ac:dyDescent="0.3">
      <c r="A563" s="1" t="str">
        <f t="shared" si="8"/>
        <v/>
      </c>
      <c r="B5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4" spans="1:2" x14ac:dyDescent="0.3">
      <c r="A564" s="1" t="str">
        <f t="shared" si="8"/>
        <v/>
      </c>
      <c r="B5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5" spans="1:2" x14ac:dyDescent="0.3">
      <c r="A565" s="1" t="str">
        <f t="shared" si="8"/>
        <v/>
      </c>
      <c r="B5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6" spans="1:2" x14ac:dyDescent="0.3">
      <c r="A566" s="1" t="str">
        <f t="shared" si="8"/>
        <v/>
      </c>
      <c r="B5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7" spans="1:2" x14ac:dyDescent="0.3">
      <c r="A567" s="1" t="str">
        <f t="shared" si="8"/>
        <v/>
      </c>
      <c r="B5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8" spans="1:2" x14ac:dyDescent="0.3">
      <c r="A568" s="1" t="str">
        <f t="shared" si="8"/>
        <v/>
      </c>
      <c r="B5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9" spans="1:2" x14ac:dyDescent="0.3">
      <c r="A569" s="1" t="str">
        <f t="shared" si="8"/>
        <v/>
      </c>
      <c r="B5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0" spans="1:2" x14ac:dyDescent="0.3">
      <c r="A570" s="1" t="str">
        <f t="shared" si="8"/>
        <v/>
      </c>
      <c r="B5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1" spans="1:2" x14ac:dyDescent="0.3">
      <c r="A571" s="1" t="str">
        <f t="shared" si="8"/>
        <v/>
      </c>
      <c r="B5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2" spans="1:2" x14ac:dyDescent="0.3">
      <c r="A572" s="1" t="str">
        <f t="shared" si="8"/>
        <v/>
      </c>
      <c r="B5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3" spans="1:2" x14ac:dyDescent="0.3">
      <c r="A573" s="1" t="str">
        <f t="shared" si="8"/>
        <v/>
      </c>
      <c r="B5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4" spans="1:2" x14ac:dyDescent="0.3">
      <c r="A574" s="1" t="str">
        <f t="shared" si="8"/>
        <v/>
      </c>
      <c r="B5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5" spans="1:2" x14ac:dyDescent="0.3">
      <c r="A575" s="1" t="str">
        <f t="shared" si="8"/>
        <v/>
      </c>
      <c r="B5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6" spans="1:2" x14ac:dyDescent="0.3">
      <c r="A576" s="1" t="str">
        <f t="shared" si="8"/>
        <v/>
      </c>
      <c r="B5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7" spans="1:2" x14ac:dyDescent="0.3">
      <c r="A577" s="1" t="str">
        <f t="shared" si="8"/>
        <v/>
      </c>
      <c r="B5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8" spans="1:2" x14ac:dyDescent="0.3">
      <c r="A578" s="1" t="str">
        <f t="shared" ref="A578:A641" si="9">IFERROR(LEFT(RIGHT(C578,LEN(C578)-SEARCH("@",C578)),SEARCH("/",RIGHT(C578,LEN(C578)-SEARCH("@",C578)-1))),"")</f>
        <v/>
      </c>
      <c r="B5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9" spans="1:2" x14ac:dyDescent="0.3">
      <c r="A579" s="1" t="str">
        <f t="shared" si="9"/>
        <v/>
      </c>
      <c r="B5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0" spans="1:2" x14ac:dyDescent="0.3">
      <c r="A580" s="1" t="str">
        <f t="shared" si="9"/>
        <v/>
      </c>
      <c r="B5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1" spans="1:2" x14ac:dyDescent="0.3">
      <c r="A581" s="1" t="str">
        <f t="shared" si="9"/>
        <v/>
      </c>
      <c r="B5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2" spans="1:2" x14ac:dyDescent="0.3">
      <c r="A582" s="1" t="str">
        <f t="shared" si="9"/>
        <v/>
      </c>
      <c r="B5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3" spans="1:2" x14ac:dyDescent="0.3">
      <c r="A583" s="1" t="str">
        <f t="shared" si="9"/>
        <v/>
      </c>
      <c r="B5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4" spans="1:2" x14ac:dyDescent="0.3">
      <c r="A584" s="1" t="str">
        <f t="shared" si="9"/>
        <v/>
      </c>
      <c r="B5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5" spans="1:2" x14ac:dyDescent="0.3">
      <c r="A585" s="1" t="str">
        <f t="shared" si="9"/>
        <v/>
      </c>
      <c r="B5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6" spans="1:2" x14ac:dyDescent="0.3">
      <c r="A586" s="1" t="str">
        <f t="shared" si="9"/>
        <v/>
      </c>
      <c r="B5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7" spans="1:2" x14ac:dyDescent="0.3">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8" spans="1:2" x14ac:dyDescent="0.3">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9" spans="1:2" x14ac:dyDescent="0.3">
      <c r="A589" s="1" t="str">
        <f t="shared" si="9"/>
        <v/>
      </c>
      <c r="B5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0" spans="1:2" x14ac:dyDescent="0.3">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1" spans="1:2" x14ac:dyDescent="0.3">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2" spans="1:2" x14ac:dyDescent="0.3">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3" spans="1:2" x14ac:dyDescent="0.3">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4" spans="1:2" x14ac:dyDescent="0.3">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5" spans="1:2" x14ac:dyDescent="0.3">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6" spans="1:2" x14ac:dyDescent="0.3">
      <c r="A596" s="1" t="str">
        <f t="shared" si="9"/>
        <v/>
      </c>
      <c r="B5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7" spans="1:2" x14ac:dyDescent="0.3">
      <c r="A597" s="1" t="str">
        <f t="shared" si="9"/>
        <v/>
      </c>
      <c r="B5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8" spans="1:2" x14ac:dyDescent="0.3">
      <c r="A598" s="1" t="str">
        <f t="shared" si="9"/>
        <v/>
      </c>
      <c r="B5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9" spans="1:2" x14ac:dyDescent="0.3">
      <c r="A599" s="1" t="str">
        <f t="shared" si="9"/>
        <v/>
      </c>
      <c r="B5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0" spans="1:2" x14ac:dyDescent="0.3">
      <c r="A600" s="1" t="str">
        <f t="shared" si="9"/>
        <v/>
      </c>
      <c r="B6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1" spans="1:2" x14ac:dyDescent="0.3">
      <c r="A601" s="1" t="str">
        <f t="shared" si="9"/>
        <v/>
      </c>
      <c r="B6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2" spans="1:2" x14ac:dyDescent="0.3">
      <c r="A602" s="1" t="str">
        <f t="shared" si="9"/>
        <v/>
      </c>
      <c r="B6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3" spans="1:2" x14ac:dyDescent="0.3">
      <c r="A603" s="1" t="str">
        <f t="shared" si="9"/>
        <v/>
      </c>
      <c r="B6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4" spans="1:2" x14ac:dyDescent="0.3">
      <c r="A604" s="1" t="str">
        <f t="shared" si="9"/>
        <v/>
      </c>
      <c r="B6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5" spans="1:2" x14ac:dyDescent="0.3">
      <c r="A605" s="1" t="str">
        <f t="shared" si="9"/>
        <v/>
      </c>
      <c r="B6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6" spans="1:2" x14ac:dyDescent="0.3">
      <c r="A606" s="1" t="str">
        <f t="shared" si="9"/>
        <v/>
      </c>
      <c r="B6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7" spans="1:2" x14ac:dyDescent="0.3">
      <c r="A607" s="1" t="str">
        <f t="shared" si="9"/>
        <v/>
      </c>
      <c r="B6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8" spans="1:2" x14ac:dyDescent="0.3">
      <c r="A608" s="1" t="str">
        <f t="shared" si="9"/>
        <v/>
      </c>
      <c r="B6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9" spans="1:2" x14ac:dyDescent="0.3">
      <c r="A609" s="1" t="str">
        <f t="shared" si="9"/>
        <v/>
      </c>
      <c r="B6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0" spans="1:2" x14ac:dyDescent="0.3">
      <c r="A610" s="1" t="str">
        <f t="shared" si="9"/>
        <v/>
      </c>
      <c r="B6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1" spans="1:2" x14ac:dyDescent="0.3">
      <c r="A611" s="1" t="str">
        <f t="shared" si="9"/>
        <v/>
      </c>
      <c r="B6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2" spans="1:2" x14ac:dyDescent="0.3">
      <c r="A612" s="1" t="str">
        <f t="shared" si="9"/>
        <v/>
      </c>
      <c r="B6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3" spans="1:2" x14ac:dyDescent="0.3">
      <c r="A613" s="1" t="str">
        <f t="shared" si="9"/>
        <v/>
      </c>
      <c r="B6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4" spans="1:2" x14ac:dyDescent="0.3">
      <c r="A614" s="1" t="str">
        <f t="shared" si="9"/>
        <v/>
      </c>
      <c r="B6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5" spans="1:2" x14ac:dyDescent="0.3">
      <c r="A615" s="1" t="str">
        <f t="shared" si="9"/>
        <v/>
      </c>
      <c r="B6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6" spans="1:2" x14ac:dyDescent="0.3">
      <c r="A616" s="1" t="str">
        <f t="shared" si="9"/>
        <v/>
      </c>
      <c r="B6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7" spans="1:2" x14ac:dyDescent="0.3">
      <c r="A617" s="1" t="str">
        <f t="shared" si="9"/>
        <v/>
      </c>
      <c r="B6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8" spans="1:2" x14ac:dyDescent="0.3">
      <c r="A618" s="1" t="str">
        <f t="shared" si="9"/>
        <v/>
      </c>
      <c r="B6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9" spans="1:2" x14ac:dyDescent="0.3">
      <c r="A619" s="1" t="str">
        <f t="shared" si="9"/>
        <v/>
      </c>
      <c r="B6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0" spans="1:2" x14ac:dyDescent="0.3">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1" spans="1:2" x14ac:dyDescent="0.3">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2" spans="1:2" x14ac:dyDescent="0.3">
      <c r="A622" s="1" t="str">
        <f t="shared" si="9"/>
        <v/>
      </c>
      <c r="B6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3" spans="1:2" x14ac:dyDescent="0.3">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4" spans="1:2" x14ac:dyDescent="0.3">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5" spans="1:2" x14ac:dyDescent="0.3">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6" spans="1:2" x14ac:dyDescent="0.3">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7" spans="1:2" x14ac:dyDescent="0.3">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8" spans="1:2" x14ac:dyDescent="0.3">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9" spans="1:2" x14ac:dyDescent="0.3">
      <c r="A629" s="1" t="str">
        <f t="shared" si="9"/>
        <v/>
      </c>
      <c r="B6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0" spans="1:2" x14ac:dyDescent="0.3">
      <c r="A630" s="1" t="str">
        <f t="shared" si="9"/>
        <v/>
      </c>
      <c r="B6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1" spans="1:2" x14ac:dyDescent="0.3">
      <c r="A631" s="1" t="str">
        <f t="shared" si="9"/>
        <v/>
      </c>
      <c r="B6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2" spans="1:2" x14ac:dyDescent="0.3">
      <c r="A632" s="1" t="str">
        <f t="shared" si="9"/>
        <v/>
      </c>
      <c r="B6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3" spans="1:2" x14ac:dyDescent="0.3">
      <c r="A633" s="1" t="str">
        <f t="shared" si="9"/>
        <v/>
      </c>
      <c r="B6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4" spans="1:2" x14ac:dyDescent="0.3">
      <c r="A634" s="1" t="str">
        <f t="shared" si="9"/>
        <v/>
      </c>
      <c r="B6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5" spans="1:2" x14ac:dyDescent="0.3">
      <c r="A635" s="1" t="str">
        <f t="shared" si="9"/>
        <v/>
      </c>
      <c r="B6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6" spans="1:2" x14ac:dyDescent="0.3">
      <c r="A636" s="1" t="str">
        <f t="shared" si="9"/>
        <v/>
      </c>
      <c r="B6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7" spans="1:2" x14ac:dyDescent="0.3">
      <c r="A637" s="1" t="str">
        <f t="shared" si="9"/>
        <v/>
      </c>
      <c r="B6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8" spans="1:2" x14ac:dyDescent="0.3">
      <c r="A638" s="1" t="str">
        <f t="shared" si="9"/>
        <v/>
      </c>
      <c r="B6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9" spans="1:2" x14ac:dyDescent="0.3">
      <c r="A639" s="1" t="str">
        <f t="shared" si="9"/>
        <v/>
      </c>
      <c r="B6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0" spans="1:2" x14ac:dyDescent="0.3">
      <c r="A640" s="1" t="str">
        <f t="shared" si="9"/>
        <v/>
      </c>
      <c r="B6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1" spans="1:2" x14ac:dyDescent="0.3">
      <c r="A641" s="1" t="str">
        <f t="shared" si="9"/>
        <v/>
      </c>
      <c r="B6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2" spans="1:2" x14ac:dyDescent="0.3">
      <c r="A642" s="1" t="str">
        <f t="shared" ref="A642:A705" si="10">IFERROR(LEFT(RIGHT(C642,LEN(C642)-SEARCH("@",C642)),SEARCH("/",RIGHT(C642,LEN(C642)-SEARCH("@",C642)-1))),"")</f>
        <v/>
      </c>
      <c r="B6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3" spans="1:2" x14ac:dyDescent="0.3">
      <c r="A643" s="1" t="str">
        <f t="shared" si="10"/>
        <v/>
      </c>
      <c r="B6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4" spans="1:2" x14ac:dyDescent="0.3">
      <c r="A644" s="1" t="str">
        <f t="shared" si="10"/>
        <v/>
      </c>
      <c r="B6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5" spans="1:2" x14ac:dyDescent="0.3">
      <c r="A645" s="1" t="str">
        <f t="shared" si="10"/>
        <v/>
      </c>
      <c r="B6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6" spans="1:2" x14ac:dyDescent="0.3">
      <c r="A646" s="1" t="str">
        <f t="shared" si="10"/>
        <v/>
      </c>
      <c r="B6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7" spans="1:2" x14ac:dyDescent="0.3">
      <c r="A647" s="1" t="str">
        <f t="shared" si="10"/>
        <v/>
      </c>
      <c r="B6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8" spans="1:2" x14ac:dyDescent="0.3">
      <c r="A648" s="1" t="str">
        <f t="shared" si="10"/>
        <v/>
      </c>
      <c r="B6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9" spans="1:2" x14ac:dyDescent="0.3">
      <c r="A649" s="1" t="str">
        <f t="shared" si="10"/>
        <v/>
      </c>
      <c r="B6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0" spans="1:2" x14ac:dyDescent="0.3">
      <c r="A650" s="1" t="str">
        <f t="shared" si="10"/>
        <v/>
      </c>
      <c r="B6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1" spans="1:2" x14ac:dyDescent="0.3">
      <c r="A651" s="1" t="str">
        <f t="shared" si="10"/>
        <v/>
      </c>
      <c r="B6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2" spans="1:2" x14ac:dyDescent="0.3">
      <c r="A652" s="1" t="str">
        <f t="shared" si="10"/>
        <v/>
      </c>
      <c r="B6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3" spans="1:2" x14ac:dyDescent="0.3">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4" spans="1:2" x14ac:dyDescent="0.3">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5" spans="1:2" x14ac:dyDescent="0.3">
      <c r="A655" s="1" t="str">
        <f t="shared" si="10"/>
        <v/>
      </c>
      <c r="B6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6" spans="1:2" x14ac:dyDescent="0.3">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7" spans="1:2" x14ac:dyDescent="0.3">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8" spans="1:2" x14ac:dyDescent="0.3">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9" spans="1:2" x14ac:dyDescent="0.3">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0" spans="1:2" x14ac:dyDescent="0.3">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1" spans="1:2" x14ac:dyDescent="0.3">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2" spans="1:2" x14ac:dyDescent="0.3">
      <c r="A662" s="1" t="str">
        <f t="shared" si="10"/>
        <v/>
      </c>
      <c r="B6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3" spans="1:2" x14ac:dyDescent="0.3">
      <c r="A663" s="1" t="str">
        <f t="shared" si="10"/>
        <v/>
      </c>
      <c r="B6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4" spans="1:2" x14ac:dyDescent="0.3">
      <c r="A664" s="1" t="str">
        <f t="shared" si="10"/>
        <v/>
      </c>
      <c r="B6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5" spans="1:2" x14ac:dyDescent="0.3">
      <c r="A665" s="1" t="str">
        <f t="shared" si="10"/>
        <v/>
      </c>
      <c r="B6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6" spans="1:2" x14ac:dyDescent="0.3">
      <c r="A666" s="1" t="str">
        <f t="shared" si="10"/>
        <v/>
      </c>
      <c r="B6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7" spans="1:2" x14ac:dyDescent="0.3">
      <c r="A667" s="1" t="str">
        <f t="shared" si="10"/>
        <v/>
      </c>
      <c r="B6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8" spans="1:2" x14ac:dyDescent="0.3">
      <c r="A668" s="1" t="str">
        <f t="shared" si="10"/>
        <v/>
      </c>
      <c r="B6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9" spans="1:2" x14ac:dyDescent="0.3">
      <c r="A669" s="1" t="str">
        <f t="shared" si="10"/>
        <v/>
      </c>
      <c r="B6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0" spans="1:2" x14ac:dyDescent="0.3">
      <c r="A670" s="1" t="str">
        <f t="shared" si="10"/>
        <v/>
      </c>
      <c r="B6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1" spans="1:2" x14ac:dyDescent="0.3">
      <c r="A671" s="1" t="str">
        <f t="shared" si="10"/>
        <v/>
      </c>
      <c r="B6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2" spans="1:2" x14ac:dyDescent="0.3">
      <c r="A672" s="1" t="str">
        <f t="shared" si="10"/>
        <v/>
      </c>
      <c r="B6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3" spans="1:2" x14ac:dyDescent="0.3">
      <c r="A673" s="1" t="str">
        <f t="shared" si="10"/>
        <v/>
      </c>
      <c r="B6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4" spans="1:2" x14ac:dyDescent="0.3">
      <c r="A674" s="1" t="str">
        <f t="shared" si="10"/>
        <v/>
      </c>
      <c r="B6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5" spans="1:2" x14ac:dyDescent="0.3">
      <c r="A675" s="1" t="str">
        <f t="shared" si="10"/>
        <v/>
      </c>
      <c r="B6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6" spans="1:2" x14ac:dyDescent="0.3">
      <c r="A676" s="1" t="str">
        <f t="shared" si="10"/>
        <v/>
      </c>
      <c r="B6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7" spans="1:2" x14ac:dyDescent="0.3">
      <c r="A677" s="1" t="str">
        <f t="shared" si="10"/>
        <v/>
      </c>
      <c r="B6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8" spans="1:2" x14ac:dyDescent="0.3">
      <c r="A678" s="1" t="str">
        <f t="shared" si="10"/>
        <v/>
      </c>
      <c r="B6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9" spans="1:2" x14ac:dyDescent="0.3">
      <c r="A679" s="1" t="str">
        <f t="shared" si="10"/>
        <v/>
      </c>
      <c r="B6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0" spans="1:2" x14ac:dyDescent="0.3">
      <c r="A680" s="1" t="str">
        <f t="shared" si="10"/>
        <v/>
      </c>
      <c r="B6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1" spans="1:2" x14ac:dyDescent="0.3">
      <c r="A681" s="1" t="str">
        <f t="shared" si="10"/>
        <v/>
      </c>
      <c r="B6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2" spans="1:2" x14ac:dyDescent="0.3">
      <c r="A682" s="1" t="str">
        <f t="shared" si="10"/>
        <v/>
      </c>
      <c r="B6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3" spans="1:2" x14ac:dyDescent="0.3">
      <c r="A683" s="1" t="str">
        <f t="shared" si="10"/>
        <v/>
      </c>
      <c r="B6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4" spans="1:2" x14ac:dyDescent="0.3">
      <c r="A684" s="1" t="str">
        <f t="shared" si="10"/>
        <v/>
      </c>
      <c r="B6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5" spans="1:2" x14ac:dyDescent="0.3">
      <c r="A685" s="1" t="str">
        <f t="shared" si="10"/>
        <v/>
      </c>
      <c r="B6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6" spans="1:2" x14ac:dyDescent="0.3">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7" spans="1:2" x14ac:dyDescent="0.3">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8" spans="1:2" x14ac:dyDescent="0.3">
      <c r="A688" s="1" t="str">
        <f t="shared" si="10"/>
        <v/>
      </c>
      <c r="B6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9" spans="1:2" x14ac:dyDescent="0.3">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0" spans="1:2" x14ac:dyDescent="0.3">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1" spans="1:2" x14ac:dyDescent="0.3">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2" x14ac:dyDescent="0.3">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2" x14ac:dyDescent="0.3">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2" x14ac:dyDescent="0.3">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2" x14ac:dyDescent="0.3">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2" x14ac:dyDescent="0.3">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2" x14ac:dyDescent="0.3">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2" x14ac:dyDescent="0.3">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2" x14ac:dyDescent="0.3">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2" x14ac:dyDescent="0.3">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2" x14ac:dyDescent="0.3">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2" x14ac:dyDescent="0.3">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2" x14ac:dyDescent="0.3">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2" x14ac:dyDescent="0.3">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M11:XFD11 A1:J2 A1558:XFD1048576 AI18:XFD38 C39:XFD1557 C11:K11 C3:J10 EO1:XFD10 C19:K38 K5 C12:XFD13 C14:J18 M14:XFD17 K1:L4 A3:B1557">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zoomScale="85" zoomScaleNormal="85" zoomScaleSheetLayoutView="40" zoomScalePageLayoutView="30" workbookViewId="0">
      <pane xSplit="1" topLeftCell="H1" activePane="topRight" state="frozen"/>
      <selection pane="topRight" activeCell="J5" sqref="J5:J12"/>
    </sheetView>
  </sheetViews>
  <sheetFormatPr defaultColWidth="9.21875" defaultRowHeight="14.4" x14ac:dyDescent="0.3"/>
  <cols>
    <col min="1" max="1" width="29.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8.21875" bestFit="1" customWidth="1"/>
    <col min="15" max="15" width="14.77734375" customWidth="1"/>
    <col min="16" max="16" width="17.77734375" customWidth="1"/>
    <col min="17" max="18" width="25.77734375" bestFit="1" customWidth="1"/>
    <col min="19" max="22" width="25.77734375" style="1" customWidth="1"/>
  </cols>
  <sheetData>
    <row r="1" spans="1:22" s="1" customFormat="1" ht="26.4" thickBot="1" x14ac:dyDescent="0.55000000000000004">
      <c r="A1" s="213" t="s">
        <v>40</v>
      </c>
      <c r="B1" s="214"/>
      <c r="C1" s="214"/>
      <c r="D1" s="214"/>
      <c r="E1" s="214"/>
      <c r="F1" s="214"/>
      <c r="G1" s="214"/>
      <c r="H1" s="214"/>
      <c r="I1" s="214"/>
      <c r="J1" s="214"/>
      <c r="K1" s="214"/>
      <c r="L1" s="214"/>
      <c r="M1" s="214"/>
      <c r="N1" s="214"/>
      <c r="O1" s="214"/>
      <c r="P1" s="214"/>
      <c r="Q1" s="214"/>
      <c r="R1" s="214"/>
      <c r="S1" s="214"/>
      <c r="T1" s="214"/>
      <c r="U1" s="214"/>
      <c r="V1" s="214"/>
    </row>
    <row r="2" spans="1:22" ht="15" thickBot="1" x14ac:dyDescent="0.35">
      <c r="A2"/>
      <c r="B2"/>
      <c r="C2"/>
      <c r="D2"/>
      <c r="E2"/>
      <c r="F2"/>
      <c r="G2"/>
      <c r="H2"/>
      <c r="I2"/>
      <c r="J2"/>
      <c r="K2"/>
      <c r="L2"/>
      <c r="M2"/>
      <c r="S2"/>
      <c r="T2"/>
      <c r="U2"/>
      <c r="V2"/>
    </row>
    <row r="3" spans="1:22" ht="15" thickBot="1" x14ac:dyDescent="0.35">
      <c r="A3" s="51" t="s">
        <v>17</v>
      </c>
      <c r="B3" s="221" t="s">
        <v>6</v>
      </c>
      <c r="C3" s="222"/>
      <c r="D3" s="222"/>
      <c r="E3" s="222"/>
      <c r="F3" s="222"/>
      <c r="G3" s="222"/>
      <c r="H3" s="222"/>
      <c r="I3" s="222"/>
      <c r="J3" s="222"/>
      <c r="K3" s="222"/>
      <c r="L3" s="222"/>
      <c r="M3" s="222"/>
      <c r="O3" s="221" t="s">
        <v>3</v>
      </c>
      <c r="P3" s="222"/>
      <c r="Q3" s="222"/>
      <c r="R3" s="222"/>
      <c r="S3" s="222"/>
      <c r="T3" s="222"/>
      <c r="U3" s="222"/>
      <c r="V3" s="222"/>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Prochloraz-0.063mg/L</v>
      </c>
      <c r="J4" s="35" t="str">
        <f>'Page de garde'!A16</f>
        <v>Prochloraz-0.13mg/L</v>
      </c>
      <c r="K4" s="35" t="str">
        <f>'Page de garde'!A17</f>
        <v>Prochloraz-0.25mg/L</v>
      </c>
      <c r="L4" s="35" t="str">
        <f>'Page de garde'!A18</f>
        <v>Prochloraz-0.5mg/L</v>
      </c>
      <c r="M4" s="35" t="str">
        <f>'Page de garde'!A19</f>
        <v>Prochloraz-1mg/L</v>
      </c>
      <c r="N4" s="3"/>
      <c r="O4" s="36" t="str">
        <f>'Page de garde'!A36</f>
        <v>Testo -30µg/L</v>
      </c>
      <c r="P4" s="36" t="str">
        <f>'Page de garde'!A37</f>
        <v>Testo 30µg/L + EE2 -64ng/L</v>
      </c>
      <c r="Q4" s="36" t="str">
        <f>'Page de garde'!A38</f>
        <v>Testo 30µg/L + FAD-10µg/L</v>
      </c>
      <c r="R4" s="36" t="str">
        <f>'Page de garde'!A39</f>
        <v>Prochloraz-0.063mg/L + Testostérone</v>
      </c>
      <c r="S4" s="36" t="str">
        <f>'Page de garde'!A40</f>
        <v>Prochloraz-0.13mg/L + Testostérone</v>
      </c>
      <c r="T4" s="36" t="str">
        <f>'Page de garde'!A41</f>
        <v>Prochloraz-0.25mg/L + Testostérone</v>
      </c>
      <c r="U4" s="36" t="str">
        <f>'Page de garde'!A42</f>
        <v>Prochloraz-0.5mg/L + Testostérone</v>
      </c>
      <c r="V4" s="36" t="str">
        <f>'Page de garde'!A43</f>
        <v>Prochloraz-1mg/L + Testostérone</v>
      </c>
    </row>
    <row r="5" spans="1:22" x14ac:dyDescent="0.3">
      <c r="A5" s="217" t="s">
        <v>33</v>
      </c>
      <c r="B5" s="1">
        <v>504</v>
      </c>
      <c r="C5" s="1">
        <v>8644</v>
      </c>
      <c r="D5" s="1">
        <v>50874</v>
      </c>
      <c r="E5" s="1">
        <v>1767694</v>
      </c>
      <c r="F5" s="1">
        <v>4433384</v>
      </c>
      <c r="G5" s="1">
        <v>6312574</v>
      </c>
      <c r="H5" s="1">
        <v>5058215</v>
      </c>
      <c r="I5" s="1">
        <v>104521</v>
      </c>
      <c r="J5" s="1">
        <v>95335</v>
      </c>
      <c r="K5" s="1">
        <v>14697</v>
      </c>
      <c r="L5" s="1">
        <v>154980</v>
      </c>
      <c r="M5" s="1">
        <v>191824</v>
      </c>
      <c r="N5" s="3"/>
      <c r="O5" s="1">
        <v>5617947</v>
      </c>
      <c r="P5" s="1">
        <v>9118163</v>
      </c>
      <c r="Q5" s="1">
        <v>109228</v>
      </c>
      <c r="R5" s="1">
        <v>33216</v>
      </c>
      <c r="S5" s="1">
        <v>106690</v>
      </c>
      <c r="T5" s="1">
        <v>14254</v>
      </c>
      <c r="U5" s="1">
        <v>41337</v>
      </c>
      <c r="V5" s="1">
        <v>2186</v>
      </c>
    </row>
    <row r="6" spans="1:22" x14ac:dyDescent="0.3">
      <c r="A6" s="218"/>
      <c r="B6" s="1">
        <v>62050</v>
      </c>
      <c r="C6" s="1">
        <v>245025</v>
      </c>
      <c r="D6" s="1">
        <v>19952</v>
      </c>
      <c r="E6" s="1">
        <v>2079692</v>
      </c>
      <c r="F6" s="1">
        <v>3192578</v>
      </c>
      <c r="G6" s="1">
        <v>4338734</v>
      </c>
      <c r="H6" s="1">
        <v>11154097</v>
      </c>
      <c r="I6" s="1">
        <v>14686</v>
      </c>
      <c r="J6" s="1">
        <v>39078</v>
      </c>
      <c r="K6" s="1">
        <v>27894</v>
      </c>
      <c r="L6" s="1">
        <v>38475</v>
      </c>
      <c r="M6" s="1">
        <v>169084</v>
      </c>
      <c r="N6" s="3"/>
      <c r="O6" s="1">
        <v>322836</v>
      </c>
      <c r="P6" s="1">
        <v>4992926</v>
      </c>
      <c r="Q6" s="1">
        <v>30755</v>
      </c>
      <c r="R6" s="1">
        <v>166012</v>
      </c>
      <c r="S6" s="1">
        <v>1403295</v>
      </c>
      <c r="T6" s="1">
        <v>20573</v>
      </c>
      <c r="U6" s="1">
        <v>126129</v>
      </c>
      <c r="V6" s="1">
        <v>37307</v>
      </c>
    </row>
    <row r="7" spans="1:22" x14ac:dyDescent="0.3">
      <c r="A7" s="218"/>
      <c r="B7" s="1">
        <v>7437</v>
      </c>
      <c r="C7" s="1">
        <v>1063913</v>
      </c>
      <c r="D7" s="1">
        <v>2497975</v>
      </c>
      <c r="E7" s="1">
        <v>3024330</v>
      </c>
      <c r="F7" s="1">
        <v>4218063</v>
      </c>
      <c r="G7" s="1">
        <v>6230528</v>
      </c>
      <c r="H7" s="1">
        <v>4981766</v>
      </c>
      <c r="I7" s="1">
        <v>197474</v>
      </c>
      <c r="J7" s="1">
        <v>24789</v>
      </c>
      <c r="K7" s="1">
        <v>303617</v>
      </c>
      <c r="L7" s="1">
        <v>57311</v>
      </c>
      <c r="M7" s="1">
        <v>78588</v>
      </c>
      <c r="N7" s="3"/>
      <c r="O7" s="1">
        <v>107235</v>
      </c>
      <c r="P7" s="1">
        <v>5400444</v>
      </c>
      <c r="Q7" s="1">
        <v>40538</v>
      </c>
      <c r="R7" s="1">
        <v>250543</v>
      </c>
      <c r="S7" s="1">
        <v>495557</v>
      </c>
      <c r="T7" s="1">
        <v>458226</v>
      </c>
      <c r="U7" s="1">
        <v>40023</v>
      </c>
      <c r="V7" s="1">
        <v>29656</v>
      </c>
    </row>
    <row r="8" spans="1:22" x14ac:dyDescent="0.3">
      <c r="A8" s="218"/>
      <c r="B8" s="1">
        <v>9104</v>
      </c>
      <c r="C8" s="1">
        <v>84919</v>
      </c>
      <c r="D8" s="1">
        <v>153518</v>
      </c>
      <c r="E8" s="1">
        <v>227901</v>
      </c>
      <c r="F8" s="1">
        <v>3836567</v>
      </c>
      <c r="G8" s="1">
        <v>7925413</v>
      </c>
      <c r="H8" s="1">
        <v>8796791</v>
      </c>
      <c r="I8" s="1">
        <v>31902</v>
      </c>
      <c r="J8" s="1">
        <v>48100</v>
      </c>
      <c r="K8" s="1">
        <v>136702</v>
      </c>
      <c r="L8" s="1">
        <v>231817</v>
      </c>
      <c r="M8" s="1">
        <v>163780</v>
      </c>
      <c r="N8" s="3"/>
      <c r="O8" s="1">
        <v>1711306</v>
      </c>
      <c r="P8" s="1">
        <v>7183840</v>
      </c>
      <c r="Q8" s="1">
        <v>5613</v>
      </c>
      <c r="R8" s="1">
        <v>75042</v>
      </c>
      <c r="S8" s="1">
        <v>5651</v>
      </c>
      <c r="T8" s="1">
        <v>252495</v>
      </c>
      <c r="U8" s="1">
        <v>212071</v>
      </c>
      <c r="V8" s="1">
        <v>2204</v>
      </c>
    </row>
    <row r="9" spans="1:22" x14ac:dyDescent="0.3">
      <c r="A9" s="218"/>
      <c r="B9" s="1">
        <v>147320</v>
      </c>
      <c r="C9" s="1">
        <v>794685</v>
      </c>
      <c r="D9" s="1">
        <v>2397417</v>
      </c>
      <c r="E9" s="1">
        <v>741029</v>
      </c>
      <c r="F9" s="1">
        <v>4667684</v>
      </c>
      <c r="G9" s="1">
        <v>10983199</v>
      </c>
      <c r="H9" s="1">
        <v>4776605</v>
      </c>
      <c r="I9" s="1">
        <v>5599</v>
      </c>
      <c r="J9" s="1">
        <v>24650</v>
      </c>
      <c r="K9" s="1">
        <v>28533</v>
      </c>
      <c r="L9" s="1">
        <v>732107</v>
      </c>
      <c r="M9" s="1">
        <v>35420</v>
      </c>
      <c r="N9" s="3"/>
      <c r="O9" s="1">
        <v>94720</v>
      </c>
      <c r="P9" s="1">
        <v>2600841</v>
      </c>
      <c r="Q9" s="1">
        <v>1378</v>
      </c>
      <c r="R9" s="1">
        <v>81619</v>
      </c>
      <c r="S9" s="1">
        <v>37045</v>
      </c>
      <c r="T9" s="1">
        <v>1061569</v>
      </c>
      <c r="U9" s="1">
        <v>14604</v>
      </c>
      <c r="V9" s="1">
        <v>32099</v>
      </c>
    </row>
    <row r="10" spans="1:22" x14ac:dyDescent="0.3">
      <c r="A10" s="218"/>
      <c r="B10" s="1">
        <v>68496</v>
      </c>
      <c r="C10" s="1">
        <v>221936</v>
      </c>
      <c r="D10" s="1">
        <v>394828</v>
      </c>
      <c r="E10" s="1">
        <v>840778</v>
      </c>
      <c r="F10" s="1">
        <v>6373155</v>
      </c>
      <c r="G10" s="1">
        <v>4355737</v>
      </c>
      <c r="H10" s="1">
        <v>8354584</v>
      </c>
      <c r="I10" s="1">
        <v>51439</v>
      </c>
      <c r="J10" s="1">
        <v>182</v>
      </c>
      <c r="K10" s="1">
        <v>55132</v>
      </c>
      <c r="L10" s="1">
        <v>82915</v>
      </c>
      <c r="M10" s="1">
        <v>143064</v>
      </c>
      <c r="N10" s="3"/>
      <c r="O10" s="1">
        <v>109070</v>
      </c>
      <c r="P10" s="1">
        <v>4391312</v>
      </c>
      <c r="Q10" s="1">
        <v>32381</v>
      </c>
      <c r="R10" s="1">
        <v>4310762</v>
      </c>
      <c r="S10" s="1">
        <v>108488</v>
      </c>
      <c r="T10" s="1">
        <v>1202404</v>
      </c>
      <c r="U10" s="1">
        <v>4324</v>
      </c>
      <c r="V10" s="1">
        <v>173599</v>
      </c>
    </row>
    <row r="11" spans="1:22" x14ac:dyDescent="0.3">
      <c r="A11" s="218"/>
      <c r="B11" s="1">
        <v>3288</v>
      </c>
      <c r="C11" s="1">
        <v>39545</v>
      </c>
      <c r="D11" s="1">
        <v>612539</v>
      </c>
      <c r="E11" s="1">
        <v>2397266</v>
      </c>
      <c r="F11" s="1">
        <v>2089369</v>
      </c>
      <c r="G11" s="1">
        <v>11523934</v>
      </c>
      <c r="H11" s="1">
        <v>7739948</v>
      </c>
      <c r="I11" s="1">
        <v>100872</v>
      </c>
      <c r="J11" s="1">
        <v>58586</v>
      </c>
      <c r="K11" s="1">
        <v>60891</v>
      </c>
      <c r="L11" s="1">
        <v>18242</v>
      </c>
      <c r="M11" s="1">
        <v>83298</v>
      </c>
      <c r="N11" s="3"/>
      <c r="O11" s="1">
        <v>778570</v>
      </c>
      <c r="P11" s="1">
        <v>6251883</v>
      </c>
      <c r="Q11" s="1">
        <v>246824</v>
      </c>
      <c r="R11" s="1">
        <v>1700645</v>
      </c>
      <c r="S11" s="1">
        <v>32497</v>
      </c>
      <c r="T11" s="1">
        <v>1596164</v>
      </c>
      <c r="U11" s="1">
        <v>2018</v>
      </c>
      <c r="V11" s="1">
        <v>2059175</v>
      </c>
    </row>
    <row r="12" spans="1:22" x14ac:dyDescent="0.3">
      <c r="A12" s="218"/>
      <c r="B12" s="1">
        <v>47121</v>
      </c>
      <c r="C12" s="1">
        <v>87806</v>
      </c>
      <c r="D12" s="1">
        <v>169961</v>
      </c>
      <c r="E12" s="1">
        <v>50356</v>
      </c>
      <c r="F12" s="1">
        <v>6637201</v>
      </c>
      <c r="G12" s="32"/>
      <c r="H12" s="1">
        <v>6023951</v>
      </c>
      <c r="I12" s="32"/>
      <c r="J12" s="1">
        <v>56758</v>
      </c>
      <c r="K12" s="1">
        <v>31803</v>
      </c>
      <c r="L12" s="1">
        <v>88741</v>
      </c>
      <c r="M12" s="1">
        <v>202435</v>
      </c>
      <c r="N12" s="3"/>
      <c r="O12" s="1">
        <v>1662317</v>
      </c>
      <c r="P12" s="1">
        <v>6556297</v>
      </c>
      <c r="Q12" s="1">
        <v>21215</v>
      </c>
      <c r="R12" s="1">
        <v>191074</v>
      </c>
      <c r="S12" s="1">
        <v>361651</v>
      </c>
      <c r="T12" s="1">
        <v>142882</v>
      </c>
      <c r="U12" s="1">
        <v>534030</v>
      </c>
      <c r="V12" s="32"/>
    </row>
    <row r="13" spans="1:22" ht="16.8" x14ac:dyDescent="0.3">
      <c r="A13" s="218"/>
      <c r="B13" s="14"/>
      <c r="C13" s="13"/>
      <c r="D13" s="16"/>
      <c r="E13" s="16"/>
      <c r="F13" s="16"/>
      <c r="G13" s="16"/>
      <c r="H13" s="16"/>
      <c r="I13" s="32"/>
      <c r="J13" s="16"/>
      <c r="K13" s="13"/>
      <c r="L13" s="13"/>
      <c r="M13" s="13"/>
      <c r="N13" s="3"/>
      <c r="O13" s="1">
        <v>1305817</v>
      </c>
      <c r="P13" s="13"/>
      <c r="Q13" s="13"/>
      <c r="R13" s="4"/>
      <c r="S13" s="32"/>
      <c r="T13" s="32"/>
      <c r="U13" s="32"/>
      <c r="V13" s="32"/>
    </row>
    <row r="14" spans="1:22" ht="16.8" x14ac:dyDescent="0.3">
      <c r="A14" s="218"/>
      <c r="B14" s="14"/>
      <c r="C14" s="16"/>
      <c r="D14" s="16"/>
      <c r="E14" s="16"/>
      <c r="F14" s="16"/>
      <c r="G14" s="16"/>
      <c r="H14" s="16"/>
      <c r="I14" s="32"/>
      <c r="J14" s="16"/>
      <c r="K14" s="13"/>
      <c r="L14" s="13"/>
      <c r="M14" s="13"/>
      <c r="N14" s="3"/>
      <c r="O14" s="1">
        <v>1570350</v>
      </c>
      <c r="P14" s="13"/>
      <c r="Q14" s="13"/>
      <c r="R14" s="4"/>
      <c r="S14" s="32"/>
      <c r="T14" s="32"/>
      <c r="U14" s="32"/>
      <c r="V14" s="32"/>
    </row>
    <row r="15" spans="1:22" ht="16.8" x14ac:dyDescent="0.3">
      <c r="A15" s="218"/>
      <c r="B15" s="14"/>
      <c r="C15" s="16"/>
      <c r="D15" s="16"/>
      <c r="E15" s="16"/>
      <c r="F15" s="16"/>
      <c r="G15" s="16"/>
      <c r="H15" s="16"/>
      <c r="I15" s="32"/>
      <c r="J15" s="16"/>
      <c r="K15" s="13"/>
      <c r="L15" s="13"/>
      <c r="M15" s="13"/>
      <c r="N15" s="3"/>
      <c r="O15" s="1">
        <v>635804</v>
      </c>
      <c r="P15" s="13"/>
      <c r="Q15" s="13"/>
      <c r="R15" s="4"/>
      <c r="S15" s="32"/>
      <c r="T15" s="32"/>
      <c r="U15" s="32"/>
      <c r="V15" s="32"/>
    </row>
    <row r="16" spans="1:22" ht="16.8" x14ac:dyDescent="0.3">
      <c r="A16" s="218"/>
      <c r="B16" s="14"/>
      <c r="C16" s="16"/>
      <c r="D16" s="16"/>
      <c r="E16" s="16"/>
      <c r="F16" s="16"/>
      <c r="G16" s="16"/>
      <c r="H16" s="16"/>
      <c r="I16" s="32"/>
      <c r="J16" s="16"/>
      <c r="K16" s="13"/>
      <c r="L16" s="13"/>
      <c r="M16" s="13"/>
      <c r="N16" s="3"/>
      <c r="O16" s="1">
        <v>125671</v>
      </c>
      <c r="P16" s="13"/>
      <c r="Q16" s="13"/>
      <c r="R16" s="4"/>
      <c r="S16" s="32"/>
      <c r="T16" s="32"/>
      <c r="U16" s="32"/>
      <c r="V16" s="32"/>
    </row>
    <row r="17" spans="1:22" s="1" customFormat="1" ht="16.8" x14ac:dyDescent="0.3">
      <c r="A17" s="218"/>
      <c r="B17" s="14"/>
      <c r="C17" s="32"/>
      <c r="D17" s="32"/>
      <c r="E17" s="32"/>
      <c r="F17" s="32"/>
      <c r="G17" s="32"/>
      <c r="H17" s="32"/>
      <c r="I17" s="32"/>
      <c r="J17" s="32"/>
      <c r="K17" s="13"/>
      <c r="L17" s="13"/>
      <c r="M17" s="13"/>
      <c r="N17" s="3"/>
      <c r="O17" s="1">
        <v>509366</v>
      </c>
      <c r="P17" s="13"/>
      <c r="Q17" s="13"/>
      <c r="R17" s="32"/>
      <c r="S17" s="32"/>
      <c r="T17" s="32"/>
      <c r="U17" s="32"/>
      <c r="V17" s="32"/>
    </row>
    <row r="18" spans="1:22" s="1" customFormat="1" ht="16.8" x14ac:dyDescent="0.3">
      <c r="A18" s="218"/>
      <c r="B18" s="14"/>
      <c r="C18" s="32"/>
      <c r="D18" s="32"/>
      <c r="E18" s="32"/>
      <c r="F18" s="32"/>
      <c r="G18" s="32"/>
      <c r="H18" s="32"/>
      <c r="I18" s="32"/>
      <c r="J18" s="32"/>
      <c r="K18" s="13"/>
      <c r="L18" s="13"/>
      <c r="M18" s="13"/>
      <c r="N18" s="3"/>
      <c r="O18" s="1">
        <v>3094321</v>
      </c>
      <c r="P18" s="13"/>
      <c r="Q18" s="13"/>
      <c r="R18" s="32"/>
      <c r="S18" s="32"/>
      <c r="T18" s="32"/>
      <c r="U18" s="32"/>
      <c r="V18" s="32"/>
    </row>
    <row r="19" spans="1:22" s="1" customFormat="1" ht="16.8" x14ac:dyDescent="0.3">
      <c r="A19" s="218"/>
      <c r="B19" s="14"/>
      <c r="C19" s="32"/>
      <c r="D19" s="32"/>
      <c r="E19" s="32"/>
      <c r="F19" s="32"/>
      <c r="G19" s="32"/>
      <c r="H19" s="32"/>
      <c r="I19" s="32"/>
      <c r="J19" s="32"/>
      <c r="K19" s="13"/>
      <c r="L19" s="13"/>
      <c r="M19" s="13"/>
      <c r="N19" s="3"/>
      <c r="O19" s="1">
        <v>603071</v>
      </c>
      <c r="P19" s="13"/>
      <c r="Q19" s="13"/>
      <c r="R19" s="32"/>
      <c r="S19" s="32"/>
      <c r="T19" s="32"/>
      <c r="U19" s="32"/>
      <c r="V19" s="32"/>
    </row>
    <row r="20" spans="1:22" ht="16.8" x14ac:dyDescent="0.3">
      <c r="A20" s="218"/>
      <c r="B20" s="14"/>
      <c r="C20" s="16"/>
      <c r="D20" s="16"/>
      <c r="E20" s="16"/>
      <c r="F20" s="16"/>
      <c r="G20" s="16"/>
      <c r="H20" s="16"/>
      <c r="I20" s="32"/>
      <c r="J20" s="16"/>
      <c r="K20" s="13"/>
      <c r="L20" s="13"/>
      <c r="M20" s="13"/>
      <c r="N20" s="3"/>
      <c r="O20" s="1">
        <v>1202713</v>
      </c>
      <c r="P20" s="13"/>
      <c r="Q20" s="13"/>
      <c r="R20" s="4"/>
      <c r="S20" s="32"/>
      <c r="T20" s="32"/>
      <c r="U20" s="32"/>
      <c r="V20" s="32"/>
    </row>
    <row r="21" spans="1:22" s="1" customFormat="1" ht="16.8" x14ac:dyDescent="0.3">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3">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Prochloraz-0.063mg/L</v>
      </c>
      <c r="J22" s="68" t="str">
        <f t="shared" si="0"/>
        <v>Prochloraz-0.13mg/L</v>
      </c>
      <c r="K22" s="68" t="str">
        <f t="shared" si="0"/>
        <v>Prochloraz-0.25mg/L</v>
      </c>
      <c r="L22" s="68" t="str">
        <f t="shared" si="0"/>
        <v>Prochloraz-0.5mg/L</v>
      </c>
      <c r="M22" s="68" t="str">
        <f t="shared" si="0"/>
        <v>Prochloraz-1mg/L</v>
      </c>
      <c r="N22" s="68" t="s">
        <v>47</v>
      </c>
      <c r="O22" s="68" t="str">
        <f t="shared" ref="O22:V22" si="1">O4</f>
        <v>Testo -30µg/L</v>
      </c>
      <c r="P22" s="68" t="str">
        <f t="shared" si="1"/>
        <v>Testo 30µg/L + EE2 -64ng/L</v>
      </c>
      <c r="Q22" s="68" t="str">
        <f t="shared" si="1"/>
        <v>Testo 30µg/L + FAD-10µg/L</v>
      </c>
      <c r="R22" s="68" t="str">
        <f t="shared" si="1"/>
        <v>Prochloraz-0.063mg/L + Testostérone</v>
      </c>
      <c r="S22" s="68" t="str">
        <f t="shared" si="1"/>
        <v>Prochloraz-0.13mg/L + Testostérone</v>
      </c>
      <c r="T22" s="68" t="str">
        <f t="shared" si="1"/>
        <v>Prochloraz-0.25mg/L + Testostérone</v>
      </c>
      <c r="U22" s="68" t="str">
        <f t="shared" si="1"/>
        <v>Prochloraz-0.5mg/L + Testostérone</v>
      </c>
      <c r="V22" s="68" t="str">
        <f t="shared" si="1"/>
        <v>Prochloraz-1mg/L + Testostérone</v>
      </c>
    </row>
    <row r="23" spans="1:22" x14ac:dyDescent="0.3">
      <c r="A23" s="5" t="s">
        <v>0</v>
      </c>
      <c r="B23" s="5">
        <f t="shared" ref="B23:M23" si="2">AVERAGE(B5:B20)</f>
        <v>43165</v>
      </c>
      <c r="C23" s="5">
        <f t="shared" si="2"/>
        <v>318309.125</v>
      </c>
      <c r="D23" s="5">
        <f t="shared" si="2"/>
        <v>787133</v>
      </c>
      <c r="E23" s="5">
        <f t="shared" si="2"/>
        <v>1391130.75</v>
      </c>
      <c r="F23" s="5">
        <f t="shared" si="2"/>
        <v>4431000.125</v>
      </c>
      <c r="G23" s="5">
        <f t="shared" si="2"/>
        <v>7381445.5714285718</v>
      </c>
      <c r="H23" s="5">
        <f t="shared" si="2"/>
        <v>7110744.625</v>
      </c>
      <c r="I23" s="5">
        <f t="shared" si="2"/>
        <v>72356.142857142855</v>
      </c>
      <c r="J23" s="5">
        <f t="shared" si="2"/>
        <v>43434.75</v>
      </c>
      <c r="K23" s="5">
        <f t="shared" si="2"/>
        <v>82408.625</v>
      </c>
      <c r="L23" s="5">
        <f t="shared" si="2"/>
        <v>175573.5</v>
      </c>
      <c r="M23" s="5">
        <f t="shared" si="2"/>
        <v>133436.625</v>
      </c>
      <c r="N23" s="5" t="s">
        <v>0</v>
      </c>
      <c r="O23" s="5">
        <f t="shared" ref="O23:V23" si="3">AVERAGE(O5:O20)</f>
        <v>1215694.625</v>
      </c>
      <c r="P23" s="5">
        <f t="shared" si="3"/>
        <v>5811963.25</v>
      </c>
      <c r="Q23" s="5">
        <f t="shared" si="3"/>
        <v>60991.5</v>
      </c>
      <c r="R23" s="5">
        <f t="shared" si="3"/>
        <v>851114.125</v>
      </c>
      <c r="S23" s="5">
        <f t="shared" si="3"/>
        <v>318859.25</v>
      </c>
      <c r="T23" s="5">
        <f t="shared" si="3"/>
        <v>593570.875</v>
      </c>
      <c r="U23" s="5">
        <f t="shared" si="3"/>
        <v>121817</v>
      </c>
      <c r="V23" s="5">
        <f t="shared" si="3"/>
        <v>333746.57142857142</v>
      </c>
    </row>
    <row r="24" spans="1:22" x14ac:dyDescent="0.3">
      <c r="A24" s="3" t="s">
        <v>1</v>
      </c>
      <c r="B24" s="3">
        <f t="shared" ref="B24:M24" si="4">STDEV(B5:B20)</f>
        <v>50297.677455609926</v>
      </c>
      <c r="C24" s="3">
        <f t="shared" si="4"/>
        <v>392559.73576493975</v>
      </c>
      <c r="D24" s="3">
        <f t="shared" si="4"/>
        <v>1043167.8700088769</v>
      </c>
      <c r="E24" s="3">
        <f t="shared" si="4"/>
        <v>1080467.1756800057</v>
      </c>
      <c r="F24" s="3">
        <f t="shared" si="4"/>
        <v>1517089.8571862078</v>
      </c>
      <c r="G24" s="3">
        <f t="shared" si="4"/>
        <v>2924290.2974617532</v>
      </c>
      <c r="H24" s="3">
        <f t="shared" si="4"/>
        <v>2283770.0692534666</v>
      </c>
      <c r="I24" s="3">
        <f t="shared" si="4"/>
        <v>67526.089228358178</v>
      </c>
      <c r="J24" s="3">
        <f t="shared" si="4"/>
        <v>28567.669922234021</v>
      </c>
      <c r="K24" s="3">
        <f t="shared" si="4"/>
        <v>97180.361732983743</v>
      </c>
      <c r="L24" s="3">
        <f t="shared" si="4"/>
        <v>235122.35700223345</v>
      </c>
      <c r="M24" s="3">
        <f t="shared" si="4"/>
        <v>60454.84214315319</v>
      </c>
      <c r="N24" s="3" t="s">
        <v>1</v>
      </c>
      <c r="O24" s="3">
        <f t="shared" ref="O24:V24" si="5">STDEV(O5:O20)</f>
        <v>1427936.2277134028</v>
      </c>
      <c r="P24" s="3">
        <f t="shared" si="5"/>
        <v>1954127.1676158167</v>
      </c>
      <c r="Q24" s="3">
        <f t="shared" si="5"/>
        <v>82127.381800642906</v>
      </c>
      <c r="R24" s="3">
        <f t="shared" si="5"/>
        <v>1503326.6789035802</v>
      </c>
      <c r="S24" s="3">
        <f t="shared" si="5"/>
        <v>471751.75004134479</v>
      </c>
      <c r="T24" s="3">
        <f t="shared" si="5"/>
        <v>609050.6722476118</v>
      </c>
      <c r="U24" s="3">
        <f t="shared" si="5"/>
        <v>181620.58445483068</v>
      </c>
      <c r="V24" s="3">
        <f t="shared" si="5"/>
        <v>763101.36378265789</v>
      </c>
    </row>
    <row r="25" spans="1:22" ht="15" thickBot="1" x14ac:dyDescent="0.35"/>
    <row r="26" spans="1:22" ht="15" thickBot="1" x14ac:dyDescent="0.35">
      <c r="B26" s="221" t="s">
        <v>6</v>
      </c>
      <c r="C26" s="222"/>
      <c r="D26" s="222"/>
      <c r="E26" s="222"/>
      <c r="F26" s="222"/>
      <c r="G26" s="222"/>
      <c r="H26" s="222"/>
      <c r="I26" s="222"/>
      <c r="J26" s="222"/>
      <c r="K26" s="222"/>
      <c r="L26" s="222"/>
      <c r="M26" s="222"/>
      <c r="N26" s="1"/>
      <c r="O26" s="221" t="s">
        <v>3</v>
      </c>
      <c r="P26" s="222"/>
      <c r="Q26" s="222"/>
      <c r="R26" s="222"/>
      <c r="S26" s="222"/>
      <c r="T26" s="222"/>
      <c r="U26" s="222"/>
      <c r="V26" s="222"/>
    </row>
    <row r="27" spans="1:22" s="1" customFormat="1" x14ac:dyDescent="0.3">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Prochloraz-0.063mg/L</v>
      </c>
      <c r="J27" s="35" t="str">
        <f t="shared" si="6"/>
        <v>Prochloraz-0.13mg/L</v>
      </c>
      <c r="K27" s="35" t="str">
        <f t="shared" si="6"/>
        <v>Prochloraz-0.25mg/L</v>
      </c>
      <c r="L27" s="35" t="str">
        <f t="shared" si="6"/>
        <v>Prochloraz-0.5mg/L</v>
      </c>
      <c r="M27" s="35" t="str">
        <f t="shared" si="6"/>
        <v>Prochloraz-1mg/L</v>
      </c>
      <c r="N27" s="3"/>
      <c r="O27" s="36" t="str">
        <f t="shared" ref="O27:V27" si="7">O4</f>
        <v>Testo -30µg/L</v>
      </c>
      <c r="P27" s="36" t="str">
        <f t="shared" si="7"/>
        <v>Testo 30µg/L + EE2 -64ng/L</v>
      </c>
      <c r="Q27" s="36" t="str">
        <f t="shared" si="7"/>
        <v>Testo 30µg/L + FAD-10µg/L</v>
      </c>
      <c r="R27" s="36" t="str">
        <f t="shared" si="7"/>
        <v>Prochloraz-0.063mg/L + Testostérone</v>
      </c>
      <c r="S27" s="36" t="str">
        <f t="shared" si="7"/>
        <v>Prochloraz-0.13mg/L + Testostérone</v>
      </c>
      <c r="T27" s="36" t="str">
        <f t="shared" si="7"/>
        <v>Prochloraz-0.25mg/L + Testostérone</v>
      </c>
      <c r="U27" s="36" t="str">
        <f t="shared" si="7"/>
        <v>Prochloraz-0.5mg/L + Testostérone</v>
      </c>
      <c r="V27" s="36" t="str">
        <f t="shared" si="7"/>
        <v>Prochloraz-1mg/L + Testostérone</v>
      </c>
    </row>
    <row r="28" spans="1:22" x14ac:dyDescent="0.3">
      <c r="A28" s="219" t="s">
        <v>34</v>
      </c>
      <c r="B28" s="11">
        <f t="shared" ref="B28:M28" si="8">IF(B5="","",(B5/$O$23))</f>
        <v>4.145777974464599E-4</v>
      </c>
      <c r="C28" s="11">
        <f t="shared" si="8"/>
        <v>7.1103382562047604E-3</v>
      </c>
      <c r="D28" s="11">
        <f t="shared" si="8"/>
        <v>4.1847680292244442E-2</v>
      </c>
      <c r="E28" s="11">
        <f t="shared" si="8"/>
        <v>1.4540608830938937</v>
      </c>
      <c r="F28" s="11">
        <f t="shared" si="8"/>
        <v>3.646790821338048</v>
      </c>
      <c r="G28" s="11">
        <f t="shared" si="8"/>
        <v>5.1925655260670416</v>
      </c>
      <c r="H28" s="11">
        <f t="shared" si="8"/>
        <v>4.1607611779973119</v>
      </c>
      <c r="I28" s="11">
        <f t="shared" si="8"/>
        <v>8.5976361045439348E-2</v>
      </c>
      <c r="J28" s="11">
        <f t="shared" si="8"/>
        <v>7.8420187141980666E-2</v>
      </c>
      <c r="K28" s="11">
        <f t="shared" si="8"/>
        <v>1.2089384700536946E-2</v>
      </c>
      <c r="L28" s="11">
        <f t="shared" si="8"/>
        <v>0.12748267271478642</v>
      </c>
      <c r="M28" s="11">
        <f t="shared" si="8"/>
        <v>0.15778962582811451</v>
      </c>
      <c r="N28" s="6"/>
      <c r="O28" s="11">
        <f t="shared" ref="O28:V28" si="9">IF(O5="","",(O5/$O$23))</f>
        <v>4.621182725061403</v>
      </c>
      <c r="P28" s="11">
        <f t="shared" si="9"/>
        <v>7.5003728835273904</v>
      </c>
      <c r="Q28" s="11">
        <f t="shared" si="9"/>
        <v>8.9848221546591112E-2</v>
      </c>
      <c r="R28" s="11">
        <f t="shared" si="9"/>
        <v>2.7322651031709545E-2</v>
      </c>
      <c r="S28" s="11">
        <f t="shared" si="9"/>
        <v>8.7760526209450004E-2</v>
      </c>
      <c r="T28" s="11">
        <f t="shared" si="9"/>
        <v>1.1724983977781427E-2</v>
      </c>
      <c r="U28" s="11">
        <f t="shared" si="9"/>
        <v>3.4002782565564112E-2</v>
      </c>
      <c r="V28" s="11">
        <f t="shared" si="9"/>
        <v>1.7981489389245263E-3</v>
      </c>
    </row>
    <row r="29" spans="1:22" x14ac:dyDescent="0.3">
      <c r="A29" s="220"/>
      <c r="B29" s="11">
        <f t="shared" ref="B29:M29" si="10">IF(B6="","",(B6/$O$23))</f>
        <v>5.1040778435620708E-2</v>
      </c>
      <c r="C29" s="11">
        <f t="shared" si="10"/>
        <v>0.2015514381335691</v>
      </c>
      <c r="D29" s="11">
        <f t="shared" si="10"/>
        <v>1.6412016298912237E-2</v>
      </c>
      <c r="E29" s="11">
        <f t="shared" si="10"/>
        <v>1.710702636363141</v>
      </c>
      <c r="F29" s="11">
        <f t="shared" si="10"/>
        <v>2.6261348321746509</v>
      </c>
      <c r="G29" s="11">
        <f t="shared" si="10"/>
        <v>3.5689340980675968</v>
      </c>
      <c r="H29" s="11">
        <f t="shared" si="10"/>
        <v>9.1750812832622337</v>
      </c>
      <c r="I29" s="11">
        <f t="shared" si="10"/>
        <v>1.2080336375592677E-2</v>
      </c>
      <c r="J29" s="11">
        <f t="shared" si="10"/>
        <v>3.2144585652009443E-2</v>
      </c>
      <c r="K29" s="11">
        <f t="shared" si="10"/>
        <v>2.2944906908673714E-2</v>
      </c>
      <c r="L29" s="11">
        <f t="shared" si="10"/>
        <v>3.1648572930064574E-2</v>
      </c>
      <c r="M29" s="11">
        <f t="shared" si="10"/>
        <v>0.13908427044332783</v>
      </c>
      <c r="N29" s="6"/>
      <c r="O29" s="11">
        <f t="shared" ref="O29:V29" si="11">IF(O6="","",(O6/$O$23))</f>
        <v>0.26555682106433598</v>
      </c>
      <c r="P29" s="11">
        <f t="shared" si="11"/>
        <v>4.1070560791531019</v>
      </c>
      <c r="Q29" s="11">
        <f t="shared" si="11"/>
        <v>2.529829396917832E-2</v>
      </c>
      <c r="R29" s="11">
        <f t="shared" si="11"/>
        <v>0.13655732005889226</v>
      </c>
      <c r="S29" s="11">
        <f t="shared" si="11"/>
        <v>1.1543153775151387</v>
      </c>
      <c r="T29" s="11">
        <f t="shared" si="11"/>
        <v>1.6922835370765912E-2</v>
      </c>
      <c r="U29" s="11">
        <f t="shared" si="11"/>
        <v>0.10375056153596139</v>
      </c>
      <c r="V29" s="11">
        <f t="shared" si="11"/>
        <v>3.06878053359823E-2</v>
      </c>
    </row>
    <row r="30" spans="1:22" x14ac:dyDescent="0.3">
      <c r="A30" s="220"/>
      <c r="B30" s="11">
        <f t="shared" ref="B30:M30" si="12">IF(B7="","",(B7/$O$23))</f>
        <v>6.1174902373200835E-3</v>
      </c>
      <c r="C30" s="11">
        <f t="shared" si="12"/>
        <v>0.87514823058463387</v>
      </c>
      <c r="D30" s="11">
        <f t="shared" si="12"/>
        <v>2.0547717729688899</v>
      </c>
      <c r="E30" s="11">
        <f t="shared" si="12"/>
        <v>2.4877382344270873</v>
      </c>
      <c r="F30" s="11">
        <f t="shared" si="12"/>
        <v>3.469673150853982</v>
      </c>
      <c r="G30" s="11">
        <f t="shared" si="12"/>
        <v>5.1250765380327321</v>
      </c>
      <c r="H30" s="11">
        <f t="shared" si="12"/>
        <v>4.0978761422096444</v>
      </c>
      <c r="I30" s="11">
        <f t="shared" si="12"/>
        <v>0.16243717454948853</v>
      </c>
      <c r="J30" s="11">
        <f t="shared" si="12"/>
        <v>2.0390811549405346E-2</v>
      </c>
      <c r="K30" s="11">
        <f t="shared" si="12"/>
        <v>0.24974775223670995</v>
      </c>
      <c r="L30" s="11">
        <f t="shared" si="12"/>
        <v>4.7142595534631078E-2</v>
      </c>
      <c r="M30" s="11">
        <f t="shared" si="12"/>
        <v>6.4644523701830131E-2</v>
      </c>
      <c r="N30" s="6"/>
      <c r="O30" s="11">
        <f t="shared" ref="O30:V30" si="13">IF(O7="","",(O7/$O$23))</f>
        <v>8.8208829581688741E-2</v>
      </c>
      <c r="P30" s="11">
        <f t="shared" si="13"/>
        <v>4.4422701959383923</v>
      </c>
      <c r="Q30" s="11">
        <f t="shared" si="13"/>
        <v>3.3345545144612285E-2</v>
      </c>
      <c r="R30" s="11">
        <f t="shared" si="13"/>
        <v>0.2060904069556119</v>
      </c>
      <c r="S30" s="11">
        <f t="shared" si="13"/>
        <v>0.40763279676423675</v>
      </c>
      <c r="T30" s="11">
        <f t="shared" si="13"/>
        <v>0.37692524962837604</v>
      </c>
      <c r="U30" s="11">
        <f t="shared" si="13"/>
        <v>3.2921919022221552E-2</v>
      </c>
      <c r="V30" s="11">
        <f t="shared" si="13"/>
        <v>2.4394284049746456E-2</v>
      </c>
    </row>
    <row r="31" spans="1:22" x14ac:dyDescent="0.3">
      <c r="A31" s="220"/>
      <c r="B31" s="11">
        <f t="shared" ref="B31:M31" si="14">IF(B8="","",(B8/$O$23))</f>
        <v>7.4887227538741486E-3</v>
      </c>
      <c r="C31" s="11">
        <f t="shared" si="14"/>
        <v>6.9852245994753828E-2</v>
      </c>
      <c r="D31" s="11">
        <f t="shared" si="14"/>
        <v>0.12628006807219372</v>
      </c>
      <c r="E31" s="11">
        <f t="shared" si="14"/>
        <v>0.18746566392032868</v>
      </c>
      <c r="F31" s="11">
        <f t="shared" si="14"/>
        <v>3.1558640805868499</v>
      </c>
      <c r="G31" s="11">
        <f t="shared" si="14"/>
        <v>6.5192465583205159</v>
      </c>
      <c r="H31" s="11">
        <f t="shared" si="14"/>
        <v>7.2360203122556372</v>
      </c>
      <c r="I31" s="11">
        <f t="shared" si="14"/>
        <v>2.6241787488366992E-2</v>
      </c>
      <c r="J31" s="11">
        <f t="shared" si="14"/>
        <v>3.9565857256299047E-2</v>
      </c>
      <c r="K31" s="11">
        <f t="shared" si="14"/>
        <v>0.11244764695739277</v>
      </c>
      <c r="L31" s="11">
        <f t="shared" si="14"/>
        <v>0.19068686760048809</v>
      </c>
      <c r="M31" s="11">
        <f t="shared" si="14"/>
        <v>0.13472133267020078</v>
      </c>
      <c r="N31" s="6"/>
      <c r="O31" s="11">
        <f t="shared" ref="O31:V31" si="15">IF(O8="","",(O8/$O$23))</f>
        <v>1.4076775242795863</v>
      </c>
      <c r="P31" s="11">
        <f t="shared" si="15"/>
        <v>5.909247151602731</v>
      </c>
      <c r="Q31" s="11">
        <f t="shared" si="15"/>
        <v>4.6171134465614666E-3</v>
      </c>
      <c r="R31" s="11">
        <f t="shared" si="15"/>
        <v>6.1727672769796113E-2</v>
      </c>
      <c r="S31" s="11">
        <f t="shared" si="15"/>
        <v>4.6483712963689382E-3</v>
      </c>
      <c r="T31" s="11">
        <f t="shared" si="15"/>
        <v>0.20769607334572199</v>
      </c>
      <c r="U31" s="11">
        <f t="shared" si="15"/>
        <v>0.17444430175053213</v>
      </c>
      <c r="V31" s="11">
        <f t="shared" si="15"/>
        <v>1.8129552888333286E-3</v>
      </c>
    </row>
    <row r="32" spans="1:22" x14ac:dyDescent="0.3">
      <c r="A32" s="220"/>
      <c r="B32" s="11">
        <f t="shared" ref="B32:M32" si="16">IF(B9="","",(B9/$O$23))</f>
        <v>0.12118174825359616</v>
      </c>
      <c r="C32" s="11">
        <f t="shared" si="16"/>
        <v>0.65368800984869047</v>
      </c>
      <c r="D32" s="11">
        <f t="shared" si="16"/>
        <v>1.9720552766283721</v>
      </c>
      <c r="E32" s="11">
        <f t="shared" si="16"/>
        <v>0.60955192592054108</v>
      </c>
      <c r="F32" s="11">
        <f t="shared" si="16"/>
        <v>3.8395201426509558</v>
      </c>
      <c r="G32" s="11">
        <f t="shared" si="16"/>
        <v>9.0345048617780961</v>
      </c>
      <c r="H32" s="11">
        <f t="shared" si="16"/>
        <v>3.9291158336741021</v>
      </c>
      <c r="I32" s="11">
        <f t="shared" si="16"/>
        <v>4.6055973966323983E-3</v>
      </c>
      <c r="J32" s="11">
        <f t="shared" si="16"/>
        <v>2.0276473625109596E-2</v>
      </c>
      <c r="K32" s="11">
        <f t="shared" si="16"/>
        <v>2.3470532330436191E-2</v>
      </c>
      <c r="L32" s="11">
        <f t="shared" si="16"/>
        <v>0.60221291181574488</v>
      </c>
      <c r="M32" s="11">
        <f t="shared" si="16"/>
        <v>2.9135606320542875E-2</v>
      </c>
      <c r="N32" s="6"/>
      <c r="O32" s="11">
        <f t="shared" ref="O32:V32" si="17">IF(O9="","",(O9/$O$23))</f>
        <v>7.7914303520096581E-2</v>
      </c>
      <c r="P32" s="11">
        <f t="shared" si="17"/>
        <v>2.1393867723977147</v>
      </c>
      <c r="Q32" s="11">
        <f t="shared" si="17"/>
        <v>1.133508343018297E-3</v>
      </c>
      <c r="R32" s="11">
        <f t="shared" si="17"/>
        <v>6.713774851147343E-2</v>
      </c>
      <c r="S32" s="11">
        <f t="shared" si="17"/>
        <v>3.0472290687309736E-2</v>
      </c>
      <c r="T32" s="11">
        <f t="shared" si="17"/>
        <v>0.87322011479650985</v>
      </c>
      <c r="U32" s="11">
        <f t="shared" si="17"/>
        <v>1.2012885226008135E-2</v>
      </c>
      <c r="V32" s="11">
        <f t="shared" si="17"/>
        <v>2.6403834762368881E-2</v>
      </c>
    </row>
    <row r="33" spans="1:22" x14ac:dyDescent="0.3">
      <c r="A33" s="220"/>
      <c r="B33" s="11">
        <f t="shared" ref="B33:M33" si="18">IF(B10="","",(B10/$O$23))</f>
        <v>5.6343096852961738E-2</v>
      </c>
      <c r="C33" s="11">
        <f t="shared" si="18"/>
        <v>0.18255900407555065</v>
      </c>
      <c r="D33" s="11">
        <f t="shared" si="18"/>
        <v>0.32477564009958504</v>
      </c>
      <c r="E33" s="11">
        <f t="shared" si="18"/>
        <v>0.69160295909015801</v>
      </c>
      <c r="F33" s="11">
        <f t="shared" si="18"/>
        <v>5.2423979418351054</v>
      </c>
      <c r="G33" s="11">
        <f t="shared" si="18"/>
        <v>3.5829203407064498</v>
      </c>
      <c r="H33" s="11">
        <f t="shared" si="18"/>
        <v>6.8722718914711001</v>
      </c>
      <c r="I33" s="11">
        <f t="shared" si="18"/>
        <v>4.2312435164381844E-2</v>
      </c>
      <c r="J33" s="11">
        <f t="shared" si="18"/>
        <v>1.4970864907788828E-4</v>
      </c>
      <c r="K33" s="11">
        <f t="shared" si="18"/>
        <v>4.5350204620671082E-2</v>
      </c>
      <c r="L33" s="11">
        <f t="shared" si="18"/>
        <v>6.8203805704907181E-2</v>
      </c>
      <c r="M33" s="11">
        <f t="shared" si="18"/>
        <v>0.1176808690751594</v>
      </c>
      <c r="N33" s="6"/>
      <c r="O33" s="11">
        <f t="shared" ref="O33:V33" si="19">IF(O10="","",(O10/$O$23))</f>
        <v>8.9718254697391628E-2</v>
      </c>
      <c r="P33" s="11">
        <f t="shared" si="19"/>
        <v>3.6121834461512075</v>
      </c>
      <c r="Q33" s="11">
        <f t="shared" si="19"/>
        <v>2.6635800910940113E-2</v>
      </c>
      <c r="R33" s="11">
        <f t="shared" si="19"/>
        <v>3.5459250303093182</v>
      </c>
      <c r="S33" s="11">
        <f t="shared" si="19"/>
        <v>8.9239516050340362E-2</v>
      </c>
      <c r="T33" s="11">
        <f t="shared" si="19"/>
        <v>0.98906746420796254</v>
      </c>
      <c r="U33" s="11">
        <f t="shared" si="19"/>
        <v>3.5568142780922469E-3</v>
      </c>
      <c r="V33" s="11">
        <f t="shared" si="19"/>
        <v>0.14279819654545237</v>
      </c>
    </row>
    <row r="34" spans="1:22" x14ac:dyDescent="0.3">
      <c r="A34" s="220"/>
      <c r="B34" s="11">
        <f t="shared" ref="B34:M34" si="20">IF(B11="","",(B11/$O$23))</f>
        <v>2.7046265833411908E-3</v>
      </c>
      <c r="C34" s="11">
        <f t="shared" si="20"/>
        <v>3.2528728174643362E-2</v>
      </c>
      <c r="D34" s="11">
        <f t="shared" si="20"/>
        <v>0.50385926482154186</v>
      </c>
      <c r="E34" s="11">
        <f t="shared" si="20"/>
        <v>1.9719310678041371</v>
      </c>
      <c r="F34" s="11">
        <f t="shared" si="20"/>
        <v>1.7186626945891119</v>
      </c>
      <c r="G34" s="11">
        <f t="shared" si="20"/>
        <v>9.4792999516634371</v>
      </c>
      <c r="H34" s="11">
        <f t="shared" si="20"/>
        <v>6.3666876868851832</v>
      </c>
      <c r="I34" s="11">
        <f t="shared" si="20"/>
        <v>8.2974784888927178E-2</v>
      </c>
      <c r="J34" s="11">
        <f t="shared" si="20"/>
        <v>4.8191378653171225E-2</v>
      </c>
      <c r="K34" s="11">
        <f t="shared" si="20"/>
        <v>5.0087414016492832E-2</v>
      </c>
      <c r="L34" s="11">
        <f t="shared" si="20"/>
        <v>1.5005413057576035E-2</v>
      </c>
      <c r="M34" s="11">
        <f t="shared" si="20"/>
        <v>6.8518851927966695E-2</v>
      </c>
      <c r="N34" s="6"/>
      <c r="O34" s="11">
        <f t="shared" ref="O34:V34" si="21">IF(O11="","",(O11/$O$23))</f>
        <v>0.64043221380533788</v>
      </c>
      <c r="P34" s="11">
        <f t="shared" si="21"/>
        <v>5.1426426270495353</v>
      </c>
      <c r="Q34" s="11">
        <f t="shared" si="21"/>
        <v>0.2030312505494544</v>
      </c>
      <c r="R34" s="11">
        <f t="shared" si="21"/>
        <v>1.3989080522586008</v>
      </c>
      <c r="S34" s="11">
        <f t="shared" si="21"/>
        <v>2.6731219610352394E-2</v>
      </c>
      <c r="T34" s="11">
        <f t="shared" si="21"/>
        <v>1.3129645942129586</v>
      </c>
      <c r="U34" s="11">
        <f t="shared" si="21"/>
        <v>1.6599563397757065E-3</v>
      </c>
      <c r="V34" s="11">
        <f t="shared" si="21"/>
        <v>1.6938258651920912</v>
      </c>
    </row>
    <row r="35" spans="1:22" x14ac:dyDescent="0.3">
      <c r="A35" s="220"/>
      <c r="B35" s="11">
        <f t="shared" ref="B35:M35" si="22">IF(B12="","",(B12/$O$23))</f>
        <v>3.8760556336259196E-2</v>
      </c>
      <c r="C35" s="11">
        <f t="shared" si="22"/>
        <v>7.2227020005126694E-2</v>
      </c>
      <c r="D35" s="11">
        <f t="shared" si="22"/>
        <v>0.13980566871388445</v>
      </c>
      <c r="E35" s="11">
        <f t="shared" si="22"/>
        <v>4.1421586444868916E-2</v>
      </c>
      <c r="F35" s="11">
        <f t="shared" si="22"/>
        <v>5.4595955789473036</v>
      </c>
      <c r="G35" s="11" t="str">
        <f t="shared" si="22"/>
        <v/>
      </c>
      <c r="H35" s="11">
        <f t="shared" si="22"/>
        <v>4.9551514633043636</v>
      </c>
      <c r="I35" s="11" t="str">
        <f t="shared" si="22"/>
        <v/>
      </c>
      <c r="J35" s="11">
        <f t="shared" si="22"/>
        <v>4.6687711562432878E-2</v>
      </c>
      <c r="K35" s="11">
        <f t="shared" si="22"/>
        <v>2.6160352563868578E-2</v>
      </c>
      <c r="L35" s="11">
        <f t="shared" si="22"/>
        <v>7.299612762538947E-2</v>
      </c>
      <c r="M35" s="11">
        <f t="shared" si="22"/>
        <v>0.16651796909935337</v>
      </c>
      <c r="N35" s="6"/>
      <c r="O35" s="11">
        <f t="shared" ref="O35:V35" si="23">IF(O12="","",(O12/$O$23))</f>
        <v>1.3673803978527914</v>
      </c>
      <c r="P35" s="11">
        <f t="shared" si="23"/>
        <v>5.3930459715572079</v>
      </c>
      <c r="Q35" s="11">
        <f t="shared" si="23"/>
        <v>1.7450928517513186E-2</v>
      </c>
      <c r="R35" s="11">
        <f t="shared" si="23"/>
        <v>0.15717269458191443</v>
      </c>
      <c r="S35" s="11">
        <f t="shared" si="23"/>
        <v>0.29748506949267789</v>
      </c>
      <c r="T35" s="11">
        <f t="shared" si="23"/>
        <v>0.11753116042608151</v>
      </c>
      <c r="U35" s="11">
        <f t="shared" si="23"/>
        <v>0.43927972454431147</v>
      </c>
      <c r="V35" s="11" t="str">
        <f t="shared" si="23"/>
        <v/>
      </c>
    </row>
    <row r="36" spans="1:22" s="1" customFormat="1" x14ac:dyDescent="0.3">
      <c r="A36" s="220"/>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f t="shared" ref="O36:V36" si="25">IF(O13="","",(O13/$O$23))</f>
        <v>1.0741324121590157</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3">
      <c r="A37" s="220"/>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1.2917306432937465</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3">
      <c r="A38" s="220"/>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0.52299647207866862</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3">
      <c r="A39" s="220"/>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0.10337382218828187</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3">
      <c r="A40" s="220"/>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0.41899173486927277</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3">
      <c r="A41" s="220"/>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2.5453110808974744</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3">
      <c r="A42" s="220"/>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0.49607112476951193</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3">
      <c r="A43" s="220"/>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0.98932163988139699</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3">
      <c r="A44" s="7"/>
      <c r="B44" s="3"/>
      <c r="C44" s="3"/>
      <c r="D44" s="3"/>
      <c r="E44" s="3"/>
      <c r="F44" s="3"/>
      <c r="G44" s="3"/>
      <c r="H44" s="3"/>
      <c r="I44" s="3"/>
      <c r="J44" s="3"/>
      <c r="N44" s="7"/>
      <c r="O44" s="3"/>
      <c r="P44" s="3"/>
      <c r="Q44" s="3"/>
      <c r="R44" s="3"/>
      <c r="S44" s="3"/>
      <c r="T44" s="3"/>
      <c r="U44" s="3"/>
      <c r="V44" s="3"/>
    </row>
    <row r="45" spans="1:22" s="69" customFormat="1" x14ac:dyDescent="0.3">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Prochloraz-0.063mg/L</v>
      </c>
      <c r="J45" s="70" t="str">
        <f t="shared" si="46"/>
        <v>Prochloraz-0.13mg/L</v>
      </c>
      <c r="K45" s="70" t="str">
        <f t="shared" si="46"/>
        <v>Prochloraz-0.25mg/L</v>
      </c>
      <c r="L45" s="70" t="str">
        <f t="shared" si="46"/>
        <v>Prochloraz-0.5mg/L</v>
      </c>
      <c r="M45" s="70" t="str">
        <f t="shared" si="46"/>
        <v>Prochloraz-1mg/L</v>
      </c>
      <c r="N45" s="70" t="str">
        <f>N22</f>
        <v>Nom des groupes</v>
      </c>
      <c r="O45" s="70" t="str">
        <f t="shared" ref="O45:V45" si="47">O4</f>
        <v>Testo -30µg/L</v>
      </c>
      <c r="P45" s="70" t="str">
        <f t="shared" si="47"/>
        <v>Testo 30µg/L + EE2 -64ng/L</v>
      </c>
      <c r="Q45" s="70" t="str">
        <f t="shared" si="47"/>
        <v>Testo 30µg/L + FAD-10µg/L</v>
      </c>
      <c r="R45" s="70" t="str">
        <f t="shared" si="47"/>
        <v>Prochloraz-0.063mg/L + Testostérone</v>
      </c>
      <c r="S45" s="70" t="str">
        <f t="shared" si="47"/>
        <v>Prochloraz-0.13mg/L + Testostérone</v>
      </c>
      <c r="T45" s="70" t="str">
        <f t="shared" si="47"/>
        <v>Prochloraz-0.25mg/L + Testostérone</v>
      </c>
      <c r="U45" s="70" t="str">
        <f t="shared" si="47"/>
        <v>Prochloraz-0.5mg/L + Testostérone</v>
      </c>
      <c r="V45" s="70" t="str">
        <f t="shared" si="47"/>
        <v>Prochloraz-1mg/L + Testostérone</v>
      </c>
    </row>
    <row r="46" spans="1:22" x14ac:dyDescent="0.3">
      <c r="A46" s="8" t="s">
        <v>0</v>
      </c>
      <c r="B46" s="10">
        <f t="shared" ref="B46:H46" si="48">AVERAGE(B28:B43)</f>
        <v>3.5506449656302459E-2</v>
      </c>
      <c r="C46" s="10">
        <f t="shared" si="48"/>
        <v>0.26183312688414656</v>
      </c>
      <c r="D46" s="10">
        <f t="shared" si="48"/>
        <v>0.64747592348695293</v>
      </c>
      <c r="E46" s="10">
        <f t="shared" si="48"/>
        <v>1.1443093696330195</v>
      </c>
      <c r="F46" s="10">
        <f t="shared" si="48"/>
        <v>3.644829905372001</v>
      </c>
      <c r="G46" s="10">
        <f t="shared" si="48"/>
        <v>6.0717925535194093</v>
      </c>
      <c r="H46" s="10">
        <f t="shared" si="48"/>
        <v>5.8491207238824465</v>
      </c>
      <c r="I46" s="10">
        <f>AVERAGE(I28:I43)</f>
        <v>5.9518353844118417E-2</v>
      </c>
      <c r="J46" s="9">
        <f>AVERAGE(J28:J43)</f>
        <v>3.5728339261185758E-2</v>
      </c>
      <c r="K46" s="9">
        <f>AVERAGE(K28:K43)</f>
        <v>6.7787274291847763E-2</v>
      </c>
      <c r="L46" s="9">
        <f t="shared" ref="L46:M46" si="49">AVERAGE(L28:L43)</f>
        <v>0.14442237087294846</v>
      </c>
      <c r="M46" s="9">
        <f t="shared" si="49"/>
        <v>0.10976163113331196</v>
      </c>
      <c r="N46" s="8" t="s">
        <v>0</v>
      </c>
      <c r="O46" s="10">
        <f>AVERAGE(O28:O43)</f>
        <v>0.99999999999999989</v>
      </c>
      <c r="P46" s="10">
        <f>AVERAGE(P28:P43)</f>
        <v>4.78077564092216</v>
      </c>
      <c r="Q46" s="10">
        <f>AVERAGE(Q28:Q43)</f>
        <v>5.0170082803483645E-2</v>
      </c>
      <c r="R46" s="10">
        <f>AVERAGE(R28:R43)</f>
        <v>0.70010519705966456</v>
      </c>
      <c r="S46" s="10">
        <f t="shared" ref="S46:V46" si="50">AVERAGE(S28:S43)</f>
        <v>0.26228564595323439</v>
      </c>
      <c r="T46" s="10">
        <f t="shared" si="50"/>
        <v>0.48825655949576968</v>
      </c>
      <c r="U46" s="10">
        <f t="shared" si="50"/>
        <v>0.10020361815780834</v>
      </c>
      <c r="V46" s="10">
        <f t="shared" si="50"/>
        <v>0.27453158430191416</v>
      </c>
    </row>
    <row r="47" spans="1:22" x14ac:dyDescent="0.3">
      <c r="A47" s="8" t="s">
        <v>1</v>
      </c>
      <c r="B47" s="8">
        <f t="shared" ref="B47:K47" si="51">STDEV(B28:B43)</f>
        <v>4.1373611778212756E-2</v>
      </c>
      <c r="C47" s="8">
        <f t="shared" si="51"/>
        <v>0.32290982265792262</v>
      </c>
      <c r="D47" s="8">
        <f t="shared" si="51"/>
        <v>0.85808380538729212</v>
      </c>
      <c r="E47" s="8">
        <f t="shared" si="51"/>
        <v>0.88876528156074219</v>
      </c>
      <c r="F47" s="8">
        <f t="shared" si="51"/>
        <v>1.2479201815885363</v>
      </c>
      <c r="G47" s="8">
        <f t="shared" si="51"/>
        <v>2.4054480766185482</v>
      </c>
      <c r="H47" s="8">
        <f t="shared" si="51"/>
        <v>1.878572153145341</v>
      </c>
      <c r="I47" s="8">
        <f>STDEV(I28:I43)</f>
        <v>5.5545272504892579E-2</v>
      </c>
      <c r="J47" s="8">
        <f t="shared" si="51"/>
        <v>2.3499050941542185E-2</v>
      </c>
      <c r="K47" s="8">
        <f t="shared" si="51"/>
        <v>7.993813556014015E-2</v>
      </c>
      <c r="L47" s="8">
        <f t="shared" ref="L47:M47" si="52">STDEV(L28:L43)</f>
        <v>0.19340577161985351</v>
      </c>
      <c r="M47" s="8">
        <f t="shared" si="52"/>
        <v>4.972864146960685E-2</v>
      </c>
      <c r="N47" s="8" t="s">
        <v>1</v>
      </c>
      <c r="O47" s="8">
        <f>STDEV(O28:O43)</f>
        <v>1.1745846352766451</v>
      </c>
      <c r="P47" s="8">
        <f>STDEV(P28:P43)</f>
        <v>1.6074161450009021</v>
      </c>
      <c r="Q47" s="8">
        <f>STDEV(Q28:Q43)</f>
        <v>6.7555930668561526E-2</v>
      </c>
      <c r="R47" s="8">
        <f>STDEV(R28:R43)</f>
        <v>1.236598935282436</v>
      </c>
      <c r="S47" s="8">
        <f t="shared" ref="S47:V47" si="53">STDEV(S28:S43)</f>
        <v>0.3880511934001063</v>
      </c>
      <c r="T47" s="8">
        <f t="shared" si="53"/>
        <v>0.50098985363829485</v>
      </c>
      <c r="U47" s="8">
        <f t="shared" si="53"/>
        <v>0.14939655133774296</v>
      </c>
      <c r="V47" s="8">
        <f t="shared" si="53"/>
        <v>0.62770810044723013</v>
      </c>
    </row>
    <row r="48" spans="1:22" x14ac:dyDescent="0.3">
      <c r="A48" s="8" t="s">
        <v>2</v>
      </c>
      <c r="B48" s="8">
        <f t="shared" ref="B48:K48" si="54" xml:space="preserve"> B47/SQRT(COUNT(B28:B43))</f>
        <v>1.4627780725276925E-2</v>
      </c>
      <c r="C48" s="8">
        <f t="shared" si="54"/>
        <v>0.11416586265658127</v>
      </c>
      <c r="D48" s="8">
        <f t="shared" si="54"/>
        <v>0.30337843880785598</v>
      </c>
      <c r="E48" s="8">
        <f t="shared" si="54"/>
        <v>0.314225978737386</v>
      </c>
      <c r="F48" s="8">
        <f t="shared" si="54"/>
        <v>0.4412064113904009</v>
      </c>
      <c r="G48" s="8">
        <f t="shared" si="54"/>
        <v>0.90917391463018882</v>
      </c>
      <c r="H48" s="8">
        <f t="shared" si="54"/>
        <v>0.66417555421864194</v>
      </c>
      <c r="I48" s="8">
        <f xml:space="preserve"> I47/SQRT(COUNT(I28:I43))</f>
        <v>2.0994139650465642E-2</v>
      </c>
      <c r="J48" s="8">
        <f t="shared" si="54"/>
        <v>8.3081691361063005E-3</v>
      </c>
      <c r="K48" s="8">
        <f t="shared" si="54"/>
        <v>2.8262398864992294E-2</v>
      </c>
      <c r="L48" s="8">
        <f t="shared" ref="L48:M48" si="55" xml:space="preserve"> L47/SQRT(COUNT(L28:L43))</f>
        <v>6.8379266316507564E-2</v>
      </c>
      <c r="M48" s="8">
        <f t="shared" si="55"/>
        <v>1.7581729801176782E-2</v>
      </c>
      <c r="N48" s="8" t="s">
        <v>2</v>
      </c>
      <c r="O48" s="8">
        <f xml:space="preserve"> O47/SQRT(COUNT(O28:O43))</f>
        <v>0.29364615881916128</v>
      </c>
      <c r="P48" s="8">
        <f xml:space="preserve"> P47/SQRT(COUNT(P28:P43))</f>
        <v>0.56830742815943824</v>
      </c>
      <c r="Q48" s="8">
        <f xml:space="preserve"> Q47/SQRT(COUNT(Q28:Q43))</f>
        <v>2.3884628342554053E-2</v>
      </c>
      <c r="R48" s="8">
        <f xml:space="preserve"> R47/SQRT(COUNT(R28:R43))</f>
        <v>0.43720374637313753</v>
      </c>
      <c r="S48" s="8">
        <f t="shared" ref="S48:V48" si="56" xml:space="preserve"> S47/SQRT(COUNT(S28:S43))</f>
        <v>0.1371968151503738</v>
      </c>
      <c r="T48" s="8">
        <f t="shared" si="56"/>
        <v>0.1771266614066471</v>
      </c>
      <c r="U48" s="8">
        <f t="shared" si="56"/>
        <v>5.2819657268401106E-2</v>
      </c>
      <c r="V48" s="8">
        <f t="shared" si="56"/>
        <v>0.23725136138916039</v>
      </c>
    </row>
    <row r="49" spans="1:22" s="1" customFormat="1"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5" t="s">
        <v>38</v>
      </c>
      <c r="B50" s="216"/>
      <c r="C50" s="216"/>
      <c r="D50" s="216"/>
      <c r="E50" s="216"/>
      <c r="F50" s="216"/>
      <c r="G50" s="216"/>
      <c r="H50" s="216"/>
      <c r="I50" s="216"/>
      <c r="J50" s="216"/>
      <c r="K50" s="216"/>
      <c r="L50" s="216"/>
      <c r="M50" s="216"/>
      <c r="N50" s="216"/>
      <c r="O50" s="216"/>
      <c r="P50" s="216"/>
      <c r="Q50" s="216"/>
      <c r="R50" s="216"/>
      <c r="S50" s="216"/>
      <c r="T50" s="216"/>
      <c r="U50" s="216"/>
      <c r="V50" s="216"/>
    </row>
    <row r="51" spans="1:22" ht="15" thickBot="1" x14ac:dyDescent="0.35">
      <c r="A51"/>
      <c r="B51"/>
      <c r="C51"/>
      <c r="D51"/>
      <c r="E51"/>
      <c r="F51"/>
      <c r="G51"/>
      <c r="H51"/>
      <c r="I51"/>
      <c r="J51"/>
      <c r="K51"/>
      <c r="L51"/>
      <c r="M51"/>
      <c r="S51"/>
      <c r="T51"/>
      <c r="U51"/>
      <c r="V51"/>
    </row>
    <row r="52" spans="1:22" x14ac:dyDescent="0.3">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Prochloraz-0.063mg/L</v>
      </c>
      <c r="J52" s="46" t="str">
        <f>J4</f>
        <v>Prochloraz-0.13mg/L</v>
      </c>
      <c r="K52" s="46" t="str">
        <f>K27</f>
        <v>Prochloraz-0.25mg/L</v>
      </c>
      <c r="L52" s="46" t="str">
        <f t="shared" ref="L52:M52" si="58">L27</f>
        <v>Prochloraz-0.5mg/L</v>
      </c>
      <c r="M52" s="46" t="str">
        <f t="shared" si="58"/>
        <v>Prochloraz-1mg/L</v>
      </c>
      <c r="N52" s="47"/>
      <c r="O52" s="46" t="str">
        <f>O27</f>
        <v>Testo -30µg/L</v>
      </c>
      <c r="P52" s="46" t="str">
        <f>P27</f>
        <v>Testo 30µg/L + EE2 -64ng/L</v>
      </c>
      <c r="Q52" s="46" t="str">
        <f>Q27</f>
        <v>Testo 30µg/L + FAD-10µg/L</v>
      </c>
      <c r="R52" s="46" t="str">
        <f>R27</f>
        <v>Prochloraz-0.063mg/L + Testostérone</v>
      </c>
      <c r="S52" s="46" t="str">
        <f t="shared" ref="S52:V52" si="59">S27</f>
        <v>Prochloraz-0.13mg/L + Testostérone</v>
      </c>
      <c r="T52" s="46" t="str">
        <f t="shared" si="59"/>
        <v>Prochloraz-0.25mg/L + Testostérone</v>
      </c>
      <c r="U52" s="46" t="str">
        <f t="shared" si="59"/>
        <v>Prochloraz-0.5mg/L + Testostérone</v>
      </c>
      <c r="V52" s="46" t="str">
        <f t="shared" si="59"/>
        <v>Prochloraz-1mg/L + Testostérone</v>
      </c>
    </row>
    <row r="53" spans="1:22" s="3" customFormat="1" x14ac:dyDescent="0.3">
      <c r="A53" s="61" t="s">
        <v>32</v>
      </c>
      <c r="B53" s="141">
        <f t="shared" ref="B53:M53" si="60">B46</f>
        <v>3.5506449656302459E-2</v>
      </c>
      <c r="C53" s="141">
        <f t="shared" si="60"/>
        <v>0.26183312688414656</v>
      </c>
      <c r="D53" s="141">
        <f t="shared" si="60"/>
        <v>0.64747592348695293</v>
      </c>
      <c r="E53" s="141">
        <f t="shared" si="60"/>
        <v>1.1443093696330195</v>
      </c>
      <c r="F53" s="141">
        <f t="shared" si="60"/>
        <v>3.644829905372001</v>
      </c>
      <c r="G53" s="141">
        <f t="shared" si="60"/>
        <v>6.0717925535194093</v>
      </c>
      <c r="H53" s="141">
        <f t="shared" si="60"/>
        <v>5.8491207238824465</v>
      </c>
      <c r="I53" s="141">
        <f t="shared" si="60"/>
        <v>5.9518353844118417E-2</v>
      </c>
      <c r="J53" s="141">
        <f t="shared" si="60"/>
        <v>3.5728339261185758E-2</v>
      </c>
      <c r="K53" s="141">
        <f t="shared" si="60"/>
        <v>6.7787274291847763E-2</v>
      </c>
      <c r="L53" s="141">
        <f t="shared" si="60"/>
        <v>0.14442237087294846</v>
      </c>
      <c r="M53" s="141">
        <f t="shared" si="60"/>
        <v>0.10976163113331196</v>
      </c>
      <c r="N53" s="141"/>
      <c r="O53" s="141">
        <f t="shared" ref="O53:V53" si="61">O46</f>
        <v>0.99999999999999989</v>
      </c>
      <c r="P53" s="141">
        <f t="shared" si="61"/>
        <v>4.78077564092216</v>
      </c>
      <c r="Q53" s="141">
        <f t="shared" si="61"/>
        <v>5.0170082803483645E-2</v>
      </c>
      <c r="R53" s="141">
        <f t="shared" si="61"/>
        <v>0.70010519705966456</v>
      </c>
      <c r="S53" s="141">
        <f t="shared" si="61"/>
        <v>0.26228564595323439</v>
      </c>
      <c r="T53" s="141">
        <f t="shared" si="61"/>
        <v>0.48825655949576968</v>
      </c>
      <c r="U53" s="141">
        <f t="shared" si="61"/>
        <v>0.10020361815780834</v>
      </c>
      <c r="V53" s="141">
        <f t="shared" si="61"/>
        <v>0.27453158430191416</v>
      </c>
    </row>
    <row r="54" spans="1:22" s="3" customFormat="1" x14ac:dyDescent="0.3">
      <c r="A54" s="61" t="s">
        <v>2</v>
      </c>
      <c r="B54" s="141">
        <f t="shared" ref="B54:M54" si="62">B48</f>
        <v>1.4627780725276925E-2</v>
      </c>
      <c r="C54" s="141">
        <f t="shared" si="62"/>
        <v>0.11416586265658127</v>
      </c>
      <c r="D54" s="141">
        <f t="shared" si="62"/>
        <v>0.30337843880785598</v>
      </c>
      <c r="E54" s="141">
        <f t="shared" si="62"/>
        <v>0.314225978737386</v>
      </c>
      <c r="F54" s="141">
        <f t="shared" si="62"/>
        <v>0.4412064113904009</v>
      </c>
      <c r="G54" s="141">
        <f t="shared" si="62"/>
        <v>0.90917391463018882</v>
      </c>
      <c r="H54" s="141">
        <f t="shared" si="62"/>
        <v>0.66417555421864194</v>
      </c>
      <c r="I54" s="141">
        <f t="shared" si="62"/>
        <v>2.0994139650465642E-2</v>
      </c>
      <c r="J54" s="141">
        <f t="shared" si="62"/>
        <v>8.3081691361063005E-3</v>
      </c>
      <c r="K54" s="141">
        <f t="shared" si="62"/>
        <v>2.8262398864992294E-2</v>
      </c>
      <c r="L54" s="141">
        <f t="shared" si="62"/>
        <v>6.8379266316507564E-2</v>
      </c>
      <c r="M54" s="141">
        <f t="shared" si="62"/>
        <v>1.7581729801176782E-2</v>
      </c>
      <c r="N54" s="141"/>
      <c r="O54" s="141">
        <f t="shared" ref="O54:V54" si="63">O48</f>
        <v>0.29364615881916128</v>
      </c>
      <c r="P54" s="141">
        <f t="shared" si="63"/>
        <v>0.56830742815943824</v>
      </c>
      <c r="Q54" s="141">
        <f t="shared" si="63"/>
        <v>2.3884628342554053E-2</v>
      </c>
      <c r="R54" s="141">
        <f t="shared" si="63"/>
        <v>0.43720374637313753</v>
      </c>
      <c r="S54" s="141">
        <f t="shared" si="63"/>
        <v>0.1371968151503738</v>
      </c>
      <c r="T54" s="141">
        <f t="shared" si="63"/>
        <v>0.1771266614066471</v>
      </c>
      <c r="U54" s="141">
        <f t="shared" si="63"/>
        <v>5.2819657268401106E-2</v>
      </c>
      <c r="V54" s="141">
        <f t="shared" si="63"/>
        <v>0.23725136138916039</v>
      </c>
    </row>
    <row r="55" spans="1:22" s="3" customFormat="1" x14ac:dyDescent="0.3">
      <c r="A55" s="61" t="s">
        <v>79</v>
      </c>
      <c r="B55" s="141">
        <f t="shared" ref="B55:M55" si="64">(B53*100/$B$53)-100</f>
        <v>0</v>
      </c>
      <c r="C55" s="141">
        <f t="shared" si="64"/>
        <v>637.42412834472373</v>
      </c>
      <c r="D55" s="141">
        <f t="shared" si="64"/>
        <v>1723.544538399166</v>
      </c>
      <c r="E55" s="141">
        <f t="shared" si="64"/>
        <v>3122.8211513958072</v>
      </c>
      <c r="F55" s="141">
        <f t="shared" si="64"/>
        <v>10165.261496582882</v>
      </c>
      <c r="G55" s="141">
        <f t="shared" si="64"/>
        <v>17000.53416292962</v>
      </c>
      <c r="H55" s="141">
        <f t="shared" si="64"/>
        <v>16373.403509788022</v>
      </c>
      <c r="I55" s="141">
        <f t="shared" si="64"/>
        <v>67.626880243583599</v>
      </c>
      <c r="J55" s="141">
        <f t="shared" si="64"/>
        <v>0.62492760338237474</v>
      </c>
      <c r="K55" s="141">
        <f t="shared" si="64"/>
        <v>90.915382833314055</v>
      </c>
      <c r="L55" s="141">
        <f t="shared" si="64"/>
        <v>306.74968145488242</v>
      </c>
      <c r="M55" s="141">
        <f t="shared" si="64"/>
        <v>209.13153017491027</v>
      </c>
      <c r="N55" s="141"/>
      <c r="O55" s="141">
        <f>(O53*100/$O$53)-100</f>
        <v>0</v>
      </c>
      <c r="P55" s="141">
        <f t="shared" ref="P55:V55" si="65">(P53*100/$O$53)-100</f>
        <v>378.07756409221605</v>
      </c>
      <c r="Q55" s="141">
        <f t="shared" si="65"/>
        <v>-94.982991719651636</v>
      </c>
      <c r="R55" s="141">
        <f t="shared" si="65"/>
        <v>-29.989480294033527</v>
      </c>
      <c r="S55" s="141">
        <f t="shared" si="65"/>
        <v>-73.771435404676552</v>
      </c>
      <c r="T55" s="141">
        <f t="shared" si="65"/>
        <v>-51.174344050423024</v>
      </c>
      <c r="U55" s="141">
        <f t="shared" si="65"/>
        <v>-89.979638184219169</v>
      </c>
      <c r="V55" s="141">
        <f t="shared" si="65"/>
        <v>-72.546841569808578</v>
      </c>
    </row>
    <row r="56" spans="1:22" s="3" customFormat="1" x14ac:dyDescent="0.3">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
      <c r="A57" s="61" t="s">
        <v>85</v>
      </c>
      <c r="B57" s="141" t="e">
        <f t="shared" ref="B57:M57" ca="1" si="66">IF(B56&gt;0.05,"Oui","Non")</f>
        <v>#NAME?</v>
      </c>
      <c r="C57" s="141" t="e">
        <f t="shared" ca="1" si="66"/>
        <v>#NAME?</v>
      </c>
      <c r="D57" s="141" t="e">
        <f t="shared" ca="1" si="66"/>
        <v>#NAME?</v>
      </c>
      <c r="E57" s="141" t="e">
        <f t="shared" ca="1" si="66"/>
        <v>#NAME?</v>
      </c>
      <c r="F57" s="141" t="e">
        <f t="shared" ca="1" si="66"/>
        <v>#NAME?</v>
      </c>
      <c r="G57" s="141" t="e">
        <f t="shared" ca="1" si="66"/>
        <v>#NAME?</v>
      </c>
      <c r="H57" s="141" t="e">
        <f t="shared" ca="1" si="66"/>
        <v>#NAME?</v>
      </c>
      <c r="I57" s="141" t="e">
        <f t="shared" ca="1" si="66"/>
        <v>#NAME?</v>
      </c>
      <c r="J57" s="141" t="e">
        <f t="shared" ca="1" si="66"/>
        <v>#NAME?</v>
      </c>
      <c r="K57" s="141" t="e">
        <f t="shared" ca="1" si="66"/>
        <v>#NAME?</v>
      </c>
      <c r="L57" s="141" t="e">
        <f t="shared" ca="1" si="66"/>
        <v>#NAME?</v>
      </c>
      <c r="M57" s="141" t="e">
        <f t="shared" ca="1" si="66"/>
        <v>#NAME?</v>
      </c>
      <c r="N57" s="141"/>
      <c r="O57" s="141" t="e">
        <f t="shared" ref="O57:V57" ca="1" si="67">IF(O56&gt;0.05,"Oui","Non")</f>
        <v>#NAME?</v>
      </c>
      <c r="P57" s="141" t="e">
        <f t="shared" ca="1" si="67"/>
        <v>#NAME?</v>
      </c>
      <c r="Q57" s="141" t="e">
        <f t="shared" ca="1" si="67"/>
        <v>#NAME?</v>
      </c>
      <c r="R57" s="141" t="e">
        <f t="shared" ca="1" si="67"/>
        <v>#NAME?</v>
      </c>
      <c r="S57" s="141" t="e">
        <f t="shared" ca="1" si="67"/>
        <v>#NAME?</v>
      </c>
      <c r="T57" s="141" t="e">
        <f t="shared" ca="1" si="67"/>
        <v>#NAME?</v>
      </c>
      <c r="U57" s="141" t="e">
        <f t="shared" ca="1" si="67"/>
        <v>#NAME?</v>
      </c>
      <c r="V57" s="141" t="e">
        <f t="shared" ca="1" si="67"/>
        <v>#NAME?</v>
      </c>
    </row>
    <row r="58" spans="1:22" s="3" customFormat="1" x14ac:dyDescent="0.3">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
      <c r="A59" s="61" t="s">
        <v>82</v>
      </c>
      <c r="B59" s="150"/>
      <c r="C59" s="150" t="e">
        <f t="shared" ref="C59:M59" ca="1" si="68">IF($B57="Non",IF(C$57="Non","Mann Withney",IF(C$57="Oui","Mann Withney","")),IF($B$57="Oui",IF(C$57="Oui","T-Test Welch",IF(C$57="Non","Mann Withney",""))))</f>
        <v>#NAME?</v>
      </c>
      <c r="D59" s="150" t="e">
        <f t="shared" ca="1" si="68"/>
        <v>#NAME?</v>
      </c>
      <c r="E59" s="150" t="e">
        <f t="shared" ca="1" si="68"/>
        <v>#NAME?</v>
      </c>
      <c r="F59" s="150" t="e">
        <f t="shared" ca="1" si="68"/>
        <v>#NAME?</v>
      </c>
      <c r="G59" s="150" t="e">
        <f t="shared" ca="1" si="68"/>
        <v>#NAME?</v>
      </c>
      <c r="H59" s="150" t="e">
        <f t="shared" ca="1" si="68"/>
        <v>#NAME?</v>
      </c>
      <c r="I59" s="150" t="e">
        <f t="shared" ca="1" si="68"/>
        <v>#NAME?</v>
      </c>
      <c r="J59" s="150" t="e">
        <f t="shared" ca="1" si="68"/>
        <v>#NAME?</v>
      </c>
      <c r="K59" s="150" t="e">
        <f t="shared" ca="1" si="68"/>
        <v>#NAME?</v>
      </c>
      <c r="L59" s="150" t="e">
        <f t="shared" ca="1" si="68"/>
        <v>#NAME?</v>
      </c>
      <c r="M59" s="150" t="e">
        <f t="shared" ca="1" si="68"/>
        <v>#NAME?</v>
      </c>
      <c r="N59" s="150"/>
      <c r="O59" s="150" t="e">
        <f ca="1">IF($B57="Non",IF(O$57="Non","Mann Withney",IF(O$57="Oui","Mann Withney","")),IF($B$57="Oui",IF(O$57="Oui","T-Test Welch",IF(O$57="Non","Mann Withney",""))))</f>
        <v>#NAME?</v>
      </c>
      <c r="P59" s="150" t="e">
        <f ca="1">IF($O57="Non",IF(P$57="Non","Mann Withney",IF(P$57="Oui","Mann Withney","")),IF($O$57="Oui",IF(P$57="Oui","T-Test Welch",IF(P$57="Non","Mann Withney",""))))</f>
        <v>#NAME?</v>
      </c>
      <c r="Q59" s="150" t="e">
        <f t="shared" ref="Q59:V59" ca="1" si="69">IF($O57="Non",IF(Q$57="Non","Mann Withney",IF(Q$57="Oui","Mann Withney","")),IF($O$57="Oui",IF(Q$57="Oui","T-Test Welch",IF(Q$57="Non","Mann Withney",""))))</f>
        <v>#NAME?</v>
      </c>
      <c r="R59" s="150" t="e">
        <f t="shared" ca="1" si="69"/>
        <v>#NAME?</v>
      </c>
      <c r="S59" s="150" t="e">
        <f t="shared" ca="1" si="69"/>
        <v>#NAME?</v>
      </c>
      <c r="T59" s="150" t="e">
        <f t="shared" ca="1" si="69"/>
        <v>#NAME?</v>
      </c>
      <c r="U59" s="150" t="e">
        <f t="shared" ca="1" si="69"/>
        <v>#NAME?</v>
      </c>
      <c r="V59" s="150" t="e">
        <f t="shared" ca="1" si="69"/>
        <v>#NAME?</v>
      </c>
    </row>
    <row r="60" spans="1:22" s="3" customFormat="1" x14ac:dyDescent="0.3">
      <c r="A60" s="61" t="s">
        <v>83</v>
      </c>
      <c r="B60" s="151"/>
      <c r="C60" s="151" t="e">
        <f ca="1">IF(C59="Mann Withney",[1]!MTEST($B28:$B43,C28:C43,2), IF(C59="T-Test Welch",_xlfn.T.TEST($B28:$B43,C28:C43,2,3),""))</f>
        <v>#NAME?</v>
      </c>
      <c r="D60" s="151" t="e">
        <f ca="1">IF(D59="Mann Withney",[1]!MTEST($B28:$B43,D28:D43,2), IF(D59="T-Test Welch",_xlfn.T.TEST($B28:$B43,D28:D43,2,3),""))</f>
        <v>#NAME?</v>
      </c>
      <c r="E60" s="151" t="e">
        <f ca="1">IF(E59="Mann Withney",[1]!MTEST($B28:$B43,E28:E43,2), IF(E59="T-Test Welch",_xlfn.T.TEST($B28:$B43,E28:E43,2,3),""))</f>
        <v>#NAME?</v>
      </c>
      <c r="F60" s="151" t="e">
        <f ca="1">IF(F59="Mann Withney",[1]!MTEST($B28:$B43,F28:F43,2), IF(F59="T-Test Welch",_xlfn.T.TEST($B28:$B43,F28:F43,2,3),""))</f>
        <v>#NAME?</v>
      </c>
      <c r="G60" s="151" t="e">
        <f ca="1">IF(G59="Mann Withney",[1]!MTEST($B28:$B43,G28:G43,2), IF(G59="T-Test Welch",_xlfn.T.TEST($B28:$B43,G28:G43,2,3),""))</f>
        <v>#NAME?</v>
      </c>
      <c r="H60" s="151" t="e">
        <f ca="1">IF(H59="Mann Withney",[1]!MTEST($B28:$B43,H28:H43,2), IF(H59="T-Test Welch",_xlfn.T.TEST($B28:$B43,H28:H43,2,3),""))</f>
        <v>#NAME?</v>
      </c>
      <c r="I60" s="151" t="e">
        <f ca="1">IF(I59="Mann Withney",[1]!MTEST($B28:$B43,I28:I43,2), IF(I59="T-Test Welch",_xlfn.T.TEST($B28:$B43,I28:I43,2,3),""))</f>
        <v>#NAME?</v>
      </c>
      <c r="J60" s="151" t="e">
        <f ca="1">IF(J59="Mann Withney",[1]!MTEST($B28:$B43,J28:J43,2), IF(J59="T-Test Welch",_xlfn.T.TEST($B28:$B43,J28:J43,2,3),""))</f>
        <v>#NAME?</v>
      </c>
      <c r="K60" s="151" t="e">
        <f ca="1">IF(K59="Mann Withney",[1]!MTEST($B28:$B43,K28:K43,2), IF(K59="T-Test Welch",_xlfn.T.TEST($B28:$B43,K28:K43,2,3),""))</f>
        <v>#NAME?</v>
      </c>
      <c r="L60" s="151" t="e">
        <f ca="1">IF(L59="Mann Withney",[1]!MTEST($B28:$B43,L28:L43,2), IF(L59="T-Test Welch",_xlfn.T.TEST($B28:$B43,L28:L43,2,3),""))</f>
        <v>#NAME?</v>
      </c>
      <c r="M60" s="151" t="e">
        <f ca="1">IF(M59="Mann Withney",[1]!MTEST($B28:$B43,M28:M43,2), IF(M59="T-Test Welch",_xlfn.T.TEST($B28:$B43,M28:M43,2,3),""))</f>
        <v>#NAME?</v>
      </c>
      <c r="N60" s="151"/>
      <c r="O60" s="151" t="e">
        <f ca="1">IF(O59="Mann Withney",[1]!MTEST($B28:$B43,O28:O43,2), IF(O59="T-Test Welch",_xlfn.T.TEST($B28:$B43,O28:O43,2,3),""))</f>
        <v>#NAME?</v>
      </c>
      <c r="P60" s="151" t="e">
        <f ca="1">IF(P59="Mann Withney",[1]!MTEST($O28:$O43,P28:P43,2), IF(P59="T-Test Welch",_xlfn.T.TEST($O28:$O43,P28:P43,2,3),""))</f>
        <v>#NAME?</v>
      </c>
      <c r="Q60" s="151" t="e">
        <f ca="1">IF(Q59="Mann Withney",[1]!MTEST($O28:$O43,Q28:Q43,2), IF(Q59="T-Test Welch",_xlfn.T.TEST($O28:$O43,Q28:Q43,2,3),""))</f>
        <v>#NAME?</v>
      </c>
      <c r="R60" s="151" t="e">
        <f ca="1">IF(R59="Mann Withney",[1]!MTEST($O28:$O43,R28:R43,2), IF(R59="T-Test Welch",_xlfn.T.TEST($O28:$O43,R28:R43,2,3),""))</f>
        <v>#NAME?</v>
      </c>
      <c r="S60" s="151" t="e">
        <f ca="1">IF(S59="Mann Withney",[1]!MTEST($O28:$O43,S28:S43,2), IF(S59="T-Test Welch",_xlfn.T.TEST($O28:$O43,S28:S43,2,3),""))</f>
        <v>#NAME?</v>
      </c>
      <c r="T60" s="151" t="e">
        <f ca="1">IF(T59="Mann Withney",[1]!MTEST($O28:$O43,T28:T43,2), IF(T59="T-Test Welch",_xlfn.T.TEST($O28:$O43,T28:T43,2,3),""))</f>
        <v>#NAME?</v>
      </c>
      <c r="U60" s="151" t="e">
        <f ca="1">IF(U59="Mann Withney",[1]!MTEST($O28:$O43,U28:U43,2), IF(U59="T-Test Welch",_xlfn.T.TEST($O28:$O43,U28:U43,2,3),""))</f>
        <v>#NAME?</v>
      </c>
      <c r="V60" s="151" t="e">
        <f ca="1">IF(V59="Mann Withney",[1]!MTEST($O28:$O43,V28:V43,2), IF(V59="T-Test Welch",_xlfn.T.TEST($O28:$O43,V28:V43,2,3),""))</f>
        <v>#NAME?</v>
      </c>
    </row>
    <row r="61" spans="1:22" s="3" customFormat="1" ht="15" thickBot="1" x14ac:dyDescent="0.35">
      <c r="A61" s="62" t="s">
        <v>84</v>
      </c>
      <c r="B61" s="142"/>
      <c r="C61" s="142" t="e">
        <f t="shared" ref="C61:M61" ca="1" si="70">IF(C60&gt;0.05,"NS",IF(C60&gt;0.01,"*",IF(C60&gt;0.001,"**","***")))</f>
        <v>#NAME?</v>
      </c>
      <c r="D61" s="142" t="e">
        <f t="shared" ca="1" si="70"/>
        <v>#NAME?</v>
      </c>
      <c r="E61" s="142" t="e">
        <f t="shared" ca="1" si="70"/>
        <v>#NAME?</v>
      </c>
      <c r="F61" s="142" t="e">
        <f t="shared" ca="1" si="70"/>
        <v>#NAME?</v>
      </c>
      <c r="G61" s="142" t="e">
        <f t="shared" ca="1" si="70"/>
        <v>#NAME?</v>
      </c>
      <c r="H61" s="142" t="e">
        <f t="shared" ca="1" si="70"/>
        <v>#NAME?</v>
      </c>
      <c r="I61" s="142" t="e">
        <f t="shared" ca="1" si="70"/>
        <v>#NAME?</v>
      </c>
      <c r="J61" s="142" t="e">
        <f t="shared" ca="1" si="70"/>
        <v>#NAME?</v>
      </c>
      <c r="K61" s="142" t="e">
        <f t="shared" ca="1" si="70"/>
        <v>#NAME?</v>
      </c>
      <c r="L61" s="142" t="e">
        <f t="shared" ca="1" si="70"/>
        <v>#NAME?</v>
      </c>
      <c r="M61" s="142" t="e">
        <f t="shared" ca="1" si="70"/>
        <v>#NAME?</v>
      </c>
      <c r="N61" s="142"/>
      <c r="O61" s="142" t="e">
        <f ca="1">IF(O60&gt;0.05,"NS",IF(O60&gt;0.01,"*",IF(O60&gt;0.001,"**","***")))</f>
        <v>#NAME?</v>
      </c>
      <c r="P61" s="142" t="e">
        <f ca="1">IF(P60&gt;0.05,"NS",IF(P60&gt;0.01,"*",IF(P60&gt;0.001,"**","***")))</f>
        <v>#NAME?</v>
      </c>
      <c r="Q61" s="142" t="e">
        <f t="shared" ref="Q61" ca="1" si="71">IF(Q60&gt;0.05,"NS",IF(Q60&gt;0.01,"*",IF(Q60&gt;0.001,"**","***")))</f>
        <v>#NAME?</v>
      </c>
      <c r="R61" s="142" t="e">
        <f t="shared" ref="R61" ca="1" si="72">IF(R60&gt;0.05,"NS",IF(R60&gt;0.01,"*",IF(R60&gt;0.001,"**","***")))</f>
        <v>#NAME?</v>
      </c>
      <c r="S61" s="142" t="e">
        <f t="shared" ref="S61" ca="1" si="73">IF(S60&gt;0.05,"NS",IF(S60&gt;0.01,"*",IF(S60&gt;0.001,"**","***")))</f>
        <v>#NAME?</v>
      </c>
      <c r="T61" s="142" t="e">
        <f t="shared" ref="T61" ca="1" si="74">IF(T60&gt;0.05,"NS",IF(T60&gt;0.01,"*",IF(T60&gt;0.001,"**","***")))</f>
        <v>#NAME?</v>
      </c>
      <c r="U61" s="142" t="e">
        <f t="shared" ref="U61" ca="1" si="75">IF(U60&gt;0.05,"NS",IF(U60&gt;0.01,"*",IF(U60&gt;0.001,"**","***")))</f>
        <v>#NAME?</v>
      </c>
      <c r="V61" s="142" t="e">
        <f t="shared" ref="V61" ca="1" si="76">IF(V60&gt;0.05,"NS",IF(V60&gt;0.01,"*",IF(V60&gt;0.001,"**","***")))</f>
        <v>#NAME?</v>
      </c>
    </row>
    <row r="63" spans="1:22" x14ac:dyDescent="0.3">
      <c r="A63" s="2" t="s">
        <v>39</v>
      </c>
    </row>
    <row r="64" spans="1:22" x14ac:dyDescent="0.3">
      <c r="A64" s="1" t="s">
        <v>23</v>
      </c>
      <c r="B64" s="1">
        <f>B46+(3*B47)</f>
        <v>0.15962728499094073</v>
      </c>
    </row>
    <row r="65" spans="1:22" x14ac:dyDescent="0.3">
      <c r="A65" s="1" t="s">
        <v>24</v>
      </c>
      <c r="B65" s="1">
        <f>B46+(10*B47)</f>
        <v>0.44924256743843</v>
      </c>
    </row>
    <row r="66" spans="1:22" ht="15" thickBot="1" x14ac:dyDescent="0.35"/>
    <row r="67" spans="1:22" s="1" customFormat="1" ht="26.4" thickBot="1" x14ac:dyDescent="0.55000000000000004">
      <c r="A67" s="215" t="s">
        <v>52</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2"/>
      <c r="S69" s="12"/>
      <c r="T69" s="12"/>
      <c r="U69" s="12"/>
      <c r="V69" s="12"/>
    </row>
    <row r="70" spans="1:22" ht="16.8" x14ac:dyDescent="0.3">
      <c r="A70" s="12"/>
      <c r="B70" s="12"/>
      <c r="C70" s="12"/>
      <c r="D70" s="12"/>
      <c r="E70" s="12"/>
      <c r="F70" s="12"/>
      <c r="N70" s="12"/>
      <c r="O70" s="12"/>
      <c r="P70" s="12"/>
      <c r="Q70" s="12"/>
      <c r="R70" s="12"/>
      <c r="S70" s="12"/>
      <c r="T70" s="12"/>
      <c r="U70" s="12"/>
      <c r="V70" s="12"/>
    </row>
    <row r="71" spans="1:22" ht="16.8" x14ac:dyDescent="0.3">
      <c r="A71" s="12"/>
      <c r="B71" s="12"/>
      <c r="C71" s="12"/>
      <c r="D71" s="12"/>
      <c r="E71" s="12"/>
      <c r="F71" s="12"/>
      <c r="N71" s="12"/>
      <c r="O71" s="12"/>
      <c r="P71" s="12"/>
      <c r="Q71" s="12"/>
      <c r="R71" s="12"/>
      <c r="S71" s="12"/>
      <c r="T71" s="12"/>
      <c r="U71" s="12"/>
      <c r="V71" s="12"/>
    </row>
    <row r="72" spans="1:22" ht="16.8" x14ac:dyDescent="0.3">
      <c r="A72" s="12"/>
      <c r="B72" s="12"/>
      <c r="C72" s="12"/>
      <c r="D72" s="12"/>
      <c r="E72" s="12"/>
      <c r="F72" s="12"/>
      <c r="N72" s="12"/>
      <c r="O72" s="12"/>
      <c r="P72" s="12"/>
      <c r="Q72" s="12"/>
      <c r="R72" s="12"/>
      <c r="S72" s="12"/>
      <c r="T72" s="12"/>
      <c r="U72" s="12"/>
      <c r="V72" s="12"/>
    </row>
    <row r="73" spans="1:22" ht="16.8" x14ac:dyDescent="0.3">
      <c r="A73" s="12"/>
      <c r="B73" s="12"/>
      <c r="C73" s="12"/>
      <c r="D73" s="12"/>
      <c r="E73" s="12"/>
      <c r="F73" s="12"/>
      <c r="N73" s="12"/>
      <c r="O73" s="12"/>
      <c r="P73" s="12"/>
      <c r="Q73" s="12"/>
      <c r="R73" s="12"/>
      <c r="S73" s="12"/>
      <c r="T73" s="12"/>
      <c r="U73" s="12"/>
      <c r="V73" s="12"/>
    </row>
    <row r="74" spans="1:22" ht="16.8" x14ac:dyDescent="0.3">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A1521" zoomScale="80" zoomScaleNormal="80" workbookViewId="0">
      <selection activeCell="A1531" sqref="A1531"/>
    </sheetView>
  </sheetViews>
  <sheetFormatPr defaultColWidth="11.44140625" defaultRowHeight="14.4" x14ac:dyDescent="0.3"/>
  <cols>
    <col min="1" max="2" width="15" style="1" customWidth="1"/>
    <col min="3" max="3" width="25.44140625" style="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37.44140625" style="1" bestFit="1" customWidth="1"/>
    <col min="12" max="12" width="38.44140625" style="1" bestFit="1" customWidth="1"/>
    <col min="13" max="14" width="12.77734375" style="1" customWidth="1"/>
    <col min="15" max="25" width="12.21875" style="1" customWidth="1"/>
    <col min="26" max="16384" width="11.44140625" style="1"/>
  </cols>
  <sheetData>
    <row r="1" spans="1:144" x14ac:dyDescent="0.3">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
      </c>
      <c r="B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
      </c>
      <c r="B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
      </c>
      <c r="B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
      </c>
      <c r="B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
      </c>
      <c r="B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
      </c>
      <c r="B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
      </c>
      <c r="B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
      </c>
      <c r="B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
      </c>
      <c r="B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
      </c>
      <c r="B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 spans="1:144" x14ac:dyDescent="0.3">
      <c r="A12" s="1" t="str">
        <f t="shared" si="0"/>
        <v/>
      </c>
      <c r="B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 spans="1:144" x14ac:dyDescent="0.3">
      <c r="A13" s="1" t="str">
        <f t="shared" si="0"/>
        <v/>
      </c>
      <c r="B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 spans="1:144" x14ac:dyDescent="0.3">
      <c r="A14" s="1" t="str">
        <f t="shared" si="0"/>
        <v/>
      </c>
      <c r="B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 spans="1:144" x14ac:dyDescent="0.3">
      <c r="A15" s="1" t="str">
        <f t="shared" si="0"/>
        <v/>
      </c>
      <c r="B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 spans="1:144" x14ac:dyDescent="0.3">
      <c r="A16" s="1" t="str">
        <f t="shared" si="0"/>
        <v/>
      </c>
      <c r="B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 spans="1:2" x14ac:dyDescent="0.3">
      <c r="A17" s="1" t="str">
        <f t="shared" si="0"/>
        <v/>
      </c>
      <c r="B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 spans="1:2" x14ac:dyDescent="0.3">
      <c r="A18" s="1" t="str">
        <f t="shared" si="0"/>
        <v/>
      </c>
      <c r="B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 spans="1:2" x14ac:dyDescent="0.3">
      <c r="A19" s="1" t="str">
        <f t="shared" si="0"/>
        <v/>
      </c>
      <c r="B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 spans="1:2" x14ac:dyDescent="0.3">
      <c r="A20" s="1" t="str">
        <f t="shared" si="0"/>
        <v/>
      </c>
      <c r="B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 spans="1:2" x14ac:dyDescent="0.3">
      <c r="A21" s="1" t="str">
        <f t="shared" si="0"/>
        <v/>
      </c>
      <c r="B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 spans="1:2" x14ac:dyDescent="0.3">
      <c r="A22" s="1" t="str">
        <f t="shared" si="0"/>
        <v/>
      </c>
      <c r="B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 spans="1:2" x14ac:dyDescent="0.3">
      <c r="A23" s="1" t="str">
        <f t="shared" si="0"/>
        <v/>
      </c>
      <c r="B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 spans="1:2" x14ac:dyDescent="0.3">
      <c r="A24" s="1" t="str">
        <f t="shared" si="0"/>
        <v/>
      </c>
      <c r="B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 spans="1:2" x14ac:dyDescent="0.3">
      <c r="A25" s="1" t="str">
        <f t="shared" si="0"/>
        <v/>
      </c>
      <c r="B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 spans="1:2" x14ac:dyDescent="0.3">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 spans="1:2" x14ac:dyDescent="0.3">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 spans="1:2" x14ac:dyDescent="0.3">
      <c r="A28" s="1" t="str">
        <f t="shared" si="0"/>
        <v/>
      </c>
      <c r="B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 spans="1:2" x14ac:dyDescent="0.3">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 spans="1:2" x14ac:dyDescent="0.3">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 spans="1:2" x14ac:dyDescent="0.3">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 spans="1:2" x14ac:dyDescent="0.3">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 spans="1:2" x14ac:dyDescent="0.3">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 spans="1:2" x14ac:dyDescent="0.3">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 spans="1:2" x14ac:dyDescent="0.3">
      <c r="A35" s="1" t="str">
        <f t="shared" si="0"/>
        <v/>
      </c>
      <c r="B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 spans="1:2" x14ac:dyDescent="0.3">
      <c r="A36" s="1" t="str">
        <f t="shared" si="0"/>
        <v/>
      </c>
      <c r="B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 spans="1:2" x14ac:dyDescent="0.3">
      <c r="A37" s="1" t="str">
        <f t="shared" si="0"/>
        <v/>
      </c>
      <c r="B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 spans="1:2" x14ac:dyDescent="0.3">
      <c r="A38" s="1" t="str">
        <f t="shared" si="0"/>
        <v/>
      </c>
      <c r="B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 spans="1:2" x14ac:dyDescent="0.3">
      <c r="A39" s="1" t="str">
        <f t="shared" si="0"/>
        <v/>
      </c>
      <c r="B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 spans="1:2" x14ac:dyDescent="0.3">
      <c r="A40" s="1" t="str">
        <f t="shared" si="0"/>
        <v/>
      </c>
      <c r="B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 spans="1:2" x14ac:dyDescent="0.3">
      <c r="A41" s="1" t="str">
        <f t="shared" si="0"/>
        <v/>
      </c>
      <c r="B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 spans="1:2" x14ac:dyDescent="0.3">
      <c r="A42" s="1" t="str">
        <f t="shared" si="0"/>
        <v/>
      </c>
      <c r="B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 spans="1:2" x14ac:dyDescent="0.3">
      <c r="A43" s="1" t="str">
        <f t="shared" si="0"/>
        <v/>
      </c>
      <c r="B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 spans="1:2" x14ac:dyDescent="0.3">
      <c r="A44" s="1" t="str">
        <f t="shared" si="0"/>
        <v/>
      </c>
      <c r="B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 spans="1:2" x14ac:dyDescent="0.3">
      <c r="A45" s="1" t="str">
        <f t="shared" si="0"/>
        <v/>
      </c>
      <c r="B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 spans="1:2" x14ac:dyDescent="0.3">
      <c r="A46" s="1" t="str">
        <f t="shared" si="0"/>
        <v/>
      </c>
      <c r="B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 spans="1:2" x14ac:dyDescent="0.3">
      <c r="A47" s="1" t="str">
        <f t="shared" si="0"/>
        <v/>
      </c>
      <c r="B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 spans="1:2" x14ac:dyDescent="0.3">
      <c r="A48" s="1" t="str">
        <f t="shared" si="0"/>
        <v/>
      </c>
      <c r="B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 spans="1:2" x14ac:dyDescent="0.3">
      <c r="A49" s="1" t="str">
        <f t="shared" si="0"/>
        <v/>
      </c>
      <c r="B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 spans="1:2" x14ac:dyDescent="0.3">
      <c r="A50" s="1" t="str">
        <f t="shared" si="0"/>
        <v/>
      </c>
      <c r="B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 spans="1:2" x14ac:dyDescent="0.3">
      <c r="A51" s="1" t="str">
        <f t="shared" si="0"/>
        <v/>
      </c>
      <c r="B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 spans="1:2" x14ac:dyDescent="0.3">
      <c r="A52" s="1" t="str">
        <f t="shared" si="0"/>
        <v/>
      </c>
      <c r="B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 spans="1:2" x14ac:dyDescent="0.3">
      <c r="A53" s="1" t="str">
        <f t="shared" si="0"/>
        <v/>
      </c>
      <c r="B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 spans="1:2" x14ac:dyDescent="0.3">
      <c r="A54" s="1" t="str">
        <f t="shared" si="0"/>
        <v/>
      </c>
      <c r="B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 spans="1:2" x14ac:dyDescent="0.3">
      <c r="A55" s="1" t="str">
        <f t="shared" si="0"/>
        <v/>
      </c>
      <c r="B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 spans="1:2" x14ac:dyDescent="0.3">
      <c r="A56" s="1" t="str">
        <f t="shared" si="0"/>
        <v/>
      </c>
      <c r="B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 spans="1:2" x14ac:dyDescent="0.3">
      <c r="A57" s="1" t="str">
        <f t="shared" si="0"/>
        <v/>
      </c>
      <c r="B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 spans="1:2" x14ac:dyDescent="0.3">
      <c r="A58" s="1" t="str">
        <f t="shared" si="0"/>
        <v/>
      </c>
      <c r="B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 spans="1:2" x14ac:dyDescent="0.3">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 spans="1:2" x14ac:dyDescent="0.3">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 spans="1:2" x14ac:dyDescent="0.3">
      <c r="A61" s="1" t="str">
        <f t="shared" si="0"/>
        <v/>
      </c>
      <c r="B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 spans="1:2" x14ac:dyDescent="0.3">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 spans="1:2" x14ac:dyDescent="0.3">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 spans="1:2" x14ac:dyDescent="0.3">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 spans="1:2" x14ac:dyDescent="0.3">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 spans="1:2" x14ac:dyDescent="0.3">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 spans="1:2" x14ac:dyDescent="0.3">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 spans="1:2" x14ac:dyDescent="0.3">
      <c r="A68" s="1" t="str">
        <f t="shared" si="1"/>
        <v/>
      </c>
      <c r="B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 spans="1:2" x14ac:dyDescent="0.3">
      <c r="A69" s="1" t="str">
        <f t="shared" si="1"/>
        <v/>
      </c>
      <c r="B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 spans="1:2" x14ac:dyDescent="0.3">
      <c r="A70" s="1" t="str">
        <f t="shared" si="1"/>
        <v/>
      </c>
      <c r="B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 spans="1:2" x14ac:dyDescent="0.3">
      <c r="A71" s="1" t="str">
        <f t="shared" si="1"/>
        <v/>
      </c>
      <c r="B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 spans="1:2" x14ac:dyDescent="0.3">
      <c r="A72" s="1" t="str">
        <f t="shared" si="1"/>
        <v/>
      </c>
      <c r="B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 spans="1:2" x14ac:dyDescent="0.3">
      <c r="A73" s="1" t="str">
        <f t="shared" si="1"/>
        <v/>
      </c>
      <c r="B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 spans="1:2" x14ac:dyDescent="0.3">
      <c r="A74" s="1" t="str">
        <f t="shared" si="1"/>
        <v/>
      </c>
      <c r="B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 spans="1:2" x14ac:dyDescent="0.3">
      <c r="A75" s="1" t="str">
        <f t="shared" si="1"/>
        <v/>
      </c>
      <c r="B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 spans="1:2" x14ac:dyDescent="0.3">
      <c r="A76" s="1" t="str">
        <f t="shared" si="1"/>
        <v/>
      </c>
      <c r="B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 spans="1:2" x14ac:dyDescent="0.3">
      <c r="A77" s="1" t="str">
        <f t="shared" si="1"/>
        <v/>
      </c>
      <c r="B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 spans="1:2" x14ac:dyDescent="0.3">
      <c r="A78" s="1" t="str">
        <f t="shared" si="1"/>
        <v/>
      </c>
      <c r="B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 spans="1:2" x14ac:dyDescent="0.3">
      <c r="A79" s="1" t="str">
        <f t="shared" si="1"/>
        <v/>
      </c>
      <c r="B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 spans="1:2" x14ac:dyDescent="0.3">
      <c r="A80" s="1" t="str">
        <f t="shared" si="1"/>
        <v/>
      </c>
      <c r="B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 spans="1:2" x14ac:dyDescent="0.3">
      <c r="A81" s="1" t="str">
        <f t="shared" si="1"/>
        <v/>
      </c>
      <c r="B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 spans="1:2" x14ac:dyDescent="0.3">
      <c r="A82" s="1" t="str">
        <f t="shared" si="1"/>
        <v/>
      </c>
      <c r="B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 spans="1:2" x14ac:dyDescent="0.3">
      <c r="A83" s="1" t="str">
        <f t="shared" si="1"/>
        <v/>
      </c>
      <c r="B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 spans="1:2" x14ac:dyDescent="0.3">
      <c r="A84" s="1" t="str">
        <f t="shared" si="1"/>
        <v/>
      </c>
      <c r="B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 spans="1:2" x14ac:dyDescent="0.3">
      <c r="A85" s="1" t="str">
        <f t="shared" si="1"/>
        <v/>
      </c>
      <c r="B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 spans="1:2" x14ac:dyDescent="0.3">
      <c r="A86" s="1" t="str">
        <f t="shared" si="1"/>
        <v/>
      </c>
      <c r="B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 spans="1:2" x14ac:dyDescent="0.3">
      <c r="A87" s="1" t="str">
        <f t="shared" si="1"/>
        <v/>
      </c>
      <c r="B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 spans="1:2" x14ac:dyDescent="0.3">
      <c r="A88" s="1" t="str">
        <f t="shared" si="1"/>
        <v/>
      </c>
      <c r="B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 spans="1:2" x14ac:dyDescent="0.3">
      <c r="A89" s="1" t="str">
        <f t="shared" si="1"/>
        <v/>
      </c>
      <c r="B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 spans="1:2" x14ac:dyDescent="0.3">
      <c r="A90" s="1" t="str">
        <f t="shared" si="1"/>
        <v/>
      </c>
      <c r="B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 spans="1:2" x14ac:dyDescent="0.3">
      <c r="A91" s="1" t="str">
        <f t="shared" si="1"/>
        <v/>
      </c>
      <c r="B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 spans="1:2" x14ac:dyDescent="0.3">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 spans="1:2" x14ac:dyDescent="0.3">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 spans="1:2" x14ac:dyDescent="0.3">
      <c r="A94" s="1" t="str">
        <f t="shared" si="1"/>
        <v/>
      </c>
      <c r="B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 spans="1:2" x14ac:dyDescent="0.3">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 spans="1:2" x14ac:dyDescent="0.3">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 spans="1:2" x14ac:dyDescent="0.3">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 spans="1:2" x14ac:dyDescent="0.3">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 spans="1:2" x14ac:dyDescent="0.3">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 spans="1:2" x14ac:dyDescent="0.3">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 spans="1:2" x14ac:dyDescent="0.3">
      <c r="A101" s="1" t="str">
        <f t="shared" si="1"/>
        <v/>
      </c>
      <c r="B1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 spans="1:2" x14ac:dyDescent="0.3">
      <c r="A102" s="1" t="str">
        <f t="shared" si="1"/>
        <v/>
      </c>
      <c r="B1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 spans="1:2" x14ac:dyDescent="0.3">
      <c r="A103" s="1" t="str">
        <f t="shared" si="1"/>
        <v/>
      </c>
      <c r="B1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 spans="1:2" x14ac:dyDescent="0.3">
      <c r="A104" s="1" t="str">
        <f t="shared" si="1"/>
        <v/>
      </c>
      <c r="B1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 spans="1:2" x14ac:dyDescent="0.3">
      <c r="A105" s="1" t="str">
        <f t="shared" si="1"/>
        <v/>
      </c>
      <c r="B1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 spans="1:2" x14ac:dyDescent="0.3">
      <c r="A106" s="1" t="str">
        <f t="shared" si="1"/>
        <v/>
      </c>
      <c r="B1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 spans="1:2" x14ac:dyDescent="0.3">
      <c r="A107" s="1" t="str">
        <f t="shared" si="1"/>
        <v/>
      </c>
      <c r="B1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 spans="1:2" x14ac:dyDescent="0.3">
      <c r="A108" s="1" t="str">
        <f t="shared" si="1"/>
        <v/>
      </c>
      <c r="B1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 spans="1:2" x14ac:dyDescent="0.3">
      <c r="A109" s="1" t="str">
        <f t="shared" si="1"/>
        <v/>
      </c>
      <c r="B1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 spans="1:2" x14ac:dyDescent="0.3">
      <c r="A110" s="1" t="str">
        <f t="shared" si="1"/>
        <v/>
      </c>
      <c r="B1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 spans="1:2" x14ac:dyDescent="0.3">
      <c r="A111" s="1" t="str">
        <f t="shared" si="1"/>
        <v/>
      </c>
      <c r="B1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 spans="1:2" x14ac:dyDescent="0.3">
      <c r="A112" s="1" t="str">
        <f t="shared" si="1"/>
        <v/>
      </c>
      <c r="B1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 spans="1:2" x14ac:dyDescent="0.3">
      <c r="A113" s="1" t="str">
        <f t="shared" si="1"/>
        <v/>
      </c>
      <c r="B1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 spans="1:2" x14ac:dyDescent="0.3">
      <c r="A114" s="1" t="str">
        <f t="shared" si="1"/>
        <v/>
      </c>
      <c r="B1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 spans="1:2" x14ac:dyDescent="0.3">
      <c r="A115" s="1" t="str">
        <f t="shared" si="1"/>
        <v/>
      </c>
      <c r="B1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 spans="1:2" x14ac:dyDescent="0.3">
      <c r="A116" s="1" t="str">
        <f t="shared" si="1"/>
        <v/>
      </c>
      <c r="B1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 spans="1:2" x14ac:dyDescent="0.3">
      <c r="A117" s="1" t="str">
        <f t="shared" si="1"/>
        <v/>
      </c>
      <c r="B1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 spans="1:2" x14ac:dyDescent="0.3">
      <c r="A118" s="1" t="str">
        <f t="shared" si="1"/>
        <v/>
      </c>
      <c r="B1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 spans="1:2" x14ac:dyDescent="0.3">
      <c r="A119" s="1" t="str">
        <f t="shared" si="1"/>
        <v/>
      </c>
      <c r="B1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 spans="1:2" x14ac:dyDescent="0.3">
      <c r="A120" s="1" t="str">
        <f t="shared" si="1"/>
        <v/>
      </c>
      <c r="B1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 spans="1:2" x14ac:dyDescent="0.3">
      <c r="A121" s="1" t="str">
        <f t="shared" si="1"/>
        <v/>
      </c>
      <c r="B1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 spans="1:2" x14ac:dyDescent="0.3">
      <c r="A122" s="1" t="str">
        <f t="shared" si="1"/>
        <v/>
      </c>
      <c r="B1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 spans="1:2" x14ac:dyDescent="0.3">
      <c r="A123" s="1" t="str">
        <f t="shared" si="1"/>
        <v/>
      </c>
      <c r="B1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 spans="1:2" x14ac:dyDescent="0.3">
      <c r="A124" s="1" t="str">
        <f t="shared" si="1"/>
        <v/>
      </c>
      <c r="B1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 spans="1:2" x14ac:dyDescent="0.3">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 spans="1:2" x14ac:dyDescent="0.3">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 spans="1:2" x14ac:dyDescent="0.3">
      <c r="A127" s="1" t="str">
        <f t="shared" si="1"/>
        <v/>
      </c>
      <c r="B1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 spans="1:2" x14ac:dyDescent="0.3">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 spans="1:2" x14ac:dyDescent="0.3">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 spans="1:2" x14ac:dyDescent="0.3">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 spans="1:2" x14ac:dyDescent="0.3">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 spans="1:2" x14ac:dyDescent="0.3">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 spans="1:2" x14ac:dyDescent="0.3">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 spans="1:2" x14ac:dyDescent="0.3">
      <c r="A134" s="1" t="str">
        <f t="shared" si="2"/>
        <v/>
      </c>
      <c r="B1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 spans="1:2" x14ac:dyDescent="0.3">
      <c r="A135" s="1" t="str">
        <f t="shared" si="2"/>
        <v/>
      </c>
      <c r="B1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 spans="1:2" x14ac:dyDescent="0.3">
      <c r="A136" s="1" t="str">
        <f t="shared" si="2"/>
        <v/>
      </c>
      <c r="B1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 spans="1:2" x14ac:dyDescent="0.3">
      <c r="A137" s="1" t="str">
        <f t="shared" si="2"/>
        <v/>
      </c>
      <c r="B1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 spans="1:2" x14ac:dyDescent="0.3">
      <c r="A138" s="1" t="str">
        <f t="shared" si="2"/>
        <v/>
      </c>
      <c r="B1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 spans="1:2" x14ac:dyDescent="0.3">
      <c r="A139" s="1" t="str">
        <f t="shared" si="2"/>
        <v/>
      </c>
      <c r="B1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 spans="1:2" x14ac:dyDescent="0.3">
      <c r="A140" s="1" t="str">
        <f t="shared" si="2"/>
        <v/>
      </c>
      <c r="B1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 spans="1:2" x14ac:dyDescent="0.3">
      <c r="A141" s="1" t="str">
        <f t="shared" si="2"/>
        <v/>
      </c>
      <c r="B1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 spans="1:2" x14ac:dyDescent="0.3">
      <c r="A142" s="1" t="str">
        <f t="shared" si="2"/>
        <v/>
      </c>
      <c r="B1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 spans="1:2" x14ac:dyDescent="0.3">
      <c r="A143" s="1" t="str">
        <f t="shared" si="2"/>
        <v/>
      </c>
      <c r="B1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 spans="1:2" x14ac:dyDescent="0.3">
      <c r="A144" s="1" t="str">
        <f t="shared" si="2"/>
        <v/>
      </c>
      <c r="B1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 spans="1:2" x14ac:dyDescent="0.3">
      <c r="A145" s="1" t="str">
        <f t="shared" si="2"/>
        <v/>
      </c>
      <c r="B1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 spans="1:2" x14ac:dyDescent="0.3">
      <c r="A146" s="1" t="str">
        <f t="shared" si="2"/>
        <v/>
      </c>
      <c r="B1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 spans="1:2" x14ac:dyDescent="0.3">
      <c r="A147" s="1" t="str">
        <f t="shared" si="2"/>
        <v/>
      </c>
      <c r="B1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 spans="1:2" x14ac:dyDescent="0.3">
      <c r="A148" s="1" t="str">
        <f t="shared" si="2"/>
        <v/>
      </c>
      <c r="B1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 spans="1:2" x14ac:dyDescent="0.3">
      <c r="A149" s="1" t="str">
        <f t="shared" si="2"/>
        <v/>
      </c>
      <c r="B1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 spans="1:2" x14ac:dyDescent="0.3">
      <c r="A150" s="1" t="str">
        <f t="shared" si="2"/>
        <v/>
      </c>
      <c r="B1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 spans="1:2" x14ac:dyDescent="0.3">
      <c r="A151" s="1" t="str">
        <f t="shared" si="2"/>
        <v/>
      </c>
      <c r="B1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 spans="1:2" x14ac:dyDescent="0.3">
      <c r="A152" s="1" t="str">
        <f t="shared" si="2"/>
        <v/>
      </c>
      <c r="B1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 spans="1:2" x14ac:dyDescent="0.3">
      <c r="A153" s="1" t="str">
        <f t="shared" si="2"/>
        <v/>
      </c>
      <c r="B1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4" spans="1:2" x14ac:dyDescent="0.3">
      <c r="A154" s="1" t="str">
        <f t="shared" si="2"/>
        <v/>
      </c>
      <c r="B1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5" spans="1:2" x14ac:dyDescent="0.3">
      <c r="A155" s="1" t="str">
        <f t="shared" si="2"/>
        <v/>
      </c>
      <c r="B1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6" spans="1:2" x14ac:dyDescent="0.3">
      <c r="A156" s="1" t="str">
        <f t="shared" si="2"/>
        <v/>
      </c>
      <c r="B1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7" spans="1:2" x14ac:dyDescent="0.3">
      <c r="A157" s="1" t="str">
        <f t="shared" si="2"/>
        <v/>
      </c>
      <c r="B1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8" spans="1:2" x14ac:dyDescent="0.3">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9" spans="1:2" x14ac:dyDescent="0.3">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0" spans="1:2" x14ac:dyDescent="0.3">
      <c r="A160" s="1" t="str">
        <f t="shared" si="2"/>
        <v/>
      </c>
      <c r="B1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1" spans="1:2" x14ac:dyDescent="0.3">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2" spans="1:2" x14ac:dyDescent="0.3">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3" spans="1:2" x14ac:dyDescent="0.3">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4" spans="1:2" x14ac:dyDescent="0.3">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5" spans="1:2" x14ac:dyDescent="0.3">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6" spans="1:2" x14ac:dyDescent="0.3">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7" spans="1:2" x14ac:dyDescent="0.3">
      <c r="A167" s="1" t="str">
        <f t="shared" si="2"/>
        <v/>
      </c>
      <c r="B1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8" spans="1:2" x14ac:dyDescent="0.3">
      <c r="A168" s="1" t="str">
        <f t="shared" si="2"/>
        <v/>
      </c>
      <c r="B1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9" spans="1:2" x14ac:dyDescent="0.3">
      <c r="A169" s="1" t="str">
        <f t="shared" si="2"/>
        <v/>
      </c>
      <c r="B1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0" spans="1:2" x14ac:dyDescent="0.3">
      <c r="A170" s="1" t="str">
        <f t="shared" si="2"/>
        <v/>
      </c>
      <c r="B1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1" spans="1:2" x14ac:dyDescent="0.3">
      <c r="A171" s="1" t="str">
        <f t="shared" si="2"/>
        <v/>
      </c>
      <c r="B1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2" spans="1:2" x14ac:dyDescent="0.3">
      <c r="A172" s="1" t="str">
        <f t="shared" si="2"/>
        <v/>
      </c>
      <c r="B1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3" spans="1:2" x14ac:dyDescent="0.3">
      <c r="A173" s="1" t="str">
        <f t="shared" si="2"/>
        <v/>
      </c>
      <c r="B1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4" spans="1:2" x14ac:dyDescent="0.3">
      <c r="A174" s="1" t="str">
        <f t="shared" si="2"/>
        <v/>
      </c>
      <c r="B1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5" spans="1:2" x14ac:dyDescent="0.3">
      <c r="A175" s="1" t="str">
        <f t="shared" si="2"/>
        <v/>
      </c>
      <c r="B1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6" spans="1:2" x14ac:dyDescent="0.3">
      <c r="A176" s="1" t="str">
        <f t="shared" si="2"/>
        <v/>
      </c>
      <c r="B1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7" spans="1:2" x14ac:dyDescent="0.3">
      <c r="A177" s="1" t="str">
        <f t="shared" si="2"/>
        <v/>
      </c>
      <c r="B1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8" spans="1:2" x14ac:dyDescent="0.3">
      <c r="A178" s="1" t="str">
        <f t="shared" si="2"/>
        <v/>
      </c>
      <c r="B1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9" spans="1:2" x14ac:dyDescent="0.3">
      <c r="A179" s="1" t="str">
        <f t="shared" si="2"/>
        <v/>
      </c>
      <c r="B1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0" spans="1:2" x14ac:dyDescent="0.3">
      <c r="A180" s="1" t="str">
        <f t="shared" si="2"/>
        <v/>
      </c>
      <c r="B1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1" spans="1:2" x14ac:dyDescent="0.3">
      <c r="A181" s="1" t="str">
        <f t="shared" si="2"/>
        <v/>
      </c>
      <c r="B1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2" spans="1:2" x14ac:dyDescent="0.3">
      <c r="A182" s="1" t="str">
        <f t="shared" si="2"/>
        <v/>
      </c>
      <c r="B1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3" spans="1:2" x14ac:dyDescent="0.3">
      <c r="A183" s="1" t="str">
        <f t="shared" si="2"/>
        <v/>
      </c>
      <c r="B1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4" spans="1:2" x14ac:dyDescent="0.3">
      <c r="A184" s="1" t="str">
        <f t="shared" si="2"/>
        <v/>
      </c>
      <c r="B1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5" spans="1:2" x14ac:dyDescent="0.3">
      <c r="A185" s="1" t="str">
        <f t="shared" si="2"/>
        <v/>
      </c>
      <c r="B1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6" spans="1:2" x14ac:dyDescent="0.3">
      <c r="A186" s="1" t="str">
        <f t="shared" si="2"/>
        <v/>
      </c>
      <c r="B1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7" spans="1:2" x14ac:dyDescent="0.3">
      <c r="A187" s="1" t="str">
        <f t="shared" si="2"/>
        <v/>
      </c>
      <c r="B1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8" spans="1:2" x14ac:dyDescent="0.3">
      <c r="A188" s="1" t="str">
        <f t="shared" si="2"/>
        <v/>
      </c>
      <c r="B1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9" spans="1:2" x14ac:dyDescent="0.3">
      <c r="A189" s="1" t="str">
        <f t="shared" si="2"/>
        <v/>
      </c>
      <c r="B1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0" spans="1:2" x14ac:dyDescent="0.3">
      <c r="A190" s="1" t="str">
        <f t="shared" si="2"/>
        <v/>
      </c>
      <c r="B1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1" spans="1:2" x14ac:dyDescent="0.3">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2" spans="1:2" x14ac:dyDescent="0.3">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3" spans="1:2" x14ac:dyDescent="0.3">
      <c r="A193" s="1" t="str">
        <f t="shared" si="2"/>
        <v/>
      </c>
      <c r="B1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4" spans="1:2" x14ac:dyDescent="0.3">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5" spans="1:2" x14ac:dyDescent="0.3">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6" spans="1:2" x14ac:dyDescent="0.3">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7" spans="1:2" x14ac:dyDescent="0.3">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8" spans="1:2" x14ac:dyDescent="0.3">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9" spans="1:2" x14ac:dyDescent="0.3">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0" spans="1:2" x14ac:dyDescent="0.3">
      <c r="A200" s="1" t="str">
        <f t="shared" si="3"/>
        <v/>
      </c>
      <c r="B2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1" spans="1:2" x14ac:dyDescent="0.3">
      <c r="A201" s="1" t="str">
        <f t="shared" si="3"/>
        <v/>
      </c>
      <c r="B2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2" spans="1:2" x14ac:dyDescent="0.3">
      <c r="A202" s="1" t="str">
        <f t="shared" si="3"/>
        <v/>
      </c>
      <c r="B2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3" spans="1:2" x14ac:dyDescent="0.3">
      <c r="A203" s="1" t="str">
        <f t="shared" si="3"/>
        <v/>
      </c>
      <c r="B2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4" spans="1:2" x14ac:dyDescent="0.3">
      <c r="A204" s="1" t="str">
        <f t="shared" si="3"/>
        <v/>
      </c>
      <c r="B2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5" spans="1:2" x14ac:dyDescent="0.3">
      <c r="A205" s="1" t="str">
        <f t="shared" si="3"/>
        <v/>
      </c>
      <c r="B2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6" spans="1:2" x14ac:dyDescent="0.3">
      <c r="A206" s="1" t="str">
        <f t="shared" si="3"/>
        <v/>
      </c>
      <c r="B2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7" spans="1:2" x14ac:dyDescent="0.3">
      <c r="A207" s="1" t="str">
        <f t="shared" si="3"/>
        <v/>
      </c>
      <c r="B2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8" spans="1:2" x14ac:dyDescent="0.3">
      <c r="A208" s="1" t="str">
        <f t="shared" si="3"/>
        <v/>
      </c>
      <c r="B2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9" spans="1:2" x14ac:dyDescent="0.3">
      <c r="A209" s="1" t="str">
        <f t="shared" si="3"/>
        <v/>
      </c>
      <c r="B2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0" spans="1:2" x14ac:dyDescent="0.3">
      <c r="A210" s="1" t="str">
        <f t="shared" si="3"/>
        <v/>
      </c>
      <c r="B2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1" spans="1:2" x14ac:dyDescent="0.3">
      <c r="A211" s="1" t="str">
        <f t="shared" si="3"/>
        <v/>
      </c>
      <c r="B2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2" spans="1:2" x14ac:dyDescent="0.3">
      <c r="A212" s="1" t="str">
        <f t="shared" si="3"/>
        <v/>
      </c>
      <c r="B2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3" spans="1:2" x14ac:dyDescent="0.3">
      <c r="A213" s="1" t="str">
        <f t="shared" si="3"/>
        <v/>
      </c>
      <c r="B2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4" spans="1:2" x14ac:dyDescent="0.3">
      <c r="A214" s="1" t="str">
        <f t="shared" si="3"/>
        <v/>
      </c>
      <c r="B2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5" spans="1:2" x14ac:dyDescent="0.3">
      <c r="A215" s="1" t="str">
        <f t="shared" si="3"/>
        <v/>
      </c>
      <c r="B2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6" spans="1:2" x14ac:dyDescent="0.3">
      <c r="A216" s="1" t="str">
        <f t="shared" si="3"/>
        <v/>
      </c>
      <c r="B2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7" spans="1:2" x14ac:dyDescent="0.3">
      <c r="A217" s="1" t="str">
        <f t="shared" si="3"/>
        <v/>
      </c>
      <c r="B2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8" spans="1:2" x14ac:dyDescent="0.3">
      <c r="A218" s="1" t="str">
        <f t="shared" si="3"/>
        <v/>
      </c>
      <c r="B2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9" spans="1:2" x14ac:dyDescent="0.3">
      <c r="A219" s="1" t="str">
        <f t="shared" si="3"/>
        <v/>
      </c>
      <c r="B2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0" spans="1:2" x14ac:dyDescent="0.3">
      <c r="A220" s="1" t="str">
        <f t="shared" si="3"/>
        <v/>
      </c>
      <c r="B2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1" spans="1:2" x14ac:dyDescent="0.3">
      <c r="A221" s="1" t="str">
        <f t="shared" si="3"/>
        <v/>
      </c>
      <c r="B2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2" spans="1:2" x14ac:dyDescent="0.3">
      <c r="A222" s="1" t="str">
        <f t="shared" si="3"/>
        <v/>
      </c>
      <c r="B2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3" spans="1:2" x14ac:dyDescent="0.3">
      <c r="A223" s="1" t="str">
        <f t="shared" si="3"/>
        <v/>
      </c>
      <c r="B2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4" spans="1:2" x14ac:dyDescent="0.3">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5" spans="1:2" x14ac:dyDescent="0.3">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6" spans="1:2" x14ac:dyDescent="0.3">
      <c r="A226" s="1" t="str">
        <f t="shared" si="3"/>
        <v/>
      </c>
      <c r="B2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7" spans="1:2" x14ac:dyDescent="0.3">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8" spans="1:2" x14ac:dyDescent="0.3">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9" spans="1:2" x14ac:dyDescent="0.3">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0" spans="1:2" x14ac:dyDescent="0.3">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1" spans="1:2" x14ac:dyDescent="0.3">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2" spans="1:2" x14ac:dyDescent="0.3">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3" spans="1:2" x14ac:dyDescent="0.3">
      <c r="A233" s="1" t="str">
        <f t="shared" si="3"/>
        <v/>
      </c>
      <c r="B2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4" spans="1:2" x14ac:dyDescent="0.3">
      <c r="A234" s="1" t="str">
        <f t="shared" si="3"/>
        <v/>
      </c>
      <c r="B2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5" spans="1:2" x14ac:dyDescent="0.3">
      <c r="A235" s="1" t="str">
        <f t="shared" si="3"/>
        <v/>
      </c>
      <c r="B2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6" spans="1:2" x14ac:dyDescent="0.3">
      <c r="A236" s="1" t="str">
        <f t="shared" si="3"/>
        <v/>
      </c>
      <c r="B2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7" spans="1:2" x14ac:dyDescent="0.3">
      <c r="A237" s="1" t="str">
        <f t="shared" si="3"/>
        <v/>
      </c>
      <c r="B2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8" spans="1:2" x14ac:dyDescent="0.3">
      <c r="A238" s="1" t="str">
        <f t="shared" si="3"/>
        <v/>
      </c>
      <c r="B2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9" spans="1:2" x14ac:dyDescent="0.3">
      <c r="A239" s="1" t="str">
        <f t="shared" si="3"/>
        <v/>
      </c>
      <c r="B2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0" spans="1:2" x14ac:dyDescent="0.3">
      <c r="A240" s="1" t="str">
        <f t="shared" si="3"/>
        <v/>
      </c>
      <c r="B2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1" spans="1:2" x14ac:dyDescent="0.3">
      <c r="A241" s="1" t="str">
        <f t="shared" si="3"/>
        <v/>
      </c>
      <c r="B2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2" spans="1:2" x14ac:dyDescent="0.3">
      <c r="A242" s="1" t="str">
        <f t="shared" si="3"/>
        <v/>
      </c>
      <c r="B2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3" spans="1:2" x14ac:dyDescent="0.3">
      <c r="A243" s="1" t="str">
        <f t="shared" si="3"/>
        <v/>
      </c>
      <c r="B2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4" spans="1:2" x14ac:dyDescent="0.3">
      <c r="A244" s="1" t="str">
        <f t="shared" si="3"/>
        <v/>
      </c>
      <c r="B2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5" spans="1:2" x14ac:dyDescent="0.3">
      <c r="A245" s="1" t="str">
        <f t="shared" si="3"/>
        <v/>
      </c>
      <c r="B2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6" spans="1:2" x14ac:dyDescent="0.3">
      <c r="A246" s="1" t="str">
        <f t="shared" si="3"/>
        <v/>
      </c>
      <c r="B2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7" spans="1:2" x14ac:dyDescent="0.3">
      <c r="A247" s="1" t="str">
        <f t="shared" si="3"/>
        <v/>
      </c>
      <c r="B2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8" spans="1:2" x14ac:dyDescent="0.3">
      <c r="A248" s="1" t="str">
        <f t="shared" si="3"/>
        <v/>
      </c>
      <c r="B2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9" spans="1:2" x14ac:dyDescent="0.3">
      <c r="A249" s="1" t="str">
        <f t="shared" si="3"/>
        <v/>
      </c>
      <c r="B2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0" spans="1:2" x14ac:dyDescent="0.3">
      <c r="A250" s="1" t="str">
        <f t="shared" si="3"/>
        <v/>
      </c>
      <c r="B2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1" spans="1:2" x14ac:dyDescent="0.3">
      <c r="A251" s="1" t="str">
        <f t="shared" si="3"/>
        <v/>
      </c>
      <c r="B2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2" spans="1:2" x14ac:dyDescent="0.3">
      <c r="A252" s="1" t="str">
        <f t="shared" si="3"/>
        <v/>
      </c>
      <c r="B2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3" spans="1:2" x14ac:dyDescent="0.3">
      <c r="A253" s="1" t="str">
        <f t="shared" si="3"/>
        <v/>
      </c>
      <c r="B2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4" spans="1:2" x14ac:dyDescent="0.3">
      <c r="A254" s="1" t="str">
        <f t="shared" si="3"/>
        <v/>
      </c>
      <c r="B2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5" spans="1:2" x14ac:dyDescent="0.3">
      <c r="A255" s="1" t="str">
        <f t="shared" si="3"/>
        <v/>
      </c>
      <c r="B2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6" spans="1:2" x14ac:dyDescent="0.3">
      <c r="A256" s="1" t="str">
        <f t="shared" si="3"/>
        <v/>
      </c>
      <c r="B2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7" spans="1:2" x14ac:dyDescent="0.3">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8" spans="1:2" x14ac:dyDescent="0.3">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9" spans="1:2" x14ac:dyDescent="0.3">
      <c r="A259" s="1" t="str">
        <f t="shared" si="4"/>
        <v/>
      </c>
      <c r="B2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0" spans="1:2" x14ac:dyDescent="0.3">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1" spans="1:2" x14ac:dyDescent="0.3">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2" spans="1:2" x14ac:dyDescent="0.3">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3" spans="1:2" x14ac:dyDescent="0.3">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4" spans="1:2" x14ac:dyDescent="0.3">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5" spans="1:2" x14ac:dyDescent="0.3">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6" spans="1:2" x14ac:dyDescent="0.3">
      <c r="A266" s="1" t="str">
        <f t="shared" si="4"/>
        <v/>
      </c>
      <c r="B2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7" spans="1:2" x14ac:dyDescent="0.3">
      <c r="A267" s="1" t="str">
        <f t="shared" si="4"/>
        <v/>
      </c>
      <c r="B2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8" spans="1:2" x14ac:dyDescent="0.3">
      <c r="A268" s="1" t="str">
        <f t="shared" si="4"/>
        <v/>
      </c>
      <c r="B2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9" spans="1:2" x14ac:dyDescent="0.3">
      <c r="A269" s="1" t="str">
        <f t="shared" si="4"/>
        <v/>
      </c>
      <c r="B2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0" spans="1:2" x14ac:dyDescent="0.3">
      <c r="A270" s="1" t="str">
        <f t="shared" si="4"/>
        <v/>
      </c>
      <c r="B2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1" spans="1:2" x14ac:dyDescent="0.3">
      <c r="A271" s="1" t="str">
        <f t="shared" si="4"/>
        <v/>
      </c>
      <c r="B2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2" spans="1:2" x14ac:dyDescent="0.3">
      <c r="A272" s="1" t="str">
        <f t="shared" si="4"/>
        <v/>
      </c>
      <c r="B2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3" spans="1:2" x14ac:dyDescent="0.3">
      <c r="A273" s="1" t="str">
        <f t="shared" si="4"/>
        <v/>
      </c>
      <c r="B2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4" spans="1:2" x14ac:dyDescent="0.3">
      <c r="A274" s="1" t="str">
        <f t="shared" si="4"/>
        <v/>
      </c>
      <c r="B2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5" spans="1:2" x14ac:dyDescent="0.3">
      <c r="A275" s="1" t="str">
        <f t="shared" si="4"/>
        <v/>
      </c>
      <c r="B2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6" spans="1:2" x14ac:dyDescent="0.3">
      <c r="A276" s="1" t="str">
        <f t="shared" si="4"/>
        <v/>
      </c>
      <c r="B2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7" spans="1:2" x14ac:dyDescent="0.3">
      <c r="A277" s="1" t="str">
        <f t="shared" si="4"/>
        <v/>
      </c>
      <c r="B2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8" spans="1:2" x14ac:dyDescent="0.3">
      <c r="A278" s="1" t="str">
        <f t="shared" si="4"/>
        <v/>
      </c>
      <c r="B2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9" spans="1:2" x14ac:dyDescent="0.3">
      <c r="A279" s="1" t="str">
        <f t="shared" si="4"/>
        <v/>
      </c>
      <c r="B2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0" spans="1:2" x14ac:dyDescent="0.3">
      <c r="A280" s="1" t="str">
        <f t="shared" si="4"/>
        <v/>
      </c>
      <c r="B2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1" spans="1:2" x14ac:dyDescent="0.3">
      <c r="A281" s="1" t="str">
        <f t="shared" si="4"/>
        <v/>
      </c>
      <c r="B2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2" spans="1:2" x14ac:dyDescent="0.3">
      <c r="A282" s="1" t="str">
        <f t="shared" si="4"/>
        <v/>
      </c>
      <c r="B2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3" spans="1:2" x14ac:dyDescent="0.3">
      <c r="A283" s="1" t="str">
        <f t="shared" si="4"/>
        <v/>
      </c>
      <c r="B2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4" spans="1:2" x14ac:dyDescent="0.3">
      <c r="A284" s="1" t="str">
        <f t="shared" si="4"/>
        <v/>
      </c>
      <c r="B2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5" spans="1:2" x14ac:dyDescent="0.3">
      <c r="A285" s="1" t="str">
        <f t="shared" si="4"/>
        <v/>
      </c>
      <c r="B2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6" spans="1:2" x14ac:dyDescent="0.3">
      <c r="A286" s="1" t="str">
        <f t="shared" si="4"/>
        <v/>
      </c>
      <c r="B2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7" spans="1:2" x14ac:dyDescent="0.3">
      <c r="A287" s="1" t="str">
        <f t="shared" si="4"/>
        <v/>
      </c>
      <c r="B2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8" spans="1:2" x14ac:dyDescent="0.3">
      <c r="A288" s="1" t="str">
        <f t="shared" si="4"/>
        <v/>
      </c>
      <c r="B2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9" spans="1:2" x14ac:dyDescent="0.3">
      <c r="A289" s="1" t="str">
        <f t="shared" si="4"/>
        <v/>
      </c>
      <c r="B2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0" spans="1:2" x14ac:dyDescent="0.3">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1" spans="1:2" x14ac:dyDescent="0.3">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2" spans="1:2" x14ac:dyDescent="0.3">
      <c r="A292" s="1" t="str">
        <f t="shared" si="4"/>
        <v/>
      </c>
      <c r="B2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3" spans="1:2" x14ac:dyDescent="0.3">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4" spans="1:2" x14ac:dyDescent="0.3">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5" spans="1:2" x14ac:dyDescent="0.3">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6" spans="1:2" x14ac:dyDescent="0.3">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7" spans="1:2" x14ac:dyDescent="0.3">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8" spans="1:2" x14ac:dyDescent="0.3">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9" spans="1:2" x14ac:dyDescent="0.3">
      <c r="A299" s="1" t="str">
        <f t="shared" si="4"/>
        <v/>
      </c>
      <c r="B2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0" spans="1:2" x14ac:dyDescent="0.3">
      <c r="A300" s="1" t="str">
        <f t="shared" si="4"/>
        <v/>
      </c>
      <c r="B3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1" spans="1:2" x14ac:dyDescent="0.3">
      <c r="A301" s="1" t="str">
        <f t="shared" si="4"/>
        <v/>
      </c>
      <c r="B3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2" spans="1:2" x14ac:dyDescent="0.3">
      <c r="A302" s="1" t="str">
        <f t="shared" si="4"/>
        <v/>
      </c>
      <c r="B3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3" spans="1:2" x14ac:dyDescent="0.3">
      <c r="A303" s="1" t="str">
        <f t="shared" si="4"/>
        <v/>
      </c>
      <c r="B3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4" spans="1:2" x14ac:dyDescent="0.3">
      <c r="A304" s="1" t="str">
        <f t="shared" si="4"/>
        <v/>
      </c>
      <c r="B3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5" spans="1:2" x14ac:dyDescent="0.3">
      <c r="A305" s="1" t="str">
        <f t="shared" si="4"/>
        <v/>
      </c>
      <c r="B3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6" spans="1:2" x14ac:dyDescent="0.3">
      <c r="A306" s="1" t="str">
        <f t="shared" si="4"/>
        <v/>
      </c>
      <c r="B3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7" spans="1:2" x14ac:dyDescent="0.3">
      <c r="A307" s="1" t="str">
        <f t="shared" si="4"/>
        <v/>
      </c>
      <c r="B3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8" spans="1:2" x14ac:dyDescent="0.3">
      <c r="A308" s="1" t="str">
        <f t="shared" si="4"/>
        <v/>
      </c>
      <c r="B3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9" spans="1:2" x14ac:dyDescent="0.3">
      <c r="A309" s="1" t="str">
        <f t="shared" si="4"/>
        <v/>
      </c>
      <c r="B3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0" spans="1:2" x14ac:dyDescent="0.3">
      <c r="A310" s="1" t="str">
        <f t="shared" si="4"/>
        <v/>
      </c>
      <c r="B3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1" spans="1:2" x14ac:dyDescent="0.3">
      <c r="A311" s="1" t="str">
        <f t="shared" si="4"/>
        <v/>
      </c>
      <c r="B3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2" spans="1:2" x14ac:dyDescent="0.3">
      <c r="A312" s="1" t="str">
        <f t="shared" si="4"/>
        <v/>
      </c>
      <c r="B3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3" spans="1:2" x14ac:dyDescent="0.3">
      <c r="A313" s="1" t="str">
        <f t="shared" si="4"/>
        <v/>
      </c>
      <c r="B3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4" spans="1:2" x14ac:dyDescent="0.3">
      <c r="A314" s="1" t="str">
        <f t="shared" si="4"/>
        <v/>
      </c>
      <c r="B3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5" spans="1:2" x14ac:dyDescent="0.3">
      <c r="A315" s="1" t="str">
        <f t="shared" si="4"/>
        <v/>
      </c>
      <c r="B3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6" spans="1:2" x14ac:dyDescent="0.3">
      <c r="A316" s="1" t="str">
        <f t="shared" si="4"/>
        <v/>
      </c>
      <c r="B3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7" spans="1:2" x14ac:dyDescent="0.3">
      <c r="A317" s="1" t="str">
        <f t="shared" si="4"/>
        <v/>
      </c>
      <c r="B3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8" spans="1:2" x14ac:dyDescent="0.3">
      <c r="A318" s="1" t="str">
        <f t="shared" si="4"/>
        <v/>
      </c>
      <c r="B3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9" spans="1:2" x14ac:dyDescent="0.3">
      <c r="A319" s="1" t="str">
        <f t="shared" si="4"/>
        <v/>
      </c>
      <c r="B3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0" spans="1:2" x14ac:dyDescent="0.3">
      <c r="A320" s="1" t="str">
        <f t="shared" si="4"/>
        <v/>
      </c>
      <c r="B3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1" spans="1:2" x14ac:dyDescent="0.3">
      <c r="A321" s="1" t="str">
        <f t="shared" si="4"/>
        <v/>
      </c>
      <c r="B3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2" spans="1:2" x14ac:dyDescent="0.3">
      <c r="A322" s="1" t="str">
        <f t="shared" ref="A322:A385" si="5">IFERROR(LEFT(RIGHT(C322,LEN(C322)-SEARCH("@",C322)),SEARCH("/",RIGHT(C322,LEN(C322)-SEARCH("@",C322)-1))),"")</f>
        <v/>
      </c>
      <c r="B3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3" spans="1:2" x14ac:dyDescent="0.3">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4" spans="1:2" x14ac:dyDescent="0.3">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5" spans="1:2" x14ac:dyDescent="0.3">
      <c r="A325" s="1" t="str">
        <f t="shared" si="5"/>
        <v/>
      </c>
      <c r="B3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6" spans="1:2" x14ac:dyDescent="0.3">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7" spans="1:2" x14ac:dyDescent="0.3">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8" spans="1:2" x14ac:dyDescent="0.3">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9" spans="1:2" x14ac:dyDescent="0.3">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0" spans="1:2" x14ac:dyDescent="0.3">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1" spans="1:2" x14ac:dyDescent="0.3">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2" spans="1:2" x14ac:dyDescent="0.3">
      <c r="A332" s="1" t="str">
        <f t="shared" si="5"/>
        <v/>
      </c>
      <c r="B3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3" spans="1:2" x14ac:dyDescent="0.3">
      <c r="A333" s="1" t="str">
        <f t="shared" si="5"/>
        <v/>
      </c>
      <c r="B3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4" spans="1:2" x14ac:dyDescent="0.3">
      <c r="A334" s="1" t="str">
        <f t="shared" si="5"/>
        <v/>
      </c>
      <c r="B3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5" spans="1:2" x14ac:dyDescent="0.3">
      <c r="A335" s="1" t="str">
        <f t="shared" si="5"/>
        <v/>
      </c>
      <c r="B3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6" spans="1:2" x14ac:dyDescent="0.3">
      <c r="A336" s="1" t="str">
        <f t="shared" si="5"/>
        <v/>
      </c>
      <c r="B3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7" spans="1:2" x14ac:dyDescent="0.3">
      <c r="A337" s="1" t="str">
        <f t="shared" si="5"/>
        <v/>
      </c>
      <c r="B3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8" spans="1:2" x14ac:dyDescent="0.3">
      <c r="A338" s="1" t="str">
        <f t="shared" si="5"/>
        <v/>
      </c>
      <c r="B3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9" spans="1:2" x14ac:dyDescent="0.3">
      <c r="A339" s="1" t="str">
        <f t="shared" si="5"/>
        <v/>
      </c>
      <c r="B3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0" spans="1:2" x14ac:dyDescent="0.3">
      <c r="A340" s="1" t="str">
        <f t="shared" si="5"/>
        <v/>
      </c>
      <c r="B3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1" spans="1:2" x14ac:dyDescent="0.3">
      <c r="A341" s="1" t="str">
        <f t="shared" si="5"/>
        <v/>
      </c>
      <c r="B3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2" spans="1:2" x14ac:dyDescent="0.3">
      <c r="A342" s="1" t="str">
        <f t="shared" si="5"/>
        <v/>
      </c>
      <c r="B3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3" spans="1:2" x14ac:dyDescent="0.3">
      <c r="A343" s="1" t="str">
        <f t="shared" si="5"/>
        <v/>
      </c>
      <c r="B3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4" spans="1:2" x14ac:dyDescent="0.3">
      <c r="A344" s="1" t="str">
        <f t="shared" si="5"/>
        <v/>
      </c>
      <c r="B3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5" spans="1:2" x14ac:dyDescent="0.3">
      <c r="A345" s="1" t="str">
        <f t="shared" si="5"/>
        <v/>
      </c>
      <c r="B3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6" spans="1:2" x14ac:dyDescent="0.3">
      <c r="A346" s="1" t="str">
        <f t="shared" si="5"/>
        <v/>
      </c>
      <c r="B3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7" spans="1:2" x14ac:dyDescent="0.3">
      <c r="A347" s="1" t="str">
        <f t="shared" si="5"/>
        <v/>
      </c>
      <c r="B3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8" spans="1:2" x14ac:dyDescent="0.3">
      <c r="A348" s="1" t="str">
        <f t="shared" si="5"/>
        <v/>
      </c>
      <c r="B3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9" spans="1:2" x14ac:dyDescent="0.3">
      <c r="A349" s="1" t="str">
        <f t="shared" si="5"/>
        <v/>
      </c>
      <c r="B3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0" spans="1:2" x14ac:dyDescent="0.3">
      <c r="A350" s="1" t="str">
        <f t="shared" si="5"/>
        <v/>
      </c>
      <c r="B3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1" spans="1:2" x14ac:dyDescent="0.3">
      <c r="A351" s="1" t="str">
        <f t="shared" si="5"/>
        <v/>
      </c>
      <c r="B3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2" spans="1:2" x14ac:dyDescent="0.3">
      <c r="A352" s="1" t="str">
        <f t="shared" si="5"/>
        <v/>
      </c>
      <c r="B3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3" spans="1:2" x14ac:dyDescent="0.3">
      <c r="A353" s="1" t="str">
        <f t="shared" si="5"/>
        <v/>
      </c>
      <c r="B3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4" spans="1:2" x14ac:dyDescent="0.3">
      <c r="A354" s="1" t="str">
        <f t="shared" si="5"/>
        <v/>
      </c>
      <c r="B3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5" spans="1:2" x14ac:dyDescent="0.3">
      <c r="A355" s="1" t="str">
        <f t="shared" si="5"/>
        <v/>
      </c>
      <c r="B3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6" spans="1:2" x14ac:dyDescent="0.3">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7" spans="1:2" x14ac:dyDescent="0.3">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8" spans="1:2" x14ac:dyDescent="0.3">
      <c r="A358" s="1" t="str">
        <f t="shared" si="5"/>
        <v/>
      </c>
      <c r="B3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9" spans="1:2" x14ac:dyDescent="0.3">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0" spans="1:2" x14ac:dyDescent="0.3">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1" spans="1:2" x14ac:dyDescent="0.3">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2" spans="1:2" x14ac:dyDescent="0.3">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3" spans="1:2" x14ac:dyDescent="0.3">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4" spans="1:2" x14ac:dyDescent="0.3">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5" spans="1:2" x14ac:dyDescent="0.3">
      <c r="A365" s="1" t="str">
        <f t="shared" si="5"/>
        <v/>
      </c>
      <c r="B3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6" spans="1:2" x14ac:dyDescent="0.3">
      <c r="A366" s="1" t="str">
        <f t="shared" si="5"/>
        <v/>
      </c>
      <c r="B3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7" spans="1:2" x14ac:dyDescent="0.3">
      <c r="A367" s="1" t="str">
        <f t="shared" si="5"/>
        <v/>
      </c>
      <c r="B3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8" spans="1:2" x14ac:dyDescent="0.3">
      <c r="A368" s="1" t="str">
        <f t="shared" si="5"/>
        <v/>
      </c>
      <c r="B3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9" spans="1:2" x14ac:dyDescent="0.3">
      <c r="A369" s="1" t="str">
        <f t="shared" si="5"/>
        <v/>
      </c>
      <c r="B3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0" spans="1:2" x14ac:dyDescent="0.3">
      <c r="A370" s="1" t="str">
        <f t="shared" si="5"/>
        <v/>
      </c>
      <c r="B3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1" spans="1:2" x14ac:dyDescent="0.3">
      <c r="A371" s="1" t="str">
        <f t="shared" si="5"/>
        <v/>
      </c>
      <c r="B3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2" spans="1:2" x14ac:dyDescent="0.3">
      <c r="A372" s="1" t="str">
        <f t="shared" si="5"/>
        <v/>
      </c>
      <c r="B3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3" spans="1:2" x14ac:dyDescent="0.3">
      <c r="A373" s="1" t="str">
        <f t="shared" si="5"/>
        <v/>
      </c>
      <c r="B3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4" spans="1:2" x14ac:dyDescent="0.3">
      <c r="A374" s="1" t="str">
        <f t="shared" si="5"/>
        <v/>
      </c>
      <c r="B3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5" spans="1:2" x14ac:dyDescent="0.3">
      <c r="A375" s="1" t="str">
        <f t="shared" si="5"/>
        <v/>
      </c>
      <c r="B3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6" spans="1:2" x14ac:dyDescent="0.3">
      <c r="A376" s="1" t="str">
        <f t="shared" si="5"/>
        <v/>
      </c>
      <c r="B3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7" spans="1:2" x14ac:dyDescent="0.3">
      <c r="A377" s="1" t="str">
        <f t="shared" si="5"/>
        <v/>
      </c>
      <c r="B3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8" spans="1:2" x14ac:dyDescent="0.3">
      <c r="A378" s="1" t="str">
        <f t="shared" si="5"/>
        <v/>
      </c>
      <c r="B3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9" spans="1:2" x14ac:dyDescent="0.3">
      <c r="A379" s="1" t="str">
        <f t="shared" si="5"/>
        <v/>
      </c>
      <c r="B3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0" spans="1:2" x14ac:dyDescent="0.3">
      <c r="A380" s="1" t="str">
        <f t="shared" si="5"/>
        <v/>
      </c>
      <c r="B3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1" spans="1:2" x14ac:dyDescent="0.3">
      <c r="A381" s="1" t="str">
        <f t="shared" si="5"/>
        <v/>
      </c>
      <c r="B3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2" spans="1:2" x14ac:dyDescent="0.3">
      <c r="A382" s="1" t="str">
        <f t="shared" si="5"/>
        <v/>
      </c>
      <c r="B3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3" spans="1:2" x14ac:dyDescent="0.3">
      <c r="A383" s="1" t="str">
        <f t="shared" si="5"/>
        <v/>
      </c>
      <c r="B3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4" spans="1:2" x14ac:dyDescent="0.3">
      <c r="A384" s="1" t="str">
        <f t="shared" si="5"/>
        <v/>
      </c>
      <c r="B3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5" spans="1:2" x14ac:dyDescent="0.3">
      <c r="A385" s="1" t="str">
        <f t="shared" si="5"/>
        <v/>
      </c>
      <c r="B3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6" spans="1:2" x14ac:dyDescent="0.3">
      <c r="A386" s="1" t="str">
        <f t="shared" ref="A386:A449" si="6">IFERROR(LEFT(RIGHT(C386,LEN(C386)-SEARCH("@",C386)),SEARCH("/",RIGHT(C386,LEN(C386)-SEARCH("@",C386)-1))),"")</f>
        <v/>
      </c>
      <c r="B3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7" spans="1:2" x14ac:dyDescent="0.3">
      <c r="A387" s="1" t="str">
        <f t="shared" si="6"/>
        <v/>
      </c>
      <c r="B3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8" spans="1:2" x14ac:dyDescent="0.3">
      <c r="A388" s="1" t="str">
        <f t="shared" si="6"/>
        <v/>
      </c>
      <c r="B3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9" spans="1:2" x14ac:dyDescent="0.3">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0" spans="1:2" x14ac:dyDescent="0.3">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1" spans="1:2" x14ac:dyDescent="0.3">
      <c r="A391" s="1" t="str">
        <f t="shared" si="6"/>
        <v/>
      </c>
      <c r="B3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2" spans="1:2" x14ac:dyDescent="0.3">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3" spans="1:2" x14ac:dyDescent="0.3">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4" spans="1:2" x14ac:dyDescent="0.3">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5" spans="1:2" x14ac:dyDescent="0.3">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6" spans="1:2" x14ac:dyDescent="0.3">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7" spans="1:2" x14ac:dyDescent="0.3">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8" spans="1:2" x14ac:dyDescent="0.3">
      <c r="A398" s="1" t="str">
        <f t="shared" si="6"/>
        <v/>
      </c>
      <c r="B3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9" spans="1:2" x14ac:dyDescent="0.3">
      <c r="A399" s="1" t="str">
        <f t="shared" si="6"/>
        <v/>
      </c>
      <c r="B3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0" spans="1:2" x14ac:dyDescent="0.3">
      <c r="A400" s="1" t="str">
        <f t="shared" si="6"/>
        <v/>
      </c>
      <c r="B4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1" spans="1:2" x14ac:dyDescent="0.3">
      <c r="A401" s="1" t="str">
        <f t="shared" si="6"/>
        <v/>
      </c>
      <c r="B4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2" spans="1:2" x14ac:dyDescent="0.3">
      <c r="A402" s="1" t="str">
        <f t="shared" si="6"/>
        <v/>
      </c>
      <c r="B4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3" spans="1:2" x14ac:dyDescent="0.3">
      <c r="A403" s="1" t="str">
        <f t="shared" si="6"/>
        <v/>
      </c>
      <c r="B4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4" spans="1:2" x14ac:dyDescent="0.3">
      <c r="A404" s="1" t="str">
        <f t="shared" si="6"/>
        <v/>
      </c>
      <c r="B4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5" spans="1:2" x14ac:dyDescent="0.3">
      <c r="A405" s="1" t="str">
        <f t="shared" si="6"/>
        <v/>
      </c>
      <c r="B4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6" spans="1:2" x14ac:dyDescent="0.3">
      <c r="A406" s="1" t="str">
        <f t="shared" si="6"/>
        <v/>
      </c>
      <c r="B4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7" spans="1:2" x14ac:dyDescent="0.3">
      <c r="A407" s="1" t="str">
        <f t="shared" si="6"/>
        <v/>
      </c>
      <c r="B4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8" spans="1:2" x14ac:dyDescent="0.3">
      <c r="A408" s="1" t="str">
        <f t="shared" si="6"/>
        <v/>
      </c>
      <c r="B4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9" spans="1:2" x14ac:dyDescent="0.3">
      <c r="A409" s="1" t="str">
        <f t="shared" si="6"/>
        <v/>
      </c>
      <c r="B4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0" spans="1:2" x14ac:dyDescent="0.3">
      <c r="A410" s="1" t="str">
        <f t="shared" si="6"/>
        <v/>
      </c>
      <c r="B4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1" spans="1:2" x14ac:dyDescent="0.3">
      <c r="A411" s="1" t="str">
        <f t="shared" si="6"/>
        <v/>
      </c>
      <c r="B4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2" spans="1:2" x14ac:dyDescent="0.3">
      <c r="A412" s="1" t="str">
        <f t="shared" si="6"/>
        <v/>
      </c>
      <c r="B4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3" spans="1:2" x14ac:dyDescent="0.3">
      <c r="A413" s="1" t="str">
        <f t="shared" si="6"/>
        <v/>
      </c>
      <c r="B4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4" spans="1:2" x14ac:dyDescent="0.3">
      <c r="A414" s="1" t="str">
        <f t="shared" si="6"/>
        <v/>
      </c>
      <c r="B4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5" spans="1:2" x14ac:dyDescent="0.3">
      <c r="A415" s="1" t="str">
        <f t="shared" si="6"/>
        <v/>
      </c>
      <c r="B4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6" spans="1:2" x14ac:dyDescent="0.3">
      <c r="A416" s="1" t="str">
        <f t="shared" si="6"/>
        <v/>
      </c>
      <c r="B4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7" spans="1:2" x14ac:dyDescent="0.3">
      <c r="A417" s="1" t="str">
        <f t="shared" si="6"/>
        <v/>
      </c>
      <c r="B4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8" spans="1:2" x14ac:dyDescent="0.3">
      <c r="A418" s="1" t="str">
        <f t="shared" si="6"/>
        <v/>
      </c>
      <c r="B4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9" spans="1:2" x14ac:dyDescent="0.3">
      <c r="A419" s="1" t="str">
        <f t="shared" si="6"/>
        <v/>
      </c>
      <c r="B4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0" spans="1:2" x14ac:dyDescent="0.3">
      <c r="A420" s="1" t="str">
        <f t="shared" si="6"/>
        <v/>
      </c>
      <c r="B4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1" spans="1:2" x14ac:dyDescent="0.3">
      <c r="A421" s="1" t="str">
        <f t="shared" si="6"/>
        <v/>
      </c>
      <c r="B4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2" spans="1:2" x14ac:dyDescent="0.3">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3" spans="1:2" x14ac:dyDescent="0.3">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4" spans="1:2" x14ac:dyDescent="0.3">
      <c r="A424" s="1" t="str">
        <f t="shared" si="6"/>
        <v/>
      </c>
      <c r="B4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5" spans="1:2" x14ac:dyDescent="0.3">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6" spans="1:2" x14ac:dyDescent="0.3">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7" spans="1:2" x14ac:dyDescent="0.3">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8" spans="1:2" x14ac:dyDescent="0.3">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9" spans="1:2" x14ac:dyDescent="0.3">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0" spans="1:2" x14ac:dyDescent="0.3">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1" spans="1:2" x14ac:dyDescent="0.3">
      <c r="A431" s="1" t="str">
        <f t="shared" si="6"/>
        <v/>
      </c>
      <c r="B4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2" spans="1:2" x14ac:dyDescent="0.3">
      <c r="A432" s="1" t="str">
        <f t="shared" si="6"/>
        <v/>
      </c>
      <c r="B4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3" spans="1:2" x14ac:dyDescent="0.3">
      <c r="A433" s="1" t="str">
        <f t="shared" si="6"/>
        <v/>
      </c>
      <c r="B4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4" spans="1:2" x14ac:dyDescent="0.3">
      <c r="A434" s="1" t="str">
        <f t="shared" si="6"/>
        <v/>
      </c>
      <c r="B4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5" spans="1:2" x14ac:dyDescent="0.3">
      <c r="A435" s="1" t="str">
        <f t="shared" si="6"/>
        <v/>
      </c>
      <c r="B4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6" spans="1:2" x14ac:dyDescent="0.3">
      <c r="A436" s="1" t="str">
        <f t="shared" si="6"/>
        <v/>
      </c>
      <c r="B4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7" spans="1:2" x14ac:dyDescent="0.3">
      <c r="A437" s="1" t="str">
        <f t="shared" si="6"/>
        <v/>
      </c>
      <c r="B4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8" spans="1:2" x14ac:dyDescent="0.3">
      <c r="A438" s="1" t="str">
        <f t="shared" si="6"/>
        <v/>
      </c>
      <c r="B4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9" spans="1:2" x14ac:dyDescent="0.3">
      <c r="A439" s="1" t="str">
        <f t="shared" si="6"/>
        <v/>
      </c>
      <c r="B4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0" spans="1:2" x14ac:dyDescent="0.3">
      <c r="A440" s="1" t="str">
        <f t="shared" si="6"/>
        <v/>
      </c>
      <c r="B4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1" spans="1:2" x14ac:dyDescent="0.3">
      <c r="A441" s="1" t="str">
        <f t="shared" si="6"/>
        <v/>
      </c>
      <c r="B4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2" spans="1:2" x14ac:dyDescent="0.3">
      <c r="A442" s="1" t="str">
        <f t="shared" si="6"/>
        <v/>
      </c>
      <c r="B4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3" spans="1:2" x14ac:dyDescent="0.3">
      <c r="A443" s="1" t="str">
        <f t="shared" si="6"/>
        <v/>
      </c>
      <c r="B4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4" spans="1:2" x14ac:dyDescent="0.3">
      <c r="A444" s="1" t="str">
        <f t="shared" si="6"/>
        <v/>
      </c>
      <c r="B4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5" spans="1:2" x14ac:dyDescent="0.3">
      <c r="A445" s="1" t="str">
        <f t="shared" si="6"/>
        <v/>
      </c>
      <c r="B4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6" spans="1:2" x14ac:dyDescent="0.3">
      <c r="A446" s="1" t="str">
        <f t="shared" si="6"/>
        <v/>
      </c>
      <c r="B4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7" spans="1:2" x14ac:dyDescent="0.3">
      <c r="A447" s="1" t="str">
        <f t="shared" si="6"/>
        <v/>
      </c>
      <c r="B4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8" spans="1:2" x14ac:dyDescent="0.3">
      <c r="A448" s="1" t="str">
        <f t="shared" si="6"/>
        <v/>
      </c>
      <c r="B4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9" spans="1:2" x14ac:dyDescent="0.3">
      <c r="A449" s="1" t="str">
        <f t="shared" si="6"/>
        <v/>
      </c>
      <c r="B4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0" spans="1:2" x14ac:dyDescent="0.3">
      <c r="A450" s="1" t="str">
        <f t="shared" ref="A450:A513" si="7">IFERROR(LEFT(RIGHT(C450,LEN(C450)-SEARCH("@",C450)),SEARCH("/",RIGHT(C450,LEN(C450)-SEARCH("@",C450)-1))),"")</f>
        <v/>
      </c>
      <c r="B4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1" spans="1:2" x14ac:dyDescent="0.3">
      <c r="A451" s="1" t="str">
        <f t="shared" si="7"/>
        <v/>
      </c>
      <c r="B4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2" spans="1:2" x14ac:dyDescent="0.3">
      <c r="A452" s="1" t="str">
        <f t="shared" si="7"/>
        <v/>
      </c>
      <c r="B4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3" spans="1:2" x14ac:dyDescent="0.3">
      <c r="A453" s="1" t="str">
        <f t="shared" si="7"/>
        <v/>
      </c>
      <c r="B4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4" spans="1:2" x14ac:dyDescent="0.3">
      <c r="A454" s="1" t="str">
        <f t="shared" si="7"/>
        <v/>
      </c>
      <c r="B4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5" spans="1:2" x14ac:dyDescent="0.3">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6" spans="1:2" x14ac:dyDescent="0.3">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7" spans="1:2" x14ac:dyDescent="0.3">
      <c r="A457" s="1" t="str">
        <f t="shared" si="7"/>
        <v/>
      </c>
      <c r="B4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8" spans="1:2" x14ac:dyDescent="0.3">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9" spans="1:2" x14ac:dyDescent="0.3">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0" spans="1:2" x14ac:dyDescent="0.3">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1" spans="1:2" x14ac:dyDescent="0.3">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2" spans="1:2" x14ac:dyDescent="0.3">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3" spans="1:2" x14ac:dyDescent="0.3">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4" spans="1:2" x14ac:dyDescent="0.3">
      <c r="A464" s="1" t="str">
        <f t="shared" si="7"/>
        <v/>
      </c>
      <c r="B4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5" spans="1:2" x14ac:dyDescent="0.3">
      <c r="A465" s="1" t="str">
        <f t="shared" si="7"/>
        <v/>
      </c>
      <c r="B4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6" spans="1:2" x14ac:dyDescent="0.3">
      <c r="A466" s="1" t="str">
        <f t="shared" si="7"/>
        <v/>
      </c>
      <c r="B4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7" spans="1:2" x14ac:dyDescent="0.3">
      <c r="A467" s="1" t="str">
        <f t="shared" si="7"/>
        <v/>
      </c>
      <c r="B4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8" spans="1:2" x14ac:dyDescent="0.3">
      <c r="A468" s="1" t="str">
        <f t="shared" si="7"/>
        <v/>
      </c>
      <c r="B4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9" spans="1:2" x14ac:dyDescent="0.3">
      <c r="A469" s="1" t="str">
        <f t="shared" si="7"/>
        <v/>
      </c>
      <c r="B4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0" spans="1:2" x14ac:dyDescent="0.3">
      <c r="A470" s="1" t="str">
        <f t="shared" si="7"/>
        <v/>
      </c>
      <c r="B4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1" spans="1:2" x14ac:dyDescent="0.3">
      <c r="A471" s="1" t="str">
        <f t="shared" si="7"/>
        <v/>
      </c>
      <c r="B4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2" spans="1:2" x14ac:dyDescent="0.3">
      <c r="A472" s="1" t="str">
        <f t="shared" si="7"/>
        <v/>
      </c>
      <c r="B4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3" spans="1:2" x14ac:dyDescent="0.3">
      <c r="A473" s="1" t="str">
        <f t="shared" si="7"/>
        <v/>
      </c>
      <c r="B4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4" spans="1:2" x14ac:dyDescent="0.3">
      <c r="A474" s="1" t="str">
        <f t="shared" si="7"/>
        <v/>
      </c>
      <c r="B4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5" spans="1:2" x14ac:dyDescent="0.3">
      <c r="A475" s="1" t="str">
        <f t="shared" si="7"/>
        <v/>
      </c>
      <c r="B4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6" spans="1:2" x14ac:dyDescent="0.3">
      <c r="A476" s="1" t="str">
        <f t="shared" si="7"/>
        <v/>
      </c>
      <c r="B4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7" spans="1:2" x14ac:dyDescent="0.3">
      <c r="A477" s="1" t="str">
        <f t="shared" si="7"/>
        <v/>
      </c>
      <c r="B4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8" spans="1:2" x14ac:dyDescent="0.3">
      <c r="A478" s="1" t="str">
        <f t="shared" si="7"/>
        <v/>
      </c>
      <c r="B4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9" spans="1:2" x14ac:dyDescent="0.3">
      <c r="A479" s="1" t="str">
        <f t="shared" si="7"/>
        <v/>
      </c>
      <c r="B4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0" spans="1:2" x14ac:dyDescent="0.3">
      <c r="A480" s="1" t="str">
        <f t="shared" si="7"/>
        <v/>
      </c>
      <c r="B4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1" spans="1:2" x14ac:dyDescent="0.3">
      <c r="A481" s="1" t="str">
        <f t="shared" si="7"/>
        <v/>
      </c>
      <c r="B4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2" spans="1:2" x14ac:dyDescent="0.3">
      <c r="A482" s="1" t="str">
        <f t="shared" si="7"/>
        <v/>
      </c>
      <c r="B4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3" spans="1:2" x14ac:dyDescent="0.3">
      <c r="A483" s="1" t="str">
        <f t="shared" si="7"/>
        <v/>
      </c>
      <c r="B4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4" spans="1:2" x14ac:dyDescent="0.3">
      <c r="A484" s="1" t="str">
        <f t="shared" si="7"/>
        <v/>
      </c>
      <c r="B4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5" spans="1:2" x14ac:dyDescent="0.3">
      <c r="A485" s="1" t="str">
        <f t="shared" si="7"/>
        <v/>
      </c>
      <c r="B4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6" spans="1:2" x14ac:dyDescent="0.3">
      <c r="A486" s="1" t="str">
        <f t="shared" si="7"/>
        <v/>
      </c>
      <c r="B4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7" spans="1:2" x14ac:dyDescent="0.3">
      <c r="A487" s="1" t="str">
        <f t="shared" si="7"/>
        <v/>
      </c>
      <c r="B4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8" spans="1:2" x14ac:dyDescent="0.3">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9" spans="1:2" x14ac:dyDescent="0.3">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0" spans="1:2" x14ac:dyDescent="0.3">
      <c r="A490" s="1" t="str">
        <f t="shared" si="7"/>
        <v/>
      </c>
      <c r="B4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1" spans="1:2" x14ac:dyDescent="0.3">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2" spans="1:2" x14ac:dyDescent="0.3">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3" spans="1:2" x14ac:dyDescent="0.3">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4" spans="1:2" x14ac:dyDescent="0.3">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5" spans="1:2" x14ac:dyDescent="0.3">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6" spans="1:2" x14ac:dyDescent="0.3">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7" spans="1:2" x14ac:dyDescent="0.3">
      <c r="A497" s="1" t="str">
        <f t="shared" si="7"/>
        <v/>
      </c>
      <c r="B4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8" spans="1:2" x14ac:dyDescent="0.3">
      <c r="A498" s="1" t="str">
        <f t="shared" si="7"/>
        <v/>
      </c>
      <c r="B4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9" spans="1:2" x14ac:dyDescent="0.3">
      <c r="A499" s="1" t="str">
        <f t="shared" si="7"/>
        <v/>
      </c>
      <c r="B4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0" spans="1:2" x14ac:dyDescent="0.3">
      <c r="A500" s="1" t="str">
        <f t="shared" si="7"/>
        <v/>
      </c>
      <c r="B5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1" spans="1:2" x14ac:dyDescent="0.3">
      <c r="A501" s="1" t="str">
        <f t="shared" si="7"/>
        <v/>
      </c>
      <c r="B5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2" spans="1:2" x14ac:dyDescent="0.3">
      <c r="A502" s="1" t="str">
        <f t="shared" si="7"/>
        <v/>
      </c>
      <c r="B5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3" spans="1:2" x14ac:dyDescent="0.3">
      <c r="A503" s="1" t="str">
        <f t="shared" si="7"/>
        <v/>
      </c>
      <c r="B5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4" spans="1:2" x14ac:dyDescent="0.3">
      <c r="A504" s="1" t="str">
        <f t="shared" si="7"/>
        <v/>
      </c>
      <c r="B5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5" spans="1:2" x14ac:dyDescent="0.3">
      <c r="A505" s="1" t="str">
        <f t="shared" si="7"/>
        <v/>
      </c>
      <c r="B5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6" spans="1:2" x14ac:dyDescent="0.3">
      <c r="A506" s="1" t="str">
        <f t="shared" si="7"/>
        <v/>
      </c>
      <c r="B5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7" spans="1:2" x14ac:dyDescent="0.3">
      <c r="A507" s="1" t="str">
        <f t="shared" si="7"/>
        <v/>
      </c>
      <c r="B5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8" spans="1:2" x14ac:dyDescent="0.3">
      <c r="A508" s="1" t="str">
        <f t="shared" si="7"/>
        <v/>
      </c>
      <c r="B5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9" spans="1:2" x14ac:dyDescent="0.3">
      <c r="A509" s="1" t="str">
        <f t="shared" si="7"/>
        <v/>
      </c>
      <c r="B5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0" spans="1:2" x14ac:dyDescent="0.3">
      <c r="A510" s="1" t="str">
        <f t="shared" si="7"/>
        <v/>
      </c>
      <c r="B5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1" spans="1:2" x14ac:dyDescent="0.3">
      <c r="A511" s="1" t="str">
        <f t="shared" si="7"/>
        <v/>
      </c>
      <c r="B5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2" spans="1:2" x14ac:dyDescent="0.3">
      <c r="A512" s="1" t="str">
        <f t="shared" si="7"/>
        <v/>
      </c>
      <c r="B5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3" spans="1:2" x14ac:dyDescent="0.3">
      <c r="A513" s="1" t="str">
        <f t="shared" si="7"/>
        <v/>
      </c>
      <c r="B5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4" spans="1:2" x14ac:dyDescent="0.3">
      <c r="A514" s="1" t="str">
        <f t="shared" ref="A514:A577" si="8">IFERROR(LEFT(RIGHT(C514,LEN(C514)-SEARCH("@",C514)),SEARCH("/",RIGHT(C514,LEN(C514)-SEARCH("@",C514)-1))),"")</f>
        <v/>
      </c>
      <c r="B5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5" spans="1:2" x14ac:dyDescent="0.3">
      <c r="A515" s="1" t="str">
        <f t="shared" si="8"/>
        <v/>
      </c>
      <c r="B5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6" spans="1:2" x14ac:dyDescent="0.3">
      <c r="A516" s="1" t="str">
        <f t="shared" si="8"/>
        <v/>
      </c>
      <c r="B5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7" spans="1:2" x14ac:dyDescent="0.3">
      <c r="A517" s="1" t="str">
        <f t="shared" si="8"/>
        <v/>
      </c>
      <c r="B5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8" spans="1:2" x14ac:dyDescent="0.3">
      <c r="A518" s="1" t="str">
        <f t="shared" si="8"/>
        <v/>
      </c>
      <c r="B5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9" spans="1:2" x14ac:dyDescent="0.3">
      <c r="A519" s="1" t="str">
        <f t="shared" si="8"/>
        <v/>
      </c>
      <c r="B5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0" spans="1:2" x14ac:dyDescent="0.3">
      <c r="A520" s="1" t="str">
        <f t="shared" si="8"/>
        <v/>
      </c>
      <c r="B5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1" spans="1:2" x14ac:dyDescent="0.3">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2" spans="1:2" x14ac:dyDescent="0.3">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3" spans="1:2" x14ac:dyDescent="0.3">
      <c r="A523" s="1" t="str">
        <f t="shared" si="8"/>
        <v/>
      </c>
      <c r="B5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4" spans="1:2" x14ac:dyDescent="0.3">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5" spans="1:2" x14ac:dyDescent="0.3">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6" spans="1:2" x14ac:dyDescent="0.3">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7" spans="1:2" x14ac:dyDescent="0.3">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8" spans="1:2" x14ac:dyDescent="0.3">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9" spans="1:2" x14ac:dyDescent="0.3">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0" spans="1:2" x14ac:dyDescent="0.3">
      <c r="A530" s="1" t="str">
        <f t="shared" si="8"/>
        <v/>
      </c>
      <c r="B5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1" spans="1:2" x14ac:dyDescent="0.3">
      <c r="A531" s="1" t="str">
        <f t="shared" si="8"/>
        <v/>
      </c>
      <c r="B5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2" spans="1:2" x14ac:dyDescent="0.3">
      <c r="A532" s="1" t="str">
        <f t="shared" si="8"/>
        <v/>
      </c>
      <c r="B5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3" spans="1:2" x14ac:dyDescent="0.3">
      <c r="A533" s="1" t="str">
        <f t="shared" si="8"/>
        <v/>
      </c>
      <c r="B5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4" spans="1:2" x14ac:dyDescent="0.3">
      <c r="A534" s="1" t="str">
        <f t="shared" si="8"/>
        <v/>
      </c>
      <c r="B5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5" spans="1:2" x14ac:dyDescent="0.3">
      <c r="A535" s="1" t="str">
        <f t="shared" si="8"/>
        <v/>
      </c>
      <c r="B5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6" spans="1:2" x14ac:dyDescent="0.3">
      <c r="A536" s="1" t="str">
        <f t="shared" si="8"/>
        <v/>
      </c>
      <c r="B5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7" spans="1:2" x14ac:dyDescent="0.3">
      <c r="A537" s="1" t="str">
        <f t="shared" si="8"/>
        <v/>
      </c>
      <c r="B5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8" spans="1:2" x14ac:dyDescent="0.3">
      <c r="A538" s="1" t="str">
        <f t="shared" si="8"/>
        <v/>
      </c>
      <c r="B5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9" spans="1:2" x14ac:dyDescent="0.3">
      <c r="A539" s="1" t="str">
        <f t="shared" si="8"/>
        <v/>
      </c>
      <c r="B5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0" spans="1:2" x14ac:dyDescent="0.3">
      <c r="A540" s="1" t="str">
        <f t="shared" si="8"/>
        <v/>
      </c>
      <c r="B5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1" spans="1:2" x14ac:dyDescent="0.3">
      <c r="A541" s="1" t="str">
        <f t="shared" si="8"/>
        <v/>
      </c>
      <c r="B5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2" spans="1:2" x14ac:dyDescent="0.3">
      <c r="A542" s="1" t="str">
        <f t="shared" si="8"/>
        <v/>
      </c>
      <c r="B5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3" spans="1:2" x14ac:dyDescent="0.3">
      <c r="A543" s="1" t="str">
        <f t="shared" si="8"/>
        <v/>
      </c>
      <c r="B5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4" spans="1:2" x14ac:dyDescent="0.3">
      <c r="A544" s="1" t="str">
        <f t="shared" si="8"/>
        <v/>
      </c>
      <c r="B5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5" spans="1:2" x14ac:dyDescent="0.3">
      <c r="A545" s="1" t="str">
        <f t="shared" si="8"/>
        <v/>
      </c>
      <c r="B5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6" spans="1:2" x14ac:dyDescent="0.3">
      <c r="A546" s="1" t="str">
        <f t="shared" si="8"/>
        <v/>
      </c>
      <c r="B5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7" spans="1:2" x14ac:dyDescent="0.3">
      <c r="A547" s="1" t="str">
        <f t="shared" si="8"/>
        <v/>
      </c>
      <c r="B5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8" spans="1:2" x14ac:dyDescent="0.3">
      <c r="A548" s="1" t="str">
        <f t="shared" si="8"/>
        <v/>
      </c>
      <c r="B5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9" spans="1:2" x14ac:dyDescent="0.3">
      <c r="A549" s="1" t="str">
        <f t="shared" si="8"/>
        <v/>
      </c>
      <c r="B5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0" spans="1:2" x14ac:dyDescent="0.3">
      <c r="A550" s="1" t="str">
        <f t="shared" si="8"/>
        <v/>
      </c>
      <c r="B5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1" spans="1:2" x14ac:dyDescent="0.3">
      <c r="A551" s="1" t="str">
        <f t="shared" si="8"/>
        <v/>
      </c>
      <c r="B5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2" spans="1:2" x14ac:dyDescent="0.3">
      <c r="A552" s="1" t="str">
        <f t="shared" si="8"/>
        <v/>
      </c>
      <c r="B5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3" spans="1:2" x14ac:dyDescent="0.3">
      <c r="A553" s="1" t="str">
        <f t="shared" si="8"/>
        <v/>
      </c>
      <c r="B5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4" spans="1:2" x14ac:dyDescent="0.3">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5" spans="1:2" x14ac:dyDescent="0.3">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6" spans="1:2" x14ac:dyDescent="0.3">
      <c r="A556" s="1" t="str">
        <f t="shared" si="8"/>
        <v/>
      </c>
      <c r="B5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7" spans="1:2" x14ac:dyDescent="0.3">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8" spans="1:2" x14ac:dyDescent="0.3">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9" spans="1:2" x14ac:dyDescent="0.3">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0" spans="1:2" x14ac:dyDescent="0.3">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1" spans="1:2" x14ac:dyDescent="0.3">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2" spans="1:2" x14ac:dyDescent="0.3">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3" spans="1:2" x14ac:dyDescent="0.3">
      <c r="A563" s="1" t="str">
        <f t="shared" si="8"/>
        <v/>
      </c>
      <c r="B5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4" spans="1:2" x14ac:dyDescent="0.3">
      <c r="A564" s="1" t="str">
        <f t="shared" si="8"/>
        <v/>
      </c>
      <c r="B5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5" spans="1:2" x14ac:dyDescent="0.3">
      <c r="A565" s="1" t="str">
        <f t="shared" si="8"/>
        <v/>
      </c>
      <c r="B5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6" spans="1:2" x14ac:dyDescent="0.3">
      <c r="A566" s="1" t="str">
        <f t="shared" si="8"/>
        <v/>
      </c>
      <c r="B5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7" spans="1:2" x14ac:dyDescent="0.3">
      <c r="A567" s="1" t="str">
        <f t="shared" si="8"/>
        <v/>
      </c>
      <c r="B5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8" spans="1:2" x14ac:dyDescent="0.3">
      <c r="A568" s="1" t="str">
        <f t="shared" si="8"/>
        <v/>
      </c>
      <c r="B5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9" spans="1:2" x14ac:dyDescent="0.3">
      <c r="A569" s="1" t="str">
        <f t="shared" si="8"/>
        <v/>
      </c>
      <c r="B5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0" spans="1:2" x14ac:dyDescent="0.3">
      <c r="A570" s="1" t="str">
        <f t="shared" si="8"/>
        <v/>
      </c>
      <c r="B5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1" spans="1:2" x14ac:dyDescent="0.3">
      <c r="A571" s="1" t="str">
        <f t="shared" si="8"/>
        <v/>
      </c>
      <c r="B5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2" spans="1:2" x14ac:dyDescent="0.3">
      <c r="A572" s="1" t="str">
        <f t="shared" si="8"/>
        <v/>
      </c>
      <c r="B5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3" spans="1:2" x14ac:dyDescent="0.3">
      <c r="A573" s="1" t="str">
        <f t="shared" si="8"/>
        <v/>
      </c>
      <c r="B5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4" spans="1:2" x14ac:dyDescent="0.3">
      <c r="A574" s="1" t="str">
        <f t="shared" si="8"/>
        <v/>
      </c>
      <c r="B5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5" spans="1:2" x14ac:dyDescent="0.3">
      <c r="A575" s="1" t="str">
        <f t="shared" si="8"/>
        <v/>
      </c>
      <c r="B5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6" spans="1:2" x14ac:dyDescent="0.3">
      <c r="A576" s="1" t="str">
        <f t="shared" si="8"/>
        <v/>
      </c>
      <c r="B5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7" spans="1:2" x14ac:dyDescent="0.3">
      <c r="A577" s="1" t="str">
        <f t="shared" si="8"/>
        <v/>
      </c>
      <c r="B5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8" spans="1:2" x14ac:dyDescent="0.3">
      <c r="A578" s="1" t="str">
        <f t="shared" ref="A578:A641" si="9">IFERROR(LEFT(RIGHT(C578,LEN(C578)-SEARCH("@",C578)),SEARCH("/",RIGHT(C578,LEN(C578)-SEARCH("@",C578)-1))),"")</f>
        <v/>
      </c>
      <c r="B5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9" spans="1:2" x14ac:dyDescent="0.3">
      <c r="A579" s="1" t="str">
        <f t="shared" si="9"/>
        <v/>
      </c>
      <c r="B5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0" spans="1:2" x14ac:dyDescent="0.3">
      <c r="A580" s="1" t="str">
        <f t="shared" si="9"/>
        <v/>
      </c>
      <c r="B5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1" spans="1:2" x14ac:dyDescent="0.3">
      <c r="A581" s="1" t="str">
        <f t="shared" si="9"/>
        <v/>
      </c>
      <c r="B5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2" spans="1:2" x14ac:dyDescent="0.3">
      <c r="A582" s="1" t="str">
        <f t="shared" si="9"/>
        <v/>
      </c>
      <c r="B5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3" spans="1:2" x14ac:dyDescent="0.3">
      <c r="A583" s="1" t="str">
        <f t="shared" si="9"/>
        <v/>
      </c>
      <c r="B5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4" spans="1:2" x14ac:dyDescent="0.3">
      <c r="A584" s="1" t="str">
        <f t="shared" si="9"/>
        <v/>
      </c>
      <c r="B5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5" spans="1:2" x14ac:dyDescent="0.3">
      <c r="A585" s="1" t="str">
        <f t="shared" si="9"/>
        <v/>
      </c>
      <c r="B5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6" spans="1:2" x14ac:dyDescent="0.3">
      <c r="A586" s="1" t="str">
        <f t="shared" si="9"/>
        <v/>
      </c>
      <c r="B5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7" spans="1:2" x14ac:dyDescent="0.3">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8" spans="1:2" x14ac:dyDescent="0.3">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9" spans="1:2" x14ac:dyDescent="0.3">
      <c r="A589" s="1" t="str">
        <f t="shared" si="9"/>
        <v/>
      </c>
      <c r="B5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0" spans="1:2" x14ac:dyDescent="0.3">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1" spans="1:2" x14ac:dyDescent="0.3">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2" spans="1:2" x14ac:dyDescent="0.3">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3" spans="1:2" x14ac:dyDescent="0.3">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4" spans="1:2" x14ac:dyDescent="0.3">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5" spans="1:2" x14ac:dyDescent="0.3">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6" spans="1:2" x14ac:dyDescent="0.3">
      <c r="A596" s="1" t="str">
        <f t="shared" si="9"/>
        <v/>
      </c>
      <c r="B5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7" spans="1:2" x14ac:dyDescent="0.3">
      <c r="A597" s="1" t="str">
        <f t="shared" si="9"/>
        <v/>
      </c>
      <c r="B5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8" spans="1:2" x14ac:dyDescent="0.3">
      <c r="A598" s="1" t="str">
        <f t="shared" si="9"/>
        <v/>
      </c>
      <c r="B5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9" spans="1:2" x14ac:dyDescent="0.3">
      <c r="A599" s="1" t="str">
        <f t="shared" si="9"/>
        <v/>
      </c>
      <c r="B5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0" spans="1:2" x14ac:dyDescent="0.3">
      <c r="A600" s="1" t="str">
        <f t="shared" si="9"/>
        <v/>
      </c>
      <c r="B6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1" spans="1:2" x14ac:dyDescent="0.3">
      <c r="A601" s="1" t="str">
        <f t="shared" si="9"/>
        <v/>
      </c>
      <c r="B6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2" spans="1:2" x14ac:dyDescent="0.3">
      <c r="A602" s="1" t="str">
        <f t="shared" si="9"/>
        <v/>
      </c>
      <c r="B6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3" spans="1:2" x14ac:dyDescent="0.3">
      <c r="A603" s="1" t="str">
        <f t="shared" si="9"/>
        <v/>
      </c>
      <c r="B6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4" spans="1:2" x14ac:dyDescent="0.3">
      <c r="A604" s="1" t="str">
        <f t="shared" si="9"/>
        <v/>
      </c>
      <c r="B6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5" spans="1:2" x14ac:dyDescent="0.3">
      <c r="A605" s="1" t="str">
        <f t="shared" si="9"/>
        <v/>
      </c>
      <c r="B6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6" spans="1:2" x14ac:dyDescent="0.3">
      <c r="A606" s="1" t="str">
        <f t="shared" si="9"/>
        <v/>
      </c>
      <c r="B6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7" spans="1:2" x14ac:dyDescent="0.3">
      <c r="A607" s="1" t="str">
        <f t="shared" si="9"/>
        <v/>
      </c>
      <c r="B6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8" spans="1:2" x14ac:dyDescent="0.3">
      <c r="A608" s="1" t="str">
        <f t="shared" si="9"/>
        <v/>
      </c>
      <c r="B6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9" spans="1:2" x14ac:dyDescent="0.3">
      <c r="A609" s="1" t="str">
        <f t="shared" si="9"/>
        <v/>
      </c>
      <c r="B6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0" spans="1:2" x14ac:dyDescent="0.3">
      <c r="A610" s="1" t="str">
        <f t="shared" si="9"/>
        <v/>
      </c>
      <c r="B6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1" spans="1:2" x14ac:dyDescent="0.3">
      <c r="A611" s="1" t="str">
        <f t="shared" si="9"/>
        <v/>
      </c>
      <c r="B6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2" spans="1:2" x14ac:dyDescent="0.3">
      <c r="A612" s="1" t="str">
        <f t="shared" si="9"/>
        <v/>
      </c>
      <c r="B6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3" spans="1:2" x14ac:dyDescent="0.3">
      <c r="A613" s="1" t="str">
        <f t="shared" si="9"/>
        <v/>
      </c>
      <c r="B6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4" spans="1:2" x14ac:dyDescent="0.3">
      <c r="A614" s="1" t="str">
        <f t="shared" si="9"/>
        <v/>
      </c>
      <c r="B6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5" spans="1:2" x14ac:dyDescent="0.3">
      <c r="A615" s="1" t="str">
        <f t="shared" si="9"/>
        <v/>
      </c>
      <c r="B6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6" spans="1:2" x14ac:dyDescent="0.3">
      <c r="A616" s="1" t="str">
        <f t="shared" si="9"/>
        <v/>
      </c>
      <c r="B6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7" spans="1:2" x14ac:dyDescent="0.3">
      <c r="A617" s="1" t="str">
        <f t="shared" si="9"/>
        <v/>
      </c>
      <c r="B6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8" spans="1:2" x14ac:dyDescent="0.3">
      <c r="A618" s="1" t="str">
        <f t="shared" si="9"/>
        <v/>
      </c>
      <c r="B6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9" spans="1:2" x14ac:dyDescent="0.3">
      <c r="A619" s="1" t="str">
        <f t="shared" si="9"/>
        <v/>
      </c>
      <c r="B6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0" spans="1:2" x14ac:dyDescent="0.3">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1" spans="1:2" x14ac:dyDescent="0.3">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2" spans="1:2" x14ac:dyDescent="0.3">
      <c r="A622" s="1" t="str">
        <f t="shared" si="9"/>
        <v/>
      </c>
      <c r="B6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3" spans="1:2" x14ac:dyDescent="0.3">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4" spans="1:2" x14ac:dyDescent="0.3">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5" spans="1:2" x14ac:dyDescent="0.3">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6" spans="1:2" x14ac:dyDescent="0.3">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7" spans="1:2" x14ac:dyDescent="0.3">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8" spans="1:2" x14ac:dyDescent="0.3">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9" spans="1:2" x14ac:dyDescent="0.3">
      <c r="A629" s="1" t="str">
        <f t="shared" si="9"/>
        <v/>
      </c>
      <c r="B6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0" spans="1:2" x14ac:dyDescent="0.3">
      <c r="A630" s="1" t="str">
        <f t="shared" si="9"/>
        <v/>
      </c>
      <c r="B6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1" spans="1:2" x14ac:dyDescent="0.3">
      <c r="A631" s="1" t="str">
        <f t="shared" si="9"/>
        <v/>
      </c>
      <c r="B6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2" spans="1:2" x14ac:dyDescent="0.3">
      <c r="A632" s="1" t="str">
        <f t="shared" si="9"/>
        <v/>
      </c>
      <c r="B6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3" spans="1:2" x14ac:dyDescent="0.3">
      <c r="A633" s="1" t="str">
        <f t="shared" si="9"/>
        <v/>
      </c>
      <c r="B6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4" spans="1:2" x14ac:dyDescent="0.3">
      <c r="A634" s="1" t="str">
        <f t="shared" si="9"/>
        <v/>
      </c>
      <c r="B6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5" spans="1:2" x14ac:dyDescent="0.3">
      <c r="A635" s="1" t="str">
        <f t="shared" si="9"/>
        <v/>
      </c>
      <c r="B6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6" spans="1:2" x14ac:dyDescent="0.3">
      <c r="A636" s="1" t="str">
        <f t="shared" si="9"/>
        <v/>
      </c>
      <c r="B6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7" spans="1:2" x14ac:dyDescent="0.3">
      <c r="A637" s="1" t="str">
        <f t="shared" si="9"/>
        <v/>
      </c>
      <c r="B6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8" spans="1:2" x14ac:dyDescent="0.3">
      <c r="A638" s="1" t="str">
        <f t="shared" si="9"/>
        <v/>
      </c>
      <c r="B6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9" spans="1:2" x14ac:dyDescent="0.3">
      <c r="A639" s="1" t="str">
        <f t="shared" si="9"/>
        <v/>
      </c>
      <c r="B6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0" spans="1:2" x14ac:dyDescent="0.3">
      <c r="A640" s="1" t="str">
        <f t="shared" si="9"/>
        <v/>
      </c>
      <c r="B6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1" spans="1:2" x14ac:dyDescent="0.3">
      <c r="A641" s="1" t="str">
        <f t="shared" si="9"/>
        <v/>
      </c>
      <c r="B6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2" spans="1:2" x14ac:dyDescent="0.3">
      <c r="A642" s="1" t="str">
        <f t="shared" ref="A642:A705" si="10">IFERROR(LEFT(RIGHT(C642,LEN(C642)-SEARCH("@",C642)),SEARCH("/",RIGHT(C642,LEN(C642)-SEARCH("@",C642)-1))),"")</f>
        <v/>
      </c>
      <c r="B6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3" spans="1:2" x14ac:dyDescent="0.3">
      <c r="A643" s="1" t="str">
        <f t="shared" si="10"/>
        <v/>
      </c>
      <c r="B6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4" spans="1:2" x14ac:dyDescent="0.3">
      <c r="A644" s="1" t="str">
        <f t="shared" si="10"/>
        <v/>
      </c>
      <c r="B6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5" spans="1:2" x14ac:dyDescent="0.3">
      <c r="A645" s="1" t="str">
        <f t="shared" si="10"/>
        <v/>
      </c>
      <c r="B6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6" spans="1:2" x14ac:dyDescent="0.3">
      <c r="A646" s="1" t="str">
        <f t="shared" si="10"/>
        <v/>
      </c>
      <c r="B6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7" spans="1:2" x14ac:dyDescent="0.3">
      <c r="A647" s="1" t="str">
        <f t="shared" si="10"/>
        <v/>
      </c>
      <c r="B6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8" spans="1:2" x14ac:dyDescent="0.3">
      <c r="A648" s="1" t="str">
        <f t="shared" si="10"/>
        <v/>
      </c>
      <c r="B6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9" spans="1:2" x14ac:dyDescent="0.3">
      <c r="A649" s="1" t="str">
        <f t="shared" si="10"/>
        <v/>
      </c>
      <c r="B6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0" spans="1:2" x14ac:dyDescent="0.3">
      <c r="A650" s="1" t="str">
        <f t="shared" si="10"/>
        <v/>
      </c>
      <c r="B6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1" spans="1:2" x14ac:dyDescent="0.3">
      <c r="A651" s="1" t="str">
        <f t="shared" si="10"/>
        <v/>
      </c>
      <c r="B6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2" spans="1:2" x14ac:dyDescent="0.3">
      <c r="A652" s="1" t="str">
        <f t="shared" si="10"/>
        <v/>
      </c>
      <c r="B6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3" spans="1:2" x14ac:dyDescent="0.3">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4" spans="1:2" x14ac:dyDescent="0.3">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5" spans="1:2" x14ac:dyDescent="0.3">
      <c r="A655" s="1" t="str">
        <f t="shared" si="10"/>
        <v/>
      </c>
      <c r="B6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6" spans="1:2" x14ac:dyDescent="0.3">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7" spans="1:2" x14ac:dyDescent="0.3">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8" spans="1:2" x14ac:dyDescent="0.3">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9" spans="1:2" x14ac:dyDescent="0.3">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0" spans="1:2" x14ac:dyDescent="0.3">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1" spans="1:2" x14ac:dyDescent="0.3">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2" spans="1:2" x14ac:dyDescent="0.3">
      <c r="A662" s="1" t="str">
        <f t="shared" si="10"/>
        <v/>
      </c>
      <c r="B6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3" spans="1:2" x14ac:dyDescent="0.3">
      <c r="A663" s="1" t="str">
        <f t="shared" si="10"/>
        <v/>
      </c>
      <c r="B6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4" spans="1:2" x14ac:dyDescent="0.3">
      <c r="A664" s="1" t="str">
        <f t="shared" si="10"/>
        <v/>
      </c>
      <c r="B6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5" spans="1:2" x14ac:dyDescent="0.3">
      <c r="A665" s="1" t="str">
        <f t="shared" si="10"/>
        <v/>
      </c>
      <c r="B6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6" spans="1:2" x14ac:dyDescent="0.3">
      <c r="A666" s="1" t="str">
        <f t="shared" si="10"/>
        <v/>
      </c>
      <c r="B6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7" spans="1:2" x14ac:dyDescent="0.3">
      <c r="A667" s="1" t="str">
        <f t="shared" si="10"/>
        <v/>
      </c>
      <c r="B6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8" spans="1:2" x14ac:dyDescent="0.3">
      <c r="A668" s="1" t="str">
        <f t="shared" si="10"/>
        <v/>
      </c>
      <c r="B6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9" spans="1:2" x14ac:dyDescent="0.3">
      <c r="A669" s="1" t="str">
        <f t="shared" si="10"/>
        <v/>
      </c>
      <c r="B6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0" spans="1:2" x14ac:dyDescent="0.3">
      <c r="A670" s="1" t="str">
        <f t="shared" si="10"/>
        <v/>
      </c>
      <c r="B6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1" spans="1:2" x14ac:dyDescent="0.3">
      <c r="A671" s="1" t="str">
        <f t="shared" si="10"/>
        <v/>
      </c>
      <c r="B6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2" spans="1:2" x14ac:dyDescent="0.3">
      <c r="A672" s="1" t="str">
        <f t="shared" si="10"/>
        <v/>
      </c>
      <c r="B6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3" spans="1:2" x14ac:dyDescent="0.3">
      <c r="A673" s="1" t="str">
        <f t="shared" si="10"/>
        <v/>
      </c>
      <c r="B6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4" spans="1:2" x14ac:dyDescent="0.3">
      <c r="A674" s="1" t="str">
        <f t="shared" si="10"/>
        <v/>
      </c>
      <c r="B6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5" spans="1:2" x14ac:dyDescent="0.3">
      <c r="A675" s="1" t="str">
        <f t="shared" si="10"/>
        <v/>
      </c>
      <c r="B6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6" spans="1:2" x14ac:dyDescent="0.3">
      <c r="A676" s="1" t="str">
        <f t="shared" si="10"/>
        <v/>
      </c>
      <c r="B6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7" spans="1:2" x14ac:dyDescent="0.3">
      <c r="A677" s="1" t="str">
        <f t="shared" si="10"/>
        <v/>
      </c>
      <c r="B6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8" spans="1:2" x14ac:dyDescent="0.3">
      <c r="A678" s="1" t="str">
        <f t="shared" si="10"/>
        <v/>
      </c>
      <c r="B6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9" spans="1:2" x14ac:dyDescent="0.3">
      <c r="A679" s="1" t="str">
        <f t="shared" si="10"/>
        <v/>
      </c>
      <c r="B6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0" spans="1:2" x14ac:dyDescent="0.3">
      <c r="A680" s="1" t="str">
        <f t="shared" si="10"/>
        <v/>
      </c>
      <c r="B6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1" spans="1:2" x14ac:dyDescent="0.3">
      <c r="A681" s="1" t="str">
        <f t="shared" si="10"/>
        <v/>
      </c>
      <c r="B6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2" spans="1:2" x14ac:dyDescent="0.3">
      <c r="A682" s="1" t="str">
        <f t="shared" si="10"/>
        <v/>
      </c>
      <c r="B6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3" spans="1:2" x14ac:dyDescent="0.3">
      <c r="A683" s="1" t="str">
        <f t="shared" si="10"/>
        <v/>
      </c>
      <c r="B6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4" spans="1:2" x14ac:dyDescent="0.3">
      <c r="A684" s="1" t="str">
        <f t="shared" si="10"/>
        <v/>
      </c>
      <c r="B6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5" spans="1:2" x14ac:dyDescent="0.3">
      <c r="A685" s="1" t="str">
        <f t="shared" si="10"/>
        <v/>
      </c>
      <c r="B6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6" spans="1:2" x14ac:dyDescent="0.3">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7" spans="1:2" x14ac:dyDescent="0.3">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8" spans="1:2" x14ac:dyDescent="0.3">
      <c r="A688" s="1" t="str">
        <f t="shared" si="10"/>
        <v/>
      </c>
      <c r="B6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9" spans="1:2" x14ac:dyDescent="0.3">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0" spans="1:2" x14ac:dyDescent="0.3">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1" spans="1:2" x14ac:dyDescent="0.3">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2" x14ac:dyDescent="0.3">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2" x14ac:dyDescent="0.3">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2" x14ac:dyDescent="0.3">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2" x14ac:dyDescent="0.3">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2" x14ac:dyDescent="0.3">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2" x14ac:dyDescent="0.3">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2" x14ac:dyDescent="0.3">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2" x14ac:dyDescent="0.3">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2" x14ac:dyDescent="0.3">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2" x14ac:dyDescent="0.3">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2" x14ac:dyDescent="0.3">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2" x14ac:dyDescent="0.3">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2" x14ac:dyDescent="0.3">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B11:K11 M11:XFD11 A1:J2 EO1:XFD10 B12:XFD13 K1:L4 A1532:XFD1048576 M14:XFD19 K6:L6 B14:J19 K5 B3:J10 B20:XFD1531 A3:A1531">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M1" zoomScale="70" zoomScaleNormal="70" zoomScaleSheetLayoutView="40" zoomScalePageLayoutView="30" workbookViewId="0">
      <selection activeCell="V5" sqref="V5:V12"/>
    </sheetView>
  </sheetViews>
  <sheetFormatPr defaultColWidth="9.21875" defaultRowHeight="14.4" x14ac:dyDescent="0.3"/>
  <cols>
    <col min="1" max="1" width="33.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1.77734375" style="1" customWidth="1"/>
    <col min="15" max="15" width="14.77734375" style="1" customWidth="1"/>
    <col min="16" max="16" width="17.77734375" style="1" customWidth="1"/>
    <col min="17" max="18" width="25.77734375" style="1" bestFit="1" customWidth="1"/>
    <col min="19" max="22" width="25.77734375" style="1" customWidth="1"/>
    <col min="23" max="16384" width="9.21875" style="1"/>
  </cols>
  <sheetData>
    <row r="1" spans="1:22" ht="26.4" thickBot="1" x14ac:dyDescent="0.55000000000000004">
      <c r="A1" s="213" t="s">
        <v>43</v>
      </c>
      <c r="B1" s="214"/>
      <c r="C1" s="214"/>
      <c r="D1" s="214"/>
      <c r="E1" s="214"/>
      <c r="F1" s="214"/>
      <c r="G1" s="214"/>
      <c r="H1" s="214"/>
      <c r="I1" s="214"/>
      <c r="J1" s="214"/>
      <c r="K1" s="214"/>
      <c r="L1" s="214"/>
      <c r="M1" s="214"/>
      <c r="N1" s="214"/>
      <c r="O1" s="214"/>
      <c r="P1" s="214"/>
      <c r="Q1" s="214"/>
      <c r="R1" s="214"/>
      <c r="S1" s="214"/>
      <c r="T1" s="214"/>
      <c r="U1" s="214"/>
      <c r="V1" s="214"/>
    </row>
    <row r="2" spans="1:22" customFormat="1" ht="15" thickBot="1" x14ac:dyDescent="0.35"/>
    <row r="3" spans="1:22" ht="15" thickBot="1" x14ac:dyDescent="0.35">
      <c r="A3" s="51" t="s">
        <v>18</v>
      </c>
      <c r="B3" s="221" t="s">
        <v>6</v>
      </c>
      <c r="C3" s="222"/>
      <c r="D3" s="222"/>
      <c r="E3" s="222"/>
      <c r="F3" s="222"/>
      <c r="G3" s="222"/>
      <c r="H3" s="222"/>
      <c r="I3" s="222"/>
      <c r="J3" s="222"/>
      <c r="K3" s="222"/>
      <c r="L3" s="222"/>
      <c r="M3" s="222"/>
      <c r="O3" s="221" t="s">
        <v>3</v>
      </c>
      <c r="P3" s="222"/>
      <c r="Q3" s="222"/>
      <c r="R3" s="222"/>
      <c r="S3" s="222"/>
      <c r="T3" s="222"/>
      <c r="U3" s="222"/>
      <c r="V3" s="222"/>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Prochloraz-0.063mg/L</v>
      </c>
      <c r="J4" s="35" t="str">
        <f>'Page de garde'!A16</f>
        <v>Prochloraz-0.13mg/L</v>
      </c>
      <c r="K4" s="35" t="str">
        <f>'Page de garde'!A17</f>
        <v>Prochloraz-0.25mg/L</v>
      </c>
      <c r="L4" s="35" t="str">
        <f>'Page de garde'!A18</f>
        <v>Prochloraz-0.5mg/L</v>
      </c>
      <c r="M4" s="35" t="str">
        <f>'Page de garde'!A19</f>
        <v>Prochloraz-1mg/L</v>
      </c>
      <c r="N4" s="3"/>
      <c r="O4" s="36" t="str">
        <f>'Page de garde'!A36</f>
        <v>Testo -30µg/L</v>
      </c>
      <c r="P4" s="36" t="str">
        <f>'Page de garde'!A37</f>
        <v>Testo 30µg/L + EE2 -64ng/L</v>
      </c>
      <c r="Q4" s="36" t="str">
        <f>'Page de garde'!A38</f>
        <v>Testo 30µg/L + FAD-10µg/L</v>
      </c>
      <c r="R4" s="36" t="str">
        <f>'Page de garde'!A39</f>
        <v>Prochloraz-0.063mg/L + Testostérone</v>
      </c>
      <c r="S4" s="36" t="str">
        <f>'Page de garde'!A40</f>
        <v>Prochloraz-0.13mg/L + Testostérone</v>
      </c>
      <c r="T4" s="36" t="str">
        <f>'Page de garde'!A41</f>
        <v>Prochloraz-0.25mg/L + Testostérone</v>
      </c>
      <c r="U4" s="36" t="str">
        <f>'Page de garde'!A42</f>
        <v>Prochloraz-0.5mg/L + Testostérone</v>
      </c>
      <c r="V4" s="36" t="str">
        <f>'Page de garde'!A43</f>
        <v>Prochloraz-1mg/L + Testostérone</v>
      </c>
    </row>
    <row r="5" spans="1:22" x14ac:dyDescent="0.3">
      <c r="A5" s="223" t="s">
        <v>33</v>
      </c>
      <c r="B5" s="32">
        <v>149372</v>
      </c>
      <c r="C5" s="32">
        <v>33844</v>
      </c>
      <c r="D5" s="32">
        <v>456092</v>
      </c>
      <c r="E5" s="32">
        <v>2899117</v>
      </c>
      <c r="F5" s="32">
        <v>5759557</v>
      </c>
      <c r="G5" s="32">
        <v>5422705</v>
      </c>
      <c r="H5" s="32">
        <v>13022906</v>
      </c>
      <c r="I5" s="32">
        <v>271568</v>
      </c>
      <c r="J5" s="32">
        <v>18941</v>
      </c>
      <c r="K5" s="13">
        <v>11090</v>
      </c>
      <c r="L5" s="13">
        <v>47166</v>
      </c>
      <c r="M5" s="13">
        <v>1216</v>
      </c>
      <c r="N5" s="3"/>
      <c r="O5" s="32">
        <v>5134886</v>
      </c>
      <c r="P5" s="13">
        <v>2277303</v>
      </c>
      <c r="Q5" s="13">
        <v>104077</v>
      </c>
      <c r="R5" s="32">
        <v>140274</v>
      </c>
      <c r="S5" s="32">
        <v>2302835</v>
      </c>
      <c r="T5" s="32">
        <v>1581973</v>
      </c>
      <c r="U5" s="32">
        <v>121694</v>
      </c>
      <c r="V5" s="32">
        <v>36062</v>
      </c>
    </row>
    <row r="6" spans="1:22" ht="16.8" x14ac:dyDescent="0.3">
      <c r="A6" s="223"/>
      <c r="B6" s="14">
        <v>135517</v>
      </c>
      <c r="C6" s="13">
        <v>155757</v>
      </c>
      <c r="D6" s="32">
        <v>41239</v>
      </c>
      <c r="E6" s="32">
        <v>1547180</v>
      </c>
      <c r="F6" s="32">
        <v>8237697</v>
      </c>
      <c r="G6" s="32">
        <v>9780730</v>
      </c>
      <c r="H6" s="32">
        <v>12561495</v>
      </c>
      <c r="I6" s="32">
        <v>284544</v>
      </c>
      <c r="J6" s="32">
        <v>436246</v>
      </c>
      <c r="K6" s="13">
        <v>150941</v>
      </c>
      <c r="L6" s="13">
        <v>65801</v>
      </c>
      <c r="M6" s="13">
        <v>81150</v>
      </c>
      <c r="N6" s="3"/>
      <c r="O6" s="32">
        <v>3805757</v>
      </c>
      <c r="P6" s="13">
        <v>8253862</v>
      </c>
      <c r="Q6" s="13">
        <v>245377</v>
      </c>
      <c r="R6" s="32">
        <v>53826</v>
      </c>
      <c r="S6" s="32">
        <v>120296</v>
      </c>
      <c r="T6" s="32">
        <v>154690</v>
      </c>
      <c r="U6" s="32">
        <v>28101</v>
      </c>
      <c r="V6" s="32">
        <v>38139</v>
      </c>
    </row>
    <row r="7" spans="1:22" ht="16.8" x14ac:dyDescent="0.3">
      <c r="A7" s="223"/>
      <c r="B7" s="14">
        <v>33126</v>
      </c>
      <c r="C7" s="13">
        <v>51183</v>
      </c>
      <c r="D7" s="32">
        <v>148387</v>
      </c>
      <c r="E7" s="32">
        <v>145232</v>
      </c>
      <c r="F7" s="32">
        <v>5127448</v>
      </c>
      <c r="G7" s="32">
        <v>11425175</v>
      </c>
      <c r="H7" s="32">
        <v>3256763</v>
      </c>
      <c r="I7" s="32">
        <v>356258</v>
      </c>
      <c r="J7" s="32">
        <v>71435</v>
      </c>
      <c r="K7" s="13">
        <v>90099</v>
      </c>
      <c r="L7" s="13">
        <v>128719</v>
      </c>
      <c r="M7" s="13">
        <v>96936</v>
      </c>
      <c r="N7" s="3"/>
      <c r="O7" s="32">
        <v>4831043</v>
      </c>
      <c r="P7" s="13">
        <v>5909894</v>
      </c>
      <c r="Q7" s="13">
        <v>130351</v>
      </c>
      <c r="R7" s="32">
        <v>494013</v>
      </c>
      <c r="S7" s="32">
        <v>1696310</v>
      </c>
      <c r="T7" s="32">
        <v>75509</v>
      </c>
      <c r="U7" s="32">
        <v>37486</v>
      </c>
      <c r="V7" s="32">
        <v>140099</v>
      </c>
    </row>
    <row r="8" spans="1:22" ht="16.8" x14ac:dyDescent="0.3">
      <c r="A8" s="223"/>
      <c r="B8" s="14">
        <v>44916</v>
      </c>
      <c r="C8" s="13">
        <v>452890</v>
      </c>
      <c r="D8" s="32">
        <v>116127</v>
      </c>
      <c r="E8" s="32">
        <v>1886784</v>
      </c>
      <c r="F8" s="32">
        <v>13014237</v>
      </c>
      <c r="G8" s="32">
        <v>10848075</v>
      </c>
      <c r="H8" s="32">
        <v>14622003</v>
      </c>
      <c r="I8" s="32">
        <v>113271</v>
      </c>
      <c r="J8" s="32">
        <v>291509</v>
      </c>
      <c r="K8" s="13">
        <v>178685</v>
      </c>
      <c r="L8" s="13">
        <v>95556</v>
      </c>
      <c r="M8" s="13">
        <v>43070</v>
      </c>
      <c r="N8" s="3"/>
      <c r="O8" s="32">
        <v>4116104</v>
      </c>
      <c r="P8" s="13">
        <v>4996432</v>
      </c>
      <c r="Q8" s="13">
        <v>24708</v>
      </c>
      <c r="R8" s="32">
        <v>438026</v>
      </c>
      <c r="S8" s="32">
        <v>531368</v>
      </c>
      <c r="T8" s="32">
        <v>33952</v>
      </c>
      <c r="U8" s="32">
        <v>123807</v>
      </c>
      <c r="V8" s="32">
        <v>43047</v>
      </c>
    </row>
    <row r="9" spans="1:22" ht="16.8" x14ac:dyDescent="0.3">
      <c r="A9" s="223"/>
      <c r="B9" s="14">
        <v>16167</v>
      </c>
      <c r="C9" s="13">
        <v>171180</v>
      </c>
      <c r="D9" s="32">
        <v>348811</v>
      </c>
      <c r="E9" s="32">
        <v>1647783</v>
      </c>
      <c r="F9" s="32">
        <v>4424599</v>
      </c>
      <c r="G9" s="32">
        <v>12509888</v>
      </c>
      <c r="H9" s="32">
        <v>21270490</v>
      </c>
      <c r="I9" s="32">
        <v>149674</v>
      </c>
      <c r="J9" s="32">
        <v>270182</v>
      </c>
      <c r="K9" s="13">
        <v>5885</v>
      </c>
      <c r="L9" s="13">
        <v>55637</v>
      </c>
      <c r="M9" s="13">
        <v>93318</v>
      </c>
      <c r="N9" s="3"/>
      <c r="O9" s="32">
        <v>3322818</v>
      </c>
      <c r="P9" s="13">
        <v>4236178</v>
      </c>
      <c r="Q9" s="13">
        <v>24531</v>
      </c>
      <c r="R9" s="32">
        <v>1890596</v>
      </c>
      <c r="S9" s="32">
        <v>169203</v>
      </c>
      <c r="T9" s="32">
        <v>63374</v>
      </c>
      <c r="U9" s="32">
        <v>229876</v>
      </c>
      <c r="V9" s="32">
        <v>736109</v>
      </c>
    </row>
    <row r="10" spans="1:22" ht="16.8" x14ac:dyDescent="0.3">
      <c r="A10" s="223"/>
      <c r="B10" s="14">
        <v>156525</v>
      </c>
      <c r="C10" s="13">
        <v>66860</v>
      </c>
      <c r="D10" s="32">
        <v>220815</v>
      </c>
      <c r="E10" s="32">
        <v>2683844</v>
      </c>
      <c r="F10" s="32">
        <v>4865092</v>
      </c>
      <c r="G10" s="32">
        <v>7409035</v>
      </c>
      <c r="H10" s="32">
        <v>17156783</v>
      </c>
      <c r="I10" s="32">
        <v>376141</v>
      </c>
      <c r="J10" s="32">
        <v>932194</v>
      </c>
      <c r="K10" s="13">
        <v>61799</v>
      </c>
      <c r="L10" s="13">
        <v>79307</v>
      </c>
      <c r="M10" s="13">
        <v>136264</v>
      </c>
      <c r="N10" s="3"/>
      <c r="O10" s="32">
        <v>804720</v>
      </c>
      <c r="P10" s="13">
        <v>1606612</v>
      </c>
      <c r="Q10" s="13">
        <v>141707</v>
      </c>
      <c r="R10" s="32">
        <v>1148</v>
      </c>
      <c r="S10" s="32">
        <v>364856</v>
      </c>
      <c r="T10" s="32">
        <v>31036</v>
      </c>
      <c r="U10" s="32">
        <v>10880</v>
      </c>
      <c r="V10" s="32">
        <v>184916</v>
      </c>
    </row>
    <row r="11" spans="1:22" ht="16.8" x14ac:dyDescent="0.3">
      <c r="A11" s="223"/>
      <c r="B11" s="14">
        <v>7719</v>
      </c>
      <c r="C11" s="13">
        <v>639303</v>
      </c>
      <c r="D11" s="32">
        <v>903592</v>
      </c>
      <c r="E11" s="32">
        <v>836476</v>
      </c>
      <c r="F11" s="32">
        <v>3078611</v>
      </c>
      <c r="G11" s="32">
        <v>2426504</v>
      </c>
      <c r="H11" s="32">
        <v>10284233</v>
      </c>
      <c r="I11" s="32">
        <v>78302</v>
      </c>
      <c r="J11" s="32">
        <v>31272</v>
      </c>
      <c r="K11" s="13">
        <v>174879</v>
      </c>
      <c r="L11" s="13">
        <v>193731</v>
      </c>
      <c r="M11" s="13">
        <v>46016</v>
      </c>
      <c r="N11" s="3"/>
      <c r="O11" s="32">
        <v>777545</v>
      </c>
      <c r="P11" s="13">
        <v>2030500</v>
      </c>
      <c r="Q11" s="13">
        <v>27910</v>
      </c>
      <c r="R11" s="32">
        <v>192639</v>
      </c>
      <c r="S11" s="32">
        <v>206243</v>
      </c>
      <c r="T11" s="32">
        <v>69706</v>
      </c>
      <c r="U11" s="32">
        <v>53607</v>
      </c>
      <c r="V11" s="32">
        <v>173797</v>
      </c>
    </row>
    <row r="12" spans="1:22" ht="16.8" x14ac:dyDescent="0.3">
      <c r="A12" s="223"/>
      <c r="B12" s="14">
        <v>28375</v>
      </c>
      <c r="C12" s="13">
        <v>66869</v>
      </c>
      <c r="D12" s="32">
        <v>377278</v>
      </c>
      <c r="E12" s="32">
        <v>6906235</v>
      </c>
      <c r="F12" s="32">
        <v>5866782</v>
      </c>
      <c r="G12" s="32">
        <v>5555755</v>
      </c>
      <c r="H12" s="32">
        <v>11608714</v>
      </c>
      <c r="I12" s="32">
        <v>184347</v>
      </c>
      <c r="J12" s="32">
        <v>357066</v>
      </c>
      <c r="K12" s="13">
        <v>115549</v>
      </c>
      <c r="L12" s="13">
        <v>263021</v>
      </c>
      <c r="M12" s="13"/>
      <c r="N12" s="3"/>
      <c r="O12" s="32">
        <v>1591366</v>
      </c>
      <c r="P12" s="13">
        <v>3380577</v>
      </c>
      <c r="Q12" s="13">
        <v>12222</v>
      </c>
      <c r="R12" s="32">
        <v>698727</v>
      </c>
      <c r="S12" s="32">
        <v>244571</v>
      </c>
      <c r="T12" s="32">
        <v>351147</v>
      </c>
      <c r="U12" s="32">
        <v>198945</v>
      </c>
      <c r="V12" s="32">
        <v>47413</v>
      </c>
    </row>
    <row r="13" spans="1:22" ht="16.8" x14ac:dyDescent="0.3">
      <c r="A13" s="223"/>
      <c r="B13" s="14"/>
      <c r="C13" s="13"/>
      <c r="D13" s="32"/>
      <c r="E13" s="32"/>
      <c r="F13" s="32"/>
      <c r="G13" s="32"/>
      <c r="H13" s="32"/>
      <c r="I13" s="32"/>
      <c r="J13" s="32"/>
      <c r="K13" s="13"/>
      <c r="L13" s="13"/>
      <c r="M13" s="13"/>
      <c r="N13" s="3"/>
      <c r="O13" s="32">
        <v>85467</v>
      </c>
      <c r="P13" s="13"/>
      <c r="Q13" s="13"/>
      <c r="R13" s="32"/>
      <c r="S13" s="32"/>
      <c r="T13" s="32"/>
      <c r="U13" s="32"/>
      <c r="V13" s="32"/>
    </row>
    <row r="14" spans="1:22" ht="16.8" x14ac:dyDescent="0.3">
      <c r="A14" s="223"/>
      <c r="B14" s="14"/>
      <c r="C14" s="32"/>
      <c r="D14" s="32"/>
      <c r="E14" s="32"/>
      <c r="F14" s="32"/>
      <c r="G14" s="32"/>
      <c r="H14" s="32"/>
      <c r="I14" s="32"/>
      <c r="J14" s="32"/>
      <c r="K14" s="13"/>
      <c r="L14" s="13"/>
      <c r="M14" s="13"/>
      <c r="N14" s="3"/>
      <c r="O14" s="32">
        <v>1806021</v>
      </c>
      <c r="P14" s="13"/>
      <c r="Q14" s="13"/>
      <c r="R14" s="32"/>
      <c r="S14" s="32"/>
      <c r="T14" s="32"/>
      <c r="U14" s="32"/>
      <c r="V14" s="32"/>
    </row>
    <row r="15" spans="1:22" ht="16.8" x14ac:dyDescent="0.3">
      <c r="A15" s="223"/>
      <c r="B15" s="14"/>
      <c r="C15" s="32"/>
      <c r="D15" s="32"/>
      <c r="E15" s="32"/>
      <c r="F15" s="32"/>
      <c r="G15" s="32"/>
      <c r="H15" s="32"/>
      <c r="I15" s="32"/>
      <c r="J15" s="32"/>
      <c r="K15" s="13"/>
      <c r="L15" s="13"/>
      <c r="M15" s="13"/>
      <c r="N15" s="3"/>
      <c r="O15" s="32">
        <v>2813577</v>
      </c>
      <c r="P15" s="13"/>
      <c r="Q15" s="13"/>
      <c r="R15" s="32"/>
      <c r="S15" s="32"/>
      <c r="T15" s="32"/>
      <c r="U15" s="32"/>
      <c r="V15" s="32"/>
    </row>
    <row r="16" spans="1:22" ht="16.8" x14ac:dyDescent="0.3">
      <c r="A16" s="223"/>
      <c r="B16" s="14"/>
      <c r="C16" s="32"/>
      <c r="D16" s="32"/>
      <c r="E16" s="32"/>
      <c r="F16" s="32"/>
      <c r="G16" s="32"/>
      <c r="H16" s="32"/>
      <c r="I16" s="32"/>
      <c r="J16" s="32"/>
      <c r="K16" s="13"/>
      <c r="L16" s="13"/>
      <c r="M16" s="13"/>
      <c r="N16" s="3"/>
      <c r="O16" s="32">
        <v>1070165</v>
      </c>
      <c r="P16" s="13"/>
      <c r="Q16" s="13"/>
      <c r="R16" s="32"/>
      <c r="S16" s="32"/>
      <c r="T16" s="32"/>
      <c r="U16" s="32"/>
      <c r="V16" s="32"/>
    </row>
    <row r="17" spans="1:22" ht="16.8" x14ac:dyDescent="0.3">
      <c r="A17" s="223"/>
      <c r="B17" s="14"/>
      <c r="C17" s="32"/>
      <c r="D17" s="32"/>
      <c r="E17" s="32"/>
      <c r="F17" s="32"/>
      <c r="G17" s="32"/>
      <c r="H17" s="32"/>
      <c r="I17" s="32"/>
      <c r="J17" s="32"/>
      <c r="K17" s="13"/>
      <c r="L17" s="13"/>
      <c r="M17" s="13"/>
      <c r="N17" s="3"/>
      <c r="O17" s="32">
        <v>830157</v>
      </c>
      <c r="P17" s="13"/>
      <c r="Q17" s="13"/>
      <c r="R17" s="32"/>
      <c r="S17" s="32"/>
      <c r="T17" s="32"/>
      <c r="U17" s="32"/>
      <c r="V17" s="32"/>
    </row>
    <row r="18" spans="1:22" ht="16.8" x14ac:dyDescent="0.3">
      <c r="A18" s="223"/>
      <c r="B18" s="14"/>
      <c r="C18" s="32"/>
      <c r="D18" s="32"/>
      <c r="E18" s="32"/>
      <c r="F18" s="32"/>
      <c r="G18" s="32"/>
      <c r="H18" s="32"/>
      <c r="I18" s="32"/>
      <c r="J18" s="32"/>
      <c r="K18" s="13"/>
      <c r="L18" s="13"/>
      <c r="M18" s="13"/>
      <c r="N18" s="3"/>
      <c r="O18" s="32">
        <v>5574603</v>
      </c>
      <c r="P18" s="13"/>
      <c r="Q18" s="13"/>
      <c r="R18" s="32"/>
      <c r="S18" s="32"/>
      <c r="T18" s="32"/>
      <c r="U18" s="32"/>
      <c r="V18" s="32"/>
    </row>
    <row r="19" spans="1:22" ht="16.8" x14ac:dyDescent="0.3">
      <c r="A19" s="223"/>
      <c r="B19" s="14"/>
      <c r="C19" s="32"/>
      <c r="D19" s="32"/>
      <c r="E19" s="32"/>
      <c r="F19" s="32"/>
      <c r="G19" s="32"/>
      <c r="H19" s="32"/>
      <c r="I19" s="32"/>
      <c r="J19" s="32"/>
      <c r="K19" s="13"/>
      <c r="L19" s="13"/>
      <c r="M19" s="13"/>
      <c r="N19" s="3"/>
      <c r="O19" s="32">
        <v>1779738</v>
      </c>
      <c r="P19" s="13"/>
      <c r="Q19" s="13"/>
      <c r="R19" s="32"/>
      <c r="S19" s="32"/>
      <c r="T19" s="32"/>
      <c r="U19" s="32"/>
      <c r="V19" s="32"/>
    </row>
    <row r="20" spans="1:22" ht="16.8" x14ac:dyDescent="0.3">
      <c r="A20" s="223"/>
      <c r="B20" s="14"/>
      <c r="C20" s="32"/>
      <c r="D20" s="32"/>
      <c r="E20" s="32"/>
      <c r="F20" s="32"/>
      <c r="G20" s="32"/>
      <c r="H20" s="32"/>
      <c r="I20" s="32"/>
      <c r="J20" s="32"/>
      <c r="K20" s="13"/>
      <c r="L20" s="13"/>
      <c r="M20" s="13"/>
      <c r="N20" s="3"/>
      <c r="O20" s="32">
        <v>3824389</v>
      </c>
      <c r="P20" s="13"/>
      <c r="Q20" s="13"/>
      <c r="R20" s="32"/>
      <c r="S20" s="32"/>
      <c r="T20" s="32"/>
      <c r="U20" s="32"/>
      <c r="V20" s="32"/>
    </row>
    <row r="21" spans="1:22" x14ac:dyDescent="0.3">
      <c r="A21" s="3"/>
      <c r="B21" s="7"/>
      <c r="C21" s="7"/>
      <c r="D21" s="7"/>
      <c r="E21" s="7"/>
      <c r="F21" s="7"/>
      <c r="G21" s="7"/>
      <c r="H21" s="7"/>
      <c r="I21" s="7"/>
      <c r="J21" s="7"/>
      <c r="N21" s="3"/>
      <c r="O21" s="7"/>
      <c r="R21" s="7"/>
      <c r="S21" s="7"/>
      <c r="T21" s="7"/>
      <c r="U21" s="7"/>
      <c r="V21" s="7"/>
    </row>
    <row r="22" spans="1:22" x14ac:dyDescent="0.3">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Prochloraz-0.063mg/L</v>
      </c>
      <c r="J22" s="3" t="str">
        <f t="shared" si="0"/>
        <v>Prochloraz-0.13mg/L</v>
      </c>
      <c r="K22" s="3" t="str">
        <f t="shared" si="0"/>
        <v>Prochloraz-0.25mg/L</v>
      </c>
      <c r="L22" s="3" t="str">
        <f t="shared" si="0"/>
        <v>Prochloraz-0.5mg/L</v>
      </c>
      <c r="M22" s="3" t="str">
        <f t="shared" si="0"/>
        <v>Prochloraz-1mg/L</v>
      </c>
      <c r="N22" s="3" t="s">
        <v>41</v>
      </c>
      <c r="O22" s="3" t="str">
        <f t="shared" si="0"/>
        <v>Testo -30µg/L</v>
      </c>
      <c r="P22" s="3" t="str">
        <f t="shared" si="0"/>
        <v>Testo 30µg/L + EE2 -64ng/L</v>
      </c>
      <c r="Q22" s="3" t="str">
        <f t="shared" si="0"/>
        <v>Testo 30µg/L + FAD-10µg/L</v>
      </c>
      <c r="R22" s="3" t="str">
        <f t="shared" si="0"/>
        <v>Prochloraz-0.063mg/L + Testostérone</v>
      </c>
      <c r="S22" s="3" t="str">
        <f t="shared" si="0"/>
        <v>Prochloraz-0.13mg/L + Testostérone</v>
      </c>
      <c r="T22" s="3" t="str">
        <f t="shared" si="0"/>
        <v>Prochloraz-0.25mg/L + Testostérone</v>
      </c>
      <c r="U22" s="3" t="str">
        <f t="shared" si="0"/>
        <v>Prochloraz-0.5mg/L + Testostérone</v>
      </c>
      <c r="V22" s="3" t="str">
        <f t="shared" si="0"/>
        <v>Prochloraz-1mg/L + Testostérone</v>
      </c>
    </row>
    <row r="23" spans="1:22" x14ac:dyDescent="0.3">
      <c r="A23" s="5" t="s">
        <v>0</v>
      </c>
      <c r="B23" s="5">
        <f t="shared" ref="B23:J23" si="1">AVERAGE(B5:B20)</f>
        <v>71464.625</v>
      </c>
      <c r="C23" s="5">
        <f t="shared" si="1"/>
        <v>204735.75</v>
      </c>
      <c r="D23" s="5">
        <f t="shared" si="1"/>
        <v>326542.625</v>
      </c>
      <c r="E23" s="5">
        <f t="shared" si="1"/>
        <v>2319081.375</v>
      </c>
      <c r="F23" s="5">
        <f t="shared" si="1"/>
        <v>6296752.875</v>
      </c>
      <c r="G23" s="5">
        <f t="shared" si="1"/>
        <v>8172233.375</v>
      </c>
      <c r="H23" s="5">
        <f t="shared" si="1"/>
        <v>12972923.375</v>
      </c>
      <c r="I23" s="5">
        <f t="shared" si="1"/>
        <v>226763.125</v>
      </c>
      <c r="J23" s="5">
        <f t="shared" si="1"/>
        <v>301105.625</v>
      </c>
      <c r="K23" s="5"/>
      <c r="L23" s="5">
        <f>AVERAGE(L5:L20)</f>
        <v>116117.25</v>
      </c>
      <c r="M23" s="5"/>
      <c r="N23" s="5" t="s">
        <v>0</v>
      </c>
      <c r="O23" s="5">
        <f>AVERAGE(O5:O20)</f>
        <v>2635522.25</v>
      </c>
      <c r="P23" s="5">
        <f>AVERAGE(P5:P20)</f>
        <v>4086419.75</v>
      </c>
      <c r="Q23" s="5">
        <f>AVERAGE(Q5:Q20)</f>
        <v>88860.375</v>
      </c>
      <c r="R23" s="5">
        <f>AVERAGE(R5:R20)</f>
        <v>488656.125</v>
      </c>
      <c r="S23" s="5">
        <f>AVERAGE(S5:S20)</f>
        <v>704460.25</v>
      </c>
      <c r="T23" s="5">
        <f t="shared" ref="T23:V23" si="2">AVERAGE(T5:T20)</f>
        <v>295173.375</v>
      </c>
      <c r="U23" s="5">
        <f t="shared" si="2"/>
        <v>100549.5</v>
      </c>
      <c r="V23" s="5">
        <f t="shared" si="2"/>
        <v>174947.75</v>
      </c>
    </row>
    <row r="24" spans="1:22" x14ac:dyDescent="0.3">
      <c r="A24" s="3" t="s">
        <v>1</v>
      </c>
      <c r="B24" s="3">
        <f t="shared" ref="B24:J24" si="3">STDEV(B5:B20)</f>
        <v>63875.169212943329</v>
      </c>
      <c r="C24" s="3">
        <f t="shared" si="3"/>
        <v>221924.54744783996</v>
      </c>
      <c r="D24" s="3">
        <f t="shared" si="3"/>
        <v>272928.46567811631</v>
      </c>
      <c r="E24" s="3">
        <f t="shared" si="3"/>
        <v>2058729.3426084754</v>
      </c>
      <c r="F24" s="3">
        <f t="shared" si="3"/>
        <v>3085533.8838446666</v>
      </c>
      <c r="G24" s="3">
        <f t="shared" si="3"/>
        <v>3528374.9767982806</v>
      </c>
      <c r="H24" s="3">
        <f t="shared" si="3"/>
        <v>5247304.3967129588</v>
      </c>
      <c r="I24" s="3">
        <f t="shared" si="3"/>
        <v>111542.3093698242</v>
      </c>
      <c r="J24" s="3">
        <f t="shared" si="3"/>
        <v>299020.0767626231</v>
      </c>
      <c r="K24" s="3"/>
      <c r="L24" s="3">
        <f>STDEV(L5:L20)</f>
        <v>76049.823981669135</v>
      </c>
      <c r="M24" s="3"/>
      <c r="N24" s="3" t="s">
        <v>1</v>
      </c>
      <c r="O24" s="3">
        <f>STDEV(O5:O20)</f>
        <v>1764680.6577622101</v>
      </c>
      <c r="P24" s="3">
        <f>STDEV(P5:P20)</f>
        <v>2258019.1374093955</v>
      </c>
      <c r="Q24" s="3">
        <f>STDEV(Q5:Q20)</f>
        <v>82015.174341507416</v>
      </c>
      <c r="R24" s="3">
        <f>STDEV(R5:R20)</f>
        <v>615037.15847870009</v>
      </c>
      <c r="S24" s="3">
        <f>STDEV(S5:S20)</f>
        <v>825601.64094863052</v>
      </c>
      <c r="T24" s="3">
        <f t="shared" ref="T24:V24" si="4">STDEV(T5:T20)</f>
        <v>530437.28388672392</v>
      </c>
      <c r="U24" s="3">
        <f t="shared" si="4"/>
        <v>81823.003166242052</v>
      </c>
      <c r="V24" s="3">
        <f t="shared" si="4"/>
        <v>235398.10657373606</v>
      </c>
    </row>
    <row r="25" spans="1:22" ht="15" thickBot="1" x14ac:dyDescent="0.35"/>
    <row r="26" spans="1:22" ht="15" thickBot="1" x14ac:dyDescent="0.35">
      <c r="B26" s="221" t="s">
        <v>6</v>
      </c>
      <c r="C26" s="222"/>
      <c r="D26" s="222"/>
      <c r="E26" s="222"/>
      <c r="F26" s="222"/>
      <c r="G26" s="222"/>
      <c r="H26" s="222"/>
      <c r="I26" s="222"/>
      <c r="J26" s="222"/>
      <c r="K26" s="222"/>
      <c r="L26" s="222"/>
      <c r="M26" s="222"/>
      <c r="O26" s="221" t="s">
        <v>3</v>
      </c>
      <c r="P26" s="222"/>
      <c r="Q26" s="222"/>
      <c r="R26" s="222"/>
      <c r="S26" s="222"/>
      <c r="T26" s="222"/>
      <c r="U26" s="222"/>
      <c r="V26" s="222"/>
    </row>
    <row r="27" spans="1:22" x14ac:dyDescent="0.3">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Prochloraz-0.063mg/L</v>
      </c>
      <c r="J27" s="35" t="str">
        <f t="shared" si="5"/>
        <v>Prochloraz-0.13mg/L</v>
      </c>
      <c r="K27" s="35" t="str">
        <f t="shared" si="5"/>
        <v>Prochloraz-0.25mg/L</v>
      </c>
      <c r="L27" s="35" t="str">
        <f t="shared" si="5"/>
        <v>Prochloraz-0.5mg/L</v>
      </c>
      <c r="M27" s="35" t="str">
        <f t="shared" si="5"/>
        <v>Prochloraz-1mg/L</v>
      </c>
      <c r="N27" s="3"/>
      <c r="O27" s="36" t="str">
        <f>O4</f>
        <v>Testo -30µg/L</v>
      </c>
      <c r="P27" s="36" t="str">
        <f t="shared" ref="P27:R27" si="6">P4</f>
        <v>Testo 30µg/L + EE2 -64ng/L</v>
      </c>
      <c r="Q27" s="36" t="str">
        <f t="shared" si="6"/>
        <v>Testo 30µg/L + FAD-10µg/L</v>
      </c>
      <c r="R27" s="36" t="str">
        <f t="shared" si="6"/>
        <v>Prochloraz-0.063mg/L + Testostérone</v>
      </c>
      <c r="S27" s="36" t="str">
        <f t="shared" ref="S27:V27" si="7">S4</f>
        <v>Prochloraz-0.13mg/L + Testostérone</v>
      </c>
      <c r="T27" s="36" t="str">
        <f t="shared" si="7"/>
        <v>Prochloraz-0.25mg/L + Testostérone</v>
      </c>
      <c r="U27" s="36" t="str">
        <f t="shared" si="7"/>
        <v>Prochloraz-0.5mg/L + Testostérone</v>
      </c>
      <c r="V27" s="36" t="str">
        <f t="shared" si="7"/>
        <v>Prochloraz-1mg/L + Testostérone</v>
      </c>
    </row>
    <row r="28" spans="1:22" x14ac:dyDescent="0.3">
      <c r="A28" s="224" t="s">
        <v>34</v>
      </c>
      <c r="B28" s="11">
        <f t="shared" ref="B28:M28" si="8">IF(B5="","",(B5/$O$23))</f>
        <v>5.667643291571528E-2</v>
      </c>
      <c r="C28" s="11">
        <f t="shared" si="8"/>
        <v>1.2841477623647457E-2</v>
      </c>
      <c r="D28" s="11">
        <f t="shared" si="8"/>
        <v>0.17305564390511216</v>
      </c>
      <c r="E28" s="11">
        <f t="shared" si="8"/>
        <v>1.1000161353219462</v>
      </c>
      <c r="F28" s="11">
        <f t="shared" si="8"/>
        <v>2.1853570008752534</v>
      </c>
      <c r="G28" s="11">
        <f t="shared" si="8"/>
        <v>2.057544761764011</v>
      </c>
      <c r="H28" s="11">
        <f t="shared" si="8"/>
        <v>4.9412999643619022</v>
      </c>
      <c r="I28" s="11">
        <f t="shared" si="8"/>
        <v>0.10304143704345504</v>
      </c>
      <c r="J28" s="11">
        <f t="shared" si="8"/>
        <v>7.1868108872918833E-3</v>
      </c>
      <c r="K28" s="11">
        <f t="shared" si="8"/>
        <v>4.2078946592084355E-3</v>
      </c>
      <c r="L28" s="11">
        <f t="shared" si="8"/>
        <v>1.7896263254844461E-2</v>
      </c>
      <c r="M28" s="11">
        <f t="shared" si="8"/>
        <v>4.6138862990058235E-4</v>
      </c>
      <c r="N28" s="6"/>
      <c r="O28" s="11">
        <f t="shared" ref="O28:S37" si="9">IF(O5="","",(O5/$O$23))</f>
        <v>1.9483371844043433</v>
      </c>
      <c r="P28" s="11">
        <f t="shared" si="9"/>
        <v>0.86408035447243903</v>
      </c>
      <c r="Q28" s="11">
        <f t="shared" si="9"/>
        <v>3.9490085883357652E-2</v>
      </c>
      <c r="R28" s="11">
        <f t="shared" si="9"/>
        <v>5.3224365683120299E-2</v>
      </c>
      <c r="S28" s="11">
        <f t="shared" si="9"/>
        <v>0.87376799797459492</v>
      </c>
      <c r="T28" s="11">
        <f t="shared" ref="T28:V43" si="10">IF(T5="","",(T5/$O$23))</f>
        <v>0.60025029194877788</v>
      </c>
      <c r="U28" s="11">
        <f t="shared" si="10"/>
        <v>4.6174529545330155E-2</v>
      </c>
      <c r="V28" s="11">
        <f t="shared" si="10"/>
        <v>1.3683056555489145E-2</v>
      </c>
    </row>
    <row r="29" spans="1:22" x14ac:dyDescent="0.3">
      <c r="A29" s="224"/>
      <c r="B29" s="11">
        <f t="shared" ref="B29:M29" si="11">IF(B6="","",(B6/$O$23))</f>
        <v>5.1419410327497708E-2</v>
      </c>
      <c r="C29" s="11">
        <f t="shared" si="11"/>
        <v>5.9099102654132402E-2</v>
      </c>
      <c r="D29" s="11">
        <f t="shared" si="11"/>
        <v>1.5647373115518188E-2</v>
      </c>
      <c r="E29" s="11">
        <f t="shared" si="11"/>
        <v>0.58704873388945966</v>
      </c>
      <c r="F29" s="11">
        <f t="shared" si="11"/>
        <v>3.1256412272747838</v>
      </c>
      <c r="G29" s="11">
        <f t="shared" si="11"/>
        <v>3.7111164589864494</v>
      </c>
      <c r="H29" s="11">
        <f t="shared" si="11"/>
        <v>4.7662261246324142</v>
      </c>
      <c r="I29" s="11">
        <f t="shared" si="11"/>
        <v>0.10796493939673626</v>
      </c>
      <c r="J29" s="11">
        <f t="shared" si="11"/>
        <v>0.16552544756546828</v>
      </c>
      <c r="K29" s="11">
        <f t="shared" si="11"/>
        <v>5.7271760843605093E-2</v>
      </c>
      <c r="L29" s="11">
        <f t="shared" si="11"/>
        <v>2.4966968121783072E-2</v>
      </c>
      <c r="M29" s="11">
        <f t="shared" si="11"/>
        <v>3.0790861279960738E-2</v>
      </c>
      <c r="N29" s="6"/>
      <c r="O29" s="11">
        <f t="shared" si="9"/>
        <v>1.4440238552340052</v>
      </c>
      <c r="P29" s="11">
        <f t="shared" si="9"/>
        <v>3.131774736487237</v>
      </c>
      <c r="Q29" s="11">
        <f t="shared" si="9"/>
        <v>9.310374822295657E-2</v>
      </c>
      <c r="R29" s="11">
        <f t="shared" si="9"/>
        <v>2.0423276639003902E-2</v>
      </c>
      <c r="S29" s="11">
        <f t="shared" si="9"/>
        <v>4.5644084393520107E-2</v>
      </c>
      <c r="T29" s="11">
        <f t="shared" si="10"/>
        <v>5.8694249308652205E-2</v>
      </c>
      <c r="U29" s="11">
        <f t="shared" si="10"/>
        <v>1.0662402869108769E-2</v>
      </c>
      <c r="V29" s="11">
        <f t="shared" si="10"/>
        <v>1.4471135654422951E-2</v>
      </c>
    </row>
    <row r="30" spans="1:22" x14ac:dyDescent="0.3">
      <c r="A30" s="224"/>
      <c r="B30" s="11">
        <f t="shared" ref="B30:M30" si="12">IF(B7="","",(B7/$O$23))</f>
        <v>1.2569045850400239E-2</v>
      </c>
      <c r="C30" s="11">
        <f t="shared" si="12"/>
        <v>1.9420439345560449E-2</v>
      </c>
      <c r="D30" s="11">
        <f t="shared" si="12"/>
        <v>5.6302692948238246E-2</v>
      </c>
      <c r="E30" s="11">
        <f t="shared" si="12"/>
        <v>5.5105586757994547E-2</v>
      </c>
      <c r="F30" s="11">
        <f t="shared" si="12"/>
        <v>1.945514973360593</v>
      </c>
      <c r="G30" s="11">
        <f t="shared" si="12"/>
        <v>4.3350705917963701</v>
      </c>
      <c r="H30" s="11">
        <f t="shared" si="12"/>
        <v>1.2357182717770643</v>
      </c>
      <c r="I30" s="11">
        <f t="shared" si="12"/>
        <v>0.13517548561769874</v>
      </c>
      <c r="J30" s="11">
        <f t="shared" si="12"/>
        <v>2.7104684849463895E-2</v>
      </c>
      <c r="K30" s="11">
        <f t="shared" si="12"/>
        <v>3.4186393228135332E-2</v>
      </c>
      <c r="L30" s="11">
        <f t="shared" si="12"/>
        <v>4.884003540474758E-2</v>
      </c>
      <c r="M30" s="11">
        <f t="shared" si="12"/>
        <v>3.6780565977008919E-2</v>
      </c>
      <c r="N30" s="6"/>
      <c r="O30" s="11">
        <f t="shared" si="9"/>
        <v>1.8330495976651306</v>
      </c>
      <c r="P30" s="11">
        <f t="shared" si="9"/>
        <v>2.2423995851296645</v>
      </c>
      <c r="Q30" s="11">
        <f t="shared" si="9"/>
        <v>4.9459267513298363E-2</v>
      </c>
      <c r="R30" s="11">
        <f t="shared" si="9"/>
        <v>0.18744406350581938</v>
      </c>
      <c r="S30" s="11">
        <f t="shared" si="9"/>
        <v>0.64363334439692166</v>
      </c>
      <c r="T30" s="11">
        <f t="shared" si="10"/>
        <v>2.8650488532206472E-2</v>
      </c>
      <c r="U30" s="11">
        <f t="shared" si="10"/>
        <v>1.4223366924714827E-2</v>
      </c>
      <c r="V30" s="11">
        <f t="shared" si="10"/>
        <v>5.3157965181284281E-2</v>
      </c>
    </row>
    <row r="31" spans="1:22" x14ac:dyDescent="0.3">
      <c r="A31" s="224"/>
      <c r="B31" s="11">
        <f t="shared" ref="B31:M31" si="13">IF(B8="","",(B8/$O$23))</f>
        <v>1.7042542516952759E-2</v>
      </c>
      <c r="C31" s="11">
        <f t="shared" si="13"/>
        <v>0.17184070443723251</v>
      </c>
      <c r="D31" s="11">
        <f t="shared" si="13"/>
        <v>4.4062234724066549E-2</v>
      </c>
      <c r="E31" s="11">
        <f t="shared" si="13"/>
        <v>0.71590516832100359</v>
      </c>
      <c r="F31" s="11">
        <f t="shared" si="13"/>
        <v>4.9380106732166649</v>
      </c>
      <c r="G31" s="11">
        <f t="shared" si="13"/>
        <v>4.1161007083131249</v>
      </c>
      <c r="H31" s="11">
        <f t="shared" si="13"/>
        <v>5.5480476402731949</v>
      </c>
      <c r="I31" s="11">
        <f t="shared" si="13"/>
        <v>4.2978578534102682E-2</v>
      </c>
      <c r="J31" s="11">
        <f t="shared" si="13"/>
        <v>0.11060767936980991</v>
      </c>
      <c r="K31" s="11">
        <f t="shared" si="13"/>
        <v>6.7798706688968383E-2</v>
      </c>
      <c r="L31" s="11">
        <f t="shared" si="13"/>
        <v>3.6256950591102011E-2</v>
      </c>
      <c r="M31" s="11">
        <f t="shared" si="13"/>
        <v>1.6342112080442499E-2</v>
      </c>
      <c r="N31" s="6"/>
      <c r="O31" s="11">
        <f t="shared" si="9"/>
        <v>1.5617792640528836</v>
      </c>
      <c r="P31" s="11">
        <f t="shared" si="9"/>
        <v>1.8958033839403177</v>
      </c>
      <c r="Q31" s="11">
        <f t="shared" si="9"/>
        <v>9.3749919963680827E-3</v>
      </c>
      <c r="R31" s="11">
        <f t="shared" si="9"/>
        <v>0.16620083552700038</v>
      </c>
      <c r="S31" s="11">
        <f t="shared" si="9"/>
        <v>0.20161772491201696</v>
      </c>
      <c r="T31" s="11">
        <f t="shared" si="10"/>
        <v>1.2882456219066259E-2</v>
      </c>
      <c r="U31" s="11">
        <f t="shared" si="10"/>
        <v>4.6976268176070229E-2</v>
      </c>
      <c r="V31" s="11">
        <f t="shared" si="10"/>
        <v>1.6333385157344053E-2</v>
      </c>
    </row>
    <row r="32" spans="1:22" x14ac:dyDescent="0.3">
      <c r="A32" s="224"/>
      <c r="B32" s="11">
        <f t="shared" ref="B32:M32" si="14">IF(B9="","",(B9/$O$23))</f>
        <v>6.1342680753311797E-3</v>
      </c>
      <c r="C32" s="11">
        <f t="shared" si="14"/>
        <v>6.4951073738800727E-2</v>
      </c>
      <c r="D32" s="11">
        <f t="shared" si="14"/>
        <v>0.13234985969099672</v>
      </c>
      <c r="E32" s="11">
        <f t="shared" si="14"/>
        <v>0.62522067495351252</v>
      </c>
      <c r="F32" s="11">
        <f t="shared" si="14"/>
        <v>1.6788319658466173</v>
      </c>
      <c r="G32" s="11">
        <f t="shared" si="14"/>
        <v>4.7466448063566906</v>
      </c>
      <c r="H32" s="11">
        <f t="shared" si="14"/>
        <v>8.0706926302747011</v>
      </c>
      <c r="I32" s="11">
        <f t="shared" si="14"/>
        <v>5.6791021210312299E-2</v>
      </c>
      <c r="J32" s="11">
        <f t="shared" si="14"/>
        <v>0.10251554506891376</v>
      </c>
      <c r="K32" s="11">
        <f t="shared" si="14"/>
        <v>2.2329540188856306E-3</v>
      </c>
      <c r="L32" s="11">
        <f t="shared" si="14"/>
        <v>2.1110426975146958E-2</v>
      </c>
      <c r="M32" s="11">
        <f t="shared" si="14"/>
        <v>3.5407783030479062E-2</v>
      </c>
      <c r="N32" s="6"/>
      <c r="O32" s="11">
        <f t="shared" si="9"/>
        <v>1.2607816154843694</v>
      </c>
      <c r="P32" s="11">
        <f t="shared" si="9"/>
        <v>1.6073391146669318</v>
      </c>
      <c r="Q32" s="11">
        <f t="shared" si="9"/>
        <v>9.3078326316539343E-3</v>
      </c>
      <c r="R32" s="11">
        <f t="shared" si="9"/>
        <v>0.7173515609667116</v>
      </c>
      <c r="S32" s="11">
        <f t="shared" si="9"/>
        <v>6.4200937783773213E-2</v>
      </c>
      <c r="T32" s="11">
        <f t="shared" si="10"/>
        <v>2.4046088019177222E-2</v>
      </c>
      <c r="U32" s="11">
        <f t="shared" si="10"/>
        <v>8.7222181486041328E-2</v>
      </c>
      <c r="V32" s="11">
        <f t="shared" si="10"/>
        <v>0.2793028971772103</v>
      </c>
    </row>
    <row r="33" spans="1:22" x14ac:dyDescent="0.3">
      <c r="A33" s="224"/>
      <c r="B33" s="11">
        <f t="shared" ref="B33:M33" si="15">IF(B10="","",(B10/$O$23))</f>
        <v>5.9390505999332772E-2</v>
      </c>
      <c r="C33" s="11">
        <f t="shared" si="15"/>
        <v>2.536878601575077E-2</v>
      </c>
      <c r="D33" s="11">
        <f t="shared" si="15"/>
        <v>8.3784153216691679E-2</v>
      </c>
      <c r="E33" s="11">
        <f t="shared" si="15"/>
        <v>1.0183347911405416</v>
      </c>
      <c r="F33" s="11">
        <f t="shared" si="15"/>
        <v>1.8459688587337861</v>
      </c>
      <c r="G33" s="11">
        <f t="shared" si="15"/>
        <v>2.8112208121179778</v>
      </c>
      <c r="H33" s="11">
        <f t="shared" si="15"/>
        <v>6.5098228633812525</v>
      </c>
      <c r="I33" s="11">
        <f t="shared" si="15"/>
        <v>0.14271972092058793</v>
      </c>
      <c r="J33" s="11">
        <f t="shared" si="15"/>
        <v>0.35370371090587455</v>
      </c>
      <c r="K33" s="11">
        <f t="shared" si="15"/>
        <v>2.3448483502653033E-2</v>
      </c>
      <c r="L33" s="11">
        <f t="shared" si="15"/>
        <v>3.0091569137767667E-2</v>
      </c>
      <c r="M33" s="11">
        <f t="shared" si="15"/>
        <v>5.1702845612477753E-2</v>
      </c>
      <c r="N33" s="6"/>
      <c r="O33" s="11">
        <f t="shared" si="9"/>
        <v>0.30533606764276039</v>
      </c>
      <c r="P33" s="11">
        <f t="shared" si="9"/>
        <v>0.60959910317585064</v>
      </c>
      <c r="Q33" s="11">
        <f t="shared" si="9"/>
        <v>5.3768090935297545E-2</v>
      </c>
      <c r="R33" s="11">
        <f t="shared" si="9"/>
        <v>4.3558729204429974E-4</v>
      </c>
      <c r="S33" s="11">
        <f t="shared" si="9"/>
        <v>0.13843783713076221</v>
      </c>
      <c r="T33" s="11">
        <f t="shared" si="10"/>
        <v>1.1776034142758613E-2</v>
      </c>
      <c r="U33" s="11">
        <f t="shared" si="10"/>
        <v>4.1282140570052103E-3</v>
      </c>
      <c r="V33" s="11">
        <f t="shared" si="10"/>
        <v>7.0162943985769805E-2</v>
      </c>
    </row>
    <row r="34" spans="1:22" x14ac:dyDescent="0.3">
      <c r="A34" s="224"/>
      <c r="B34" s="11">
        <f t="shared" ref="B34:M34" si="16">IF(B11="","",(B11/$O$23))</f>
        <v>2.928831278127134E-3</v>
      </c>
      <c r="C34" s="11">
        <f t="shared" si="16"/>
        <v>0.24257165728727959</v>
      </c>
      <c r="D34" s="11">
        <f t="shared" si="16"/>
        <v>0.34285121288579523</v>
      </c>
      <c r="E34" s="11">
        <f t="shared" si="16"/>
        <v>0.31738529242164432</v>
      </c>
      <c r="F34" s="11">
        <f t="shared" si="16"/>
        <v>1.1681218020451165</v>
      </c>
      <c r="G34" s="11">
        <f t="shared" si="16"/>
        <v>0.92069190461207451</v>
      </c>
      <c r="H34" s="11">
        <f t="shared" si="16"/>
        <v>3.9021613268489763</v>
      </c>
      <c r="I34" s="11">
        <f t="shared" si="16"/>
        <v>2.9710240541509371E-2</v>
      </c>
      <c r="J34" s="11">
        <f t="shared" si="16"/>
        <v>1.1865579962377476E-2</v>
      </c>
      <c r="K34" s="11">
        <f t="shared" si="16"/>
        <v>6.635459063189468E-2</v>
      </c>
      <c r="L34" s="11">
        <f t="shared" si="16"/>
        <v>7.3507632121109959E-2</v>
      </c>
      <c r="M34" s="11">
        <f t="shared" si="16"/>
        <v>1.7459917099922038E-2</v>
      </c>
      <c r="N34" s="6"/>
      <c r="O34" s="11">
        <f t="shared" si="9"/>
        <v>0.29502501828622391</v>
      </c>
      <c r="P34" s="11">
        <f t="shared" si="9"/>
        <v>0.77043553701737866</v>
      </c>
      <c r="Q34" s="11">
        <f t="shared" si="9"/>
        <v>1.0589931464247741E-2</v>
      </c>
      <c r="R34" s="11">
        <f t="shared" si="9"/>
        <v>7.3093292989653183E-2</v>
      </c>
      <c r="S34" s="11">
        <f t="shared" si="9"/>
        <v>7.8255078286665961E-2</v>
      </c>
      <c r="T34" s="11">
        <f t="shared" si="10"/>
        <v>2.6448647891324006E-2</v>
      </c>
      <c r="U34" s="11">
        <f t="shared" si="10"/>
        <v>2.0340181153849109E-2</v>
      </c>
      <c r="V34" s="11">
        <f t="shared" si="10"/>
        <v>6.5944045814828545E-2</v>
      </c>
    </row>
    <row r="35" spans="1:22" x14ac:dyDescent="0.3">
      <c r="A35" s="224"/>
      <c r="B35" s="11">
        <f t="shared" ref="B35:M35" si="17">IF(B12="","",(B12/$O$23))</f>
        <v>1.0766367083412026E-2</v>
      </c>
      <c r="C35" s="11">
        <f t="shared" si="17"/>
        <v>2.5372200898702336E-2</v>
      </c>
      <c r="D35" s="11">
        <f t="shared" si="17"/>
        <v>0.14315113446680255</v>
      </c>
      <c r="E35" s="11">
        <f t="shared" si="17"/>
        <v>2.620442684557112</v>
      </c>
      <c r="F35" s="11">
        <f t="shared" si="17"/>
        <v>2.2260415369287814</v>
      </c>
      <c r="G35" s="11">
        <f t="shared" si="17"/>
        <v>2.1080281147313404</v>
      </c>
      <c r="H35" s="11">
        <f t="shared" si="17"/>
        <v>4.40471105869055</v>
      </c>
      <c r="I35" s="11">
        <f t="shared" si="17"/>
        <v>6.9947047496942971E-2</v>
      </c>
      <c r="J35" s="11">
        <f t="shared" si="17"/>
        <v>0.13548206622046161</v>
      </c>
      <c r="K35" s="11">
        <f t="shared" si="17"/>
        <v>4.3842923352288149E-2</v>
      </c>
      <c r="L35" s="11">
        <f t="shared" si="17"/>
        <v>9.9798436533783771E-2</v>
      </c>
      <c r="M35" s="11" t="str">
        <f t="shared" si="17"/>
        <v/>
      </c>
      <c r="N35" s="6"/>
      <c r="O35" s="11">
        <f t="shared" si="9"/>
        <v>0.60381429145589649</v>
      </c>
      <c r="P35" s="11">
        <f t="shared" si="9"/>
        <v>1.2826971959732079</v>
      </c>
      <c r="Q35" s="11">
        <f t="shared" si="9"/>
        <v>4.6374110482277275E-3</v>
      </c>
      <c r="R35" s="11">
        <f t="shared" si="9"/>
        <v>0.26511899112215803</v>
      </c>
      <c r="S35" s="11">
        <f t="shared" si="9"/>
        <v>9.2797926483071808E-2</v>
      </c>
      <c r="T35" s="11">
        <f t="shared" si="10"/>
        <v>0.13323621153264784</v>
      </c>
      <c r="U35" s="11">
        <f t="shared" si="10"/>
        <v>7.5485987644384328E-2</v>
      </c>
      <c r="V35" s="11">
        <f t="shared" si="10"/>
        <v>1.7989982820293019E-2</v>
      </c>
    </row>
    <row r="36" spans="1:22" x14ac:dyDescent="0.3">
      <c r="A36" s="224"/>
      <c r="B36" s="11" t="str">
        <f t="shared" ref="B36:M36" si="18">IF(B13="","",(B13/$O$23))</f>
        <v/>
      </c>
      <c r="C36" s="11" t="str">
        <f t="shared" si="18"/>
        <v/>
      </c>
      <c r="D36" s="11" t="str">
        <f t="shared" si="18"/>
        <v/>
      </c>
      <c r="E36" s="11" t="str">
        <f t="shared" si="18"/>
        <v/>
      </c>
      <c r="F36" s="11" t="str">
        <f t="shared" si="18"/>
        <v/>
      </c>
      <c r="G36" s="11" t="str">
        <f t="shared" si="18"/>
        <v/>
      </c>
      <c r="H36" s="11" t="str">
        <f t="shared" si="18"/>
        <v/>
      </c>
      <c r="I36" s="11" t="str">
        <f t="shared" si="18"/>
        <v/>
      </c>
      <c r="J36" s="11" t="str">
        <f t="shared" si="18"/>
        <v/>
      </c>
      <c r="K36" s="11" t="str">
        <f t="shared" si="18"/>
        <v/>
      </c>
      <c r="L36" s="11" t="str">
        <f t="shared" si="18"/>
        <v/>
      </c>
      <c r="M36" s="11" t="str">
        <f t="shared" si="18"/>
        <v/>
      </c>
      <c r="N36" s="6"/>
      <c r="O36" s="11">
        <f t="shared" si="9"/>
        <v>3.2428866802395616E-2</v>
      </c>
      <c r="P36" s="11" t="str">
        <f t="shared" si="9"/>
        <v/>
      </c>
      <c r="Q36" s="11" t="str">
        <f t="shared" si="9"/>
        <v/>
      </c>
      <c r="R36" s="11" t="str">
        <f t="shared" si="9"/>
        <v/>
      </c>
      <c r="S36" s="11" t="str">
        <f t="shared" si="9"/>
        <v/>
      </c>
      <c r="T36" s="11" t="str">
        <f t="shared" si="10"/>
        <v/>
      </c>
      <c r="U36" s="11" t="str">
        <f t="shared" si="10"/>
        <v/>
      </c>
      <c r="V36" s="11" t="str">
        <f t="shared" si="10"/>
        <v/>
      </c>
    </row>
    <row r="37" spans="1:22" x14ac:dyDescent="0.3">
      <c r="A37" s="224"/>
      <c r="B37" s="11" t="str">
        <f t="shared" ref="B37:M37" si="19">IF(B14="","",(B14/$O$23))</f>
        <v/>
      </c>
      <c r="C37" s="11" t="str">
        <f t="shared" si="19"/>
        <v/>
      </c>
      <c r="D37" s="11" t="str">
        <f t="shared" si="19"/>
        <v/>
      </c>
      <c r="E37" s="11" t="str">
        <f t="shared" si="19"/>
        <v/>
      </c>
      <c r="F37" s="11" t="str">
        <f t="shared" si="19"/>
        <v/>
      </c>
      <c r="G37" s="11" t="str">
        <f t="shared" si="19"/>
        <v/>
      </c>
      <c r="H37" s="11" t="str">
        <f t="shared" si="19"/>
        <v/>
      </c>
      <c r="I37" s="11" t="str">
        <f t="shared" si="19"/>
        <v/>
      </c>
      <c r="J37" s="11" t="str">
        <f t="shared" si="19"/>
        <v/>
      </c>
      <c r="K37" s="11" t="str">
        <f t="shared" si="19"/>
        <v/>
      </c>
      <c r="L37" s="11" t="str">
        <f t="shared" si="19"/>
        <v/>
      </c>
      <c r="M37" s="11" t="str">
        <f t="shared" si="19"/>
        <v/>
      </c>
      <c r="N37" s="6"/>
      <c r="O37" s="11">
        <f t="shared" si="9"/>
        <v>0.68526114700796015</v>
      </c>
      <c r="P37" s="11" t="str">
        <f t="shared" si="9"/>
        <v/>
      </c>
      <c r="Q37" s="11" t="str">
        <f t="shared" si="9"/>
        <v/>
      </c>
      <c r="R37" s="11" t="str">
        <f t="shared" si="9"/>
        <v/>
      </c>
      <c r="S37" s="11" t="str">
        <f t="shared" si="9"/>
        <v/>
      </c>
      <c r="T37" s="11" t="str">
        <f t="shared" si="10"/>
        <v/>
      </c>
      <c r="U37" s="11" t="str">
        <f t="shared" si="10"/>
        <v/>
      </c>
      <c r="V37" s="11" t="str">
        <f t="shared" si="10"/>
        <v/>
      </c>
    </row>
    <row r="38" spans="1:22" x14ac:dyDescent="0.3">
      <c r="A38" s="224"/>
      <c r="B38" s="11" t="str">
        <f t="shared" ref="B38:M38" si="20">IF(B15="","",(B15/$O$23))</f>
        <v/>
      </c>
      <c r="C38" s="11" t="str">
        <f t="shared" si="20"/>
        <v/>
      </c>
      <c r="D38" s="11" t="str">
        <f t="shared" si="20"/>
        <v/>
      </c>
      <c r="E38" s="11" t="str">
        <f t="shared" si="20"/>
        <v/>
      </c>
      <c r="F38" s="11" t="str">
        <f t="shared" si="20"/>
        <v/>
      </c>
      <c r="G38" s="11" t="str">
        <f t="shared" si="20"/>
        <v/>
      </c>
      <c r="H38" s="11" t="str">
        <f t="shared" si="20"/>
        <v/>
      </c>
      <c r="I38" s="11" t="str">
        <f t="shared" si="20"/>
        <v/>
      </c>
      <c r="J38" s="11" t="str">
        <f t="shared" si="20"/>
        <v/>
      </c>
      <c r="K38" s="11" t="str">
        <f t="shared" si="20"/>
        <v/>
      </c>
      <c r="L38" s="11" t="str">
        <f t="shared" si="20"/>
        <v/>
      </c>
      <c r="M38" s="11" t="str">
        <f t="shared" si="20"/>
        <v/>
      </c>
      <c r="N38" s="6"/>
      <c r="O38" s="11">
        <f t="shared" ref="O38:S43" si="21">IF(O15="","",(O15/$O$23))</f>
        <v>1.0675595700244989</v>
      </c>
      <c r="P38" s="11" t="str">
        <f t="shared" si="21"/>
        <v/>
      </c>
      <c r="Q38" s="11" t="str">
        <f t="shared" si="21"/>
        <v/>
      </c>
      <c r="R38" s="11" t="str">
        <f t="shared" si="21"/>
        <v/>
      </c>
      <c r="S38" s="11" t="str">
        <f t="shared" si="21"/>
        <v/>
      </c>
      <c r="T38" s="11" t="str">
        <f t="shared" si="10"/>
        <v/>
      </c>
      <c r="U38" s="11" t="str">
        <f t="shared" si="10"/>
        <v/>
      </c>
      <c r="V38" s="11" t="str">
        <f t="shared" si="10"/>
        <v/>
      </c>
    </row>
    <row r="39" spans="1:22" x14ac:dyDescent="0.3">
      <c r="A39" s="224"/>
      <c r="B39" s="11" t="str">
        <f t="shared" ref="B39:M39" si="22">IF(B16="","",(B16/$O$23))</f>
        <v/>
      </c>
      <c r="C39" s="11" t="str">
        <f t="shared" si="22"/>
        <v/>
      </c>
      <c r="D39" s="11" t="str">
        <f t="shared" si="22"/>
        <v/>
      </c>
      <c r="E39" s="11" t="str">
        <f t="shared" si="22"/>
        <v/>
      </c>
      <c r="F39" s="11" t="str">
        <f t="shared" si="22"/>
        <v/>
      </c>
      <c r="G39" s="11" t="str">
        <f t="shared" si="22"/>
        <v/>
      </c>
      <c r="H39" s="11" t="str">
        <f t="shared" si="22"/>
        <v/>
      </c>
      <c r="I39" s="11" t="str">
        <f t="shared" si="22"/>
        <v/>
      </c>
      <c r="J39" s="11" t="str">
        <f t="shared" si="22"/>
        <v/>
      </c>
      <c r="K39" s="11" t="str">
        <f t="shared" si="22"/>
        <v/>
      </c>
      <c r="L39" s="11" t="str">
        <f t="shared" si="22"/>
        <v/>
      </c>
      <c r="M39" s="11" t="str">
        <f t="shared" si="22"/>
        <v/>
      </c>
      <c r="N39" s="6"/>
      <c r="O39" s="11">
        <f t="shared" si="21"/>
        <v>0.40605424598483281</v>
      </c>
      <c r="P39" s="11" t="str">
        <f t="shared" si="21"/>
        <v/>
      </c>
      <c r="Q39" s="11" t="str">
        <f t="shared" si="21"/>
        <v/>
      </c>
      <c r="R39" s="11" t="str">
        <f t="shared" si="21"/>
        <v/>
      </c>
      <c r="S39" s="11" t="str">
        <f t="shared" si="21"/>
        <v/>
      </c>
      <c r="T39" s="11" t="str">
        <f t="shared" si="10"/>
        <v/>
      </c>
      <c r="U39" s="11" t="str">
        <f t="shared" si="10"/>
        <v/>
      </c>
      <c r="V39" s="11" t="str">
        <f t="shared" si="10"/>
        <v/>
      </c>
    </row>
    <row r="40" spans="1:22" x14ac:dyDescent="0.3">
      <c r="A40" s="224"/>
      <c r="B40" s="11" t="str">
        <f t="shared" ref="B40:M40" si="23">IF(B17="","",(B17/$O$23))</f>
        <v/>
      </c>
      <c r="C40" s="11" t="str">
        <f t="shared" si="23"/>
        <v/>
      </c>
      <c r="D40" s="11" t="str">
        <f t="shared" si="23"/>
        <v/>
      </c>
      <c r="E40" s="11" t="str">
        <f t="shared" si="23"/>
        <v/>
      </c>
      <c r="F40" s="11" t="str">
        <f t="shared" si="23"/>
        <v/>
      </c>
      <c r="G40" s="11" t="str">
        <f t="shared" si="23"/>
        <v/>
      </c>
      <c r="H40" s="11" t="str">
        <f t="shared" si="23"/>
        <v/>
      </c>
      <c r="I40" s="11" t="str">
        <f t="shared" si="23"/>
        <v/>
      </c>
      <c r="J40" s="11" t="str">
        <f t="shared" si="23"/>
        <v/>
      </c>
      <c r="K40" s="11" t="str">
        <f t="shared" si="23"/>
        <v/>
      </c>
      <c r="L40" s="11" t="str">
        <f t="shared" si="23"/>
        <v/>
      </c>
      <c r="M40" s="11" t="str">
        <f t="shared" si="23"/>
        <v/>
      </c>
      <c r="N40" s="6"/>
      <c r="O40" s="11">
        <f t="shared" si="21"/>
        <v>0.31498766515820537</v>
      </c>
      <c r="P40" s="11" t="str">
        <f t="shared" si="21"/>
        <v/>
      </c>
      <c r="Q40" s="11" t="str">
        <f t="shared" si="21"/>
        <v/>
      </c>
      <c r="R40" s="11" t="str">
        <f t="shared" si="21"/>
        <v/>
      </c>
      <c r="S40" s="11" t="str">
        <f t="shared" si="21"/>
        <v/>
      </c>
      <c r="T40" s="11" t="str">
        <f t="shared" si="10"/>
        <v/>
      </c>
      <c r="U40" s="11" t="str">
        <f t="shared" si="10"/>
        <v/>
      </c>
      <c r="V40" s="11" t="str">
        <f t="shared" si="10"/>
        <v/>
      </c>
    </row>
    <row r="41" spans="1:22" x14ac:dyDescent="0.3">
      <c r="A41" s="224"/>
      <c r="B41" s="11" t="str">
        <f t="shared" ref="B41:M41" si="24">IF(B18="","",(B18/$O$23))</f>
        <v/>
      </c>
      <c r="C41" s="11" t="str">
        <f t="shared" si="24"/>
        <v/>
      </c>
      <c r="D41" s="11" t="str">
        <f t="shared" si="24"/>
        <v/>
      </c>
      <c r="E41" s="11" t="str">
        <f t="shared" si="24"/>
        <v/>
      </c>
      <c r="F41" s="11" t="str">
        <f t="shared" si="24"/>
        <v/>
      </c>
      <c r="G41" s="11" t="str">
        <f t="shared" si="24"/>
        <v/>
      </c>
      <c r="H41" s="11" t="str">
        <f t="shared" si="24"/>
        <v/>
      </c>
      <c r="I41" s="11" t="str">
        <f t="shared" si="24"/>
        <v/>
      </c>
      <c r="J41" s="11" t="str">
        <f t="shared" si="24"/>
        <v/>
      </c>
      <c r="K41" s="11" t="str">
        <f t="shared" si="24"/>
        <v/>
      </c>
      <c r="L41" s="11" t="str">
        <f t="shared" si="24"/>
        <v/>
      </c>
      <c r="M41" s="11" t="str">
        <f t="shared" si="24"/>
        <v/>
      </c>
      <c r="N41" s="6"/>
      <c r="O41" s="11">
        <f t="shared" si="21"/>
        <v>2.1151796384947992</v>
      </c>
      <c r="P41" s="11" t="str">
        <f t="shared" si="21"/>
        <v/>
      </c>
      <c r="Q41" s="11" t="str">
        <f t="shared" si="21"/>
        <v/>
      </c>
      <c r="R41" s="11" t="str">
        <f t="shared" si="21"/>
        <v/>
      </c>
      <c r="S41" s="11" t="str">
        <f t="shared" si="21"/>
        <v/>
      </c>
      <c r="T41" s="11" t="str">
        <f t="shared" si="10"/>
        <v/>
      </c>
      <c r="U41" s="11" t="str">
        <f t="shared" si="10"/>
        <v/>
      </c>
      <c r="V41" s="11" t="str">
        <f t="shared" si="10"/>
        <v/>
      </c>
    </row>
    <row r="42" spans="1:22" x14ac:dyDescent="0.3">
      <c r="A42" s="224"/>
      <c r="B42" s="11" t="str">
        <f t="shared" ref="B42:M42" si="25">IF(B19="","",(B19/$O$23))</f>
        <v/>
      </c>
      <c r="C42" s="11" t="str">
        <f t="shared" si="25"/>
        <v/>
      </c>
      <c r="D42" s="11" t="str">
        <f t="shared" si="25"/>
        <v/>
      </c>
      <c r="E42" s="11" t="str">
        <f t="shared" si="25"/>
        <v/>
      </c>
      <c r="F42" s="11" t="str">
        <f t="shared" si="25"/>
        <v/>
      </c>
      <c r="G42" s="11" t="str">
        <f t="shared" si="25"/>
        <v/>
      </c>
      <c r="H42" s="11" t="str">
        <f t="shared" si="25"/>
        <v/>
      </c>
      <c r="I42" s="11" t="str">
        <f t="shared" si="25"/>
        <v/>
      </c>
      <c r="J42" s="11" t="str">
        <f t="shared" si="25"/>
        <v/>
      </c>
      <c r="K42" s="11" t="str">
        <f t="shared" si="25"/>
        <v/>
      </c>
      <c r="L42" s="11" t="str">
        <f t="shared" si="25"/>
        <v/>
      </c>
      <c r="M42" s="11" t="str">
        <f t="shared" si="25"/>
        <v/>
      </c>
      <c r="N42" s="6"/>
      <c r="O42" s="11">
        <f t="shared" si="21"/>
        <v>0.67528855049506786</v>
      </c>
      <c r="P42" s="11" t="str">
        <f t="shared" si="21"/>
        <v/>
      </c>
      <c r="Q42" s="11" t="str">
        <f t="shared" si="21"/>
        <v/>
      </c>
      <c r="R42" s="11" t="str">
        <f t="shared" si="21"/>
        <v/>
      </c>
      <c r="S42" s="11" t="str">
        <f t="shared" si="21"/>
        <v/>
      </c>
      <c r="T42" s="11" t="str">
        <f t="shared" si="10"/>
        <v/>
      </c>
      <c r="U42" s="11" t="str">
        <f t="shared" si="10"/>
        <v/>
      </c>
      <c r="V42" s="11" t="str">
        <f t="shared" si="10"/>
        <v/>
      </c>
    </row>
    <row r="43" spans="1:22" x14ac:dyDescent="0.3">
      <c r="A43" s="224"/>
      <c r="B43" s="11" t="str">
        <f t="shared" ref="B43:M43" si="26">IF(B20="","",(B20/$O$23))</f>
        <v/>
      </c>
      <c r="C43" s="11" t="str">
        <f t="shared" si="26"/>
        <v/>
      </c>
      <c r="D43" s="11" t="str">
        <f t="shared" si="26"/>
        <v/>
      </c>
      <c r="E43" s="11" t="str">
        <f t="shared" si="26"/>
        <v/>
      </c>
      <c r="F43" s="11" t="str">
        <f t="shared" si="26"/>
        <v/>
      </c>
      <c r="G43" s="11" t="str">
        <f t="shared" si="26"/>
        <v/>
      </c>
      <c r="H43" s="11" t="str">
        <f t="shared" si="26"/>
        <v/>
      </c>
      <c r="I43" s="11" t="str">
        <f t="shared" si="26"/>
        <v/>
      </c>
      <c r="J43" s="11" t="str">
        <f t="shared" si="26"/>
        <v/>
      </c>
      <c r="K43" s="11" t="str">
        <f t="shared" si="26"/>
        <v/>
      </c>
      <c r="L43" s="11" t="str">
        <f t="shared" si="26"/>
        <v/>
      </c>
      <c r="M43" s="11" t="str">
        <f t="shared" si="26"/>
        <v/>
      </c>
      <c r="N43" s="6"/>
      <c r="O43" s="11">
        <f t="shared" si="21"/>
        <v>1.4510934218066267</v>
      </c>
      <c r="P43" s="11" t="str">
        <f t="shared" si="21"/>
        <v/>
      </c>
      <c r="Q43" s="11" t="str">
        <f t="shared" si="21"/>
        <v/>
      </c>
      <c r="R43" s="11" t="str">
        <f t="shared" si="21"/>
        <v/>
      </c>
      <c r="S43" s="11" t="str">
        <f t="shared" si="21"/>
        <v/>
      </c>
      <c r="T43" s="11" t="str">
        <f t="shared" si="10"/>
        <v/>
      </c>
      <c r="U43" s="11" t="str">
        <f t="shared" si="10"/>
        <v/>
      </c>
      <c r="V43" s="11" t="str">
        <f t="shared" si="10"/>
        <v/>
      </c>
    </row>
    <row r="44" spans="1:22" x14ac:dyDescent="0.3">
      <c r="A44" s="7"/>
      <c r="B44" s="3"/>
      <c r="C44" s="3"/>
      <c r="D44" s="3"/>
      <c r="E44" s="3"/>
      <c r="F44" s="3"/>
      <c r="G44" s="3"/>
      <c r="H44" s="3"/>
      <c r="I44" s="3"/>
      <c r="J44" s="3"/>
      <c r="K44" s="3"/>
      <c r="L44" s="3"/>
      <c r="M44" s="3"/>
      <c r="N44" s="7"/>
      <c r="O44" s="3"/>
      <c r="P44" s="3"/>
      <c r="Q44" s="3"/>
      <c r="R44" s="3"/>
      <c r="S44" s="3"/>
      <c r="T44" s="3"/>
      <c r="U44" s="3"/>
      <c r="V44" s="3"/>
    </row>
    <row r="45" spans="1:22" x14ac:dyDescent="0.3">
      <c r="A45" s="7" t="str">
        <f>A4</f>
        <v>Noms des groupes</v>
      </c>
      <c r="B45" s="7" t="str">
        <f t="shared" ref="B45:R45" si="27">B4</f>
        <v>Témoin solvant</v>
      </c>
      <c r="C45" s="7" t="str">
        <f t="shared" si="27"/>
        <v>EE2-33.8ng/L</v>
      </c>
      <c r="D45" s="7" t="str">
        <f t="shared" si="27"/>
        <v>EE2-50.6ng/L</v>
      </c>
      <c r="E45" s="7" t="str">
        <f t="shared" si="27"/>
        <v>EE2-76ng/L</v>
      </c>
      <c r="F45" s="7" t="str">
        <f t="shared" si="27"/>
        <v>EE2-114ng/L</v>
      </c>
      <c r="G45" s="7" t="str">
        <f t="shared" si="27"/>
        <v>EE2-170.9ng/L</v>
      </c>
      <c r="H45" s="7" t="str">
        <f t="shared" si="27"/>
        <v>EE2-488ng/L</v>
      </c>
      <c r="I45" s="7" t="str">
        <f t="shared" si="27"/>
        <v>Prochloraz-0.063mg/L</v>
      </c>
      <c r="J45" s="7" t="str">
        <f t="shared" si="27"/>
        <v>Prochloraz-0.13mg/L</v>
      </c>
      <c r="K45" s="7" t="str">
        <f t="shared" ref="K45:M45" si="28">K4</f>
        <v>Prochloraz-0.25mg/L</v>
      </c>
      <c r="L45" s="7" t="str">
        <f t="shared" si="28"/>
        <v>Prochloraz-0.5mg/L</v>
      </c>
      <c r="M45" s="7" t="str">
        <f t="shared" si="28"/>
        <v>Prochloraz-1mg/L</v>
      </c>
      <c r="N45" s="7"/>
      <c r="O45" s="7" t="str">
        <f t="shared" si="27"/>
        <v>Testo -30µg/L</v>
      </c>
      <c r="P45" s="7" t="str">
        <f t="shared" si="27"/>
        <v>Testo 30µg/L + EE2 -64ng/L</v>
      </c>
      <c r="Q45" s="7" t="str">
        <f t="shared" si="27"/>
        <v>Testo 30µg/L + FAD-10µg/L</v>
      </c>
      <c r="R45" s="7" t="str">
        <f t="shared" si="27"/>
        <v>Prochloraz-0.063mg/L + Testostérone</v>
      </c>
      <c r="S45" s="7" t="str">
        <f t="shared" ref="S45:V45" si="29">S4</f>
        <v>Prochloraz-0.13mg/L + Testostérone</v>
      </c>
      <c r="T45" s="7" t="str">
        <f t="shared" si="29"/>
        <v>Prochloraz-0.25mg/L + Testostérone</v>
      </c>
      <c r="U45" s="7" t="str">
        <f t="shared" si="29"/>
        <v>Prochloraz-0.5mg/L + Testostérone</v>
      </c>
      <c r="V45" s="7" t="str">
        <f t="shared" si="29"/>
        <v>Prochloraz-1mg/L + Testostérone</v>
      </c>
    </row>
    <row r="46" spans="1:22" x14ac:dyDescent="0.3">
      <c r="A46" s="8" t="s">
        <v>0</v>
      </c>
      <c r="B46" s="10">
        <f t="shared" ref="B46:H46" si="30">AVERAGE(B28:B43)</f>
        <v>2.7115925505846135E-2</v>
      </c>
      <c r="C46" s="10">
        <f t="shared" si="30"/>
        <v>7.7683180250138276E-2</v>
      </c>
      <c r="D46" s="10">
        <f t="shared" si="30"/>
        <v>0.12390053811915266</v>
      </c>
      <c r="E46" s="10">
        <f t="shared" si="30"/>
        <v>0.87993238342040181</v>
      </c>
      <c r="F46" s="10">
        <f t="shared" si="30"/>
        <v>2.3891860047851998</v>
      </c>
      <c r="G46" s="10">
        <f t="shared" si="30"/>
        <v>3.1008022698347544</v>
      </c>
      <c r="H46" s="10">
        <f t="shared" si="30"/>
        <v>4.9223349850300071</v>
      </c>
      <c r="I46" s="10">
        <f>AVERAGE(I28:I43)</f>
        <v>8.6041058845168161E-2</v>
      </c>
      <c r="J46" s="9">
        <f>AVERAGE(J28:J43)</f>
        <v>0.11424894060370766</v>
      </c>
      <c r="K46" s="9">
        <f t="shared" ref="K46:M46" si="31">AVERAGE(K28:K43)</f>
        <v>3.741796336570484E-2</v>
      </c>
      <c r="L46" s="9">
        <f t="shared" si="31"/>
        <v>4.4058535267535684E-2</v>
      </c>
      <c r="M46" s="9">
        <f t="shared" si="31"/>
        <v>2.6992210530027372E-2</v>
      </c>
      <c r="N46" s="8" t="s">
        <v>0</v>
      </c>
      <c r="O46" s="10">
        <f t="shared" ref="O46:R46" si="32">AVERAGE(O28:O43)</f>
        <v>1.0000000000000002</v>
      </c>
      <c r="P46" s="10">
        <f t="shared" si="32"/>
        <v>1.5505161263578786</v>
      </c>
      <c r="Q46" s="10">
        <f t="shared" si="32"/>
        <v>3.3716419961925953E-2</v>
      </c>
      <c r="R46" s="10">
        <f t="shared" si="32"/>
        <v>0.18541149671568891</v>
      </c>
      <c r="S46" s="10">
        <f t="shared" ref="S46:V46" si="33">AVERAGE(S28:S43)</f>
        <v>0.2672943664201658</v>
      </c>
      <c r="T46" s="10">
        <f t="shared" si="33"/>
        <v>0.1119980584493263</v>
      </c>
      <c r="U46" s="10">
        <f t="shared" si="33"/>
        <v>3.8151641482062994E-2</v>
      </c>
      <c r="V46" s="10">
        <f t="shared" si="33"/>
        <v>6.6380676543330283E-2</v>
      </c>
    </row>
    <row r="47" spans="1:22" x14ac:dyDescent="0.3">
      <c r="A47" s="8" t="s">
        <v>1</v>
      </c>
      <c r="B47" s="8">
        <f t="shared" ref="B47:J47" si="34">STDEV(B28:B43)</f>
        <v>2.4236247374858372E-2</v>
      </c>
      <c r="C47" s="8">
        <f t="shared" si="34"/>
        <v>8.4205150401534243E-2</v>
      </c>
      <c r="D47" s="8">
        <f t="shared" si="34"/>
        <v>0.1035576404934985</v>
      </c>
      <c r="E47" s="8">
        <f t="shared" si="34"/>
        <v>0.78114663710711441</v>
      </c>
      <c r="F47" s="8">
        <f t="shared" si="34"/>
        <v>1.1707485618247635</v>
      </c>
      <c r="G47" s="8">
        <f t="shared" si="34"/>
        <v>1.338776395000377</v>
      </c>
      <c r="H47" s="8">
        <f t="shared" si="34"/>
        <v>1.9909922584462916</v>
      </c>
      <c r="I47" s="8">
        <f t="shared" si="34"/>
        <v>4.2322658960600404E-2</v>
      </c>
      <c r="J47" s="8">
        <f t="shared" si="34"/>
        <v>0.11345761803476449</v>
      </c>
      <c r="K47" s="8">
        <f t="shared" ref="K47:M47" si="35">STDEV(K28:K43)</f>
        <v>2.6028155927663384E-2</v>
      </c>
      <c r="L47" s="8">
        <f t="shared" si="35"/>
        <v>2.8855694153850957E-2</v>
      </c>
      <c r="M47" s="8">
        <f t="shared" si="35"/>
        <v>1.6831779081470339E-2</v>
      </c>
      <c r="N47" s="8" t="s">
        <v>1</v>
      </c>
      <c r="O47" s="8">
        <f t="shared" ref="O47:R47" si="36">STDEV(O28:O43)</f>
        <v>0.66957532146131926</v>
      </c>
      <c r="P47" s="8">
        <f t="shared" si="36"/>
        <v>0.85676345073899274</v>
      </c>
      <c r="Q47" s="8">
        <f t="shared" si="36"/>
        <v>3.1119135625399263E-2</v>
      </c>
      <c r="R47" s="8">
        <f t="shared" si="36"/>
        <v>0.23336443411877852</v>
      </c>
      <c r="S47" s="8">
        <f t="shared" ref="S47:V47" si="37">STDEV(S28:S43)</f>
        <v>0.31325921871789564</v>
      </c>
      <c r="T47" s="8">
        <f t="shared" si="37"/>
        <v>0.20126458195779753</v>
      </c>
      <c r="U47" s="8">
        <f t="shared" si="37"/>
        <v>3.1046219839821899E-2</v>
      </c>
      <c r="V47" s="8">
        <f t="shared" si="37"/>
        <v>8.9317442329973115E-2</v>
      </c>
    </row>
    <row r="48" spans="1:22" x14ac:dyDescent="0.3">
      <c r="A48" s="8" t="s">
        <v>2</v>
      </c>
      <c r="B48" s="8">
        <f t="shared" ref="B48:J48" si="38" xml:space="preserve"> B47/SQRT(COUNT(B28:B43))</f>
        <v>8.5688074346385069E-3</v>
      </c>
      <c r="C48" s="8">
        <f t="shared" si="38"/>
        <v>2.9771016429878998E-2</v>
      </c>
      <c r="D48" s="8">
        <f t="shared" si="38"/>
        <v>3.6613154918315696E-2</v>
      </c>
      <c r="E48" s="8">
        <f t="shared" si="38"/>
        <v>0.27617704209975386</v>
      </c>
      <c r="F48" s="8">
        <f t="shared" si="38"/>
        <v>0.41392212356534408</v>
      </c>
      <c r="G48" s="8">
        <f t="shared" si="38"/>
        <v>0.47332893369862322</v>
      </c>
      <c r="H48" s="8">
        <f t="shared" si="38"/>
        <v>0.70392206361864595</v>
      </c>
      <c r="I48" s="8">
        <f t="shared" si="38"/>
        <v>1.496331957444307E-2</v>
      </c>
      <c r="J48" s="8">
        <f t="shared" si="38"/>
        <v>4.0113325544827549E-2</v>
      </c>
      <c r="K48" s="8">
        <f t="shared" ref="K48:M48" si="39" xml:space="preserve"> K47/SQRT(COUNT(K28:K43))</f>
        <v>9.2023427791158054E-3</v>
      </c>
      <c r="L48" s="8">
        <f t="shared" si="39"/>
        <v>1.0202028506016514E-2</v>
      </c>
      <c r="M48" s="8">
        <f t="shared" si="39"/>
        <v>6.3618145103356708E-3</v>
      </c>
      <c r="N48" s="8" t="s">
        <v>2</v>
      </c>
      <c r="O48" s="8">
        <f t="shared" ref="O48:R48" si="40" xml:space="preserve"> O47/SQRT(COUNT(O28:O43))</f>
        <v>0.16739383036532982</v>
      </c>
      <c r="P48" s="8">
        <f t="shared" si="40"/>
        <v>0.30291162294516416</v>
      </c>
      <c r="Q48" s="8">
        <f t="shared" si="40"/>
        <v>1.1002275912691845E-2</v>
      </c>
      <c r="R48" s="8">
        <f t="shared" si="40"/>
        <v>8.2506786926574802E-2</v>
      </c>
      <c r="S48" s="8">
        <f t="shared" ref="S48:V48" si="41" xml:space="preserve"> S47/SQRT(COUNT(S28:S43))</f>
        <v>0.11075385891231192</v>
      </c>
      <c r="T48" s="8">
        <f t="shared" si="41"/>
        <v>7.1157775357517147E-2</v>
      </c>
      <c r="U48" s="8">
        <f t="shared" si="41"/>
        <v>1.0976496289473196E-2</v>
      </c>
      <c r="V48" s="8">
        <f t="shared" si="41"/>
        <v>3.1578484574881188E-2</v>
      </c>
    </row>
    <row r="49" spans="1:22"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5" t="s">
        <v>44</v>
      </c>
      <c r="B50" s="216"/>
      <c r="C50" s="216"/>
      <c r="D50" s="216"/>
      <c r="E50" s="216"/>
      <c r="F50" s="216"/>
      <c r="G50" s="216"/>
      <c r="H50" s="216"/>
      <c r="I50" s="216"/>
      <c r="J50" s="216"/>
      <c r="K50" s="216"/>
      <c r="L50" s="216"/>
      <c r="M50" s="216"/>
      <c r="N50" s="216"/>
      <c r="O50" s="216"/>
      <c r="P50" s="216"/>
      <c r="Q50" s="216"/>
      <c r="R50" s="216"/>
      <c r="S50" s="216"/>
      <c r="T50" s="216"/>
      <c r="U50" s="216"/>
      <c r="V50" s="216"/>
    </row>
    <row r="51" spans="1:22" customFormat="1" ht="15" thickBot="1" x14ac:dyDescent="0.35"/>
    <row r="52" spans="1:22" x14ac:dyDescent="0.3">
      <c r="A52" s="45" t="str">
        <f t="shared" ref="A52:H52" si="42">A27</f>
        <v>Noms des groupes</v>
      </c>
      <c r="B52" s="46" t="str">
        <f t="shared" si="42"/>
        <v>Témoin solvant</v>
      </c>
      <c r="C52" s="46" t="str">
        <f t="shared" si="42"/>
        <v>EE2-33.8ng/L</v>
      </c>
      <c r="D52" s="46" t="str">
        <f t="shared" si="42"/>
        <v>EE2-50.6ng/L</v>
      </c>
      <c r="E52" s="46" t="str">
        <f t="shared" si="42"/>
        <v>EE2-76ng/L</v>
      </c>
      <c r="F52" s="46" t="str">
        <f t="shared" si="42"/>
        <v>EE2-114ng/L</v>
      </c>
      <c r="G52" s="46" t="str">
        <f t="shared" si="42"/>
        <v>EE2-170.9ng/L</v>
      </c>
      <c r="H52" s="46" t="str">
        <f t="shared" si="42"/>
        <v>EE2-488ng/L</v>
      </c>
      <c r="I52" s="46" t="str">
        <f>I4</f>
        <v>Prochloraz-0.063mg/L</v>
      </c>
      <c r="J52" s="46" t="str">
        <f>J4</f>
        <v>Prochloraz-0.13mg/L</v>
      </c>
      <c r="K52" s="46" t="str">
        <f t="shared" ref="K52:M52" si="43">K4</f>
        <v>Prochloraz-0.25mg/L</v>
      </c>
      <c r="L52" s="46" t="str">
        <f t="shared" si="43"/>
        <v>Prochloraz-0.5mg/L</v>
      </c>
      <c r="M52" s="46" t="str">
        <f t="shared" si="43"/>
        <v>Prochloraz-1mg/L</v>
      </c>
      <c r="N52" s="47"/>
      <c r="O52" s="46" t="str">
        <f>O27</f>
        <v>Testo -30µg/L</v>
      </c>
      <c r="P52" s="46" t="str">
        <f>P27</f>
        <v>Testo 30µg/L + EE2 -64ng/L</v>
      </c>
      <c r="Q52" s="46" t="str">
        <f>Q27</f>
        <v>Testo 30µg/L + FAD-10µg/L</v>
      </c>
      <c r="R52" s="46" t="str">
        <f>R27</f>
        <v>Prochloraz-0.063mg/L + Testostérone</v>
      </c>
      <c r="S52" s="46" t="str">
        <f t="shared" ref="S52:V52" si="44">S27</f>
        <v>Prochloraz-0.13mg/L + Testostérone</v>
      </c>
      <c r="T52" s="46" t="str">
        <f t="shared" si="44"/>
        <v>Prochloraz-0.25mg/L + Testostérone</v>
      </c>
      <c r="U52" s="46" t="str">
        <f t="shared" si="44"/>
        <v>Prochloraz-0.5mg/L + Testostérone</v>
      </c>
      <c r="V52" s="46" t="str">
        <f t="shared" si="44"/>
        <v>Prochloraz-1mg/L + Testostérone</v>
      </c>
    </row>
    <row r="53" spans="1:22" s="3" customFormat="1" x14ac:dyDescent="0.3">
      <c r="A53" s="61" t="s">
        <v>32</v>
      </c>
      <c r="B53" s="141">
        <f t="shared" ref="B53" si="45">B46</f>
        <v>2.7115925505846135E-2</v>
      </c>
      <c r="C53" s="141">
        <f t="shared" ref="C53:V53" si="46">C46</f>
        <v>7.7683180250138276E-2</v>
      </c>
      <c r="D53" s="141">
        <f t="shared" si="46"/>
        <v>0.12390053811915266</v>
      </c>
      <c r="E53" s="141">
        <f t="shared" si="46"/>
        <v>0.87993238342040181</v>
      </c>
      <c r="F53" s="141">
        <f t="shared" si="46"/>
        <v>2.3891860047851998</v>
      </c>
      <c r="G53" s="141">
        <f t="shared" si="46"/>
        <v>3.1008022698347544</v>
      </c>
      <c r="H53" s="141">
        <f t="shared" si="46"/>
        <v>4.9223349850300071</v>
      </c>
      <c r="I53" s="141">
        <f t="shared" si="46"/>
        <v>8.6041058845168161E-2</v>
      </c>
      <c r="J53" s="141">
        <f t="shared" si="46"/>
        <v>0.11424894060370766</v>
      </c>
      <c r="K53" s="141">
        <f t="shared" si="46"/>
        <v>3.741796336570484E-2</v>
      </c>
      <c r="L53" s="141">
        <f t="shared" si="46"/>
        <v>4.4058535267535684E-2</v>
      </c>
      <c r="M53" s="141">
        <f t="shared" si="46"/>
        <v>2.6992210530027372E-2</v>
      </c>
      <c r="N53" s="141"/>
      <c r="O53" s="141">
        <f t="shared" si="46"/>
        <v>1.0000000000000002</v>
      </c>
      <c r="P53" s="141">
        <f t="shared" si="46"/>
        <v>1.5505161263578786</v>
      </c>
      <c r="Q53" s="141">
        <f t="shared" si="46"/>
        <v>3.3716419961925953E-2</v>
      </c>
      <c r="R53" s="141">
        <f t="shared" si="46"/>
        <v>0.18541149671568891</v>
      </c>
      <c r="S53" s="141">
        <f t="shared" si="46"/>
        <v>0.2672943664201658</v>
      </c>
      <c r="T53" s="141">
        <f t="shared" si="46"/>
        <v>0.1119980584493263</v>
      </c>
      <c r="U53" s="141">
        <f t="shared" si="46"/>
        <v>3.8151641482062994E-2</v>
      </c>
      <c r="V53" s="141">
        <f t="shared" si="46"/>
        <v>6.6380676543330283E-2</v>
      </c>
    </row>
    <row r="54" spans="1:22" s="3" customFormat="1" x14ac:dyDescent="0.3">
      <c r="A54" s="61" t="s">
        <v>2</v>
      </c>
      <c r="B54" s="141">
        <f t="shared" ref="B54" si="47">B48</f>
        <v>8.5688074346385069E-3</v>
      </c>
      <c r="C54" s="141">
        <f t="shared" ref="C54:V54" si="48">C48</f>
        <v>2.9771016429878998E-2</v>
      </c>
      <c r="D54" s="141">
        <f t="shared" si="48"/>
        <v>3.6613154918315696E-2</v>
      </c>
      <c r="E54" s="141">
        <f t="shared" si="48"/>
        <v>0.27617704209975386</v>
      </c>
      <c r="F54" s="141">
        <f t="shared" si="48"/>
        <v>0.41392212356534408</v>
      </c>
      <c r="G54" s="141">
        <f t="shared" si="48"/>
        <v>0.47332893369862322</v>
      </c>
      <c r="H54" s="141">
        <f t="shared" si="48"/>
        <v>0.70392206361864595</v>
      </c>
      <c r="I54" s="141">
        <f t="shared" si="48"/>
        <v>1.496331957444307E-2</v>
      </c>
      <c r="J54" s="141">
        <f t="shared" si="48"/>
        <v>4.0113325544827549E-2</v>
      </c>
      <c r="K54" s="141">
        <f t="shared" si="48"/>
        <v>9.2023427791158054E-3</v>
      </c>
      <c r="L54" s="141">
        <f t="shared" si="48"/>
        <v>1.0202028506016514E-2</v>
      </c>
      <c r="M54" s="141">
        <f t="shared" si="48"/>
        <v>6.3618145103356708E-3</v>
      </c>
      <c r="N54" s="141"/>
      <c r="O54" s="141">
        <f t="shared" si="48"/>
        <v>0.16739383036532982</v>
      </c>
      <c r="P54" s="141">
        <f t="shared" si="48"/>
        <v>0.30291162294516416</v>
      </c>
      <c r="Q54" s="141">
        <f t="shared" si="48"/>
        <v>1.1002275912691845E-2</v>
      </c>
      <c r="R54" s="141">
        <f t="shared" si="48"/>
        <v>8.2506786926574802E-2</v>
      </c>
      <c r="S54" s="141">
        <f t="shared" si="48"/>
        <v>0.11075385891231192</v>
      </c>
      <c r="T54" s="141">
        <f t="shared" si="48"/>
        <v>7.1157775357517147E-2</v>
      </c>
      <c r="U54" s="141">
        <f t="shared" si="48"/>
        <v>1.0976496289473196E-2</v>
      </c>
      <c r="V54" s="141">
        <f t="shared" si="48"/>
        <v>3.1578484574881188E-2</v>
      </c>
    </row>
    <row r="55" spans="1:22" s="3" customFormat="1" x14ac:dyDescent="0.3">
      <c r="A55" s="61" t="s">
        <v>79</v>
      </c>
      <c r="B55" s="141">
        <f>(B53*100/$B53)-100</f>
        <v>0</v>
      </c>
      <c r="C55" s="141">
        <f t="shared" ref="C55:M55" si="49">(C53*100/$B53)-100</f>
        <v>186.48544647089381</v>
      </c>
      <c r="D55" s="141">
        <f t="shared" si="49"/>
        <v>356.92904006702616</v>
      </c>
      <c r="E55" s="141">
        <f t="shared" si="49"/>
        <v>3145.0759729026781</v>
      </c>
      <c r="F55" s="141">
        <f t="shared" si="49"/>
        <v>8711.0066693836307</v>
      </c>
      <c r="G55" s="141">
        <f t="shared" si="49"/>
        <v>11335.354729700182</v>
      </c>
      <c r="H55" s="141">
        <f t="shared" si="49"/>
        <v>18052.930033565561</v>
      </c>
      <c r="I55" s="141">
        <f t="shared" si="49"/>
        <v>217.30821367914547</v>
      </c>
      <c r="J55" s="141">
        <f t="shared" si="49"/>
        <v>321.33520605474388</v>
      </c>
      <c r="K55" s="141">
        <f t="shared" si="49"/>
        <v>37.992573248652747</v>
      </c>
      <c r="L55" s="141">
        <f t="shared" si="49"/>
        <v>62.482137141277946</v>
      </c>
      <c r="M55" s="141">
        <f t="shared" si="49"/>
        <v>-0.45624471048238036</v>
      </c>
      <c r="N55" s="141"/>
      <c r="O55" s="141">
        <f t="shared" ref="O55:V55" si="50">(O53*100/$O53)-100</f>
        <v>0</v>
      </c>
      <c r="P55" s="141">
        <f t="shared" si="50"/>
        <v>55.051612635787819</v>
      </c>
      <c r="Q55" s="141">
        <f t="shared" si="50"/>
        <v>-96.628358003807406</v>
      </c>
      <c r="R55" s="141">
        <f t="shared" si="50"/>
        <v>-81.458850328431112</v>
      </c>
      <c r="S55" s="141">
        <f t="shared" si="50"/>
        <v>-73.270563357983434</v>
      </c>
      <c r="T55" s="141">
        <f t="shared" si="50"/>
        <v>-88.800194155067373</v>
      </c>
      <c r="U55" s="141">
        <f t="shared" si="50"/>
        <v>-96.184835851793707</v>
      </c>
      <c r="V55" s="141">
        <f t="shared" si="50"/>
        <v>-93.361932345666972</v>
      </c>
    </row>
    <row r="56" spans="1:22" s="3" customFormat="1" x14ac:dyDescent="0.3">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
      <c r="A57" s="61" t="s">
        <v>85</v>
      </c>
      <c r="B57" s="141" t="e">
        <f ca="1">IF(B56&gt;0.05,"Oui","Non")</f>
        <v>#NAME?</v>
      </c>
      <c r="C57" s="141" t="e">
        <f t="shared" ref="C57:V57" ca="1" si="51">IF(C56&gt;0.05,"Oui","Non")</f>
        <v>#NAME?</v>
      </c>
      <c r="D57" s="141" t="e">
        <f t="shared" ca="1" si="51"/>
        <v>#NAME?</v>
      </c>
      <c r="E57" s="141" t="e">
        <f t="shared" ca="1" si="51"/>
        <v>#NAME?</v>
      </c>
      <c r="F57" s="141" t="e">
        <f t="shared" ca="1" si="51"/>
        <v>#NAME?</v>
      </c>
      <c r="G57" s="141" t="e">
        <f t="shared" ca="1" si="51"/>
        <v>#NAME?</v>
      </c>
      <c r="H57" s="141" t="e">
        <f t="shared" ca="1" si="51"/>
        <v>#NAME?</v>
      </c>
      <c r="I57" s="141" t="e">
        <f t="shared" ca="1" si="51"/>
        <v>#NAME?</v>
      </c>
      <c r="J57" s="141" t="e">
        <f t="shared" ca="1" si="51"/>
        <v>#NAME?</v>
      </c>
      <c r="K57" s="141" t="e">
        <f t="shared" ca="1" si="51"/>
        <v>#NAME?</v>
      </c>
      <c r="L57" s="141" t="e">
        <f t="shared" ca="1" si="51"/>
        <v>#NAME?</v>
      </c>
      <c r="M57" s="141" t="e">
        <f t="shared" ca="1" si="51"/>
        <v>#NAME?</v>
      </c>
      <c r="N57" s="141"/>
      <c r="O57" s="141" t="e">
        <f t="shared" ca="1" si="51"/>
        <v>#NAME?</v>
      </c>
      <c r="P57" s="141" t="e">
        <f t="shared" ca="1" si="51"/>
        <v>#NAME?</v>
      </c>
      <c r="Q57" s="141" t="e">
        <f t="shared" ca="1" si="51"/>
        <v>#NAME?</v>
      </c>
      <c r="R57" s="141" t="e">
        <f t="shared" ca="1" si="51"/>
        <v>#NAME?</v>
      </c>
      <c r="S57" s="141" t="e">
        <f t="shared" ca="1" si="51"/>
        <v>#NAME?</v>
      </c>
      <c r="T57" s="141" t="e">
        <f t="shared" ca="1" si="51"/>
        <v>#NAME?</v>
      </c>
      <c r="U57" s="141" t="e">
        <f t="shared" ca="1" si="51"/>
        <v>#NAME?</v>
      </c>
      <c r="V57" s="141" t="e">
        <f t="shared" ca="1" si="51"/>
        <v>#NAME?</v>
      </c>
    </row>
    <row r="58" spans="1:22" s="3" customFormat="1" x14ac:dyDescent="0.3">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
      <c r="A59" s="61" t="s">
        <v>82</v>
      </c>
      <c r="B59" s="150"/>
      <c r="C59" s="150" t="e">
        <f t="shared" ref="C59:O59" ca="1" si="52">IF($B57="Non",IF(C57="Non","MW",IF(C57="Oui","MW","")),IF($B57="Oui",IF(C57="Oui","T-Test Welch",IF(C57="Non","MW",""))))</f>
        <v>#NAME?</v>
      </c>
      <c r="D59" s="150" t="e">
        <f t="shared" ca="1" si="52"/>
        <v>#NAME?</v>
      </c>
      <c r="E59" s="150" t="e">
        <f t="shared" ca="1" si="52"/>
        <v>#NAME?</v>
      </c>
      <c r="F59" s="150" t="e">
        <f t="shared" ca="1" si="52"/>
        <v>#NAME?</v>
      </c>
      <c r="G59" s="150" t="e">
        <f t="shared" ca="1" si="52"/>
        <v>#NAME?</v>
      </c>
      <c r="H59" s="150" t="e">
        <f t="shared" ca="1" si="52"/>
        <v>#NAME?</v>
      </c>
      <c r="I59" s="150" t="e">
        <f t="shared" ca="1" si="52"/>
        <v>#NAME?</v>
      </c>
      <c r="J59" s="150" t="e">
        <f t="shared" ca="1" si="52"/>
        <v>#NAME?</v>
      </c>
      <c r="K59" s="150" t="e">
        <f t="shared" ca="1" si="52"/>
        <v>#NAME?</v>
      </c>
      <c r="L59" s="150" t="e">
        <f t="shared" ca="1" si="52"/>
        <v>#NAME?</v>
      </c>
      <c r="M59" s="150" t="e">
        <f t="shared" ca="1" si="52"/>
        <v>#NAME?</v>
      </c>
      <c r="N59" s="150"/>
      <c r="O59" s="150" t="e">
        <f t="shared" ca="1" si="52"/>
        <v>#NAME?</v>
      </c>
      <c r="P59" s="150" t="e">
        <f t="shared" ref="P59:V59" ca="1" si="53">IF($O57="Non",IF(P57="Non","MW",IF(P57="Oui","MW","")),IF($O57="Oui",IF(P57="Oui","T-Test Welch",IF(P57="Non","MW",""))))</f>
        <v>#NAME?</v>
      </c>
      <c r="Q59" s="150" t="e">
        <f t="shared" ca="1" si="53"/>
        <v>#NAME?</v>
      </c>
      <c r="R59" s="150" t="e">
        <f t="shared" ca="1" si="53"/>
        <v>#NAME?</v>
      </c>
      <c r="S59" s="150" t="e">
        <f t="shared" ca="1" si="53"/>
        <v>#NAME?</v>
      </c>
      <c r="T59" s="150" t="e">
        <f t="shared" ca="1" si="53"/>
        <v>#NAME?</v>
      </c>
      <c r="U59" s="150" t="e">
        <f t="shared" ca="1" si="53"/>
        <v>#NAME?</v>
      </c>
      <c r="V59" s="150" t="e">
        <f t="shared" ca="1" si="53"/>
        <v>#NAME?</v>
      </c>
    </row>
    <row r="60" spans="1:22" s="3" customFormat="1" x14ac:dyDescent="0.3">
      <c r="A60" s="61" t="s">
        <v>83</v>
      </c>
      <c r="B60" s="151"/>
      <c r="C60" s="151" t="e">
        <f ca="1">IF(C59="MW",[1]!MTEST($B28:$B43,C28:C43,2), IF(C59="T-Test Welch",_xlfn.T.TEST($B28:$B43,C28:C43,2,3),""))</f>
        <v>#NAME?</v>
      </c>
      <c r="D60" s="151" t="e">
        <f ca="1">IF(D59="MW",[1]!MTEST($B28:$B43,D28:D43,2), IF(D59="T-Test Welch",_xlfn.T.TEST($B28:$B43,D28:D43,2,3),""))</f>
        <v>#NAME?</v>
      </c>
      <c r="E60" s="151" t="e">
        <f ca="1">IF(E59="MW",[1]!MTEST($B28:$B43,E28:E43,2), IF(E59="T-Test Welch",_xlfn.T.TEST($B28:$B43,E28:E43,2,3),""))</f>
        <v>#NAME?</v>
      </c>
      <c r="F60" s="151" t="e">
        <f ca="1">IF(F59="MW",[1]!MTEST($B28:$B43,F28:F43,2), IF(F59="T-Test Welch",_xlfn.T.TEST($B28:$B43,F28:F43,2,3),""))</f>
        <v>#NAME?</v>
      </c>
      <c r="G60" s="151" t="e">
        <f ca="1">IF(G59="MW",[1]!MTEST($B28:$B43,G28:G43,2), IF(G59="T-Test Welch",_xlfn.T.TEST($B28:$B43,G28:G43,2,3),""))</f>
        <v>#NAME?</v>
      </c>
      <c r="H60" s="151" t="e">
        <f ca="1">IF(H59="MW",[1]!MTEST($B28:$B43,H28:H43,2), IF(H59="T-Test Welch",_xlfn.T.TEST($B28:$B43,H28:H43,2,3),""))</f>
        <v>#NAME?</v>
      </c>
      <c r="I60" s="151" t="e">
        <f ca="1">IF(I59="MW",[1]!MTEST($B28:$B43,I28:I43,2), IF(I59="T-Test Welch",_xlfn.T.TEST($B28:$B43,I28:I43,2,3),""))</f>
        <v>#NAME?</v>
      </c>
      <c r="J60" s="151" t="e">
        <f ca="1">IF(J59="MW",[1]!MTEST($B28:$B43,J28:J43,2), IF(J59="T-Test Welch",_xlfn.T.TEST($B28:$B43,J28:J43,2,3),""))</f>
        <v>#NAME?</v>
      </c>
      <c r="K60" s="151" t="e">
        <f ca="1">IF(K59="MW",[1]!MTEST($B28:$B43,K28:K43,2), IF(K59="T-Test Welch",_xlfn.T.TEST($B28:$B43,K28:K43,2,3),""))</f>
        <v>#NAME?</v>
      </c>
      <c r="L60" s="151" t="e">
        <f ca="1">IF(L59="MW",[1]!MTEST($B28:$B43,L28:L43,2), IF(L59="T-Test Welch",_xlfn.T.TEST($B28:$B43,L28:L43,2,3),""))</f>
        <v>#NAME?</v>
      </c>
      <c r="M60" s="151" t="e">
        <f ca="1">IF(M59="MW",[1]!MTEST($B28:$B43,M28:M43,2), IF(M59="T-Test Welch",_xlfn.T.TEST($B28:$B43,M28:M43,2,3),""))</f>
        <v>#NAME?</v>
      </c>
      <c r="N60" s="151"/>
      <c r="O60" s="151" t="e">
        <f ca="1">IF(O59="MW",[1]!MTEST($B28:$B43,O28:O43,2), IF(O59="T-Test Welch",_xlfn.T.TEST($B28:$B43,O28:O43,2,3),""))</f>
        <v>#NAME?</v>
      </c>
      <c r="P60" s="151" t="e">
        <f ca="1">IF(P59="MW",[1]!MTEST($O28:$O43,P28:P43,2), IF(P59="T-Test Welch",_xlfn.T.TEST($O28:$O43,P28:P43,2,3),""))</f>
        <v>#NAME?</v>
      </c>
      <c r="Q60" s="151" t="e">
        <f ca="1">IF(Q59="MW",[1]!MTEST($O28:$O43,Q28:Q43,2), IF(Q59="T-Test Welch",_xlfn.T.TEST($O28:$O43,Q28:Q43,2,3),""))</f>
        <v>#NAME?</v>
      </c>
      <c r="R60" s="151" t="e">
        <f ca="1">IF(R59="MW",[1]!MTEST($O28:$O43,R28:R43,2), IF(R59="T-Test Welch",_xlfn.T.TEST($O28:$O43,R28:R43,2,3),""))</f>
        <v>#NAME?</v>
      </c>
      <c r="S60" s="151" t="e">
        <f ca="1">IF(S59="MW",[1]!MTEST($O28:$O43,S28:S43,2), IF(S59="T-Test Welch",_xlfn.T.TEST($O28:$O43,S28:S43,2,3),""))</f>
        <v>#NAME?</v>
      </c>
      <c r="T60" s="151" t="e">
        <f ca="1">IF(T59="MW",[1]!MTEST($O28:$O43,T28:T43,2), IF(T59="T-Test Welch",_xlfn.T.TEST($O28:$O43,T28:T43,2,3),""))</f>
        <v>#NAME?</v>
      </c>
      <c r="U60" s="151" t="e">
        <f ca="1">IF(U59="MW",[1]!MTEST($O28:$O43,U28:U43,2), IF(U59="T-Test Welch",_xlfn.T.TEST($O28:$O43,U28:U43,2,3),""))</f>
        <v>#NAME?</v>
      </c>
      <c r="V60" s="151" t="e">
        <f ca="1">IF(V59="MW",[1]!MTEST($O28:$O43,V28:V43,2), IF(V59="T-Test Welch",_xlfn.T.TEST($O28:$O43,V28:V43,2,3),""))</f>
        <v>#NAME?</v>
      </c>
    </row>
    <row r="61" spans="1:22" s="3" customFormat="1" ht="15" thickBot="1" x14ac:dyDescent="0.35">
      <c r="A61" s="62" t="s">
        <v>84</v>
      </c>
      <c r="B61" s="142"/>
      <c r="C61" s="142" t="e">
        <f t="shared" ref="C61:O61" ca="1" si="54">IF(C60&gt;0.05,"NS",IF(C60&gt;0.01,"*",IF(C60&gt;0.001,"**","***")))</f>
        <v>#NAME?</v>
      </c>
      <c r="D61" s="142" t="e">
        <f t="shared" ca="1" si="54"/>
        <v>#NAME?</v>
      </c>
      <c r="E61" s="142" t="e">
        <f t="shared" ca="1" si="54"/>
        <v>#NAME?</v>
      </c>
      <c r="F61" s="142" t="e">
        <f t="shared" ca="1" si="54"/>
        <v>#NAME?</v>
      </c>
      <c r="G61" s="142" t="e">
        <f t="shared" ca="1" si="54"/>
        <v>#NAME?</v>
      </c>
      <c r="H61" s="142" t="e">
        <f t="shared" ca="1" si="54"/>
        <v>#NAME?</v>
      </c>
      <c r="I61" s="142" t="e">
        <f t="shared" ca="1" si="54"/>
        <v>#NAME?</v>
      </c>
      <c r="J61" s="142" t="e">
        <f t="shared" ca="1" si="54"/>
        <v>#NAME?</v>
      </c>
      <c r="K61" s="142" t="e">
        <f t="shared" ca="1" si="54"/>
        <v>#NAME?</v>
      </c>
      <c r="L61" s="142" t="e">
        <f t="shared" ca="1" si="54"/>
        <v>#NAME?</v>
      </c>
      <c r="M61" s="142" t="e">
        <f t="shared" ca="1" si="54"/>
        <v>#NAME?</v>
      </c>
      <c r="N61" s="142"/>
      <c r="O61" s="142" t="e">
        <f t="shared" ca="1" si="54"/>
        <v>#NAME?</v>
      </c>
      <c r="P61" s="142" t="e">
        <f ca="1">IF(P60&gt;0.05,"NS",IF(P60&gt;0.01,"*",IF(P60&gt;0.001,"**","***")))</f>
        <v>#NAME?</v>
      </c>
      <c r="Q61" s="142" t="e">
        <f t="shared" ref="Q61:V61" ca="1" si="55">IF(Q60&gt;0.05,"NS",IF(Q60&gt;0.01,"*",IF(Q60&gt;0.001,"**","***")))</f>
        <v>#NAME?</v>
      </c>
      <c r="R61" s="142" t="e">
        <f t="shared" ca="1" si="55"/>
        <v>#NAME?</v>
      </c>
      <c r="S61" s="142" t="e">
        <f t="shared" ca="1" si="55"/>
        <v>#NAME?</v>
      </c>
      <c r="T61" s="142" t="e">
        <f t="shared" ca="1" si="55"/>
        <v>#NAME?</v>
      </c>
      <c r="U61" s="142" t="e">
        <f t="shared" ca="1" si="55"/>
        <v>#NAME?</v>
      </c>
      <c r="V61" s="142" t="e">
        <f t="shared" ca="1" si="55"/>
        <v>#NAME?</v>
      </c>
    </row>
    <row r="63" spans="1:22" x14ac:dyDescent="0.3">
      <c r="A63" s="2" t="s">
        <v>39</v>
      </c>
    </row>
    <row r="64" spans="1:22" x14ac:dyDescent="0.3">
      <c r="A64" s="1" t="s">
        <v>23</v>
      </c>
      <c r="B64" s="1">
        <f>B46+(3*B47)</f>
        <v>9.9824667630421249E-2</v>
      </c>
    </row>
    <row r="65" spans="1:22" x14ac:dyDescent="0.3">
      <c r="A65" s="1" t="s">
        <v>24</v>
      </c>
      <c r="B65" s="1">
        <f>B46+(10*B47)</f>
        <v>0.26947839925442985</v>
      </c>
    </row>
    <row r="66" spans="1:22" ht="15" thickBot="1" x14ac:dyDescent="0.35"/>
    <row r="67" spans="1:22" ht="26.4" thickBot="1" x14ac:dyDescent="0.55000000000000004">
      <c r="A67" s="215" t="s">
        <v>45</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2"/>
      <c r="S69" s="12"/>
      <c r="T69" s="12"/>
      <c r="U69" s="12"/>
      <c r="V69" s="12"/>
    </row>
    <row r="70" spans="1:22" ht="16.8" x14ac:dyDescent="0.3">
      <c r="A70" s="12"/>
      <c r="B70" s="12"/>
      <c r="C70" s="12"/>
      <c r="D70" s="12"/>
      <c r="E70" s="12"/>
      <c r="F70" s="12"/>
      <c r="N70" s="12"/>
      <c r="O70" s="12"/>
      <c r="P70" s="12"/>
      <c r="Q70" s="12"/>
      <c r="R70" s="12"/>
      <c r="S70" s="12"/>
      <c r="T70" s="12"/>
      <c r="U70" s="12"/>
      <c r="V70" s="12"/>
    </row>
    <row r="71" spans="1:22" ht="16.8" x14ac:dyDescent="0.3">
      <c r="A71" s="12"/>
      <c r="B71" s="12"/>
      <c r="C71" s="12"/>
      <c r="D71" s="12"/>
      <c r="E71" s="12"/>
      <c r="F71" s="12"/>
      <c r="N71" s="12"/>
      <c r="O71" s="12"/>
      <c r="P71" s="12"/>
      <c r="Q71" s="12"/>
      <c r="R71" s="12"/>
      <c r="S71" s="12"/>
      <c r="T71" s="12"/>
      <c r="U71" s="12"/>
      <c r="V71" s="12"/>
    </row>
    <row r="72" spans="1:22" ht="16.8" x14ac:dyDescent="0.3">
      <c r="A72" s="12"/>
      <c r="B72" s="12"/>
      <c r="C72" s="12"/>
      <c r="D72" s="12"/>
      <c r="E72" s="12"/>
      <c r="F72" s="12"/>
      <c r="N72" s="12"/>
      <c r="O72" s="12"/>
      <c r="P72" s="12"/>
      <c r="Q72" s="12"/>
      <c r="R72" s="12"/>
      <c r="S72" s="12"/>
      <c r="T72" s="12"/>
      <c r="U72" s="12"/>
      <c r="V72" s="12"/>
    </row>
    <row r="73" spans="1:22" ht="16.8" x14ac:dyDescent="0.3">
      <c r="A73" s="12"/>
      <c r="B73" s="12"/>
      <c r="C73" s="12"/>
      <c r="D73" s="12"/>
      <c r="E73" s="12"/>
      <c r="F73" s="12"/>
      <c r="N73" s="12"/>
      <c r="O73" s="12"/>
      <c r="P73" s="12"/>
      <c r="Q73" s="12"/>
      <c r="R73" s="12"/>
      <c r="S73" s="12"/>
      <c r="T73" s="12"/>
      <c r="U73" s="12"/>
      <c r="V73" s="12"/>
    </row>
    <row r="74" spans="1:22" ht="16.8" x14ac:dyDescent="0.3">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A1686" zoomScale="80" zoomScaleNormal="80" workbookViewId="0">
      <selection activeCell="A1010" sqref="A1010:I1711"/>
    </sheetView>
  </sheetViews>
  <sheetFormatPr defaultColWidth="11.44140625" defaultRowHeight="14.4" x14ac:dyDescent="0.3"/>
  <cols>
    <col min="1" max="2" width="15" style="1" customWidth="1"/>
    <col min="3" max="3" width="25.44140625" style="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37.44140625" style="1" bestFit="1" customWidth="1"/>
    <col min="12" max="12" width="38.44140625" style="1" bestFit="1" customWidth="1"/>
    <col min="13" max="14" width="12.77734375" style="1" customWidth="1"/>
    <col min="15" max="25" width="12.21875" style="1" customWidth="1"/>
    <col min="26" max="16384" width="11.44140625" style="1"/>
  </cols>
  <sheetData>
    <row r="1" spans="1:144" x14ac:dyDescent="0.3">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
      </c>
      <c r="B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
      </c>
      <c r="B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
      </c>
      <c r="B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
      </c>
      <c r="B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
      </c>
      <c r="B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
      </c>
      <c r="B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
      </c>
      <c r="B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
      </c>
      <c r="B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
      </c>
      <c r="B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
      </c>
      <c r="B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 spans="1:144" x14ac:dyDescent="0.3">
      <c r="A12" s="1" t="str">
        <f t="shared" si="0"/>
        <v/>
      </c>
      <c r="B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 spans="1:144" x14ac:dyDescent="0.3">
      <c r="A13" s="1" t="str">
        <f t="shared" si="0"/>
        <v/>
      </c>
      <c r="B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 spans="1:144" x14ac:dyDescent="0.3">
      <c r="A14" s="1" t="str">
        <f t="shared" si="0"/>
        <v/>
      </c>
      <c r="B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 spans="1:144" x14ac:dyDescent="0.3">
      <c r="A15" s="1" t="str">
        <f t="shared" si="0"/>
        <v/>
      </c>
      <c r="B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 spans="1:144" x14ac:dyDescent="0.3">
      <c r="A16" s="1" t="str">
        <f t="shared" si="0"/>
        <v/>
      </c>
      <c r="B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 spans="1:2" x14ac:dyDescent="0.3">
      <c r="A17" s="1" t="str">
        <f t="shared" si="0"/>
        <v/>
      </c>
      <c r="B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 spans="1:2" x14ac:dyDescent="0.3">
      <c r="A18" s="1" t="str">
        <f t="shared" si="0"/>
        <v/>
      </c>
      <c r="B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 spans="1:2" x14ac:dyDescent="0.3">
      <c r="A19" s="1" t="str">
        <f t="shared" si="0"/>
        <v/>
      </c>
      <c r="B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 spans="1:2" x14ac:dyDescent="0.3">
      <c r="A20" s="1" t="str">
        <f t="shared" si="0"/>
        <v/>
      </c>
      <c r="B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 spans="1:2" x14ac:dyDescent="0.3">
      <c r="A21" s="1" t="str">
        <f t="shared" si="0"/>
        <v/>
      </c>
      <c r="B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 spans="1:2" x14ac:dyDescent="0.3">
      <c r="A22" s="1" t="str">
        <f t="shared" si="0"/>
        <v/>
      </c>
      <c r="B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 spans="1:2" x14ac:dyDescent="0.3">
      <c r="A23" s="1" t="str">
        <f t="shared" si="0"/>
        <v/>
      </c>
      <c r="B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 spans="1:2" x14ac:dyDescent="0.3">
      <c r="A24" s="1" t="str">
        <f t="shared" si="0"/>
        <v/>
      </c>
      <c r="B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 spans="1:2" x14ac:dyDescent="0.3">
      <c r="A25" s="1" t="str">
        <f t="shared" si="0"/>
        <v/>
      </c>
      <c r="B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 spans="1:2" x14ac:dyDescent="0.3">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 spans="1:2" x14ac:dyDescent="0.3">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 spans="1:2" x14ac:dyDescent="0.3">
      <c r="A28" s="1" t="str">
        <f t="shared" si="0"/>
        <v/>
      </c>
      <c r="B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 spans="1:2" x14ac:dyDescent="0.3">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 spans="1:2" x14ac:dyDescent="0.3">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 spans="1:2" x14ac:dyDescent="0.3">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 spans="1:2" x14ac:dyDescent="0.3">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 spans="1:2" x14ac:dyDescent="0.3">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 spans="1:2" x14ac:dyDescent="0.3">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 spans="1:2" x14ac:dyDescent="0.3">
      <c r="A35" s="1" t="str">
        <f t="shared" si="0"/>
        <v/>
      </c>
      <c r="B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 spans="1:2" x14ac:dyDescent="0.3">
      <c r="A36" s="1" t="str">
        <f t="shared" si="0"/>
        <v/>
      </c>
      <c r="B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 spans="1:2" x14ac:dyDescent="0.3">
      <c r="A37" s="1" t="str">
        <f t="shared" si="0"/>
        <v/>
      </c>
      <c r="B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 spans="1:2" x14ac:dyDescent="0.3">
      <c r="A38" s="1" t="str">
        <f t="shared" si="0"/>
        <v/>
      </c>
      <c r="B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 spans="1:2" x14ac:dyDescent="0.3">
      <c r="A39" s="1" t="str">
        <f t="shared" si="0"/>
        <v/>
      </c>
      <c r="B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 spans="1:2" x14ac:dyDescent="0.3">
      <c r="A40" s="1" t="str">
        <f t="shared" si="0"/>
        <v/>
      </c>
      <c r="B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 spans="1:2" x14ac:dyDescent="0.3">
      <c r="A41" s="1" t="str">
        <f t="shared" si="0"/>
        <v/>
      </c>
      <c r="B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 spans="1:2" x14ac:dyDescent="0.3">
      <c r="A42" s="1" t="str">
        <f t="shared" si="0"/>
        <v/>
      </c>
      <c r="B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 spans="1:2" x14ac:dyDescent="0.3">
      <c r="A43" s="1" t="str">
        <f t="shared" si="0"/>
        <v/>
      </c>
      <c r="B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 spans="1:2" x14ac:dyDescent="0.3">
      <c r="A44" s="1" t="str">
        <f t="shared" si="0"/>
        <v/>
      </c>
      <c r="B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 spans="1:2" x14ac:dyDescent="0.3">
      <c r="A45" s="1" t="str">
        <f t="shared" si="0"/>
        <v/>
      </c>
      <c r="B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 spans="1:2" x14ac:dyDescent="0.3">
      <c r="A46" s="1" t="str">
        <f t="shared" si="0"/>
        <v/>
      </c>
      <c r="B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 spans="1:2" x14ac:dyDescent="0.3">
      <c r="A47" s="1" t="str">
        <f t="shared" si="0"/>
        <v/>
      </c>
      <c r="B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 spans="1:2" x14ac:dyDescent="0.3">
      <c r="A48" s="1" t="str">
        <f t="shared" si="0"/>
        <v/>
      </c>
      <c r="B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 spans="1:2" x14ac:dyDescent="0.3">
      <c r="A49" s="1" t="str">
        <f t="shared" si="0"/>
        <v/>
      </c>
      <c r="B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 spans="1:2" x14ac:dyDescent="0.3">
      <c r="A50" s="1" t="str">
        <f t="shared" si="0"/>
        <v/>
      </c>
      <c r="B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 spans="1:2" x14ac:dyDescent="0.3">
      <c r="A51" s="1" t="str">
        <f t="shared" si="0"/>
        <v/>
      </c>
      <c r="B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 spans="1:2" x14ac:dyDescent="0.3">
      <c r="A52" s="1" t="str">
        <f t="shared" si="0"/>
        <v/>
      </c>
      <c r="B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 spans="1:2" x14ac:dyDescent="0.3">
      <c r="A53" s="1" t="str">
        <f t="shared" si="0"/>
        <v/>
      </c>
      <c r="B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 spans="1:2" x14ac:dyDescent="0.3">
      <c r="A54" s="1" t="str">
        <f t="shared" si="0"/>
        <v/>
      </c>
      <c r="B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 spans="1:2" x14ac:dyDescent="0.3">
      <c r="A55" s="1" t="str">
        <f t="shared" si="0"/>
        <v/>
      </c>
      <c r="B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 spans="1:2" x14ac:dyDescent="0.3">
      <c r="A56" s="1" t="str">
        <f t="shared" si="0"/>
        <v/>
      </c>
      <c r="B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 spans="1:2" x14ac:dyDescent="0.3">
      <c r="A57" s="1" t="str">
        <f t="shared" si="0"/>
        <v/>
      </c>
      <c r="B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 spans="1:2" x14ac:dyDescent="0.3">
      <c r="A58" s="1" t="str">
        <f t="shared" si="0"/>
        <v/>
      </c>
      <c r="B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 spans="1:2" x14ac:dyDescent="0.3">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 spans="1:2" x14ac:dyDescent="0.3">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 spans="1:2" x14ac:dyDescent="0.3">
      <c r="A61" s="1" t="str">
        <f t="shared" si="0"/>
        <v/>
      </c>
      <c r="B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 spans="1:2" x14ac:dyDescent="0.3">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 spans="1:2" x14ac:dyDescent="0.3">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 spans="1:2" x14ac:dyDescent="0.3">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 spans="1:2" x14ac:dyDescent="0.3">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 spans="1:2" x14ac:dyDescent="0.3">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 spans="1:2" x14ac:dyDescent="0.3">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 spans="1:2" x14ac:dyDescent="0.3">
      <c r="A68" s="1" t="str">
        <f t="shared" si="1"/>
        <v/>
      </c>
      <c r="B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 spans="1:2" x14ac:dyDescent="0.3">
      <c r="A69" s="1" t="str">
        <f t="shared" si="1"/>
        <v/>
      </c>
      <c r="B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 spans="1:2" x14ac:dyDescent="0.3">
      <c r="A70" s="1" t="str">
        <f t="shared" si="1"/>
        <v/>
      </c>
      <c r="B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 spans="1:2" x14ac:dyDescent="0.3">
      <c r="A71" s="1" t="str">
        <f t="shared" si="1"/>
        <v/>
      </c>
      <c r="B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 spans="1:2" x14ac:dyDescent="0.3">
      <c r="A72" s="1" t="str">
        <f t="shared" si="1"/>
        <v/>
      </c>
      <c r="B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 spans="1:2" x14ac:dyDescent="0.3">
      <c r="A73" s="1" t="str">
        <f t="shared" si="1"/>
        <v/>
      </c>
      <c r="B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 spans="1:2" x14ac:dyDescent="0.3">
      <c r="A74" s="1" t="str">
        <f t="shared" si="1"/>
        <v/>
      </c>
      <c r="B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 spans="1:2" x14ac:dyDescent="0.3">
      <c r="A75" s="1" t="str">
        <f t="shared" si="1"/>
        <v/>
      </c>
      <c r="B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 spans="1:2" x14ac:dyDescent="0.3">
      <c r="A76" s="1" t="str">
        <f t="shared" si="1"/>
        <v/>
      </c>
      <c r="B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 spans="1:2" x14ac:dyDescent="0.3">
      <c r="A77" s="1" t="str">
        <f t="shared" si="1"/>
        <v/>
      </c>
      <c r="B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 spans="1:2" x14ac:dyDescent="0.3">
      <c r="A78" s="1" t="str">
        <f t="shared" si="1"/>
        <v/>
      </c>
      <c r="B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 spans="1:2" x14ac:dyDescent="0.3">
      <c r="A79" s="1" t="str">
        <f t="shared" si="1"/>
        <v/>
      </c>
      <c r="B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 spans="1:2" x14ac:dyDescent="0.3">
      <c r="A80" s="1" t="str">
        <f t="shared" si="1"/>
        <v/>
      </c>
      <c r="B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 spans="1:2" x14ac:dyDescent="0.3">
      <c r="A81" s="1" t="str">
        <f t="shared" si="1"/>
        <v/>
      </c>
      <c r="B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 spans="1:2" x14ac:dyDescent="0.3">
      <c r="A82" s="1" t="str">
        <f t="shared" si="1"/>
        <v/>
      </c>
      <c r="B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 spans="1:2" x14ac:dyDescent="0.3">
      <c r="A83" s="1" t="str">
        <f t="shared" si="1"/>
        <v/>
      </c>
      <c r="B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 spans="1:2" x14ac:dyDescent="0.3">
      <c r="A84" s="1" t="str">
        <f t="shared" si="1"/>
        <v/>
      </c>
      <c r="B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 spans="1:2" x14ac:dyDescent="0.3">
      <c r="A85" s="1" t="str">
        <f t="shared" si="1"/>
        <v/>
      </c>
      <c r="B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 spans="1:2" x14ac:dyDescent="0.3">
      <c r="A86" s="1" t="str">
        <f t="shared" si="1"/>
        <v/>
      </c>
      <c r="B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 spans="1:2" x14ac:dyDescent="0.3">
      <c r="A87" s="1" t="str">
        <f t="shared" si="1"/>
        <v/>
      </c>
      <c r="B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 spans="1:2" x14ac:dyDescent="0.3">
      <c r="A88" s="1" t="str">
        <f t="shared" si="1"/>
        <v/>
      </c>
      <c r="B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 spans="1:2" x14ac:dyDescent="0.3">
      <c r="A89" s="1" t="str">
        <f t="shared" si="1"/>
        <v/>
      </c>
      <c r="B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 spans="1:2" x14ac:dyDescent="0.3">
      <c r="A90" s="1" t="str">
        <f t="shared" si="1"/>
        <v/>
      </c>
      <c r="B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 spans="1:2" x14ac:dyDescent="0.3">
      <c r="A91" s="1" t="str">
        <f t="shared" si="1"/>
        <v/>
      </c>
      <c r="B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 spans="1:2" x14ac:dyDescent="0.3">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 spans="1:2" x14ac:dyDescent="0.3">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 spans="1:2" x14ac:dyDescent="0.3">
      <c r="A94" s="1" t="str">
        <f t="shared" si="1"/>
        <v/>
      </c>
      <c r="B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 spans="1:2" x14ac:dyDescent="0.3">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 spans="1:2" x14ac:dyDescent="0.3">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 spans="1:2" x14ac:dyDescent="0.3">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 spans="1:2" x14ac:dyDescent="0.3">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 spans="1:2" x14ac:dyDescent="0.3">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 spans="1:2" x14ac:dyDescent="0.3">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 spans="1:2" x14ac:dyDescent="0.3">
      <c r="A101" s="1" t="str">
        <f t="shared" si="1"/>
        <v/>
      </c>
      <c r="B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 spans="1:2" x14ac:dyDescent="0.3">
      <c r="A102" s="1" t="str">
        <f t="shared" si="1"/>
        <v/>
      </c>
      <c r="B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 spans="1:2" x14ac:dyDescent="0.3">
      <c r="A103" s="1" t="str">
        <f t="shared" si="1"/>
        <v/>
      </c>
      <c r="B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 spans="1:2" x14ac:dyDescent="0.3">
      <c r="A104" s="1" t="str">
        <f t="shared" si="1"/>
        <v/>
      </c>
      <c r="B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 spans="1:2" x14ac:dyDescent="0.3">
      <c r="A105" s="1" t="str">
        <f t="shared" si="1"/>
        <v/>
      </c>
      <c r="B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 spans="1:2" x14ac:dyDescent="0.3">
      <c r="A106" s="1" t="str">
        <f t="shared" si="1"/>
        <v/>
      </c>
      <c r="B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 spans="1:2" x14ac:dyDescent="0.3">
      <c r="A107" s="1" t="str">
        <f t="shared" si="1"/>
        <v/>
      </c>
      <c r="B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 spans="1:2" x14ac:dyDescent="0.3">
      <c r="A108" s="1" t="str">
        <f t="shared" si="1"/>
        <v/>
      </c>
      <c r="B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 spans="1:2" x14ac:dyDescent="0.3">
      <c r="A109" s="1" t="str">
        <f t="shared" si="1"/>
        <v/>
      </c>
      <c r="B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 spans="1:2" x14ac:dyDescent="0.3">
      <c r="A110" s="1" t="str">
        <f t="shared" si="1"/>
        <v/>
      </c>
      <c r="B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 spans="1:2" x14ac:dyDescent="0.3">
      <c r="A111" s="1" t="str">
        <f t="shared" si="1"/>
        <v/>
      </c>
      <c r="B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 spans="1:2" x14ac:dyDescent="0.3">
      <c r="A112" s="1" t="str">
        <f t="shared" si="1"/>
        <v/>
      </c>
      <c r="B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 spans="1:2" x14ac:dyDescent="0.3">
      <c r="A113" s="1" t="str">
        <f t="shared" si="1"/>
        <v/>
      </c>
      <c r="B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 spans="1:2" x14ac:dyDescent="0.3">
      <c r="A114" s="1" t="str">
        <f t="shared" si="1"/>
        <v/>
      </c>
      <c r="B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 spans="1:2" x14ac:dyDescent="0.3">
      <c r="A115" s="1" t="str">
        <f t="shared" si="1"/>
        <v/>
      </c>
      <c r="B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 spans="1:2" x14ac:dyDescent="0.3">
      <c r="A116" s="1" t="str">
        <f t="shared" si="1"/>
        <v/>
      </c>
      <c r="B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 spans="1:2" x14ac:dyDescent="0.3">
      <c r="A117" s="1" t="str">
        <f t="shared" si="1"/>
        <v/>
      </c>
      <c r="B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 spans="1:2" x14ac:dyDescent="0.3">
      <c r="A118" s="1" t="str">
        <f t="shared" si="1"/>
        <v/>
      </c>
      <c r="B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 spans="1:2" x14ac:dyDescent="0.3">
      <c r="A119" s="1" t="str">
        <f t="shared" si="1"/>
        <v/>
      </c>
      <c r="B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 spans="1:2" x14ac:dyDescent="0.3">
      <c r="A120" s="1" t="str">
        <f t="shared" si="1"/>
        <v/>
      </c>
      <c r="B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 spans="1:2" x14ac:dyDescent="0.3">
      <c r="A121" s="1" t="str">
        <f t="shared" si="1"/>
        <v/>
      </c>
      <c r="B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 spans="1:2" x14ac:dyDescent="0.3">
      <c r="A122" s="1" t="str">
        <f t="shared" si="1"/>
        <v/>
      </c>
      <c r="B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 spans="1:2" x14ac:dyDescent="0.3">
      <c r="A123" s="1" t="str">
        <f t="shared" si="1"/>
        <v/>
      </c>
      <c r="B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 spans="1:2" x14ac:dyDescent="0.3">
      <c r="A124" s="1" t="str">
        <f t="shared" si="1"/>
        <v/>
      </c>
      <c r="B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 spans="1:2" x14ac:dyDescent="0.3">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 spans="1:2" x14ac:dyDescent="0.3">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 spans="1:2" x14ac:dyDescent="0.3">
      <c r="A127" s="1" t="str">
        <f t="shared" si="1"/>
        <v/>
      </c>
      <c r="B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 spans="1:2" x14ac:dyDescent="0.3">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 spans="1:2" x14ac:dyDescent="0.3">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 spans="1:2" x14ac:dyDescent="0.3">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 spans="1:2" x14ac:dyDescent="0.3">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 spans="1:2" x14ac:dyDescent="0.3">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 spans="1:2" x14ac:dyDescent="0.3">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 spans="1:2" x14ac:dyDescent="0.3">
      <c r="A134" s="1" t="str">
        <f t="shared" si="2"/>
        <v/>
      </c>
      <c r="B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 spans="1:2" x14ac:dyDescent="0.3">
      <c r="A135" s="1" t="str">
        <f t="shared" si="2"/>
        <v/>
      </c>
      <c r="B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 spans="1:2" x14ac:dyDescent="0.3">
      <c r="A136" s="1" t="str">
        <f t="shared" si="2"/>
        <v/>
      </c>
      <c r="B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 spans="1:2" x14ac:dyDescent="0.3">
      <c r="A137" s="1" t="str">
        <f t="shared" si="2"/>
        <v/>
      </c>
      <c r="B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 spans="1:2" x14ac:dyDescent="0.3">
      <c r="A138" s="1" t="str">
        <f t="shared" si="2"/>
        <v/>
      </c>
      <c r="B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 spans="1:2" x14ac:dyDescent="0.3">
      <c r="A139" s="1" t="str">
        <f t="shared" si="2"/>
        <v/>
      </c>
      <c r="B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 spans="1:2" x14ac:dyDescent="0.3">
      <c r="A140" s="1" t="str">
        <f t="shared" si="2"/>
        <v/>
      </c>
      <c r="B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 spans="1:2" x14ac:dyDescent="0.3">
      <c r="A141" s="1" t="str">
        <f t="shared" si="2"/>
        <v/>
      </c>
      <c r="B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 spans="1:2" x14ac:dyDescent="0.3">
      <c r="A142" s="1" t="str">
        <f t="shared" si="2"/>
        <v/>
      </c>
      <c r="B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 spans="1:2" x14ac:dyDescent="0.3">
      <c r="A143" s="1" t="str">
        <f t="shared" si="2"/>
        <v/>
      </c>
      <c r="B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 spans="1:2" x14ac:dyDescent="0.3">
      <c r="A144" s="1" t="str">
        <f t="shared" si="2"/>
        <v/>
      </c>
      <c r="B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 spans="1:2" x14ac:dyDescent="0.3">
      <c r="A145" s="1" t="str">
        <f t="shared" si="2"/>
        <v/>
      </c>
      <c r="B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 spans="1:2" x14ac:dyDescent="0.3">
      <c r="A146" s="1" t="str">
        <f t="shared" si="2"/>
        <v/>
      </c>
      <c r="B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 spans="1:2" x14ac:dyDescent="0.3">
      <c r="A147" s="1" t="str">
        <f t="shared" si="2"/>
        <v/>
      </c>
      <c r="B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 spans="1:2" x14ac:dyDescent="0.3">
      <c r="A148" s="1" t="str">
        <f t="shared" si="2"/>
        <v/>
      </c>
      <c r="B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 spans="1:2" x14ac:dyDescent="0.3">
      <c r="A149" s="1" t="str">
        <f t="shared" si="2"/>
        <v/>
      </c>
      <c r="B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 spans="1:2" x14ac:dyDescent="0.3">
      <c r="A150" s="1" t="str">
        <f t="shared" si="2"/>
        <v/>
      </c>
      <c r="B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 spans="1:2" x14ac:dyDescent="0.3">
      <c r="A151" s="1" t="str">
        <f t="shared" si="2"/>
        <v/>
      </c>
      <c r="B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 spans="1:2" x14ac:dyDescent="0.3">
      <c r="A152" s="1" t="str">
        <f t="shared" si="2"/>
        <v/>
      </c>
      <c r="B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 spans="1:2" x14ac:dyDescent="0.3">
      <c r="A153" s="1" t="str">
        <f t="shared" si="2"/>
        <v/>
      </c>
      <c r="B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 spans="1:2" x14ac:dyDescent="0.3">
      <c r="A154" s="1" t="str">
        <f t="shared" si="2"/>
        <v/>
      </c>
      <c r="B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 spans="1:2" x14ac:dyDescent="0.3">
      <c r="A155" s="1" t="str">
        <f t="shared" si="2"/>
        <v/>
      </c>
      <c r="B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 spans="1:2" x14ac:dyDescent="0.3">
      <c r="A156" s="1" t="str">
        <f t="shared" si="2"/>
        <v/>
      </c>
      <c r="B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 spans="1:2" x14ac:dyDescent="0.3">
      <c r="A157" s="1" t="str">
        <f t="shared" si="2"/>
        <v/>
      </c>
      <c r="B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 spans="1:2" x14ac:dyDescent="0.3">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 spans="1:2" x14ac:dyDescent="0.3">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 spans="1:2" x14ac:dyDescent="0.3">
      <c r="A160" s="1" t="str">
        <f t="shared" si="2"/>
        <v/>
      </c>
      <c r="B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 spans="1:2" x14ac:dyDescent="0.3">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 spans="1:2" x14ac:dyDescent="0.3">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 spans="1:2" x14ac:dyDescent="0.3">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 spans="1:2" x14ac:dyDescent="0.3">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 spans="1:2" x14ac:dyDescent="0.3">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 spans="1:2" x14ac:dyDescent="0.3">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 spans="1:2" x14ac:dyDescent="0.3">
      <c r="A167" s="1" t="str">
        <f t="shared" si="2"/>
        <v/>
      </c>
      <c r="B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 spans="1:2" x14ac:dyDescent="0.3">
      <c r="A168" s="1" t="str">
        <f t="shared" si="2"/>
        <v/>
      </c>
      <c r="B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 spans="1:2" x14ac:dyDescent="0.3">
      <c r="A169" s="1" t="str">
        <f t="shared" si="2"/>
        <v/>
      </c>
      <c r="B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 spans="1:2" x14ac:dyDescent="0.3">
      <c r="A170" s="1" t="str">
        <f t="shared" si="2"/>
        <v/>
      </c>
      <c r="B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 spans="1:2" x14ac:dyDescent="0.3">
      <c r="A171" s="1" t="str">
        <f t="shared" si="2"/>
        <v/>
      </c>
      <c r="B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2" spans="1:2" x14ac:dyDescent="0.3">
      <c r="A172" s="1" t="str">
        <f t="shared" si="2"/>
        <v/>
      </c>
      <c r="B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3" spans="1:2" x14ac:dyDescent="0.3">
      <c r="A173" s="1" t="str">
        <f t="shared" si="2"/>
        <v/>
      </c>
      <c r="B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4" spans="1:2" x14ac:dyDescent="0.3">
      <c r="A174" s="1" t="str">
        <f t="shared" si="2"/>
        <v/>
      </c>
      <c r="B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5" spans="1:2" x14ac:dyDescent="0.3">
      <c r="A175" s="1" t="str">
        <f t="shared" si="2"/>
        <v/>
      </c>
      <c r="B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6" spans="1:2" x14ac:dyDescent="0.3">
      <c r="A176" s="1" t="str">
        <f t="shared" si="2"/>
        <v/>
      </c>
      <c r="B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7" spans="1:2" x14ac:dyDescent="0.3">
      <c r="A177" s="1" t="str">
        <f t="shared" si="2"/>
        <v/>
      </c>
      <c r="B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8" spans="1:2" x14ac:dyDescent="0.3">
      <c r="A178" s="1" t="str">
        <f t="shared" si="2"/>
        <v/>
      </c>
      <c r="B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9" spans="1:2" x14ac:dyDescent="0.3">
      <c r="A179" s="1" t="str">
        <f t="shared" si="2"/>
        <v/>
      </c>
      <c r="B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0" spans="1:2" x14ac:dyDescent="0.3">
      <c r="A180" s="1" t="str">
        <f t="shared" si="2"/>
        <v/>
      </c>
      <c r="B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1" spans="1:2" x14ac:dyDescent="0.3">
      <c r="A181" s="1" t="str">
        <f t="shared" si="2"/>
        <v/>
      </c>
      <c r="B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2" spans="1:2" x14ac:dyDescent="0.3">
      <c r="A182" s="1" t="str">
        <f t="shared" si="2"/>
        <v/>
      </c>
      <c r="B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3" spans="1:2" x14ac:dyDescent="0.3">
      <c r="A183" s="1" t="str">
        <f t="shared" si="2"/>
        <v/>
      </c>
      <c r="B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4" spans="1:2" x14ac:dyDescent="0.3">
      <c r="A184" s="1" t="str">
        <f t="shared" si="2"/>
        <v/>
      </c>
      <c r="B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5" spans="1:2" x14ac:dyDescent="0.3">
      <c r="A185" s="1" t="str">
        <f t="shared" si="2"/>
        <v/>
      </c>
      <c r="B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6" spans="1:2" x14ac:dyDescent="0.3">
      <c r="A186" s="1" t="str">
        <f t="shared" si="2"/>
        <v/>
      </c>
      <c r="B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7" spans="1:2" x14ac:dyDescent="0.3">
      <c r="A187" s="1" t="str">
        <f t="shared" si="2"/>
        <v/>
      </c>
      <c r="B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8" spans="1:2" x14ac:dyDescent="0.3">
      <c r="A188" s="1" t="str">
        <f t="shared" si="2"/>
        <v/>
      </c>
      <c r="B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9" spans="1:2" x14ac:dyDescent="0.3">
      <c r="A189" s="1" t="str">
        <f t="shared" si="2"/>
        <v/>
      </c>
      <c r="B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0" spans="1:2" x14ac:dyDescent="0.3">
      <c r="A190" s="1" t="str">
        <f t="shared" si="2"/>
        <v/>
      </c>
      <c r="B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1" spans="1:2" x14ac:dyDescent="0.3">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2" spans="1:2" x14ac:dyDescent="0.3">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3" spans="1:2" x14ac:dyDescent="0.3">
      <c r="A193" s="1" t="str">
        <f t="shared" si="2"/>
        <v/>
      </c>
      <c r="B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4" spans="1:2" x14ac:dyDescent="0.3">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5" spans="1:2" x14ac:dyDescent="0.3">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6" spans="1:2" x14ac:dyDescent="0.3">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7" spans="1:2" x14ac:dyDescent="0.3">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8" spans="1:2" x14ac:dyDescent="0.3">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9" spans="1:2" x14ac:dyDescent="0.3">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0" spans="1:2" x14ac:dyDescent="0.3">
      <c r="A200" s="1" t="str">
        <f t="shared" si="3"/>
        <v/>
      </c>
      <c r="B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1" spans="1:2" x14ac:dyDescent="0.3">
      <c r="A201" s="1" t="str">
        <f t="shared" si="3"/>
        <v/>
      </c>
      <c r="B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2" spans="1:2" x14ac:dyDescent="0.3">
      <c r="A202" s="1" t="str">
        <f t="shared" si="3"/>
        <v/>
      </c>
      <c r="B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3" spans="1:2" x14ac:dyDescent="0.3">
      <c r="A203" s="1" t="str">
        <f t="shared" si="3"/>
        <v/>
      </c>
      <c r="B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4" spans="1:2" x14ac:dyDescent="0.3">
      <c r="A204" s="1" t="str">
        <f t="shared" si="3"/>
        <v/>
      </c>
      <c r="B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5" spans="1:2" x14ac:dyDescent="0.3">
      <c r="A205" s="1" t="str">
        <f t="shared" si="3"/>
        <v/>
      </c>
      <c r="B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6" spans="1:2" x14ac:dyDescent="0.3">
      <c r="A206" s="1" t="str">
        <f t="shared" si="3"/>
        <v/>
      </c>
      <c r="B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7" spans="1:2" x14ac:dyDescent="0.3">
      <c r="A207" s="1" t="str">
        <f t="shared" si="3"/>
        <v/>
      </c>
      <c r="B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8" spans="1:2" x14ac:dyDescent="0.3">
      <c r="A208" s="1" t="str">
        <f t="shared" si="3"/>
        <v/>
      </c>
      <c r="B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9" spans="1:2" x14ac:dyDescent="0.3">
      <c r="A209" s="1" t="str">
        <f t="shared" si="3"/>
        <v/>
      </c>
      <c r="B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0" spans="1:2" x14ac:dyDescent="0.3">
      <c r="A210" s="1" t="str">
        <f t="shared" si="3"/>
        <v/>
      </c>
      <c r="B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1" spans="1:2" x14ac:dyDescent="0.3">
      <c r="A211" s="1" t="str">
        <f t="shared" si="3"/>
        <v/>
      </c>
      <c r="B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2" spans="1:2" x14ac:dyDescent="0.3">
      <c r="A212" s="1" t="str">
        <f t="shared" si="3"/>
        <v/>
      </c>
      <c r="B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3" spans="1:2" x14ac:dyDescent="0.3">
      <c r="A213" s="1" t="str">
        <f t="shared" si="3"/>
        <v/>
      </c>
      <c r="B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4" spans="1:2" x14ac:dyDescent="0.3">
      <c r="A214" s="1" t="str">
        <f t="shared" si="3"/>
        <v/>
      </c>
      <c r="B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5" spans="1:2" x14ac:dyDescent="0.3">
      <c r="A215" s="1" t="str">
        <f t="shared" si="3"/>
        <v/>
      </c>
      <c r="B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6" spans="1:2" x14ac:dyDescent="0.3">
      <c r="A216" s="1" t="str">
        <f t="shared" si="3"/>
        <v/>
      </c>
      <c r="B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7" spans="1:2" x14ac:dyDescent="0.3">
      <c r="A217" s="1" t="str">
        <f t="shared" si="3"/>
        <v/>
      </c>
      <c r="B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8" spans="1:2" x14ac:dyDescent="0.3">
      <c r="A218" s="1" t="str">
        <f t="shared" si="3"/>
        <v/>
      </c>
      <c r="B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9" spans="1:2" x14ac:dyDescent="0.3">
      <c r="A219" s="1" t="str">
        <f t="shared" si="3"/>
        <v/>
      </c>
      <c r="B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0" spans="1:2" x14ac:dyDescent="0.3">
      <c r="A220" s="1" t="str">
        <f t="shared" si="3"/>
        <v/>
      </c>
      <c r="B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1" spans="1:2" x14ac:dyDescent="0.3">
      <c r="A221" s="1" t="str">
        <f t="shared" si="3"/>
        <v/>
      </c>
      <c r="B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2" spans="1:2" x14ac:dyDescent="0.3">
      <c r="A222" s="1" t="str">
        <f t="shared" si="3"/>
        <v/>
      </c>
      <c r="B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3" spans="1:2" x14ac:dyDescent="0.3">
      <c r="A223" s="1" t="str">
        <f t="shared" si="3"/>
        <v/>
      </c>
      <c r="B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4" spans="1:2" x14ac:dyDescent="0.3">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5" spans="1:2" x14ac:dyDescent="0.3">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6" spans="1:2" x14ac:dyDescent="0.3">
      <c r="A226" s="1" t="str">
        <f t="shared" si="3"/>
        <v/>
      </c>
      <c r="B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7" spans="1:2" x14ac:dyDescent="0.3">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8" spans="1:2" x14ac:dyDescent="0.3">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9" spans="1:2" x14ac:dyDescent="0.3">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0" spans="1:2" x14ac:dyDescent="0.3">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1" spans="1:2" x14ac:dyDescent="0.3">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2" spans="1:2" x14ac:dyDescent="0.3">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3" spans="1:2" x14ac:dyDescent="0.3">
      <c r="A233" s="1" t="str">
        <f t="shared" si="3"/>
        <v/>
      </c>
      <c r="B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4" spans="1:2" x14ac:dyDescent="0.3">
      <c r="A234" s="1" t="str">
        <f t="shared" si="3"/>
        <v/>
      </c>
      <c r="B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5" spans="1:2" x14ac:dyDescent="0.3">
      <c r="A235" s="1" t="str">
        <f t="shared" si="3"/>
        <v/>
      </c>
      <c r="B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6" spans="1:2" x14ac:dyDescent="0.3">
      <c r="A236" s="1" t="str">
        <f t="shared" si="3"/>
        <v/>
      </c>
      <c r="B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7" spans="1:2" x14ac:dyDescent="0.3">
      <c r="A237" s="1" t="str">
        <f t="shared" si="3"/>
        <v/>
      </c>
      <c r="B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8" spans="1:2" x14ac:dyDescent="0.3">
      <c r="A238" s="1" t="str">
        <f t="shared" si="3"/>
        <v/>
      </c>
      <c r="B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9" spans="1:2" x14ac:dyDescent="0.3">
      <c r="A239" s="1" t="str">
        <f t="shared" si="3"/>
        <v/>
      </c>
      <c r="B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0" spans="1:2" x14ac:dyDescent="0.3">
      <c r="A240" s="1" t="str">
        <f t="shared" si="3"/>
        <v/>
      </c>
      <c r="B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1" spans="1:2" x14ac:dyDescent="0.3">
      <c r="A241" s="1" t="str">
        <f t="shared" si="3"/>
        <v/>
      </c>
      <c r="B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2" spans="1:2" x14ac:dyDescent="0.3">
      <c r="A242" s="1" t="str">
        <f t="shared" si="3"/>
        <v/>
      </c>
      <c r="B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3" spans="1:2" x14ac:dyDescent="0.3">
      <c r="A243" s="1" t="str">
        <f t="shared" si="3"/>
        <v/>
      </c>
      <c r="B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4" spans="1:2" x14ac:dyDescent="0.3">
      <c r="A244" s="1" t="str">
        <f t="shared" si="3"/>
        <v/>
      </c>
      <c r="B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5" spans="1:2" x14ac:dyDescent="0.3">
      <c r="A245" s="1" t="str">
        <f t="shared" si="3"/>
        <v/>
      </c>
      <c r="B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6" spans="1:2" x14ac:dyDescent="0.3">
      <c r="A246" s="1" t="str">
        <f t="shared" si="3"/>
        <v/>
      </c>
      <c r="B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7" spans="1:2" x14ac:dyDescent="0.3">
      <c r="A247" s="1" t="str">
        <f t="shared" si="3"/>
        <v/>
      </c>
      <c r="B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8" spans="1:2" x14ac:dyDescent="0.3">
      <c r="A248" s="1" t="str">
        <f t="shared" si="3"/>
        <v/>
      </c>
      <c r="B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9" spans="1:2" x14ac:dyDescent="0.3">
      <c r="A249" s="1" t="str">
        <f t="shared" si="3"/>
        <v/>
      </c>
      <c r="B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0" spans="1:2" x14ac:dyDescent="0.3">
      <c r="A250" s="1" t="str">
        <f t="shared" si="3"/>
        <v/>
      </c>
      <c r="B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1" spans="1:2" x14ac:dyDescent="0.3">
      <c r="A251" s="1" t="str">
        <f t="shared" si="3"/>
        <v/>
      </c>
      <c r="B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2" spans="1:2" x14ac:dyDescent="0.3">
      <c r="A252" s="1" t="str">
        <f t="shared" si="3"/>
        <v/>
      </c>
      <c r="B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3" spans="1:2" x14ac:dyDescent="0.3">
      <c r="A253" s="1" t="str">
        <f t="shared" si="3"/>
        <v/>
      </c>
      <c r="B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4" spans="1:2" x14ac:dyDescent="0.3">
      <c r="A254" s="1" t="str">
        <f t="shared" si="3"/>
        <v/>
      </c>
      <c r="B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5" spans="1:2" x14ac:dyDescent="0.3">
      <c r="A255" s="1" t="str">
        <f t="shared" si="3"/>
        <v/>
      </c>
      <c r="B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6" spans="1:2" x14ac:dyDescent="0.3">
      <c r="A256" s="1" t="str">
        <f t="shared" si="3"/>
        <v/>
      </c>
      <c r="B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7" spans="1:2" x14ac:dyDescent="0.3">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8" spans="1:2" x14ac:dyDescent="0.3">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9" spans="1:2" x14ac:dyDescent="0.3">
      <c r="A259" s="1" t="str">
        <f t="shared" si="4"/>
        <v/>
      </c>
      <c r="B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0" spans="1:2" x14ac:dyDescent="0.3">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1" spans="1:2" x14ac:dyDescent="0.3">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2" spans="1:2" x14ac:dyDescent="0.3">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3" spans="1:2" x14ac:dyDescent="0.3">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4" spans="1:2" x14ac:dyDescent="0.3">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5" spans="1:2" x14ac:dyDescent="0.3">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6" spans="1:2" x14ac:dyDescent="0.3">
      <c r="A266" s="1" t="str">
        <f t="shared" si="4"/>
        <v/>
      </c>
      <c r="B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7" spans="1:2" x14ac:dyDescent="0.3">
      <c r="A267" s="1" t="str">
        <f t="shared" si="4"/>
        <v/>
      </c>
      <c r="B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8" spans="1:2" x14ac:dyDescent="0.3">
      <c r="A268" s="1" t="str">
        <f t="shared" si="4"/>
        <v/>
      </c>
      <c r="B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9" spans="1:2" x14ac:dyDescent="0.3">
      <c r="A269" s="1" t="str">
        <f t="shared" si="4"/>
        <v/>
      </c>
      <c r="B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0" spans="1:2" x14ac:dyDescent="0.3">
      <c r="A270" s="1" t="str">
        <f t="shared" si="4"/>
        <v/>
      </c>
      <c r="B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1" spans="1:2" x14ac:dyDescent="0.3">
      <c r="A271" s="1" t="str">
        <f t="shared" si="4"/>
        <v/>
      </c>
      <c r="B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2" spans="1:2" x14ac:dyDescent="0.3">
      <c r="A272" s="1" t="str">
        <f t="shared" si="4"/>
        <v/>
      </c>
      <c r="B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3" spans="1:2" x14ac:dyDescent="0.3">
      <c r="A273" s="1" t="str">
        <f t="shared" si="4"/>
        <v/>
      </c>
      <c r="B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4" spans="1:2" x14ac:dyDescent="0.3">
      <c r="A274" s="1" t="str">
        <f t="shared" si="4"/>
        <v/>
      </c>
      <c r="B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5" spans="1:2" x14ac:dyDescent="0.3">
      <c r="A275" s="1" t="str">
        <f t="shared" si="4"/>
        <v/>
      </c>
      <c r="B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6" spans="1:2" x14ac:dyDescent="0.3">
      <c r="A276" s="1" t="str">
        <f t="shared" si="4"/>
        <v/>
      </c>
      <c r="B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7" spans="1:2" x14ac:dyDescent="0.3">
      <c r="A277" s="1" t="str">
        <f t="shared" si="4"/>
        <v/>
      </c>
      <c r="B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8" spans="1:2" x14ac:dyDescent="0.3">
      <c r="A278" s="1" t="str">
        <f t="shared" si="4"/>
        <v/>
      </c>
      <c r="B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9" spans="1:2" x14ac:dyDescent="0.3">
      <c r="A279" s="1" t="str">
        <f t="shared" si="4"/>
        <v/>
      </c>
      <c r="B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0" spans="1:2" x14ac:dyDescent="0.3">
      <c r="A280" s="1" t="str">
        <f t="shared" si="4"/>
        <v/>
      </c>
      <c r="B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1" spans="1:2" x14ac:dyDescent="0.3">
      <c r="A281" s="1" t="str">
        <f t="shared" si="4"/>
        <v/>
      </c>
      <c r="B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2" spans="1:2" x14ac:dyDescent="0.3">
      <c r="A282" s="1" t="str">
        <f t="shared" si="4"/>
        <v/>
      </c>
      <c r="B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3" spans="1:2" x14ac:dyDescent="0.3">
      <c r="A283" s="1" t="str">
        <f t="shared" si="4"/>
        <v/>
      </c>
      <c r="B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4" spans="1:2" x14ac:dyDescent="0.3">
      <c r="A284" s="1" t="str">
        <f t="shared" si="4"/>
        <v/>
      </c>
      <c r="B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5" spans="1:2" x14ac:dyDescent="0.3">
      <c r="A285" s="1" t="str">
        <f t="shared" si="4"/>
        <v/>
      </c>
      <c r="B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6" spans="1:2" x14ac:dyDescent="0.3">
      <c r="A286" s="1" t="str">
        <f t="shared" si="4"/>
        <v/>
      </c>
      <c r="B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7" spans="1:2" x14ac:dyDescent="0.3">
      <c r="A287" s="1" t="str">
        <f t="shared" si="4"/>
        <v/>
      </c>
      <c r="B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8" spans="1:2" x14ac:dyDescent="0.3">
      <c r="A288" s="1" t="str">
        <f t="shared" si="4"/>
        <v/>
      </c>
      <c r="B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9" spans="1:2" x14ac:dyDescent="0.3">
      <c r="A289" s="1" t="str">
        <f t="shared" si="4"/>
        <v/>
      </c>
      <c r="B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0" spans="1:2" x14ac:dyDescent="0.3">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1" spans="1:2" x14ac:dyDescent="0.3">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2" spans="1:2" x14ac:dyDescent="0.3">
      <c r="A292" s="1" t="str">
        <f t="shared" si="4"/>
        <v/>
      </c>
      <c r="B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3" spans="1:2" x14ac:dyDescent="0.3">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4" spans="1:2" x14ac:dyDescent="0.3">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5" spans="1:2" x14ac:dyDescent="0.3">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6" spans="1:2" x14ac:dyDescent="0.3">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7" spans="1:2" x14ac:dyDescent="0.3">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8" spans="1:2" x14ac:dyDescent="0.3">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9" spans="1:2" x14ac:dyDescent="0.3">
      <c r="A299" s="1" t="str">
        <f t="shared" si="4"/>
        <v/>
      </c>
      <c r="B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0" spans="1:2" x14ac:dyDescent="0.3">
      <c r="A300" s="1" t="str">
        <f t="shared" si="4"/>
        <v/>
      </c>
      <c r="B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1" spans="1:2" x14ac:dyDescent="0.3">
      <c r="A301" s="1" t="str">
        <f t="shared" si="4"/>
        <v/>
      </c>
      <c r="B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2" spans="1:2" x14ac:dyDescent="0.3">
      <c r="A302" s="1" t="str">
        <f t="shared" si="4"/>
        <v/>
      </c>
      <c r="B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3" spans="1:2" x14ac:dyDescent="0.3">
      <c r="A303" s="1" t="str">
        <f t="shared" si="4"/>
        <v/>
      </c>
      <c r="B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4" spans="1:2" x14ac:dyDescent="0.3">
      <c r="A304" s="1" t="str">
        <f t="shared" si="4"/>
        <v/>
      </c>
      <c r="B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5" spans="1:2" x14ac:dyDescent="0.3">
      <c r="A305" s="1" t="str">
        <f t="shared" si="4"/>
        <v/>
      </c>
      <c r="B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6" spans="1:2" x14ac:dyDescent="0.3">
      <c r="A306" s="1" t="str">
        <f t="shared" si="4"/>
        <v/>
      </c>
      <c r="B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7" spans="1:2" x14ac:dyDescent="0.3">
      <c r="A307" s="1" t="str">
        <f t="shared" si="4"/>
        <v/>
      </c>
      <c r="B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8" spans="1:2" x14ac:dyDescent="0.3">
      <c r="A308" s="1" t="str">
        <f t="shared" si="4"/>
        <v/>
      </c>
      <c r="B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9" spans="1:2" x14ac:dyDescent="0.3">
      <c r="A309" s="1" t="str">
        <f t="shared" si="4"/>
        <v/>
      </c>
      <c r="B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0" spans="1:2" x14ac:dyDescent="0.3">
      <c r="A310" s="1" t="str">
        <f t="shared" si="4"/>
        <v/>
      </c>
      <c r="B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1" spans="1:2" x14ac:dyDescent="0.3">
      <c r="A311" s="1" t="str">
        <f t="shared" si="4"/>
        <v/>
      </c>
      <c r="B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2" spans="1:2" x14ac:dyDescent="0.3">
      <c r="A312" s="1" t="str">
        <f t="shared" si="4"/>
        <v/>
      </c>
      <c r="B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3" spans="1:2" x14ac:dyDescent="0.3">
      <c r="A313" s="1" t="str">
        <f t="shared" si="4"/>
        <v/>
      </c>
      <c r="B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4" spans="1:2" x14ac:dyDescent="0.3">
      <c r="A314" s="1" t="str">
        <f t="shared" si="4"/>
        <v/>
      </c>
      <c r="B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5" spans="1:2" x14ac:dyDescent="0.3">
      <c r="A315" s="1" t="str">
        <f t="shared" si="4"/>
        <v/>
      </c>
      <c r="B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6" spans="1:2" x14ac:dyDescent="0.3">
      <c r="A316" s="1" t="str">
        <f t="shared" si="4"/>
        <v/>
      </c>
      <c r="B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7" spans="1:2" x14ac:dyDescent="0.3">
      <c r="A317" s="1" t="str">
        <f t="shared" si="4"/>
        <v/>
      </c>
      <c r="B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8" spans="1:2" x14ac:dyDescent="0.3">
      <c r="A318" s="1" t="str">
        <f t="shared" si="4"/>
        <v/>
      </c>
      <c r="B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9" spans="1:2" x14ac:dyDescent="0.3">
      <c r="A319" s="1" t="str">
        <f t="shared" si="4"/>
        <v/>
      </c>
      <c r="B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0" spans="1:2" x14ac:dyDescent="0.3">
      <c r="A320" s="1" t="str">
        <f t="shared" si="4"/>
        <v/>
      </c>
      <c r="B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1" spans="1:2" x14ac:dyDescent="0.3">
      <c r="A321" s="1" t="str">
        <f t="shared" si="4"/>
        <v/>
      </c>
      <c r="B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2" spans="1:2" x14ac:dyDescent="0.3">
      <c r="A322" s="1" t="str">
        <f t="shared" ref="A322:A385" si="5">IFERROR(LEFT(RIGHT(C322,LEN(C322)-SEARCH("@",C322)),SEARCH("/",RIGHT(C322,LEN(C322)-SEARCH("@",C322)-1))),"")</f>
        <v/>
      </c>
      <c r="B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3" spans="1:2" x14ac:dyDescent="0.3">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4" spans="1:2" x14ac:dyDescent="0.3">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5" spans="1:2" x14ac:dyDescent="0.3">
      <c r="A325" s="1" t="str">
        <f t="shared" si="5"/>
        <v/>
      </c>
      <c r="B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6" spans="1:2" x14ac:dyDescent="0.3">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7" spans="1:2" x14ac:dyDescent="0.3">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8" spans="1:2" x14ac:dyDescent="0.3">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9" spans="1:2" x14ac:dyDescent="0.3">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0" spans="1:2" x14ac:dyDescent="0.3">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1" spans="1:2" x14ac:dyDescent="0.3">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2" spans="1:2" x14ac:dyDescent="0.3">
      <c r="A332" s="1" t="str">
        <f t="shared" si="5"/>
        <v/>
      </c>
      <c r="B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3" spans="1:2" x14ac:dyDescent="0.3">
      <c r="A333" s="1" t="str">
        <f t="shared" si="5"/>
        <v/>
      </c>
      <c r="B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4" spans="1:2" x14ac:dyDescent="0.3">
      <c r="A334" s="1" t="str">
        <f t="shared" si="5"/>
        <v/>
      </c>
      <c r="B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5" spans="1:2" x14ac:dyDescent="0.3">
      <c r="A335" s="1" t="str">
        <f t="shared" si="5"/>
        <v/>
      </c>
      <c r="B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6" spans="1:2" x14ac:dyDescent="0.3">
      <c r="A336" s="1" t="str">
        <f t="shared" si="5"/>
        <v/>
      </c>
      <c r="B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7" spans="1:2" x14ac:dyDescent="0.3">
      <c r="A337" s="1" t="str">
        <f t="shared" si="5"/>
        <v/>
      </c>
      <c r="B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8" spans="1:2" x14ac:dyDescent="0.3">
      <c r="A338" s="1" t="str">
        <f t="shared" si="5"/>
        <v/>
      </c>
      <c r="B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9" spans="1:2" x14ac:dyDescent="0.3">
      <c r="A339" s="1" t="str">
        <f t="shared" si="5"/>
        <v/>
      </c>
      <c r="B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0" spans="1:2" x14ac:dyDescent="0.3">
      <c r="A340" s="1" t="str">
        <f t="shared" si="5"/>
        <v/>
      </c>
      <c r="B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1" spans="1:2" x14ac:dyDescent="0.3">
      <c r="A341" s="1" t="str">
        <f t="shared" si="5"/>
        <v/>
      </c>
      <c r="B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2" spans="1:2" x14ac:dyDescent="0.3">
      <c r="A342" s="1" t="str">
        <f t="shared" si="5"/>
        <v/>
      </c>
      <c r="B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3" spans="1:2" x14ac:dyDescent="0.3">
      <c r="A343" s="1" t="str">
        <f t="shared" si="5"/>
        <v/>
      </c>
      <c r="B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4" spans="1:2" x14ac:dyDescent="0.3">
      <c r="A344" s="1" t="str">
        <f t="shared" si="5"/>
        <v/>
      </c>
      <c r="B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5" spans="1:2" x14ac:dyDescent="0.3">
      <c r="A345" s="1" t="str">
        <f t="shared" si="5"/>
        <v/>
      </c>
      <c r="B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6" spans="1:2" x14ac:dyDescent="0.3">
      <c r="A346" s="1" t="str">
        <f t="shared" si="5"/>
        <v/>
      </c>
      <c r="B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7" spans="1:2" x14ac:dyDescent="0.3">
      <c r="A347" s="1" t="str">
        <f t="shared" si="5"/>
        <v/>
      </c>
      <c r="B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8" spans="1:2" x14ac:dyDescent="0.3">
      <c r="A348" s="1" t="str">
        <f t="shared" si="5"/>
        <v/>
      </c>
      <c r="B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9" spans="1:2" x14ac:dyDescent="0.3">
      <c r="A349" s="1" t="str">
        <f t="shared" si="5"/>
        <v/>
      </c>
      <c r="B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0" spans="1:2" x14ac:dyDescent="0.3">
      <c r="A350" s="1" t="str">
        <f t="shared" si="5"/>
        <v/>
      </c>
      <c r="B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1" spans="1:2" x14ac:dyDescent="0.3">
      <c r="A351" s="1" t="str">
        <f t="shared" si="5"/>
        <v/>
      </c>
      <c r="B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2" spans="1:2" x14ac:dyDescent="0.3">
      <c r="A352" s="1" t="str">
        <f t="shared" si="5"/>
        <v/>
      </c>
      <c r="B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3" spans="1:2" x14ac:dyDescent="0.3">
      <c r="A353" s="1" t="str">
        <f t="shared" si="5"/>
        <v/>
      </c>
      <c r="B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4" spans="1:2" x14ac:dyDescent="0.3">
      <c r="A354" s="1" t="str">
        <f t="shared" si="5"/>
        <v/>
      </c>
      <c r="B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5" spans="1:2" x14ac:dyDescent="0.3">
      <c r="A355" s="1" t="str">
        <f t="shared" si="5"/>
        <v/>
      </c>
      <c r="B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6" spans="1:2" x14ac:dyDescent="0.3">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7" spans="1:2" x14ac:dyDescent="0.3">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8" spans="1:2" x14ac:dyDescent="0.3">
      <c r="A358" s="1" t="str">
        <f t="shared" si="5"/>
        <v/>
      </c>
      <c r="B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9" spans="1:2" x14ac:dyDescent="0.3">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0" spans="1:2" x14ac:dyDescent="0.3">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1" spans="1:2" x14ac:dyDescent="0.3">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2" spans="1:2" x14ac:dyDescent="0.3">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3" spans="1:2" x14ac:dyDescent="0.3">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4" spans="1:2" x14ac:dyDescent="0.3">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5" spans="1:2" x14ac:dyDescent="0.3">
      <c r="A365" s="1" t="str">
        <f t="shared" si="5"/>
        <v/>
      </c>
      <c r="B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6" spans="1:2" x14ac:dyDescent="0.3">
      <c r="A366" s="1" t="str">
        <f t="shared" si="5"/>
        <v/>
      </c>
      <c r="B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7" spans="1:2" x14ac:dyDescent="0.3">
      <c r="A367" s="1" t="str">
        <f t="shared" si="5"/>
        <v/>
      </c>
      <c r="B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8" spans="1:2" x14ac:dyDescent="0.3">
      <c r="A368" s="1" t="str">
        <f t="shared" si="5"/>
        <v/>
      </c>
      <c r="B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9" spans="1:2" x14ac:dyDescent="0.3">
      <c r="A369" s="1" t="str">
        <f t="shared" si="5"/>
        <v/>
      </c>
      <c r="B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0" spans="1:2" x14ac:dyDescent="0.3">
      <c r="A370" s="1" t="str">
        <f t="shared" si="5"/>
        <v/>
      </c>
      <c r="B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1" spans="1:2" x14ac:dyDescent="0.3">
      <c r="A371" s="1" t="str">
        <f t="shared" si="5"/>
        <v/>
      </c>
      <c r="B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2" spans="1:2" x14ac:dyDescent="0.3">
      <c r="A372" s="1" t="str">
        <f t="shared" si="5"/>
        <v/>
      </c>
      <c r="B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3" spans="1:2" x14ac:dyDescent="0.3">
      <c r="A373" s="1" t="str">
        <f t="shared" si="5"/>
        <v/>
      </c>
      <c r="B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4" spans="1:2" x14ac:dyDescent="0.3">
      <c r="A374" s="1" t="str">
        <f t="shared" si="5"/>
        <v/>
      </c>
      <c r="B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5" spans="1:2" x14ac:dyDescent="0.3">
      <c r="A375" s="1" t="str">
        <f t="shared" si="5"/>
        <v/>
      </c>
      <c r="B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6" spans="1:2" x14ac:dyDescent="0.3">
      <c r="A376" s="1" t="str">
        <f t="shared" si="5"/>
        <v/>
      </c>
      <c r="B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7" spans="1:2" x14ac:dyDescent="0.3">
      <c r="A377" s="1" t="str">
        <f t="shared" si="5"/>
        <v/>
      </c>
      <c r="B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8" spans="1:2" x14ac:dyDescent="0.3">
      <c r="A378" s="1" t="str">
        <f t="shared" si="5"/>
        <v/>
      </c>
      <c r="B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9" spans="1:2" x14ac:dyDescent="0.3">
      <c r="A379" s="1" t="str">
        <f t="shared" si="5"/>
        <v/>
      </c>
      <c r="B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0" spans="1:2" x14ac:dyDescent="0.3">
      <c r="A380" s="1" t="str">
        <f t="shared" si="5"/>
        <v/>
      </c>
      <c r="B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1" spans="1:2" x14ac:dyDescent="0.3">
      <c r="A381" s="1" t="str">
        <f t="shared" si="5"/>
        <v/>
      </c>
      <c r="B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2" spans="1:2" x14ac:dyDescent="0.3">
      <c r="A382" s="1" t="str">
        <f t="shared" si="5"/>
        <v/>
      </c>
      <c r="B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3" spans="1:2" x14ac:dyDescent="0.3">
      <c r="A383" s="1" t="str">
        <f t="shared" si="5"/>
        <v/>
      </c>
      <c r="B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4" spans="1:2" x14ac:dyDescent="0.3">
      <c r="A384" s="1" t="str">
        <f t="shared" si="5"/>
        <v/>
      </c>
      <c r="B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5" spans="1:2" x14ac:dyDescent="0.3">
      <c r="A385" s="1" t="str">
        <f t="shared" si="5"/>
        <v/>
      </c>
      <c r="B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6" spans="1:2" x14ac:dyDescent="0.3">
      <c r="A386" s="1" t="str">
        <f t="shared" ref="A386:A449" si="6">IFERROR(LEFT(RIGHT(C386,LEN(C386)-SEARCH("@",C386)),SEARCH("/",RIGHT(C386,LEN(C386)-SEARCH("@",C386)-1))),"")</f>
        <v/>
      </c>
      <c r="B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7" spans="1:2" x14ac:dyDescent="0.3">
      <c r="A387" s="1" t="str">
        <f t="shared" si="6"/>
        <v/>
      </c>
      <c r="B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8" spans="1:2" x14ac:dyDescent="0.3">
      <c r="A388" s="1" t="str">
        <f t="shared" si="6"/>
        <v/>
      </c>
      <c r="B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9" spans="1:2" x14ac:dyDescent="0.3">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0" spans="1:2" x14ac:dyDescent="0.3">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1" spans="1:2" x14ac:dyDescent="0.3">
      <c r="A391" s="1" t="str">
        <f t="shared" si="6"/>
        <v/>
      </c>
      <c r="B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2" spans="1:2" x14ac:dyDescent="0.3">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3" spans="1:2" x14ac:dyDescent="0.3">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4" spans="1:2" x14ac:dyDescent="0.3">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5" spans="1:2" x14ac:dyDescent="0.3">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6" spans="1:2" x14ac:dyDescent="0.3">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7" spans="1:2" x14ac:dyDescent="0.3">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8" spans="1:2" x14ac:dyDescent="0.3">
      <c r="A398" s="1" t="str">
        <f t="shared" si="6"/>
        <v/>
      </c>
      <c r="B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9" spans="1:2" x14ac:dyDescent="0.3">
      <c r="A399" s="1" t="str">
        <f t="shared" si="6"/>
        <v/>
      </c>
      <c r="B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0" spans="1:2" x14ac:dyDescent="0.3">
      <c r="A400" s="1" t="str">
        <f t="shared" si="6"/>
        <v/>
      </c>
      <c r="B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1" spans="1:2" x14ac:dyDescent="0.3">
      <c r="A401" s="1" t="str">
        <f t="shared" si="6"/>
        <v/>
      </c>
      <c r="B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2" spans="1:2" x14ac:dyDescent="0.3">
      <c r="A402" s="1" t="str">
        <f t="shared" si="6"/>
        <v/>
      </c>
      <c r="B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3" spans="1:2" x14ac:dyDescent="0.3">
      <c r="A403" s="1" t="str">
        <f t="shared" si="6"/>
        <v/>
      </c>
      <c r="B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4" spans="1:2" x14ac:dyDescent="0.3">
      <c r="A404" s="1" t="str">
        <f t="shared" si="6"/>
        <v/>
      </c>
      <c r="B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5" spans="1:2" x14ac:dyDescent="0.3">
      <c r="A405" s="1" t="str">
        <f t="shared" si="6"/>
        <v/>
      </c>
      <c r="B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6" spans="1:2" x14ac:dyDescent="0.3">
      <c r="A406" s="1" t="str">
        <f t="shared" si="6"/>
        <v/>
      </c>
      <c r="B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7" spans="1:2" x14ac:dyDescent="0.3">
      <c r="A407" s="1" t="str">
        <f t="shared" si="6"/>
        <v/>
      </c>
      <c r="B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8" spans="1:2" x14ac:dyDescent="0.3">
      <c r="A408" s="1" t="str">
        <f t="shared" si="6"/>
        <v/>
      </c>
      <c r="B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9" spans="1:2" x14ac:dyDescent="0.3">
      <c r="A409" s="1" t="str">
        <f t="shared" si="6"/>
        <v/>
      </c>
      <c r="B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0" spans="1:2" x14ac:dyDescent="0.3">
      <c r="A410" s="1" t="str">
        <f t="shared" si="6"/>
        <v/>
      </c>
      <c r="B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1" spans="1:2" x14ac:dyDescent="0.3">
      <c r="A411" s="1" t="str">
        <f t="shared" si="6"/>
        <v/>
      </c>
      <c r="B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2" spans="1:2" x14ac:dyDescent="0.3">
      <c r="A412" s="1" t="str">
        <f t="shared" si="6"/>
        <v/>
      </c>
      <c r="B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3" spans="1:2" x14ac:dyDescent="0.3">
      <c r="A413" s="1" t="str">
        <f t="shared" si="6"/>
        <v/>
      </c>
      <c r="B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4" spans="1:2" x14ac:dyDescent="0.3">
      <c r="A414" s="1" t="str">
        <f t="shared" si="6"/>
        <v/>
      </c>
      <c r="B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5" spans="1:2" x14ac:dyDescent="0.3">
      <c r="A415" s="1" t="str">
        <f t="shared" si="6"/>
        <v/>
      </c>
      <c r="B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6" spans="1:2" x14ac:dyDescent="0.3">
      <c r="A416" s="1" t="str">
        <f t="shared" si="6"/>
        <v/>
      </c>
      <c r="B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7" spans="1:2" x14ac:dyDescent="0.3">
      <c r="A417" s="1" t="str">
        <f t="shared" si="6"/>
        <v/>
      </c>
      <c r="B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8" spans="1:2" x14ac:dyDescent="0.3">
      <c r="A418" s="1" t="str">
        <f t="shared" si="6"/>
        <v/>
      </c>
      <c r="B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9" spans="1:2" x14ac:dyDescent="0.3">
      <c r="A419" s="1" t="str">
        <f t="shared" si="6"/>
        <v/>
      </c>
      <c r="B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0" spans="1:2" x14ac:dyDescent="0.3">
      <c r="A420" s="1" t="str">
        <f t="shared" si="6"/>
        <v/>
      </c>
      <c r="B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1" spans="1:2" x14ac:dyDescent="0.3">
      <c r="A421" s="1" t="str">
        <f t="shared" si="6"/>
        <v/>
      </c>
      <c r="B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2" spans="1:2" x14ac:dyDescent="0.3">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3" spans="1:2" x14ac:dyDescent="0.3">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4" spans="1:2" x14ac:dyDescent="0.3">
      <c r="A424" s="1" t="str">
        <f t="shared" si="6"/>
        <v/>
      </c>
      <c r="B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5" spans="1:2" x14ac:dyDescent="0.3">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6" spans="1:2" x14ac:dyDescent="0.3">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7" spans="1:2" x14ac:dyDescent="0.3">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8" spans="1:2" x14ac:dyDescent="0.3">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9" spans="1:2" x14ac:dyDescent="0.3">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0" spans="1:2" x14ac:dyDescent="0.3">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1" spans="1:2" x14ac:dyDescent="0.3">
      <c r="A431" s="1" t="str">
        <f t="shared" si="6"/>
        <v/>
      </c>
      <c r="B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2" spans="1:2" x14ac:dyDescent="0.3">
      <c r="A432" s="1" t="str">
        <f t="shared" si="6"/>
        <v/>
      </c>
      <c r="B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3" spans="1:2" x14ac:dyDescent="0.3">
      <c r="A433" s="1" t="str">
        <f t="shared" si="6"/>
        <v/>
      </c>
      <c r="B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4" spans="1:2" x14ac:dyDescent="0.3">
      <c r="A434" s="1" t="str">
        <f t="shared" si="6"/>
        <v/>
      </c>
      <c r="B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5" spans="1:2" x14ac:dyDescent="0.3">
      <c r="A435" s="1" t="str">
        <f t="shared" si="6"/>
        <v/>
      </c>
      <c r="B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6" spans="1:2" x14ac:dyDescent="0.3">
      <c r="A436" s="1" t="str">
        <f t="shared" si="6"/>
        <v/>
      </c>
      <c r="B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7" spans="1:2" x14ac:dyDescent="0.3">
      <c r="A437" s="1" t="str">
        <f t="shared" si="6"/>
        <v/>
      </c>
      <c r="B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8" spans="1:2" x14ac:dyDescent="0.3">
      <c r="A438" s="1" t="str">
        <f t="shared" si="6"/>
        <v/>
      </c>
      <c r="B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9" spans="1:2" x14ac:dyDescent="0.3">
      <c r="A439" s="1" t="str">
        <f t="shared" si="6"/>
        <v/>
      </c>
      <c r="B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0" spans="1:2" x14ac:dyDescent="0.3">
      <c r="A440" s="1" t="str">
        <f t="shared" si="6"/>
        <v/>
      </c>
      <c r="B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1" spans="1:2" x14ac:dyDescent="0.3">
      <c r="A441" s="1" t="str">
        <f t="shared" si="6"/>
        <v/>
      </c>
      <c r="B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2" spans="1:2" x14ac:dyDescent="0.3">
      <c r="A442" s="1" t="str">
        <f t="shared" si="6"/>
        <v/>
      </c>
      <c r="B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3" spans="1:2" x14ac:dyDescent="0.3">
      <c r="A443" s="1" t="str">
        <f t="shared" si="6"/>
        <v/>
      </c>
      <c r="B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4" spans="1:2" x14ac:dyDescent="0.3">
      <c r="A444" s="1" t="str">
        <f t="shared" si="6"/>
        <v/>
      </c>
      <c r="B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5" spans="1:2" x14ac:dyDescent="0.3">
      <c r="A445" s="1" t="str">
        <f t="shared" si="6"/>
        <v/>
      </c>
      <c r="B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6" spans="1:2" x14ac:dyDescent="0.3">
      <c r="A446" s="1" t="str">
        <f t="shared" si="6"/>
        <v/>
      </c>
      <c r="B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7" spans="1:2" x14ac:dyDescent="0.3">
      <c r="A447" s="1" t="str">
        <f t="shared" si="6"/>
        <v/>
      </c>
      <c r="B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8" spans="1:2" x14ac:dyDescent="0.3">
      <c r="A448" s="1" t="str">
        <f t="shared" si="6"/>
        <v/>
      </c>
      <c r="B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9" spans="1:2" x14ac:dyDescent="0.3">
      <c r="A449" s="1" t="str">
        <f t="shared" si="6"/>
        <v/>
      </c>
      <c r="B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0" spans="1:2" x14ac:dyDescent="0.3">
      <c r="A450" s="1" t="str">
        <f t="shared" ref="A450:A513" si="7">IFERROR(LEFT(RIGHT(C450,LEN(C450)-SEARCH("@",C450)),SEARCH("/",RIGHT(C450,LEN(C450)-SEARCH("@",C450)-1))),"")</f>
        <v/>
      </c>
      <c r="B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1" spans="1:2" x14ac:dyDescent="0.3">
      <c r="A451" s="1" t="str">
        <f t="shared" si="7"/>
        <v/>
      </c>
      <c r="B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2" spans="1:2" x14ac:dyDescent="0.3">
      <c r="A452" s="1" t="str">
        <f t="shared" si="7"/>
        <v/>
      </c>
      <c r="B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3" spans="1:2" x14ac:dyDescent="0.3">
      <c r="A453" s="1" t="str">
        <f t="shared" si="7"/>
        <v/>
      </c>
      <c r="B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4" spans="1:2" x14ac:dyDescent="0.3">
      <c r="A454" s="1" t="str">
        <f t="shared" si="7"/>
        <v/>
      </c>
      <c r="B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5" spans="1:2" x14ac:dyDescent="0.3">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6" spans="1:2" x14ac:dyDescent="0.3">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7" spans="1:2" x14ac:dyDescent="0.3">
      <c r="A457" s="1" t="str">
        <f t="shared" si="7"/>
        <v/>
      </c>
      <c r="B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8" spans="1:2" x14ac:dyDescent="0.3">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9" spans="1:2" x14ac:dyDescent="0.3">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0" spans="1:2" x14ac:dyDescent="0.3">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1" spans="1:2" x14ac:dyDescent="0.3">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2" spans="1:2" x14ac:dyDescent="0.3">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3" spans="1:2" x14ac:dyDescent="0.3">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4" spans="1:2" x14ac:dyDescent="0.3">
      <c r="A464" s="1" t="str">
        <f t="shared" si="7"/>
        <v/>
      </c>
      <c r="B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5" spans="1:2" x14ac:dyDescent="0.3">
      <c r="A465" s="1" t="str">
        <f t="shared" si="7"/>
        <v/>
      </c>
      <c r="B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6" spans="1:2" x14ac:dyDescent="0.3">
      <c r="A466" s="1" t="str">
        <f t="shared" si="7"/>
        <v/>
      </c>
      <c r="B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7" spans="1:2" x14ac:dyDescent="0.3">
      <c r="A467" s="1" t="str">
        <f t="shared" si="7"/>
        <v/>
      </c>
      <c r="B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8" spans="1:2" x14ac:dyDescent="0.3">
      <c r="A468" s="1" t="str">
        <f t="shared" si="7"/>
        <v/>
      </c>
      <c r="B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9" spans="1:2" x14ac:dyDescent="0.3">
      <c r="A469" s="1" t="str">
        <f t="shared" si="7"/>
        <v/>
      </c>
      <c r="B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0" spans="1:2" x14ac:dyDescent="0.3">
      <c r="A470" s="1" t="str">
        <f t="shared" si="7"/>
        <v/>
      </c>
      <c r="B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1" spans="1:2" x14ac:dyDescent="0.3">
      <c r="A471" s="1" t="str">
        <f t="shared" si="7"/>
        <v/>
      </c>
      <c r="B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2" spans="1:2" x14ac:dyDescent="0.3">
      <c r="A472" s="1" t="str">
        <f t="shared" si="7"/>
        <v/>
      </c>
      <c r="B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3" spans="1:2" x14ac:dyDescent="0.3">
      <c r="A473" s="1" t="str">
        <f t="shared" si="7"/>
        <v/>
      </c>
      <c r="B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4" spans="1:2" x14ac:dyDescent="0.3">
      <c r="A474" s="1" t="str">
        <f t="shared" si="7"/>
        <v/>
      </c>
      <c r="B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5" spans="1:2" x14ac:dyDescent="0.3">
      <c r="A475" s="1" t="str">
        <f t="shared" si="7"/>
        <v/>
      </c>
      <c r="B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6" spans="1:2" x14ac:dyDescent="0.3">
      <c r="A476" s="1" t="str">
        <f t="shared" si="7"/>
        <v/>
      </c>
      <c r="B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7" spans="1:2" x14ac:dyDescent="0.3">
      <c r="A477" s="1" t="str">
        <f t="shared" si="7"/>
        <v/>
      </c>
      <c r="B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8" spans="1:2" x14ac:dyDescent="0.3">
      <c r="A478" s="1" t="str">
        <f t="shared" si="7"/>
        <v/>
      </c>
      <c r="B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9" spans="1:2" x14ac:dyDescent="0.3">
      <c r="A479" s="1" t="str">
        <f t="shared" si="7"/>
        <v/>
      </c>
      <c r="B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0" spans="1:2" x14ac:dyDescent="0.3">
      <c r="A480" s="1" t="str">
        <f t="shared" si="7"/>
        <v/>
      </c>
      <c r="B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1" spans="1:2" x14ac:dyDescent="0.3">
      <c r="A481" s="1" t="str">
        <f t="shared" si="7"/>
        <v/>
      </c>
      <c r="B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2" spans="1:2" x14ac:dyDescent="0.3">
      <c r="A482" s="1" t="str">
        <f t="shared" si="7"/>
        <v/>
      </c>
      <c r="B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3" spans="1:2" x14ac:dyDescent="0.3">
      <c r="A483" s="1" t="str">
        <f t="shared" si="7"/>
        <v/>
      </c>
      <c r="B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4" spans="1:2" x14ac:dyDescent="0.3">
      <c r="A484" s="1" t="str">
        <f t="shared" si="7"/>
        <v/>
      </c>
      <c r="B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5" spans="1:2" x14ac:dyDescent="0.3">
      <c r="A485" s="1" t="str">
        <f t="shared" si="7"/>
        <v/>
      </c>
      <c r="B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6" spans="1:2" x14ac:dyDescent="0.3">
      <c r="A486" s="1" t="str">
        <f t="shared" si="7"/>
        <v/>
      </c>
      <c r="B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7" spans="1:2" x14ac:dyDescent="0.3">
      <c r="A487" s="1" t="str">
        <f t="shared" si="7"/>
        <v/>
      </c>
      <c r="B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8" spans="1:2" x14ac:dyDescent="0.3">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9" spans="1:2" x14ac:dyDescent="0.3">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0" spans="1:2" x14ac:dyDescent="0.3">
      <c r="A490" s="1" t="str">
        <f t="shared" si="7"/>
        <v/>
      </c>
      <c r="B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1" spans="1:2" x14ac:dyDescent="0.3">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2" spans="1:2" x14ac:dyDescent="0.3">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3" spans="1:2" x14ac:dyDescent="0.3">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4" spans="1:2" x14ac:dyDescent="0.3">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5" spans="1:2" x14ac:dyDescent="0.3">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6" spans="1:2" x14ac:dyDescent="0.3">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7" spans="1:2" x14ac:dyDescent="0.3">
      <c r="A497" s="1" t="str">
        <f t="shared" si="7"/>
        <v/>
      </c>
      <c r="B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8" spans="1:2" x14ac:dyDescent="0.3">
      <c r="A498" s="1" t="str">
        <f t="shared" si="7"/>
        <v/>
      </c>
      <c r="B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9" spans="1:2" x14ac:dyDescent="0.3">
      <c r="A499" s="1" t="str">
        <f t="shared" si="7"/>
        <v/>
      </c>
      <c r="B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0" spans="1:2" x14ac:dyDescent="0.3">
      <c r="A500" s="1" t="str">
        <f t="shared" si="7"/>
        <v/>
      </c>
      <c r="B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1" spans="1:2" x14ac:dyDescent="0.3">
      <c r="A501" s="1" t="str">
        <f t="shared" si="7"/>
        <v/>
      </c>
      <c r="B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2" spans="1:2" x14ac:dyDescent="0.3">
      <c r="A502" s="1" t="str">
        <f t="shared" si="7"/>
        <v/>
      </c>
      <c r="B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3" spans="1:2" x14ac:dyDescent="0.3">
      <c r="A503" s="1" t="str">
        <f t="shared" si="7"/>
        <v/>
      </c>
      <c r="B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4" spans="1:2" x14ac:dyDescent="0.3">
      <c r="A504" s="1" t="str">
        <f t="shared" si="7"/>
        <v/>
      </c>
      <c r="B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5" spans="1:2" x14ac:dyDescent="0.3">
      <c r="A505" s="1" t="str">
        <f t="shared" si="7"/>
        <v/>
      </c>
      <c r="B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6" spans="1:2" x14ac:dyDescent="0.3">
      <c r="A506" s="1" t="str">
        <f t="shared" si="7"/>
        <v/>
      </c>
      <c r="B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7" spans="1:2" x14ac:dyDescent="0.3">
      <c r="A507" s="1" t="str">
        <f t="shared" si="7"/>
        <v/>
      </c>
      <c r="B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8" spans="1:2" x14ac:dyDescent="0.3">
      <c r="A508" s="1" t="str">
        <f t="shared" si="7"/>
        <v/>
      </c>
      <c r="B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9" spans="1:2" x14ac:dyDescent="0.3">
      <c r="A509" s="1" t="str">
        <f t="shared" si="7"/>
        <v/>
      </c>
      <c r="B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0" spans="1:2" x14ac:dyDescent="0.3">
      <c r="A510" s="1" t="str">
        <f t="shared" si="7"/>
        <v/>
      </c>
      <c r="B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1" spans="1:2" x14ac:dyDescent="0.3">
      <c r="A511" s="1" t="str">
        <f t="shared" si="7"/>
        <v/>
      </c>
      <c r="B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2" spans="1:2" x14ac:dyDescent="0.3">
      <c r="A512" s="1" t="str">
        <f t="shared" si="7"/>
        <v/>
      </c>
      <c r="B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3" spans="1:2" x14ac:dyDescent="0.3">
      <c r="A513" s="1" t="str">
        <f t="shared" si="7"/>
        <v/>
      </c>
      <c r="B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4" spans="1:2" x14ac:dyDescent="0.3">
      <c r="A514" s="1" t="str">
        <f t="shared" ref="A514:A577" si="8">IFERROR(LEFT(RIGHT(C514,LEN(C514)-SEARCH("@",C514)),SEARCH("/",RIGHT(C514,LEN(C514)-SEARCH("@",C514)-1))),"")</f>
        <v/>
      </c>
      <c r="B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5" spans="1:2" x14ac:dyDescent="0.3">
      <c r="A515" s="1" t="str">
        <f t="shared" si="8"/>
        <v/>
      </c>
      <c r="B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6" spans="1:2" x14ac:dyDescent="0.3">
      <c r="A516" s="1" t="str">
        <f t="shared" si="8"/>
        <v/>
      </c>
      <c r="B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7" spans="1:2" x14ac:dyDescent="0.3">
      <c r="A517" s="1" t="str">
        <f t="shared" si="8"/>
        <v/>
      </c>
      <c r="B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8" spans="1:2" x14ac:dyDescent="0.3">
      <c r="A518" s="1" t="str">
        <f t="shared" si="8"/>
        <v/>
      </c>
      <c r="B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9" spans="1:2" x14ac:dyDescent="0.3">
      <c r="A519" s="1" t="str">
        <f t="shared" si="8"/>
        <v/>
      </c>
      <c r="B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0" spans="1:2" x14ac:dyDescent="0.3">
      <c r="A520" s="1" t="str">
        <f t="shared" si="8"/>
        <v/>
      </c>
      <c r="B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1" spans="1:2" x14ac:dyDescent="0.3">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2" spans="1:2" x14ac:dyDescent="0.3">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3" spans="1:2" x14ac:dyDescent="0.3">
      <c r="A523" s="1" t="str">
        <f t="shared" si="8"/>
        <v/>
      </c>
      <c r="B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4" spans="1:2" x14ac:dyDescent="0.3">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5" spans="1:2" x14ac:dyDescent="0.3">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6" spans="1:2" x14ac:dyDescent="0.3">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7" spans="1:2" x14ac:dyDescent="0.3">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8" spans="1:2" x14ac:dyDescent="0.3">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9" spans="1:2" x14ac:dyDescent="0.3">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0" spans="1:2" x14ac:dyDescent="0.3">
      <c r="A530" s="1" t="str">
        <f t="shared" si="8"/>
        <v/>
      </c>
      <c r="B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1" spans="1:2" x14ac:dyDescent="0.3">
      <c r="A531" s="1" t="str">
        <f t="shared" si="8"/>
        <v/>
      </c>
      <c r="B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2" spans="1:2" x14ac:dyDescent="0.3">
      <c r="A532" s="1" t="str">
        <f t="shared" si="8"/>
        <v/>
      </c>
      <c r="B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3" spans="1:2" x14ac:dyDescent="0.3">
      <c r="A533" s="1" t="str">
        <f t="shared" si="8"/>
        <v/>
      </c>
      <c r="B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4" spans="1:2" x14ac:dyDescent="0.3">
      <c r="A534" s="1" t="str">
        <f t="shared" si="8"/>
        <v/>
      </c>
      <c r="B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5" spans="1:2" x14ac:dyDescent="0.3">
      <c r="A535" s="1" t="str">
        <f t="shared" si="8"/>
        <v/>
      </c>
      <c r="B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6" spans="1:2" x14ac:dyDescent="0.3">
      <c r="A536" s="1" t="str">
        <f t="shared" si="8"/>
        <v/>
      </c>
      <c r="B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7" spans="1:2" x14ac:dyDescent="0.3">
      <c r="A537" s="1" t="str">
        <f t="shared" si="8"/>
        <v/>
      </c>
      <c r="B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8" spans="1:2" x14ac:dyDescent="0.3">
      <c r="A538" s="1" t="str">
        <f t="shared" si="8"/>
        <v/>
      </c>
      <c r="B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9" spans="1:2" x14ac:dyDescent="0.3">
      <c r="A539" s="1" t="str">
        <f t="shared" si="8"/>
        <v/>
      </c>
      <c r="B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0" spans="1:2" x14ac:dyDescent="0.3">
      <c r="A540" s="1" t="str">
        <f t="shared" si="8"/>
        <v/>
      </c>
      <c r="B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1" spans="1:2" x14ac:dyDescent="0.3">
      <c r="A541" s="1" t="str">
        <f t="shared" si="8"/>
        <v/>
      </c>
      <c r="B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2" spans="1:2" x14ac:dyDescent="0.3">
      <c r="A542" s="1" t="str">
        <f t="shared" si="8"/>
        <v/>
      </c>
      <c r="B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3" spans="1:2" x14ac:dyDescent="0.3">
      <c r="A543" s="1" t="str">
        <f t="shared" si="8"/>
        <v/>
      </c>
      <c r="B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4" spans="1:2" x14ac:dyDescent="0.3">
      <c r="A544" s="1" t="str">
        <f t="shared" si="8"/>
        <v/>
      </c>
      <c r="B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5" spans="1:2" x14ac:dyDescent="0.3">
      <c r="A545" s="1" t="str">
        <f t="shared" si="8"/>
        <v/>
      </c>
      <c r="B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6" spans="1:2" x14ac:dyDescent="0.3">
      <c r="A546" s="1" t="str">
        <f t="shared" si="8"/>
        <v/>
      </c>
      <c r="B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7" spans="1:2" x14ac:dyDescent="0.3">
      <c r="A547" s="1" t="str">
        <f t="shared" si="8"/>
        <v/>
      </c>
      <c r="B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8" spans="1:2" x14ac:dyDescent="0.3">
      <c r="A548" s="1" t="str">
        <f t="shared" si="8"/>
        <v/>
      </c>
      <c r="B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9" spans="1:2" x14ac:dyDescent="0.3">
      <c r="A549" s="1" t="str">
        <f t="shared" si="8"/>
        <v/>
      </c>
      <c r="B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0" spans="1:2" x14ac:dyDescent="0.3">
      <c r="A550" s="1" t="str">
        <f t="shared" si="8"/>
        <v/>
      </c>
      <c r="B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1" spans="1:2" x14ac:dyDescent="0.3">
      <c r="A551" s="1" t="str">
        <f t="shared" si="8"/>
        <v/>
      </c>
      <c r="B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2" spans="1:2" x14ac:dyDescent="0.3">
      <c r="A552" s="1" t="str">
        <f t="shared" si="8"/>
        <v/>
      </c>
      <c r="B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3" spans="1:2" x14ac:dyDescent="0.3">
      <c r="A553" s="1" t="str">
        <f t="shared" si="8"/>
        <v/>
      </c>
      <c r="B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4" spans="1:2" x14ac:dyDescent="0.3">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5" spans="1:2" x14ac:dyDescent="0.3">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6" spans="1:2" x14ac:dyDescent="0.3">
      <c r="A556" s="1" t="str">
        <f t="shared" si="8"/>
        <v/>
      </c>
      <c r="B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7" spans="1:2" x14ac:dyDescent="0.3">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8" spans="1:2" x14ac:dyDescent="0.3">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9" spans="1:2" x14ac:dyDescent="0.3">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0" spans="1:2" x14ac:dyDescent="0.3">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1" spans="1:2" x14ac:dyDescent="0.3">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2" spans="1:2" x14ac:dyDescent="0.3">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3" spans="1:2" x14ac:dyDescent="0.3">
      <c r="A563" s="1" t="str">
        <f t="shared" si="8"/>
        <v/>
      </c>
      <c r="B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4" spans="1:2" x14ac:dyDescent="0.3">
      <c r="A564" s="1" t="str">
        <f t="shared" si="8"/>
        <v/>
      </c>
      <c r="B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5" spans="1:2" x14ac:dyDescent="0.3">
      <c r="A565" s="1" t="str">
        <f t="shared" si="8"/>
        <v/>
      </c>
      <c r="B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6" spans="1:2" x14ac:dyDescent="0.3">
      <c r="A566" s="1" t="str">
        <f t="shared" si="8"/>
        <v/>
      </c>
      <c r="B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7" spans="1:2" x14ac:dyDescent="0.3">
      <c r="A567" s="1" t="str">
        <f t="shared" si="8"/>
        <v/>
      </c>
      <c r="B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8" spans="1:2" x14ac:dyDescent="0.3">
      <c r="A568" s="1" t="str">
        <f t="shared" si="8"/>
        <v/>
      </c>
      <c r="B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9" spans="1:2" x14ac:dyDescent="0.3">
      <c r="A569" s="1" t="str">
        <f t="shared" si="8"/>
        <v/>
      </c>
      <c r="B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0" spans="1:2" x14ac:dyDescent="0.3">
      <c r="A570" s="1" t="str">
        <f t="shared" si="8"/>
        <v/>
      </c>
      <c r="B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1" spans="1:2" x14ac:dyDescent="0.3">
      <c r="A571" s="1" t="str">
        <f t="shared" si="8"/>
        <v/>
      </c>
      <c r="B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2" spans="1:2" x14ac:dyDescent="0.3">
      <c r="A572" s="1" t="str">
        <f t="shared" si="8"/>
        <v/>
      </c>
      <c r="B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3" spans="1:2" x14ac:dyDescent="0.3">
      <c r="A573" s="1" t="str">
        <f t="shared" si="8"/>
        <v/>
      </c>
      <c r="B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4" spans="1:2" x14ac:dyDescent="0.3">
      <c r="A574" s="1" t="str">
        <f t="shared" si="8"/>
        <v/>
      </c>
      <c r="B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5" spans="1:2" x14ac:dyDescent="0.3">
      <c r="A575" s="1" t="str">
        <f t="shared" si="8"/>
        <v/>
      </c>
      <c r="B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6" spans="1:2" x14ac:dyDescent="0.3">
      <c r="A576" s="1" t="str">
        <f t="shared" si="8"/>
        <v/>
      </c>
      <c r="B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7" spans="1:2" x14ac:dyDescent="0.3">
      <c r="A577" s="1" t="str">
        <f t="shared" si="8"/>
        <v/>
      </c>
      <c r="B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8" spans="1:2" x14ac:dyDescent="0.3">
      <c r="A578" s="1" t="str">
        <f t="shared" ref="A578:A641" si="9">IFERROR(LEFT(RIGHT(C578,LEN(C578)-SEARCH("@",C578)),SEARCH("/",RIGHT(C578,LEN(C578)-SEARCH("@",C578)-1))),"")</f>
        <v/>
      </c>
      <c r="B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9" spans="1:2" x14ac:dyDescent="0.3">
      <c r="A579" s="1" t="str">
        <f t="shared" si="9"/>
        <v/>
      </c>
      <c r="B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0" spans="1:2" x14ac:dyDescent="0.3">
      <c r="A580" s="1" t="str">
        <f t="shared" si="9"/>
        <v/>
      </c>
      <c r="B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1" spans="1:2" x14ac:dyDescent="0.3">
      <c r="A581" s="1" t="str">
        <f t="shared" si="9"/>
        <v/>
      </c>
      <c r="B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2" spans="1:2" x14ac:dyDescent="0.3">
      <c r="A582" s="1" t="str">
        <f t="shared" si="9"/>
        <v/>
      </c>
      <c r="B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3" spans="1:2" x14ac:dyDescent="0.3">
      <c r="A583" s="1" t="str">
        <f t="shared" si="9"/>
        <v/>
      </c>
      <c r="B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4" spans="1:2" x14ac:dyDescent="0.3">
      <c r="A584" s="1" t="str">
        <f t="shared" si="9"/>
        <v/>
      </c>
      <c r="B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5" spans="1:2" x14ac:dyDescent="0.3">
      <c r="A585" s="1" t="str">
        <f t="shared" si="9"/>
        <v/>
      </c>
      <c r="B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6" spans="1:2" x14ac:dyDescent="0.3">
      <c r="A586" s="1" t="str">
        <f t="shared" si="9"/>
        <v/>
      </c>
      <c r="B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7" spans="1:2" x14ac:dyDescent="0.3">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8" spans="1:2" x14ac:dyDescent="0.3">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9" spans="1:2" x14ac:dyDescent="0.3">
      <c r="A589" s="1" t="str">
        <f t="shared" si="9"/>
        <v/>
      </c>
      <c r="B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0" spans="1:2" x14ac:dyDescent="0.3">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1" spans="1:2" x14ac:dyDescent="0.3">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2" spans="1:2" x14ac:dyDescent="0.3">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3" spans="1:2" x14ac:dyDescent="0.3">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4" spans="1:2" x14ac:dyDescent="0.3">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5" spans="1:2" x14ac:dyDescent="0.3">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6" spans="1:2" x14ac:dyDescent="0.3">
      <c r="A596" s="1" t="str">
        <f t="shared" si="9"/>
        <v/>
      </c>
      <c r="B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7" spans="1:2" x14ac:dyDescent="0.3">
      <c r="A597" s="1" t="str">
        <f t="shared" si="9"/>
        <v/>
      </c>
      <c r="B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8" spans="1:2" x14ac:dyDescent="0.3">
      <c r="A598" s="1" t="str">
        <f t="shared" si="9"/>
        <v/>
      </c>
      <c r="B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9" spans="1:2" x14ac:dyDescent="0.3">
      <c r="A599" s="1" t="str">
        <f t="shared" si="9"/>
        <v/>
      </c>
      <c r="B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0" spans="1:2" x14ac:dyDescent="0.3">
      <c r="A600" s="1" t="str">
        <f t="shared" si="9"/>
        <v/>
      </c>
      <c r="B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1" spans="1:2" x14ac:dyDescent="0.3">
      <c r="A601" s="1" t="str">
        <f t="shared" si="9"/>
        <v/>
      </c>
      <c r="B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2" spans="1:2" x14ac:dyDescent="0.3">
      <c r="A602" s="1" t="str">
        <f t="shared" si="9"/>
        <v/>
      </c>
      <c r="B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3" spans="1:2" x14ac:dyDescent="0.3">
      <c r="A603" s="1" t="str">
        <f t="shared" si="9"/>
        <v/>
      </c>
      <c r="B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4" spans="1:2" x14ac:dyDescent="0.3">
      <c r="A604" s="1" t="str">
        <f t="shared" si="9"/>
        <v/>
      </c>
      <c r="B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5" spans="1:2" x14ac:dyDescent="0.3">
      <c r="A605" s="1" t="str">
        <f t="shared" si="9"/>
        <v/>
      </c>
      <c r="B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6" spans="1:2" x14ac:dyDescent="0.3">
      <c r="A606" s="1" t="str">
        <f t="shared" si="9"/>
        <v/>
      </c>
      <c r="B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7" spans="1:2" x14ac:dyDescent="0.3">
      <c r="A607" s="1" t="str">
        <f t="shared" si="9"/>
        <v/>
      </c>
      <c r="B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8" spans="1:2" x14ac:dyDescent="0.3">
      <c r="A608" s="1" t="str">
        <f t="shared" si="9"/>
        <v/>
      </c>
      <c r="B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9" spans="1:2" x14ac:dyDescent="0.3">
      <c r="A609" s="1" t="str">
        <f t="shared" si="9"/>
        <v/>
      </c>
      <c r="B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0" spans="1:2" x14ac:dyDescent="0.3">
      <c r="A610" s="1" t="str">
        <f t="shared" si="9"/>
        <v/>
      </c>
      <c r="B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1" spans="1:2" x14ac:dyDescent="0.3">
      <c r="A611" s="1" t="str">
        <f t="shared" si="9"/>
        <v/>
      </c>
      <c r="B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2" spans="1:2" x14ac:dyDescent="0.3">
      <c r="A612" s="1" t="str">
        <f t="shared" si="9"/>
        <v/>
      </c>
      <c r="B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3" spans="1:2" x14ac:dyDescent="0.3">
      <c r="A613" s="1" t="str">
        <f t="shared" si="9"/>
        <v/>
      </c>
      <c r="B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4" spans="1:2" x14ac:dyDescent="0.3">
      <c r="A614" s="1" t="str">
        <f t="shared" si="9"/>
        <v/>
      </c>
      <c r="B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5" spans="1:2" x14ac:dyDescent="0.3">
      <c r="A615" s="1" t="str">
        <f t="shared" si="9"/>
        <v/>
      </c>
      <c r="B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6" spans="1:2" x14ac:dyDescent="0.3">
      <c r="A616" s="1" t="str">
        <f t="shared" si="9"/>
        <v/>
      </c>
      <c r="B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7" spans="1:2" x14ac:dyDescent="0.3">
      <c r="A617" s="1" t="str">
        <f t="shared" si="9"/>
        <v/>
      </c>
      <c r="B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8" spans="1:2" x14ac:dyDescent="0.3">
      <c r="A618" s="1" t="str">
        <f t="shared" si="9"/>
        <v/>
      </c>
      <c r="B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9" spans="1:2" x14ac:dyDescent="0.3">
      <c r="A619" s="1" t="str">
        <f t="shared" si="9"/>
        <v/>
      </c>
      <c r="B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0" spans="1:2" x14ac:dyDescent="0.3">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1" spans="1:2" x14ac:dyDescent="0.3">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2" spans="1:2" x14ac:dyDescent="0.3">
      <c r="A622" s="1" t="str">
        <f t="shared" si="9"/>
        <v/>
      </c>
      <c r="B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3" spans="1:2" x14ac:dyDescent="0.3">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4" spans="1:2" x14ac:dyDescent="0.3">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5" spans="1:2" x14ac:dyDescent="0.3">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6" spans="1:2" x14ac:dyDescent="0.3">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7" spans="1:2" x14ac:dyDescent="0.3">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8" spans="1:2" x14ac:dyDescent="0.3">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9" spans="1:2" x14ac:dyDescent="0.3">
      <c r="A629" s="1" t="str">
        <f t="shared" si="9"/>
        <v/>
      </c>
      <c r="B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0" spans="1:2" x14ac:dyDescent="0.3">
      <c r="A630" s="1" t="str">
        <f t="shared" si="9"/>
        <v/>
      </c>
      <c r="B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1" spans="1:2" x14ac:dyDescent="0.3">
      <c r="A631" s="1" t="str">
        <f t="shared" si="9"/>
        <v/>
      </c>
      <c r="B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2" spans="1:2" x14ac:dyDescent="0.3">
      <c r="A632" s="1" t="str">
        <f t="shared" si="9"/>
        <v/>
      </c>
      <c r="B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3" spans="1:2" x14ac:dyDescent="0.3">
      <c r="A633" s="1" t="str">
        <f t="shared" si="9"/>
        <v/>
      </c>
      <c r="B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4" spans="1:2" x14ac:dyDescent="0.3">
      <c r="A634" s="1" t="str">
        <f t="shared" si="9"/>
        <v/>
      </c>
      <c r="B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5" spans="1:2" x14ac:dyDescent="0.3">
      <c r="A635" s="1" t="str">
        <f t="shared" si="9"/>
        <v/>
      </c>
      <c r="B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6" spans="1:2" x14ac:dyDescent="0.3">
      <c r="A636" s="1" t="str">
        <f t="shared" si="9"/>
        <v/>
      </c>
      <c r="B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7" spans="1:2" x14ac:dyDescent="0.3">
      <c r="A637" s="1" t="str">
        <f t="shared" si="9"/>
        <v/>
      </c>
      <c r="B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8" spans="1:2" x14ac:dyDescent="0.3">
      <c r="A638" s="1" t="str">
        <f t="shared" si="9"/>
        <v/>
      </c>
      <c r="B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9" spans="1:2" x14ac:dyDescent="0.3">
      <c r="A639" s="1" t="str">
        <f t="shared" si="9"/>
        <v/>
      </c>
      <c r="B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0" spans="1:2" x14ac:dyDescent="0.3">
      <c r="A640" s="1" t="str">
        <f t="shared" si="9"/>
        <v/>
      </c>
      <c r="B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1" spans="1:2" x14ac:dyDescent="0.3">
      <c r="A641" s="1" t="str">
        <f t="shared" si="9"/>
        <v/>
      </c>
      <c r="B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2" spans="1:2" x14ac:dyDescent="0.3">
      <c r="A642" s="1" t="str">
        <f t="shared" ref="A642:A705" si="10">IFERROR(LEFT(RIGHT(C642,LEN(C642)-SEARCH("@",C642)),SEARCH("/",RIGHT(C642,LEN(C642)-SEARCH("@",C642)-1))),"")</f>
        <v/>
      </c>
      <c r="B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3" spans="1:2" x14ac:dyDescent="0.3">
      <c r="A643" s="1" t="str">
        <f t="shared" si="10"/>
        <v/>
      </c>
      <c r="B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4" spans="1:2" x14ac:dyDescent="0.3">
      <c r="A644" s="1" t="str">
        <f t="shared" si="10"/>
        <v/>
      </c>
      <c r="B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5" spans="1:2" x14ac:dyDescent="0.3">
      <c r="A645" s="1" t="str">
        <f t="shared" si="10"/>
        <v/>
      </c>
      <c r="B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6" spans="1:2" x14ac:dyDescent="0.3">
      <c r="A646" s="1" t="str">
        <f t="shared" si="10"/>
        <v/>
      </c>
      <c r="B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7" spans="1:2" x14ac:dyDescent="0.3">
      <c r="A647" s="1" t="str">
        <f t="shared" si="10"/>
        <v/>
      </c>
      <c r="B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8" spans="1:2" x14ac:dyDescent="0.3">
      <c r="A648" s="1" t="str">
        <f t="shared" si="10"/>
        <v/>
      </c>
      <c r="B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9" spans="1:2" x14ac:dyDescent="0.3">
      <c r="A649" s="1" t="str">
        <f t="shared" si="10"/>
        <v/>
      </c>
      <c r="B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0" spans="1:2" x14ac:dyDescent="0.3">
      <c r="A650" s="1" t="str">
        <f t="shared" si="10"/>
        <v/>
      </c>
      <c r="B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1" spans="1:2" x14ac:dyDescent="0.3">
      <c r="A651" s="1" t="str">
        <f t="shared" si="10"/>
        <v/>
      </c>
      <c r="B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2" spans="1:2" x14ac:dyDescent="0.3">
      <c r="A652" s="1" t="str">
        <f t="shared" si="10"/>
        <v/>
      </c>
      <c r="B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3" spans="1:2" x14ac:dyDescent="0.3">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4" spans="1:2" x14ac:dyDescent="0.3">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5" spans="1:2" x14ac:dyDescent="0.3">
      <c r="A655" s="1" t="str">
        <f t="shared" si="10"/>
        <v/>
      </c>
      <c r="B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6" spans="1:2" x14ac:dyDescent="0.3">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7" spans="1:2" x14ac:dyDescent="0.3">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8" spans="1:2" x14ac:dyDescent="0.3">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9" spans="1:2" x14ac:dyDescent="0.3">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0" spans="1:2" x14ac:dyDescent="0.3">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1" spans="1:2" x14ac:dyDescent="0.3">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2" spans="1:2" x14ac:dyDescent="0.3">
      <c r="A662" s="1" t="str">
        <f t="shared" si="10"/>
        <v/>
      </c>
      <c r="B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3" spans="1:2" x14ac:dyDescent="0.3">
      <c r="A663" s="1" t="str">
        <f t="shared" si="10"/>
        <v/>
      </c>
      <c r="B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4" spans="1:2" x14ac:dyDescent="0.3">
      <c r="A664" s="1" t="str">
        <f t="shared" si="10"/>
        <v/>
      </c>
      <c r="B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5" spans="1:2" x14ac:dyDescent="0.3">
      <c r="A665" s="1" t="str">
        <f t="shared" si="10"/>
        <v/>
      </c>
      <c r="B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6" spans="1:2" x14ac:dyDescent="0.3">
      <c r="A666" s="1" t="str">
        <f t="shared" si="10"/>
        <v/>
      </c>
      <c r="B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7" spans="1:2" x14ac:dyDescent="0.3">
      <c r="A667" s="1" t="str">
        <f t="shared" si="10"/>
        <v/>
      </c>
      <c r="B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8" spans="1:2" x14ac:dyDescent="0.3">
      <c r="A668" s="1" t="str">
        <f t="shared" si="10"/>
        <v/>
      </c>
      <c r="B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9" spans="1:2" x14ac:dyDescent="0.3">
      <c r="A669" s="1" t="str">
        <f t="shared" si="10"/>
        <v/>
      </c>
      <c r="B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0" spans="1:2" x14ac:dyDescent="0.3">
      <c r="A670" s="1" t="str">
        <f t="shared" si="10"/>
        <v/>
      </c>
      <c r="B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1" spans="1:2" x14ac:dyDescent="0.3">
      <c r="A671" s="1" t="str">
        <f t="shared" si="10"/>
        <v/>
      </c>
      <c r="B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2" spans="1:2" x14ac:dyDescent="0.3">
      <c r="A672" s="1" t="str">
        <f t="shared" si="10"/>
        <v/>
      </c>
      <c r="B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3" spans="1:2" x14ac:dyDescent="0.3">
      <c r="A673" s="1" t="str">
        <f t="shared" si="10"/>
        <v/>
      </c>
      <c r="B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4" spans="1:2" x14ac:dyDescent="0.3">
      <c r="A674" s="1" t="str">
        <f t="shared" si="10"/>
        <v/>
      </c>
      <c r="B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5" spans="1:2" x14ac:dyDescent="0.3">
      <c r="A675" s="1" t="str">
        <f t="shared" si="10"/>
        <v/>
      </c>
      <c r="B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6" spans="1:2" x14ac:dyDescent="0.3">
      <c r="A676" s="1" t="str">
        <f t="shared" si="10"/>
        <v/>
      </c>
      <c r="B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7" spans="1:2" x14ac:dyDescent="0.3">
      <c r="A677" s="1" t="str">
        <f t="shared" si="10"/>
        <v/>
      </c>
      <c r="B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8" spans="1:2" x14ac:dyDescent="0.3">
      <c r="A678" s="1" t="str">
        <f t="shared" si="10"/>
        <v/>
      </c>
      <c r="B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9" spans="1:2" x14ac:dyDescent="0.3">
      <c r="A679" s="1" t="str">
        <f t="shared" si="10"/>
        <v/>
      </c>
      <c r="B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0" spans="1:2" x14ac:dyDescent="0.3">
      <c r="A680" s="1" t="str">
        <f t="shared" si="10"/>
        <v/>
      </c>
      <c r="B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1" spans="1:2" x14ac:dyDescent="0.3">
      <c r="A681" s="1" t="str">
        <f t="shared" si="10"/>
        <v/>
      </c>
      <c r="B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2" spans="1:2" x14ac:dyDescent="0.3">
      <c r="A682" s="1" t="str">
        <f t="shared" si="10"/>
        <v/>
      </c>
      <c r="B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3" spans="1:2" x14ac:dyDescent="0.3">
      <c r="A683" s="1" t="str">
        <f t="shared" si="10"/>
        <v/>
      </c>
      <c r="B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4" spans="1:2" x14ac:dyDescent="0.3">
      <c r="A684" s="1" t="str">
        <f t="shared" si="10"/>
        <v/>
      </c>
      <c r="B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5" spans="1:2" x14ac:dyDescent="0.3">
      <c r="A685" s="1" t="str">
        <f t="shared" si="10"/>
        <v/>
      </c>
      <c r="B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6" spans="1:2" x14ac:dyDescent="0.3">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7" spans="1:2" x14ac:dyDescent="0.3">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8" spans="1:2" x14ac:dyDescent="0.3">
      <c r="A688" s="1" t="str">
        <f t="shared" si="10"/>
        <v/>
      </c>
      <c r="B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9" spans="1:2" x14ac:dyDescent="0.3">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0" spans="1:2" x14ac:dyDescent="0.3">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1" spans="1:2" x14ac:dyDescent="0.3">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2" x14ac:dyDescent="0.3">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2" x14ac:dyDescent="0.3">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2" x14ac:dyDescent="0.3">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2" x14ac:dyDescent="0.3">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2" x14ac:dyDescent="0.3">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2" x14ac:dyDescent="0.3">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2" x14ac:dyDescent="0.3">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2" x14ac:dyDescent="0.3">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2" x14ac:dyDescent="0.3">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2" x14ac:dyDescent="0.3">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2" x14ac:dyDescent="0.3">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2" x14ac:dyDescent="0.3">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2" x14ac:dyDescent="0.3">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1:K11 M11:XFD11 A1:J10 EO1:XFD10 A12:XFD13 M14:XFD18 K1:L4 A14:J18 K5 A19:XFD1048576">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abSelected="1" topLeftCell="A46" zoomScale="70" zoomScaleNormal="70" zoomScaleSheetLayoutView="40" zoomScalePageLayoutView="30" workbookViewId="0">
      <selection activeCell="D53" sqref="D53"/>
    </sheetView>
  </sheetViews>
  <sheetFormatPr defaultColWidth="9.21875" defaultRowHeight="14.4" x14ac:dyDescent="0.3"/>
  <cols>
    <col min="1" max="1" width="33.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1.77734375" style="1" customWidth="1"/>
    <col min="15" max="15" width="14.77734375" style="1" customWidth="1"/>
    <col min="16" max="16" width="17.77734375" style="1" customWidth="1"/>
    <col min="17" max="18" width="25.77734375" style="1" bestFit="1" customWidth="1"/>
    <col min="19" max="22" width="25.77734375" style="1" customWidth="1"/>
    <col min="23" max="16384" width="9.21875" style="1"/>
  </cols>
  <sheetData>
    <row r="1" spans="1:22" ht="26.4" thickBot="1" x14ac:dyDescent="0.55000000000000004">
      <c r="A1" s="213" t="s">
        <v>43</v>
      </c>
      <c r="B1" s="214"/>
      <c r="C1" s="214"/>
      <c r="D1" s="214"/>
      <c r="E1" s="214"/>
      <c r="F1" s="214"/>
      <c r="G1" s="214"/>
      <c r="H1" s="214"/>
      <c r="I1" s="214"/>
      <c r="J1" s="214"/>
      <c r="K1" s="214"/>
      <c r="L1" s="214"/>
      <c r="M1" s="214"/>
      <c r="N1" s="214"/>
      <c r="O1" s="214"/>
      <c r="P1" s="214"/>
      <c r="Q1" s="214"/>
      <c r="R1" s="214"/>
      <c r="S1" s="214"/>
      <c r="T1" s="214"/>
      <c r="U1" s="214"/>
      <c r="V1" s="214"/>
    </row>
    <row r="2" spans="1:22" ht="15" thickBot="1" x14ac:dyDescent="0.35"/>
    <row r="3" spans="1:22" ht="15" thickBot="1" x14ac:dyDescent="0.35">
      <c r="A3" s="153" t="s">
        <v>22</v>
      </c>
      <c r="B3" s="221" t="s">
        <v>6</v>
      </c>
      <c r="C3" s="222"/>
      <c r="D3" s="222"/>
      <c r="E3" s="222"/>
      <c r="F3" s="222"/>
      <c r="G3" s="222"/>
      <c r="H3" s="222"/>
      <c r="I3" s="222"/>
      <c r="J3" s="222"/>
      <c r="K3" s="222"/>
      <c r="L3" s="222"/>
      <c r="M3" s="222"/>
      <c r="O3" s="221" t="s">
        <v>3</v>
      </c>
      <c r="P3" s="222"/>
      <c r="Q3" s="222"/>
      <c r="R3" s="222"/>
      <c r="S3" s="222"/>
      <c r="T3" s="222"/>
      <c r="U3" s="222"/>
      <c r="V3" s="222"/>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Prochloraz-0.063mg/L</v>
      </c>
      <c r="J4" s="35" t="str">
        <f>'Page de garde'!A16</f>
        <v>Prochloraz-0.13mg/L</v>
      </c>
      <c r="K4" s="35" t="str">
        <f>'Page de garde'!A17</f>
        <v>Prochloraz-0.25mg/L</v>
      </c>
      <c r="L4" s="35" t="str">
        <f>'Page de garde'!A18</f>
        <v>Prochloraz-0.5mg/L</v>
      </c>
      <c r="M4" s="35" t="str">
        <f>'Page de garde'!A19</f>
        <v>Prochloraz-1mg/L</v>
      </c>
      <c r="N4" s="3"/>
      <c r="O4" s="36" t="str">
        <f>'Page de garde'!A36</f>
        <v>Testo -30µg/L</v>
      </c>
      <c r="P4" s="36" t="str">
        <f>'Page de garde'!A37</f>
        <v>Testo 30µg/L + EE2 -64ng/L</v>
      </c>
      <c r="Q4" s="36" t="str">
        <f>'Page de garde'!A38</f>
        <v>Testo 30µg/L + FAD-10µg/L</v>
      </c>
      <c r="R4" s="36" t="str">
        <f>'Page de garde'!A39</f>
        <v>Prochloraz-0.063mg/L + Testostérone</v>
      </c>
      <c r="S4" s="36" t="str">
        <f>'Page de garde'!A40</f>
        <v>Prochloraz-0.13mg/L + Testostérone</v>
      </c>
      <c r="T4" s="36" t="str">
        <f>'Page de garde'!A41</f>
        <v>Prochloraz-0.25mg/L + Testostérone</v>
      </c>
      <c r="U4" s="36" t="str">
        <f>'Page de garde'!A42</f>
        <v>Prochloraz-0.5mg/L + Testostérone</v>
      </c>
      <c r="V4" s="36" t="str">
        <f>'Page de garde'!A43</f>
        <v>Prochloraz-1mg/L + Testostérone</v>
      </c>
    </row>
    <row r="5" spans="1:22" x14ac:dyDescent="0.3">
      <c r="A5" s="223" t="s">
        <v>33</v>
      </c>
      <c r="B5" s="32">
        <v>1570</v>
      </c>
      <c r="C5" s="32">
        <v>530</v>
      </c>
      <c r="D5" s="32">
        <v>6400</v>
      </c>
      <c r="E5" s="32">
        <v>9806</v>
      </c>
      <c r="F5" s="32">
        <v>8140</v>
      </c>
      <c r="G5" s="32">
        <v>2096</v>
      </c>
      <c r="H5" s="32">
        <v>1799299</v>
      </c>
      <c r="I5" s="32">
        <v>555</v>
      </c>
      <c r="J5" s="32">
        <v>33676</v>
      </c>
      <c r="K5" s="13">
        <v>12378</v>
      </c>
      <c r="L5" s="13">
        <v>961</v>
      </c>
      <c r="M5" s="13">
        <v>76</v>
      </c>
      <c r="N5" s="3"/>
      <c r="O5" s="32">
        <v>5375</v>
      </c>
      <c r="P5" s="13">
        <v>4238384</v>
      </c>
      <c r="Q5" s="13">
        <v>29025</v>
      </c>
      <c r="R5" s="32">
        <v>228144</v>
      </c>
      <c r="S5" s="32">
        <v>4824</v>
      </c>
      <c r="T5" s="32">
        <v>9038</v>
      </c>
      <c r="U5" s="32">
        <v>1581</v>
      </c>
      <c r="V5" s="32">
        <v>5578</v>
      </c>
    </row>
    <row r="6" spans="1:22" ht="16.8" x14ac:dyDescent="0.3">
      <c r="A6" s="223"/>
      <c r="B6" s="14">
        <v>71013</v>
      </c>
      <c r="C6" s="13">
        <v>814</v>
      </c>
      <c r="D6" s="32">
        <v>17043</v>
      </c>
      <c r="E6" s="32">
        <v>660</v>
      </c>
      <c r="F6" s="32">
        <v>1544</v>
      </c>
      <c r="G6" s="32">
        <v>3110</v>
      </c>
      <c r="H6" s="32">
        <v>1221446</v>
      </c>
      <c r="I6" s="32">
        <v>6027</v>
      </c>
      <c r="J6" s="32">
        <v>5499</v>
      </c>
      <c r="K6" s="13">
        <v>2923</v>
      </c>
      <c r="L6" s="13">
        <v>24330</v>
      </c>
      <c r="M6" s="13">
        <v>16740</v>
      </c>
      <c r="N6" s="3"/>
      <c r="O6" s="32">
        <v>4546</v>
      </c>
      <c r="P6" s="13">
        <v>10090672</v>
      </c>
      <c r="Q6" s="13">
        <v>6052</v>
      </c>
      <c r="R6" s="32">
        <v>8762</v>
      </c>
      <c r="S6" s="32">
        <v>935</v>
      </c>
      <c r="T6" s="32">
        <v>35470</v>
      </c>
      <c r="U6" s="32">
        <v>11237</v>
      </c>
      <c r="V6" s="32">
        <v>134</v>
      </c>
    </row>
    <row r="7" spans="1:22" ht="16.8" x14ac:dyDescent="0.3">
      <c r="A7" s="223"/>
      <c r="B7" s="14">
        <v>1883</v>
      </c>
      <c r="C7" s="13">
        <v>473</v>
      </c>
      <c r="D7" s="32">
        <v>7682</v>
      </c>
      <c r="E7" s="32">
        <v>7525</v>
      </c>
      <c r="F7" s="32">
        <v>209</v>
      </c>
      <c r="G7" s="32">
        <v>111961</v>
      </c>
      <c r="H7" s="32">
        <v>2552403</v>
      </c>
      <c r="I7" s="32">
        <v>22878</v>
      </c>
      <c r="J7" s="32">
        <v>13819</v>
      </c>
      <c r="K7" s="13">
        <v>3855</v>
      </c>
      <c r="L7" s="13">
        <v>34939</v>
      </c>
      <c r="M7" s="13">
        <v>0</v>
      </c>
      <c r="N7" s="3"/>
      <c r="O7" s="32">
        <v>502130</v>
      </c>
      <c r="P7" s="13">
        <v>3211579</v>
      </c>
      <c r="Q7" s="13">
        <v>65238</v>
      </c>
      <c r="R7" s="32">
        <v>17246</v>
      </c>
      <c r="S7" s="32">
        <v>4565</v>
      </c>
      <c r="T7" s="32">
        <v>12514</v>
      </c>
      <c r="U7" s="32">
        <v>18194</v>
      </c>
      <c r="V7" s="32">
        <v>13378</v>
      </c>
    </row>
    <row r="8" spans="1:22" ht="16.8" x14ac:dyDescent="0.3">
      <c r="A8" s="223"/>
      <c r="B8" s="14">
        <v>17293</v>
      </c>
      <c r="C8" s="13">
        <v>1047</v>
      </c>
      <c r="D8" s="32">
        <v>3493</v>
      </c>
      <c r="E8" s="32">
        <v>5371</v>
      </c>
      <c r="F8" s="32">
        <v>1352</v>
      </c>
      <c r="G8" s="32">
        <v>45894</v>
      </c>
      <c r="H8" s="32">
        <v>1800604</v>
      </c>
      <c r="I8" s="32">
        <v>3851</v>
      </c>
      <c r="J8" s="32">
        <v>4407</v>
      </c>
      <c r="K8" s="13">
        <v>25560</v>
      </c>
      <c r="L8" s="13">
        <v>181</v>
      </c>
      <c r="M8" s="13">
        <v>7054</v>
      </c>
      <c r="N8" s="3"/>
      <c r="O8" s="32">
        <v>5745</v>
      </c>
      <c r="P8" s="13">
        <v>2531026</v>
      </c>
      <c r="Q8" s="13">
        <v>4196</v>
      </c>
      <c r="R8" s="32">
        <v>15646</v>
      </c>
      <c r="S8" s="32">
        <v>188200</v>
      </c>
      <c r="T8" s="32">
        <v>954</v>
      </c>
      <c r="U8" s="32">
        <v>3364</v>
      </c>
      <c r="V8" s="32">
        <v>12310</v>
      </c>
    </row>
    <row r="9" spans="1:22" ht="16.8" x14ac:dyDescent="0.3">
      <c r="A9" s="223"/>
      <c r="B9" s="14">
        <v>37983</v>
      </c>
      <c r="C9" s="13">
        <v>0</v>
      </c>
      <c r="D9" s="32">
        <v>3647</v>
      </c>
      <c r="E9" s="32">
        <v>2038</v>
      </c>
      <c r="F9" s="32">
        <v>17447</v>
      </c>
      <c r="G9" s="32">
        <v>4995</v>
      </c>
      <c r="H9" s="32">
        <v>219690</v>
      </c>
      <c r="I9" s="32">
        <v>1967</v>
      </c>
      <c r="J9" s="32">
        <v>50494</v>
      </c>
      <c r="K9" s="13">
        <v>13515</v>
      </c>
      <c r="L9" s="13">
        <v>3711</v>
      </c>
      <c r="M9" s="13">
        <v>10656</v>
      </c>
      <c r="N9" s="3"/>
      <c r="O9" s="32">
        <v>23731</v>
      </c>
      <c r="P9" s="13">
        <v>5885281</v>
      </c>
      <c r="Q9" s="13">
        <v>6103</v>
      </c>
      <c r="R9" s="32">
        <v>101060</v>
      </c>
      <c r="S9" s="32">
        <v>689862</v>
      </c>
      <c r="T9" s="32">
        <v>13739</v>
      </c>
      <c r="U9" s="32">
        <v>196604</v>
      </c>
      <c r="V9" s="32">
        <v>9412</v>
      </c>
    </row>
    <row r="10" spans="1:22" ht="16.8" x14ac:dyDescent="0.3">
      <c r="A10" s="223"/>
      <c r="B10" s="14">
        <v>34408</v>
      </c>
      <c r="C10" s="13">
        <v>11563</v>
      </c>
      <c r="D10" s="32">
        <v>2132</v>
      </c>
      <c r="E10" s="32">
        <v>1289</v>
      </c>
      <c r="F10" s="32">
        <v>12127</v>
      </c>
      <c r="G10" s="32">
        <v>2395</v>
      </c>
      <c r="H10" s="32">
        <v>1270</v>
      </c>
      <c r="I10" s="32">
        <v>3164</v>
      </c>
      <c r="J10" s="32">
        <v>11762</v>
      </c>
      <c r="K10" s="13">
        <v>4571</v>
      </c>
      <c r="L10" s="13">
        <v>29366</v>
      </c>
      <c r="M10" s="13">
        <v>1943</v>
      </c>
      <c r="N10" s="3"/>
      <c r="O10" s="32">
        <v>8935</v>
      </c>
      <c r="P10" s="13">
        <v>6343042</v>
      </c>
      <c r="Q10" s="13">
        <v>84283</v>
      </c>
      <c r="R10" s="32">
        <v>508124</v>
      </c>
      <c r="S10" s="32">
        <v>41620</v>
      </c>
      <c r="T10" s="32">
        <v>48011</v>
      </c>
      <c r="U10" s="32">
        <v>0</v>
      </c>
      <c r="V10" s="32">
        <v>11615</v>
      </c>
    </row>
    <row r="11" spans="1:22" ht="16.8" x14ac:dyDescent="0.3">
      <c r="A11" s="223"/>
      <c r="B11" s="14">
        <v>5342</v>
      </c>
      <c r="C11" s="13">
        <v>29681</v>
      </c>
      <c r="D11" s="32">
        <v>275</v>
      </c>
      <c r="E11" s="32">
        <v>210</v>
      </c>
      <c r="F11" s="32">
        <v>529</v>
      </c>
      <c r="G11" s="32">
        <v>10845</v>
      </c>
      <c r="H11" s="32">
        <v>2802300</v>
      </c>
      <c r="I11" s="32">
        <v>5740</v>
      </c>
      <c r="J11" s="32">
        <v>42970</v>
      </c>
      <c r="K11" s="13">
        <v>5630</v>
      </c>
      <c r="L11" s="13">
        <v>2282</v>
      </c>
      <c r="M11" s="13">
        <v>4506</v>
      </c>
      <c r="N11" s="3"/>
      <c r="O11" s="32">
        <v>7771</v>
      </c>
      <c r="P11" s="13">
        <v>4935034</v>
      </c>
      <c r="Q11" s="13">
        <v>936</v>
      </c>
      <c r="R11" s="32">
        <v>15419</v>
      </c>
      <c r="S11" s="32">
        <v>21808</v>
      </c>
      <c r="T11" s="32">
        <v>480</v>
      </c>
      <c r="U11" s="32">
        <v>9368</v>
      </c>
      <c r="V11" s="32">
        <v>41718</v>
      </c>
    </row>
    <row r="12" spans="1:22" ht="16.8" x14ac:dyDescent="0.3">
      <c r="A12" s="223"/>
      <c r="B12" s="14"/>
      <c r="C12" s="13">
        <v>4251</v>
      </c>
      <c r="D12" s="32">
        <v>2733</v>
      </c>
      <c r="E12" s="32">
        <v>8094</v>
      </c>
      <c r="F12" s="32">
        <v>32253</v>
      </c>
      <c r="G12" s="32">
        <v>1562</v>
      </c>
      <c r="H12" s="32">
        <v>810379</v>
      </c>
      <c r="I12" s="32">
        <v>46920</v>
      </c>
      <c r="J12" s="32">
        <v>342</v>
      </c>
      <c r="K12" s="13">
        <v>25958</v>
      </c>
      <c r="L12" s="13">
        <v>48345</v>
      </c>
      <c r="M12" s="13">
        <v>38041</v>
      </c>
      <c r="N12" s="3"/>
      <c r="O12" s="32">
        <v>449536</v>
      </c>
      <c r="P12" s="13">
        <v>7665101</v>
      </c>
      <c r="Q12" s="13">
        <v>41188</v>
      </c>
      <c r="R12" s="32"/>
      <c r="S12" s="32">
        <v>831</v>
      </c>
      <c r="T12" s="32">
        <v>25</v>
      </c>
      <c r="U12" s="32">
        <v>6579</v>
      </c>
      <c r="V12" s="32">
        <v>2788</v>
      </c>
    </row>
    <row r="13" spans="1:22" ht="16.8" x14ac:dyDescent="0.3">
      <c r="A13" s="223"/>
      <c r="B13" s="14"/>
      <c r="C13" s="13"/>
      <c r="D13" s="32"/>
      <c r="E13" s="32"/>
      <c r="F13" s="32"/>
      <c r="G13" s="32"/>
      <c r="H13" s="32"/>
      <c r="I13" s="32"/>
      <c r="J13" s="32"/>
      <c r="K13" s="13"/>
      <c r="L13" s="13"/>
      <c r="M13" s="13"/>
      <c r="N13" s="3"/>
      <c r="O13" s="32">
        <v>771694</v>
      </c>
      <c r="P13" s="13"/>
      <c r="Q13" s="13"/>
      <c r="R13" s="32"/>
      <c r="S13" s="32"/>
      <c r="T13" s="32"/>
      <c r="U13" s="32"/>
      <c r="V13" s="32"/>
    </row>
    <row r="14" spans="1:22" ht="16.8" x14ac:dyDescent="0.3">
      <c r="A14" s="223"/>
      <c r="B14" s="14"/>
      <c r="C14" s="32"/>
      <c r="D14" s="32"/>
      <c r="E14" s="32"/>
      <c r="F14" s="32"/>
      <c r="G14" s="32"/>
      <c r="H14" s="32"/>
      <c r="I14" s="32"/>
      <c r="J14" s="32"/>
      <c r="K14" s="13"/>
      <c r="L14" s="13"/>
      <c r="M14" s="13"/>
      <c r="N14" s="3"/>
      <c r="O14" s="32">
        <v>770866</v>
      </c>
      <c r="P14" s="13"/>
      <c r="Q14" s="13"/>
      <c r="R14" s="32"/>
      <c r="S14" s="32"/>
      <c r="T14" s="32"/>
      <c r="U14" s="32"/>
      <c r="V14" s="32"/>
    </row>
    <row r="15" spans="1:22" ht="16.8" x14ac:dyDescent="0.3">
      <c r="A15" s="223"/>
      <c r="B15" s="14"/>
      <c r="C15" s="32"/>
      <c r="D15" s="32"/>
      <c r="E15" s="32"/>
      <c r="F15" s="32"/>
      <c r="G15" s="32"/>
      <c r="H15" s="32"/>
      <c r="I15" s="32"/>
      <c r="J15" s="32"/>
      <c r="K15" s="13"/>
      <c r="L15" s="13"/>
      <c r="M15" s="13"/>
      <c r="N15" s="3"/>
      <c r="O15" s="32">
        <v>1806104</v>
      </c>
      <c r="P15" s="13"/>
      <c r="Q15" s="13"/>
      <c r="R15" s="32"/>
      <c r="S15" s="32"/>
      <c r="T15" s="32"/>
      <c r="U15" s="32"/>
      <c r="V15" s="32"/>
    </row>
    <row r="16" spans="1:22" ht="16.8" x14ac:dyDescent="0.3">
      <c r="A16" s="223"/>
      <c r="B16" s="14"/>
      <c r="C16" s="32"/>
      <c r="D16" s="32"/>
      <c r="E16" s="32"/>
      <c r="F16" s="32"/>
      <c r="G16" s="32"/>
      <c r="H16" s="32"/>
      <c r="I16" s="32"/>
      <c r="J16" s="32"/>
      <c r="K16" s="13"/>
      <c r="L16" s="13"/>
      <c r="M16" s="13"/>
      <c r="N16" s="3"/>
      <c r="O16" s="32">
        <v>352213</v>
      </c>
      <c r="P16" s="13"/>
      <c r="Q16" s="13"/>
      <c r="R16" s="32"/>
      <c r="S16" s="32"/>
      <c r="T16" s="32"/>
      <c r="U16" s="32"/>
      <c r="V16" s="32"/>
    </row>
    <row r="17" spans="1:22" ht="16.8" x14ac:dyDescent="0.3">
      <c r="A17" s="223"/>
      <c r="B17" s="14"/>
      <c r="C17" s="32"/>
      <c r="D17" s="32"/>
      <c r="E17" s="32"/>
      <c r="F17" s="32"/>
      <c r="G17" s="32"/>
      <c r="H17" s="32"/>
      <c r="I17" s="32"/>
      <c r="J17" s="32"/>
      <c r="K17" s="13"/>
      <c r="L17" s="13"/>
      <c r="M17" s="13"/>
      <c r="N17" s="3"/>
      <c r="O17" s="32">
        <v>486269</v>
      </c>
      <c r="P17" s="13"/>
      <c r="Q17" s="13"/>
      <c r="R17" s="32"/>
      <c r="S17" s="32"/>
      <c r="T17" s="32"/>
      <c r="U17" s="32"/>
      <c r="V17" s="32"/>
    </row>
    <row r="18" spans="1:22" ht="16.8" x14ac:dyDescent="0.3">
      <c r="A18" s="223"/>
      <c r="B18" s="14"/>
      <c r="C18" s="32"/>
      <c r="D18" s="32"/>
      <c r="E18" s="32"/>
      <c r="F18" s="32"/>
      <c r="G18" s="32"/>
      <c r="H18" s="32"/>
      <c r="I18" s="32"/>
      <c r="J18" s="32"/>
      <c r="K18" s="13"/>
      <c r="L18" s="13"/>
      <c r="M18" s="13"/>
      <c r="N18" s="3"/>
      <c r="O18" s="32">
        <v>1095</v>
      </c>
      <c r="P18" s="13"/>
      <c r="Q18" s="13"/>
      <c r="R18" s="32"/>
      <c r="S18" s="32"/>
      <c r="T18" s="32"/>
      <c r="U18" s="32"/>
      <c r="V18" s="32"/>
    </row>
    <row r="19" spans="1:22" ht="16.8" x14ac:dyDescent="0.3">
      <c r="A19" s="223"/>
      <c r="B19" s="14"/>
      <c r="C19" s="32"/>
      <c r="D19" s="32"/>
      <c r="E19" s="32"/>
      <c r="F19" s="32"/>
      <c r="G19" s="32"/>
      <c r="H19" s="32"/>
      <c r="I19" s="32"/>
      <c r="J19" s="32"/>
      <c r="K19" s="13"/>
      <c r="L19" s="13"/>
      <c r="M19" s="13"/>
      <c r="N19" s="3"/>
      <c r="O19" s="32">
        <v>676389</v>
      </c>
      <c r="P19" s="13"/>
      <c r="Q19" s="13"/>
      <c r="R19" s="32"/>
      <c r="S19" s="32"/>
      <c r="T19" s="32"/>
      <c r="U19" s="32"/>
      <c r="V19" s="32"/>
    </row>
    <row r="20" spans="1:22" ht="16.8" x14ac:dyDescent="0.3">
      <c r="A20" s="223"/>
      <c r="B20" s="14"/>
      <c r="C20" s="32"/>
      <c r="D20" s="32"/>
      <c r="E20" s="32"/>
      <c r="F20" s="32"/>
      <c r="G20" s="32"/>
      <c r="H20" s="32"/>
      <c r="I20" s="32"/>
      <c r="J20" s="32"/>
      <c r="K20" s="13"/>
      <c r="L20" s="13"/>
      <c r="M20" s="13"/>
      <c r="N20" s="3"/>
      <c r="O20" s="32">
        <v>55</v>
      </c>
      <c r="P20" s="13"/>
      <c r="Q20" s="13"/>
      <c r="R20" s="32"/>
      <c r="S20" s="32"/>
      <c r="T20" s="32"/>
      <c r="U20" s="32"/>
      <c r="V20" s="32"/>
    </row>
    <row r="21" spans="1:22" x14ac:dyDescent="0.3">
      <c r="A21" s="3"/>
      <c r="B21" s="7"/>
      <c r="C21" s="7"/>
      <c r="D21" s="7"/>
      <c r="E21" s="7"/>
      <c r="F21" s="7"/>
      <c r="G21" s="7"/>
      <c r="H21" s="7"/>
      <c r="I21" s="7"/>
      <c r="J21" s="7"/>
      <c r="N21" s="3"/>
      <c r="O21" s="7"/>
      <c r="R21" s="7"/>
      <c r="S21" s="7"/>
      <c r="T21" s="7"/>
      <c r="U21" s="7"/>
      <c r="V21" s="7"/>
    </row>
    <row r="22" spans="1:22" x14ac:dyDescent="0.3">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Prochloraz-0.063mg/L</v>
      </c>
      <c r="J22" s="3" t="str">
        <f t="shared" si="0"/>
        <v>Prochloraz-0.13mg/L</v>
      </c>
      <c r="K22" s="3" t="str">
        <f t="shared" si="0"/>
        <v>Prochloraz-0.25mg/L</v>
      </c>
      <c r="L22" s="3" t="str">
        <f t="shared" si="0"/>
        <v>Prochloraz-0.5mg/L</v>
      </c>
      <c r="M22" s="3" t="str">
        <f t="shared" si="0"/>
        <v>Prochloraz-1mg/L</v>
      </c>
      <c r="N22" s="3" t="s">
        <v>41</v>
      </c>
      <c r="O22" s="3" t="str">
        <f t="shared" si="0"/>
        <v>Testo -30µg/L</v>
      </c>
      <c r="P22" s="3" t="str">
        <f t="shared" si="0"/>
        <v>Testo 30µg/L + EE2 -64ng/L</v>
      </c>
      <c r="Q22" s="3" t="str">
        <f t="shared" si="0"/>
        <v>Testo 30µg/L + FAD-10µg/L</v>
      </c>
      <c r="R22" s="3" t="str">
        <f t="shared" si="0"/>
        <v>Prochloraz-0.063mg/L + Testostérone</v>
      </c>
      <c r="S22" s="3" t="str">
        <f t="shared" si="0"/>
        <v>Prochloraz-0.13mg/L + Testostérone</v>
      </c>
      <c r="T22" s="3" t="str">
        <f t="shared" si="0"/>
        <v>Prochloraz-0.25mg/L + Testostérone</v>
      </c>
      <c r="U22" s="3" t="str">
        <f t="shared" si="0"/>
        <v>Prochloraz-0.5mg/L + Testostérone</v>
      </c>
      <c r="V22" s="3" t="str">
        <f t="shared" si="0"/>
        <v>Prochloraz-1mg/L + Testostérone</v>
      </c>
    </row>
    <row r="23" spans="1:22" x14ac:dyDescent="0.3">
      <c r="A23" s="5" t="s">
        <v>0</v>
      </c>
      <c r="B23" s="5">
        <f t="shared" ref="B23:J23" si="1">AVERAGE(B5:B20)</f>
        <v>24213.142857142859</v>
      </c>
      <c r="C23" s="5">
        <f t="shared" si="1"/>
        <v>6044.875</v>
      </c>
      <c r="D23" s="5">
        <f t="shared" si="1"/>
        <v>5425.625</v>
      </c>
      <c r="E23" s="5">
        <f t="shared" si="1"/>
        <v>4374.125</v>
      </c>
      <c r="F23" s="5">
        <f t="shared" si="1"/>
        <v>9200.125</v>
      </c>
      <c r="G23" s="5">
        <f t="shared" si="1"/>
        <v>22857.25</v>
      </c>
      <c r="H23" s="5">
        <f t="shared" si="1"/>
        <v>1400923.875</v>
      </c>
      <c r="I23" s="5">
        <f t="shared" si="1"/>
        <v>11387.75</v>
      </c>
      <c r="J23" s="5">
        <f t="shared" si="1"/>
        <v>20371.125</v>
      </c>
      <c r="K23" s="5"/>
      <c r="L23" s="5">
        <f>AVERAGE(L5:L20)</f>
        <v>18014.375</v>
      </c>
      <c r="M23" s="5"/>
      <c r="N23" s="5" t="s">
        <v>0</v>
      </c>
      <c r="O23" s="5">
        <f>AVERAGE(O5:O20)</f>
        <v>367028.375</v>
      </c>
      <c r="P23" s="5">
        <f>AVERAGE(P5:P20)</f>
        <v>5612514.875</v>
      </c>
      <c r="Q23" s="5">
        <f>AVERAGE(Q5:Q20)</f>
        <v>29627.625</v>
      </c>
      <c r="R23" s="5">
        <f>AVERAGE(R5:R20)</f>
        <v>127771.57142857143</v>
      </c>
      <c r="S23" s="5">
        <f>AVERAGE(S5:S20)</f>
        <v>119080.625</v>
      </c>
      <c r="T23" s="5">
        <f t="shared" ref="T23:V23" si="2">AVERAGE(T5:T20)</f>
        <v>15028.875</v>
      </c>
      <c r="U23" s="5">
        <f t="shared" si="2"/>
        <v>30865.875</v>
      </c>
      <c r="V23" s="5">
        <f t="shared" si="2"/>
        <v>12116.625</v>
      </c>
    </row>
    <row r="24" spans="1:22" x14ac:dyDescent="0.3">
      <c r="A24" s="3" t="s">
        <v>1</v>
      </c>
      <c r="B24" s="3">
        <f t="shared" ref="B24:J24" si="3">STDEV(B5:B20)</f>
        <v>25492.241678783837</v>
      </c>
      <c r="C24" s="3">
        <f t="shared" si="3"/>
        <v>10300.312442383205</v>
      </c>
      <c r="D24" s="3">
        <f t="shared" si="3"/>
        <v>5244.4489820189883</v>
      </c>
      <c r="E24" s="3">
        <f t="shared" si="3"/>
        <v>3786.7182715191716</v>
      </c>
      <c r="F24" s="3">
        <f t="shared" si="3"/>
        <v>11246.424885110315</v>
      </c>
      <c r="G24" s="3">
        <f t="shared" si="3"/>
        <v>38962.800888429832</v>
      </c>
      <c r="H24" s="3">
        <f t="shared" si="3"/>
        <v>1024242.309209445</v>
      </c>
      <c r="I24" s="3">
        <f t="shared" si="3"/>
        <v>15971.997922703882</v>
      </c>
      <c r="J24" s="3">
        <f t="shared" si="3"/>
        <v>19233.018709927692</v>
      </c>
      <c r="K24" s="3"/>
      <c r="L24" s="3">
        <f>STDEV(L5:L20)</f>
        <v>18655.0539910962</v>
      </c>
      <c r="M24" s="3"/>
      <c r="N24" s="3" t="s">
        <v>1</v>
      </c>
      <c r="O24" s="3">
        <f>STDEV(O5:O20)</f>
        <v>487812.69257887296</v>
      </c>
      <c r="P24" s="3">
        <f>STDEV(P5:P20)</f>
        <v>2463515.3464762759</v>
      </c>
      <c r="Q24" s="3">
        <f>STDEV(Q5:Q20)</f>
        <v>31551.566005678931</v>
      </c>
      <c r="R24" s="3">
        <f>STDEV(R5:R20)</f>
        <v>185755.45146406619</v>
      </c>
      <c r="S24" s="3">
        <f>STDEV(S5:S20)</f>
        <v>239087.77386793538</v>
      </c>
      <c r="T24" s="3">
        <f t="shared" ref="T24:V24" si="4">STDEV(T5:T20)</f>
        <v>17665.249393229635</v>
      </c>
      <c r="U24" s="3">
        <f t="shared" si="4"/>
        <v>67224.214840949557</v>
      </c>
      <c r="V24" s="3">
        <f t="shared" si="4"/>
        <v>12866.32731410061</v>
      </c>
    </row>
    <row r="25" spans="1:22" ht="15" thickBot="1" x14ac:dyDescent="0.35"/>
    <row r="26" spans="1:22" ht="15" thickBot="1" x14ac:dyDescent="0.35">
      <c r="B26" s="221" t="s">
        <v>6</v>
      </c>
      <c r="C26" s="222"/>
      <c r="D26" s="222"/>
      <c r="E26" s="222"/>
      <c r="F26" s="222"/>
      <c r="G26" s="222"/>
      <c r="H26" s="222"/>
      <c r="I26" s="222"/>
      <c r="J26" s="222"/>
      <c r="K26" s="222"/>
      <c r="L26" s="222"/>
      <c r="M26" s="222"/>
      <c r="O26" s="221" t="s">
        <v>3</v>
      </c>
      <c r="P26" s="222"/>
      <c r="Q26" s="222"/>
      <c r="R26" s="222"/>
      <c r="S26" s="222"/>
      <c r="T26" s="222"/>
      <c r="U26" s="222"/>
      <c r="V26" s="222"/>
    </row>
    <row r="27" spans="1:22" x14ac:dyDescent="0.3">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Prochloraz-0.063mg/L</v>
      </c>
      <c r="J27" s="35" t="str">
        <f t="shared" si="5"/>
        <v>Prochloraz-0.13mg/L</v>
      </c>
      <c r="K27" s="35" t="str">
        <f t="shared" si="5"/>
        <v>Prochloraz-0.25mg/L</v>
      </c>
      <c r="L27" s="35" t="str">
        <f t="shared" si="5"/>
        <v>Prochloraz-0.5mg/L</v>
      </c>
      <c r="M27" s="35" t="str">
        <f t="shared" si="5"/>
        <v>Prochloraz-1mg/L</v>
      </c>
      <c r="N27" s="3"/>
      <c r="O27" s="36" t="str">
        <f>O4</f>
        <v>Testo -30µg/L</v>
      </c>
      <c r="P27" s="36" t="str">
        <f t="shared" ref="P27:V27" si="6">P4</f>
        <v>Testo 30µg/L + EE2 -64ng/L</v>
      </c>
      <c r="Q27" s="36" t="str">
        <f t="shared" si="6"/>
        <v>Testo 30µg/L + FAD-10µg/L</v>
      </c>
      <c r="R27" s="36" t="str">
        <f t="shared" si="6"/>
        <v>Prochloraz-0.063mg/L + Testostérone</v>
      </c>
      <c r="S27" s="36" t="str">
        <f t="shared" si="6"/>
        <v>Prochloraz-0.13mg/L + Testostérone</v>
      </c>
      <c r="T27" s="36" t="str">
        <f t="shared" si="6"/>
        <v>Prochloraz-0.25mg/L + Testostérone</v>
      </c>
      <c r="U27" s="36" t="str">
        <f t="shared" si="6"/>
        <v>Prochloraz-0.5mg/L + Testostérone</v>
      </c>
      <c r="V27" s="36" t="str">
        <f t="shared" si="6"/>
        <v>Prochloraz-1mg/L + Testostérone</v>
      </c>
    </row>
    <row r="28" spans="1:22" x14ac:dyDescent="0.3">
      <c r="A28" s="224" t="s">
        <v>34</v>
      </c>
      <c r="B28" s="11">
        <f t="shared" ref="B28:M28" si="7">IF(B5="","",(B5/$O$23))</f>
        <v>4.2775984281869213E-3</v>
      </c>
      <c r="C28" s="11">
        <f t="shared" si="7"/>
        <v>1.4440300426363493E-3</v>
      </c>
      <c r="D28" s="11">
        <f t="shared" si="7"/>
        <v>1.7437343911080445E-2</v>
      </c>
      <c r="E28" s="11">
        <f t="shared" si="7"/>
        <v>2.6717280373758569E-2</v>
      </c>
      <c r="F28" s="11">
        <f t="shared" si="7"/>
        <v>2.2178121786905439E-2</v>
      </c>
      <c r="G28" s="11">
        <f t="shared" si="7"/>
        <v>5.7107301308788458E-3</v>
      </c>
      <c r="H28" s="11">
        <f t="shared" si="7"/>
        <v>4.9023430409161142</v>
      </c>
      <c r="I28" s="11">
        <f t="shared" si="7"/>
        <v>1.5121446672890072E-3</v>
      </c>
      <c r="J28" s="11">
        <f t="shared" si="7"/>
        <v>9.1753123992116409E-2</v>
      </c>
      <c r="K28" s="11">
        <f t="shared" si="7"/>
        <v>3.3724912958024024E-2</v>
      </c>
      <c r="L28" s="11">
        <f t="shared" si="7"/>
        <v>2.6183261716481729E-3</v>
      </c>
      <c r="M28" s="11">
        <f t="shared" si="7"/>
        <v>2.0706845894408028E-4</v>
      </c>
      <c r="N28" s="6"/>
      <c r="O28" s="11">
        <f t="shared" ref="O28:V39" si="8">IF(O5="","",(O5/$O$23))</f>
        <v>1.4644644300321467E-2</v>
      </c>
      <c r="P28" s="11">
        <f t="shared" si="8"/>
        <v>11.547837411753246</v>
      </c>
      <c r="Q28" s="11">
        <f t="shared" si="8"/>
        <v>7.908107922173592E-2</v>
      </c>
      <c r="R28" s="11">
        <f t="shared" si="8"/>
        <v>0.62159771707024014</v>
      </c>
      <c r="S28" s="11">
        <f t="shared" si="8"/>
        <v>1.3143397972976884E-2</v>
      </c>
      <c r="T28" s="11">
        <f t="shared" si="8"/>
        <v>2.4624799104428916E-2</v>
      </c>
      <c r="U28" s="11">
        <f t="shared" si="8"/>
        <v>4.3075688630340907E-3</v>
      </c>
      <c r="V28" s="11">
        <f t="shared" si="8"/>
        <v>1.5197735052501049E-2</v>
      </c>
    </row>
    <row r="29" spans="1:22" x14ac:dyDescent="0.3">
      <c r="A29" s="224"/>
      <c r="B29" s="11">
        <f t="shared" ref="B29:M29" si="9">IF(B6="","",(B6/$O$23))</f>
        <v>0.19348095361836806</v>
      </c>
      <c r="C29" s="11">
        <f t="shared" si="9"/>
        <v>2.2178121786905441E-3</v>
      </c>
      <c r="D29" s="11">
        <f t="shared" si="9"/>
        <v>4.6435101918210001E-2</v>
      </c>
      <c r="E29" s="11">
        <f t="shared" si="9"/>
        <v>1.7982260908301708E-3</v>
      </c>
      <c r="F29" s="11">
        <f t="shared" si="9"/>
        <v>4.206759218548157E-3</v>
      </c>
      <c r="G29" s="11">
        <f t="shared" si="9"/>
        <v>8.4734593067906528E-3</v>
      </c>
      <c r="H29" s="11">
        <f t="shared" si="9"/>
        <v>3.3279334329396195</v>
      </c>
      <c r="I29" s="11">
        <f t="shared" si="9"/>
        <v>1.6421073711262786E-2</v>
      </c>
      <c r="J29" s="11">
        <f t="shared" si="9"/>
        <v>1.4982492838598651E-2</v>
      </c>
      <c r="K29" s="11">
        <f t="shared" si="9"/>
        <v>7.9639619143887716E-3</v>
      </c>
      <c r="L29" s="11">
        <f t="shared" si="9"/>
        <v>6.6289152711966753E-2</v>
      </c>
      <c r="M29" s="11">
        <f t="shared" si="9"/>
        <v>4.5609552667419791E-2</v>
      </c>
      <c r="N29" s="6"/>
      <c r="O29" s="11">
        <f t="shared" si="8"/>
        <v>1.2385963346839328E-2</v>
      </c>
      <c r="P29" s="11">
        <f t="shared" si="8"/>
        <v>27.492893430923427</v>
      </c>
      <c r="Q29" s="11">
        <f t="shared" si="8"/>
        <v>1.6489188335915447E-2</v>
      </c>
      <c r="R29" s="11">
        <f t="shared" si="8"/>
        <v>2.3872813648263571E-2</v>
      </c>
      <c r="S29" s="11">
        <f t="shared" si="8"/>
        <v>2.5474869620094086E-3</v>
      </c>
      <c r="T29" s="11">
        <f t="shared" si="8"/>
        <v>9.6641029457191149E-2</v>
      </c>
      <c r="U29" s="11">
        <f t="shared" si="8"/>
        <v>3.0616161488876713E-2</v>
      </c>
      <c r="V29" s="11">
        <f t="shared" si="8"/>
        <v>3.650943881382468E-4</v>
      </c>
    </row>
    <row r="30" spans="1:22" x14ac:dyDescent="0.3">
      <c r="A30" s="224"/>
      <c r="B30" s="11">
        <f t="shared" ref="B30:M30" si="10">IF(B7="","",(B7/$O$23))</f>
        <v>5.1303935288381994E-3</v>
      </c>
      <c r="C30" s="11">
        <f t="shared" si="10"/>
        <v>1.288728698428289E-3</v>
      </c>
      <c r="D30" s="11">
        <f t="shared" si="10"/>
        <v>2.0930261863268747E-2</v>
      </c>
      <c r="E30" s="11">
        <f t="shared" si="10"/>
        <v>2.0502502020450054E-2</v>
      </c>
      <c r="F30" s="11">
        <f t="shared" si="10"/>
        <v>5.6943826209622072E-4</v>
      </c>
      <c r="G30" s="11">
        <f t="shared" si="10"/>
        <v>0.30504725962944962</v>
      </c>
      <c r="H30" s="11">
        <f t="shared" si="10"/>
        <v>6.9542388922927278</v>
      </c>
      <c r="I30" s="11">
        <f t="shared" si="10"/>
        <v>6.2333055312140374E-2</v>
      </c>
      <c r="J30" s="11">
        <f t="shared" si="10"/>
        <v>3.7651039923003227E-2</v>
      </c>
      <c r="K30" s="11">
        <f t="shared" si="10"/>
        <v>1.0503275121439861E-2</v>
      </c>
      <c r="L30" s="11">
        <f t="shared" si="10"/>
        <v>9.5194274829568701E-2</v>
      </c>
      <c r="M30" s="11">
        <f t="shared" si="10"/>
        <v>0</v>
      </c>
      <c r="N30" s="6"/>
      <c r="O30" s="11">
        <f t="shared" si="8"/>
        <v>1.3680958590735661</v>
      </c>
      <c r="P30" s="11">
        <f t="shared" si="8"/>
        <v>8.7502199250943473</v>
      </c>
      <c r="Q30" s="11">
        <f t="shared" si="8"/>
        <v>0.17774647532360408</v>
      </c>
      <c r="R30" s="11">
        <f t="shared" si="8"/>
        <v>4.6988192670389582E-2</v>
      </c>
      <c r="S30" s="11">
        <f t="shared" si="8"/>
        <v>1.2437730461575348E-2</v>
      </c>
      <c r="T30" s="11">
        <f t="shared" si="8"/>
        <v>3.4095456516134479E-2</v>
      </c>
      <c r="U30" s="11">
        <f t="shared" si="8"/>
        <v>4.9571099237218377E-2</v>
      </c>
      <c r="V30" s="11">
        <f t="shared" si="8"/>
        <v>3.6449497944130341E-2</v>
      </c>
    </row>
    <row r="31" spans="1:22" x14ac:dyDescent="0.3">
      <c r="A31" s="224"/>
      <c r="B31" s="11">
        <f t="shared" ref="B31:M31" si="11">IF(B8="","",(B8/$O$23))</f>
        <v>4.7116248164736585E-2</v>
      </c>
      <c r="C31" s="11">
        <f t="shared" si="11"/>
        <v>2.8526404804533165E-3</v>
      </c>
      <c r="D31" s="11">
        <f t="shared" si="11"/>
        <v>9.5169753564693736E-3</v>
      </c>
      <c r="E31" s="11">
        <f t="shared" si="11"/>
        <v>1.4633745960377042E-2</v>
      </c>
      <c r="F31" s="11">
        <f t="shared" si="11"/>
        <v>3.6836389012157439E-3</v>
      </c>
      <c r="G31" s="11">
        <f t="shared" si="11"/>
        <v>0.12504210335236343</v>
      </c>
      <c r="H31" s="11">
        <f t="shared" si="11"/>
        <v>4.9058986243229832</v>
      </c>
      <c r="I31" s="11">
        <f t="shared" si="11"/>
        <v>1.0492376781495436E-2</v>
      </c>
      <c r="J31" s="11">
        <f t="shared" si="11"/>
        <v>1.200724603377055E-2</v>
      </c>
      <c r="K31" s="11">
        <f t="shared" si="11"/>
        <v>6.964039224487753E-2</v>
      </c>
      <c r="L31" s="11">
        <f t="shared" si="11"/>
        <v>4.9314988248524386E-4</v>
      </c>
      <c r="M31" s="11">
        <f t="shared" si="11"/>
        <v>1.9219222491993978E-2</v>
      </c>
      <c r="N31" s="6"/>
      <c r="O31" s="11">
        <f t="shared" si="8"/>
        <v>1.5652740745180804E-2</v>
      </c>
      <c r="P31" s="11">
        <f t="shared" si="8"/>
        <v>6.8959954390447331</v>
      </c>
      <c r="Q31" s="11">
        <f t="shared" si="8"/>
        <v>1.1432358601702117E-2</v>
      </c>
      <c r="R31" s="11">
        <f t="shared" si="8"/>
        <v>4.2628856692619475E-2</v>
      </c>
      <c r="S31" s="11">
        <f t="shared" si="8"/>
        <v>0.51276689438520928</v>
      </c>
      <c r="T31" s="11">
        <f t="shared" si="8"/>
        <v>2.5992540767454286E-3</v>
      </c>
      <c r="U31" s="11">
        <f t="shared" si="8"/>
        <v>9.1655038932616593E-3</v>
      </c>
      <c r="V31" s="11">
        <f t="shared" si="8"/>
        <v>3.3539641178968793E-2</v>
      </c>
    </row>
    <row r="32" spans="1:22" x14ac:dyDescent="0.3">
      <c r="A32" s="224"/>
      <c r="B32" s="11">
        <f t="shared" ref="B32:M32" si="12">IF(B9="","",(B9/$O$23))</f>
        <v>0.10348791152727634</v>
      </c>
      <c r="C32" s="11">
        <f t="shared" si="12"/>
        <v>0</v>
      </c>
      <c r="D32" s="11">
        <f t="shared" si="12"/>
        <v>9.9365614443297466E-3</v>
      </c>
      <c r="E32" s="11">
        <f t="shared" si="12"/>
        <v>5.5527042016846788E-3</v>
      </c>
      <c r="F32" s="11">
        <f t="shared" si="12"/>
        <v>4.7535834252596956E-2</v>
      </c>
      <c r="G32" s="11">
        <f t="shared" si="12"/>
        <v>1.3609302005601065E-2</v>
      </c>
      <c r="H32" s="11">
        <f t="shared" si="12"/>
        <v>0.59856407559769731</v>
      </c>
      <c r="I32" s="11">
        <f t="shared" si="12"/>
        <v>5.3592586676711306E-3</v>
      </c>
      <c r="J32" s="11">
        <f t="shared" si="12"/>
        <v>0.1375751942884525</v>
      </c>
      <c r="K32" s="11">
        <f t="shared" si="12"/>
        <v>3.6822766087226906E-2</v>
      </c>
      <c r="L32" s="11">
        <f t="shared" si="12"/>
        <v>1.0110934883440552E-2</v>
      </c>
      <c r="M32" s="11">
        <f t="shared" si="12"/>
        <v>2.903317761194894E-2</v>
      </c>
      <c r="N32" s="6"/>
      <c r="O32" s="11">
        <f t="shared" si="8"/>
        <v>6.4657126305289067E-2</v>
      </c>
      <c r="P32" s="11">
        <f t="shared" si="8"/>
        <v>16.034948251616786</v>
      </c>
      <c r="Q32" s="11">
        <f t="shared" si="8"/>
        <v>1.6628142170206868E-2</v>
      </c>
      <c r="R32" s="11">
        <f t="shared" si="8"/>
        <v>0.27534655869590463</v>
      </c>
      <c r="S32" s="11">
        <f t="shared" si="8"/>
        <v>1.8795876476852778</v>
      </c>
      <c r="T32" s="11">
        <f t="shared" si="8"/>
        <v>3.7433073124114723E-2</v>
      </c>
      <c r="U32" s="11">
        <f t="shared" si="8"/>
        <v>0.53566430660844677</v>
      </c>
      <c r="V32" s="11">
        <f t="shared" si="8"/>
        <v>2.5643793889232679E-2</v>
      </c>
    </row>
    <row r="33" spans="1:22" x14ac:dyDescent="0.3">
      <c r="A33" s="224"/>
      <c r="B33" s="11">
        <f t="shared" ref="B33:M33" si="13">IF(B10="","",(B10/$O$23))</f>
        <v>9.3747520201946238E-2</v>
      </c>
      <c r="C33" s="11">
        <f t="shared" si="13"/>
        <v>3.1504376194347372E-2</v>
      </c>
      <c r="D33" s="11">
        <f t="shared" si="13"/>
        <v>5.8088151903786731E-3</v>
      </c>
      <c r="E33" s="11">
        <f t="shared" si="13"/>
        <v>3.5119900470910459E-3</v>
      </c>
      <c r="F33" s="11">
        <f t="shared" si="13"/>
        <v>3.3041042126511336E-2</v>
      </c>
      <c r="G33" s="11">
        <f t="shared" si="13"/>
        <v>6.5253810417246353E-3</v>
      </c>
      <c r="H33" s="11">
        <f t="shared" si="13"/>
        <v>3.4602229323550259E-3</v>
      </c>
      <c r="I33" s="11">
        <f t="shared" si="13"/>
        <v>8.6205868960403942E-3</v>
      </c>
      <c r="J33" s="11">
        <f t="shared" si="13"/>
        <v>3.2046568606582532E-2</v>
      </c>
      <c r="K33" s="11">
        <f t="shared" si="13"/>
        <v>1.2454077971491987E-2</v>
      </c>
      <c r="L33" s="11">
        <f t="shared" si="13"/>
        <v>8.0010162701998178E-2</v>
      </c>
      <c r="M33" s="11">
        <f t="shared" si="13"/>
        <v>5.2938686280045791E-3</v>
      </c>
      <c r="N33" s="6"/>
      <c r="O33" s="11">
        <f t="shared" si="8"/>
        <v>2.4344166850859963E-2</v>
      </c>
      <c r="P33" s="11">
        <f t="shared" si="8"/>
        <v>17.282156999441799</v>
      </c>
      <c r="Q33" s="11">
        <f t="shared" si="8"/>
        <v>0.22963619638399893</v>
      </c>
      <c r="R33" s="11">
        <f t="shared" si="8"/>
        <v>1.3844270214802874</v>
      </c>
      <c r="S33" s="11">
        <f t="shared" si="8"/>
        <v>0.11339722712174502</v>
      </c>
      <c r="T33" s="11">
        <f t="shared" si="8"/>
        <v>0.13081004976795049</v>
      </c>
      <c r="U33" s="11">
        <f t="shared" si="8"/>
        <v>0</v>
      </c>
      <c r="V33" s="11">
        <f t="shared" si="8"/>
        <v>3.1646054613624901E-2</v>
      </c>
    </row>
    <row r="34" spans="1:22" x14ac:dyDescent="0.3">
      <c r="A34" s="224"/>
      <c r="B34" s="11">
        <f t="shared" ref="B34:M34" si="14">IF(B11="","",(B11/$O$23))</f>
        <v>1.4554732995779959E-2</v>
      </c>
      <c r="C34" s="11">
        <f t="shared" si="14"/>
        <v>8.0868406972621668E-2</v>
      </c>
      <c r="D34" s="11">
        <f t="shared" si="14"/>
        <v>7.4926087117923787E-4</v>
      </c>
      <c r="E34" s="11">
        <f t="shared" si="14"/>
        <v>5.7216284708232711E-4</v>
      </c>
      <c r="F34" s="11">
        <f t="shared" si="14"/>
        <v>1.4413054576502429E-3</v>
      </c>
      <c r="G34" s="11">
        <f t="shared" si="14"/>
        <v>2.9548124174323034E-2</v>
      </c>
      <c r="H34" s="11">
        <f t="shared" si="14"/>
        <v>7.6351045065657388</v>
      </c>
      <c r="I34" s="11">
        <f t="shared" si="14"/>
        <v>1.5639117820250275E-2</v>
      </c>
      <c r="J34" s="11">
        <f t="shared" si="14"/>
        <v>0.11707541685298854</v>
      </c>
      <c r="K34" s="11">
        <f t="shared" si="14"/>
        <v>1.5339413471778578E-2</v>
      </c>
      <c r="L34" s="11">
        <f t="shared" si="14"/>
        <v>6.2175029382946206E-3</v>
      </c>
      <c r="M34" s="11">
        <f t="shared" si="14"/>
        <v>1.2276979947395076E-2</v>
      </c>
      <c r="N34" s="6"/>
      <c r="O34" s="11">
        <f t="shared" si="8"/>
        <v>2.1172749927032209E-2</v>
      </c>
      <c r="P34" s="11">
        <f t="shared" si="8"/>
        <v>13.445919542324214</v>
      </c>
      <c r="Q34" s="11">
        <f t="shared" si="8"/>
        <v>2.550211546995515E-3</v>
      </c>
      <c r="R34" s="11">
        <f t="shared" si="8"/>
        <v>4.201037590077334E-2</v>
      </c>
      <c r="S34" s="11">
        <f t="shared" si="8"/>
        <v>5.9417749377006612E-2</v>
      </c>
      <c r="T34" s="11">
        <f t="shared" si="8"/>
        <v>1.3078007933310333E-3</v>
      </c>
      <c r="U34" s="11">
        <f t="shared" si="8"/>
        <v>2.5523912149844001E-2</v>
      </c>
      <c r="V34" s="11">
        <f t="shared" si="8"/>
        <v>0.11366423645038344</v>
      </c>
    </row>
    <row r="35" spans="1:22" x14ac:dyDescent="0.3">
      <c r="A35" s="224"/>
      <c r="B35" s="11" t="str">
        <f t="shared" ref="B35:M35" si="15">IF(B12="","",(B12/$O$23))</f>
        <v/>
      </c>
      <c r="C35" s="11">
        <f t="shared" si="15"/>
        <v>1.1582210775937964E-2</v>
      </c>
      <c r="D35" s="11">
        <f t="shared" si="15"/>
        <v>7.4462907670285712E-3</v>
      </c>
      <c r="E35" s="11">
        <f t="shared" si="15"/>
        <v>2.205279087754455E-2</v>
      </c>
      <c r="F35" s="11">
        <f t="shared" si="15"/>
        <v>8.7876039556887123E-2</v>
      </c>
      <c r="G35" s="11">
        <f t="shared" si="15"/>
        <v>4.2558017482980711E-3</v>
      </c>
      <c r="H35" s="11">
        <f t="shared" si="15"/>
        <v>2.2079464564558529</v>
      </c>
      <c r="I35" s="11">
        <f t="shared" si="15"/>
        <v>0.12783752754810851</v>
      </c>
      <c r="J35" s="11">
        <f t="shared" si="15"/>
        <v>9.318080652483613E-4</v>
      </c>
      <c r="K35" s="11">
        <f t="shared" si="15"/>
        <v>7.0724777069347836E-2</v>
      </c>
      <c r="L35" s="11">
        <f t="shared" si="15"/>
        <v>0.13172006115331</v>
      </c>
      <c r="M35" s="11">
        <f t="shared" si="15"/>
        <v>0.10364593745647049</v>
      </c>
      <c r="N35" s="6"/>
      <c r="O35" s="11">
        <f t="shared" si="8"/>
        <v>1.2247990363142904</v>
      </c>
      <c r="P35" s="11">
        <f t="shared" si="8"/>
        <v>20.884219101588535</v>
      </c>
      <c r="Q35" s="11">
        <f t="shared" si="8"/>
        <v>0.11222020640774709</v>
      </c>
      <c r="R35" s="11" t="str">
        <f t="shared" si="8"/>
        <v/>
      </c>
      <c r="S35" s="11">
        <f t="shared" si="8"/>
        <v>2.2641301234543514E-3</v>
      </c>
      <c r="T35" s="11">
        <f t="shared" si="8"/>
        <v>6.8114624652657987E-5</v>
      </c>
      <c r="U35" s="11">
        <f t="shared" si="8"/>
        <v>1.7925044623593477E-2</v>
      </c>
      <c r="V35" s="11">
        <f t="shared" si="8"/>
        <v>7.596142941264419E-3</v>
      </c>
    </row>
    <row r="36" spans="1:22" x14ac:dyDescent="0.3">
      <c r="A36" s="224"/>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2.1025458862683299</v>
      </c>
      <c r="P36" s="11" t="str">
        <f t="shared" si="8"/>
        <v/>
      </c>
      <c r="Q36" s="11" t="str">
        <f t="shared" si="8"/>
        <v/>
      </c>
      <c r="R36" s="11" t="str">
        <f t="shared" si="8"/>
        <v/>
      </c>
      <c r="S36" s="11" t="str">
        <f t="shared" si="8"/>
        <v/>
      </c>
      <c r="T36" s="11" t="str">
        <f t="shared" si="8"/>
        <v/>
      </c>
      <c r="U36" s="11" t="str">
        <f t="shared" si="8"/>
        <v/>
      </c>
      <c r="V36" s="11" t="str">
        <f t="shared" si="8"/>
        <v/>
      </c>
    </row>
    <row r="37" spans="1:22" x14ac:dyDescent="0.3">
      <c r="A37" s="224"/>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2.1002899298998341</v>
      </c>
      <c r="P37" s="11" t="str">
        <f t="shared" si="8"/>
        <v/>
      </c>
      <c r="Q37" s="11" t="str">
        <f t="shared" si="8"/>
        <v/>
      </c>
      <c r="R37" s="11" t="str">
        <f t="shared" si="8"/>
        <v/>
      </c>
      <c r="S37" s="11" t="str">
        <f t="shared" si="8"/>
        <v/>
      </c>
      <c r="T37" s="11" t="str">
        <f t="shared" si="8"/>
        <v/>
      </c>
      <c r="U37" s="11" t="str">
        <f t="shared" si="8"/>
        <v/>
      </c>
      <c r="V37" s="11" t="str">
        <f t="shared" si="8"/>
        <v/>
      </c>
    </row>
    <row r="38" spans="1:22" x14ac:dyDescent="0.3">
      <c r="A38" s="224"/>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4.9208838417465683</v>
      </c>
      <c r="P38" s="11" t="str">
        <f t="shared" si="8"/>
        <v/>
      </c>
      <c r="Q38" s="11" t="str">
        <f t="shared" si="8"/>
        <v/>
      </c>
      <c r="R38" s="11" t="str">
        <f t="shared" si="8"/>
        <v/>
      </c>
      <c r="S38" s="11" t="str">
        <f t="shared" si="8"/>
        <v/>
      </c>
      <c r="T38" s="11" t="str">
        <f t="shared" si="8"/>
        <v/>
      </c>
      <c r="U38" s="11" t="str">
        <f t="shared" si="8"/>
        <v/>
      </c>
      <c r="V38" s="11" t="str">
        <f t="shared" si="8"/>
        <v/>
      </c>
    </row>
    <row r="39" spans="1:22" x14ac:dyDescent="0.3">
      <c r="A39" s="224"/>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0.9596342517114651</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3">
      <c r="A40" s="224"/>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1.3248812166089339</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3">
      <c r="A41" s="224"/>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2.98342055978642E-3</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3">
      <c r="A42" s="224"/>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1.8428793141674673</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3">
      <c r="A43" s="224"/>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f t="shared" si="22"/>
        <v>1.4985217423584758E-4</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3">
      <c r="A44" s="7"/>
      <c r="B44" s="3"/>
      <c r="C44" s="3"/>
      <c r="D44" s="3"/>
      <c r="E44" s="3"/>
      <c r="F44" s="3"/>
      <c r="G44" s="3"/>
      <c r="H44" s="3"/>
      <c r="I44" s="3"/>
      <c r="J44" s="3"/>
      <c r="K44" s="3"/>
      <c r="L44" s="3"/>
      <c r="M44" s="3"/>
      <c r="N44" s="7"/>
      <c r="O44" s="3"/>
      <c r="P44" s="3"/>
      <c r="Q44" s="3"/>
      <c r="R44" s="3"/>
      <c r="S44" s="3"/>
      <c r="T44" s="3"/>
      <c r="U44" s="3"/>
      <c r="V44" s="3"/>
    </row>
    <row r="45" spans="1:22" x14ac:dyDescent="0.3">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Prochloraz-0.063mg/L</v>
      </c>
      <c r="J45" s="7" t="str">
        <f t="shared" si="26"/>
        <v>Prochloraz-0.13mg/L</v>
      </c>
      <c r="K45" s="7" t="str">
        <f t="shared" si="26"/>
        <v>Prochloraz-0.25mg/L</v>
      </c>
      <c r="L45" s="7" t="str">
        <f t="shared" si="26"/>
        <v>Prochloraz-0.5mg/L</v>
      </c>
      <c r="M45" s="7" t="str">
        <f t="shared" si="26"/>
        <v>Prochloraz-1mg/L</v>
      </c>
      <c r="N45" s="7"/>
      <c r="O45" s="7" t="str">
        <f t="shared" si="26"/>
        <v>Testo -30µg/L</v>
      </c>
      <c r="P45" s="7" t="str">
        <f t="shared" si="26"/>
        <v>Testo 30µg/L + EE2 -64ng/L</v>
      </c>
      <c r="Q45" s="7" t="str">
        <f t="shared" si="26"/>
        <v>Testo 30µg/L + FAD-10µg/L</v>
      </c>
      <c r="R45" s="7" t="str">
        <f t="shared" si="26"/>
        <v>Prochloraz-0.063mg/L + Testostérone</v>
      </c>
      <c r="S45" s="7" t="str">
        <f t="shared" si="26"/>
        <v>Prochloraz-0.13mg/L + Testostérone</v>
      </c>
      <c r="T45" s="7" t="str">
        <f t="shared" si="26"/>
        <v>Prochloraz-0.25mg/L + Testostérone</v>
      </c>
      <c r="U45" s="7" t="str">
        <f t="shared" si="26"/>
        <v>Prochloraz-0.5mg/L + Testostérone</v>
      </c>
      <c r="V45" s="7" t="str">
        <f t="shared" si="26"/>
        <v>Prochloraz-1mg/L + Testostérone</v>
      </c>
    </row>
    <row r="46" spans="1:22" x14ac:dyDescent="0.3">
      <c r="A46" s="8" t="s">
        <v>0</v>
      </c>
      <c r="B46" s="10">
        <f t="shared" ref="B46:H46" si="27">AVERAGE(B28:B43)</f>
        <v>6.5970765495018888E-2</v>
      </c>
      <c r="C46" s="10">
        <f t="shared" si="27"/>
        <v>1.6469775667889437E-2</v>
      </c>
      <c r="D46" s="10">
        <f t="shared" si="27"/>
        <v>1.4782576415243099E-2</v>
      </c>
      <c r="E46" s="10">
        <f t="shared" si="27"/>
        <v>1.1917675302352304E-2</v>
      </c>
      <c r="F46" s="10">
        <f t="shared" si="27"/>
        <v>2.5066522445301401E-2</v>
      </c>
      <c r="G46" s="10">
        <f t="shared" si="27"/>
        <v>6.2276520173678664E-2</v>
      </c>
      <c r="H46" s="10">
        <f t="shared" si="27"/>
        <v>3.8169361565028859</v>
      </c>
      <c r="I46" s="10">
        <f>AVERAGE(I28:I43)</f>
        <v>3.1026892675532242E-2</v>
      </c>
      <c r="J46" s="9">
        <f>AVERAGE(J28:J43)</f>
        <v>5.550286132509509E-2</v>
      </c>
      <c r="K46" s="9">
        <f t="shared" ref="K46:M46" si="28">AVERAGE(K28:K43)</f>
        <v>3.2146697104821938E-2</v>
      </c>
      <c r="L46" s="9">
        <f t="shared" si="28"/>
        <v>4.9081695659089028E-2</v>
      </c>
      <c r="M46" s="9">
        <f t="shared" si="28"/>
        <v>2.6910725907772118E-2</v>
      </c>
      <c r="N46" s="8" t="s">
        <v>0</v>
      </c>
      <c r="O46" s="10">
        <f t="shared" ref="O46:V46" si="29">AVERAGE(O28:O43)</f>
        <v>1.0000000000000002</v>
      </c>
      <c r="P46" s="10">
        <f t="shared" si="29"/>
        <v>15.291773762723388</v>
      </c>
      <c r="Q46" s="10">
        <f t="shared" si="29"/>
        <v>8.0722982248988245E-2</v>
      </c>
      <c r="R46" s="10">
        <f t="shared" si="29"/>
        <v>0.34812450516549687</v>
      </c>
      <c r="S46" s="10">
        <f t="shared" si="29"/>
        <v>0.32444528301115683</v>
      </c>
      <c r="T46" s="10">
        <f t="shared" si="29"/>
        <v>4.0947447183068614E-2</v>
      </c>
      <c r="U46" s="10">
        <f t="shared" si="29"/>
        <v>8.4096699608034384E-2</v>
      </c>
      <c r="V46" s="10">
        <f t="shared" si="29"/>
        <v>3.3012774557280487E-2</v>
      </c>
    </row>
    <row r="47" spans="1:22" x14ac:dyDescent="0.3">
      <c r="A47" s="8" t="s">
        <v>1</v>
      </c>
      <c r="B47" s="8">
        <f t="shared" ref="B47:M47" si="30">STDEV(B28:B43)</f>
        <v>6.9455778940208213E-2</v>
      </c>
      <c r="C47" s="8">
        <f t="shared" si="30"/>
        <v>2.80640766327214E-2</v>
      </c>
      <c r="D47" s="8">
        <f t="shared" si="30"/>
        <v>1.4288946956809505E-2</v>
      </c>
      <c r="E47" s="8">
        <f t="shared" si="30"/>
        <v>1.0317235749195609E-2</v>
      </c>
      <c r="F47" s="8">
        <f t="shared" si="30"/>
        <v>3.0641840389344061E-2</v>
      </c>
      <c r="G47" s="8">
        <f t="shared" si="30"/>
        <v>0.10615746231726589</v>
      </c>
      <c r="H47" s="8">
        <f t="shared" si="30"/>
        <v>2.7906352178069209</v>
      </c>
      <c r="I47" s="8">
        <f t="shared" si="30"/>
        <v>4.3517065738320315E-2</v>
      </c>
      <c r="J47" s="8">
        <f t="shared" si="30"/>
        <v>5.2401994014570921E-2</v>
      </c>
      <c r="K47" s="8">
        <f t="shared" si="30"/>
        <v>2.5751361249194502E-2</v>
      </c>
      <c r="L47" s="8">
        <f t="shared" si="30"/>
        <v>5.0827280019143488E-2</v>
      </c>
      <c r="M47" s="8">
        <f t="shared" si="30"/>
        <v>3.468287014230631E-2</v>
      </c>
      <c r="N47" s="8" t="s">
        <v>1</v>
      </c>
      <c r="O47" s="8">
        <f t="shared" ref="O47:V47" si="31">STDEV(O28:O43)</f>
        <v>1.3290871382324947</v>
      </c>
      <c r="P47" s="8">
        <f t="shared" si="31"/>
        <v>6.712056926051762</v>
      </c>
      <c r="Q47" s="8">
        <f t="shared" si="31"/>
        <v>8.5964923027215354E-2</v>
      </c>
      <c r="R47" s="8">
        <f t="shared" si="31"/>
        <v>0.50610651414639596</v>
      </c>
      <c r="S47" s="8">
        <f t="shared" si="31"/>
        <v>0.65141495904215951</v>
      </c>
      <c r="T47" s="8">
        <f t="shared" si="31"/>
        <v>4.8130473272617227E-2</v>
      </c>
      <c r="U47" s="8">
        <f t="shared" si="31"/>
        <v>0.18315808645843676</v>
      </c>
      <c r="V47" s="8">
        <f t="shared" si="31"/>
        <v>3.5055402226328171E-2</v>
      </c>
    </row>
    <row r="48" spans="1:22" x14ac:dyDescent="0.3">
      <c r="A48" s="8" t="s">
        <v>2</v>
      </c>
      <c r="B48" s="8">
        <f t="shared" ref="B48:M48" si="32" xml:space="preserve"> B47/SQRT(COUNT(B28:B43))</f>
        <v>2.625181688458118E-2</v>
      </c>
      <c r="C48" s="8">
        <f t="shared" si="32"/>
        <v>9.9221494473681147E-3</v>
      </c>
      <c r="D48" s="8">
        <f t="shared" si="32"/>
        <v>5.0519056445874413E-3</v>
      </c>
      <c r="E48" s="8">
        <f t="shared" si="32"/>
        <v>3.6476936806782425E-3</v>
      </c>
      <c r="F48" s="8">
        <f t="shared" si="32"/>
        <v>1.0833526563670511E-2</v>
      </c>
      <c r="G48" s="8">
        <f t="shared" si="32"/>
        <v>3.7532330739047041E-2</v>
      </c>
      <c r="H48" s="8">
        <f t="shared" si="32"/>
        <v>0.98663854316463584</v>
      </c>
      <c r="I48" s="8">
        <f t="shared" si="32"/>
        <v>1.5385606140453532E-2</v>
      </c>
      <c r="J48" s="8">
        <f t="shared" si="32"/>
        <v>1.8526902657699986E-2</v>
      </c>
      <c r="K48" s="8">
        <f t="shared" si="32"/>
        <v>9.104481082044957E-3</v>
      </c>
      <c r="L48" s="8">
        <f t="shared" si="32"/>
        <v>1.7970157185401934E-2</v>
      </c>
      <c r="M48" s="8">
        <f t="shared" si="32"/>
        <v>1.2262246334318614E-2</v>
      </c>
      <c r="N48" s="8" t="s">
        <v>2</v>
      </c>
      <c r="O48" s="8">
        <f t="shared" ref="O48:V48" si="33" xml:space="preserve"> O47/SQRT(COUNT(O28:O43))</f>
        <v>0.33227178455812367</v>
      </c>
      <c r="P48" s="8">
        <f t="shared" si="33"/>
        <v>2.3730704840606669</v>
      </c>
      <c r="Q48" s="8">
        <f t="shared" si="33"/>
        <v>3.0393190008361781E-2</v>
      </c>
      <c r="R48" s="8">
        <f t="shared" si="33"/>
        <v>0.19129028190587954</v>
      </c>
      <c r="S48" s="8">
        <f t="shared" si="33"/>
        <v>0.23030996745253404</v>
      </c>
      <c r="T48" s="8">
        <f t="shared" si="33"/>
        <v>1.7016692016392762E-2</v>
      </c>
      <c r="U48" s="8">
        <f t="shared" si="33"/>
        <v>6.4756162481956286E-2</v>
      </c>
      <c r="V48" s="8">
        <f t="shared" si="33"/>
        <v>1.2393956315729322E-2</v>
      </c>
    </row>
    <row r="49" spans="1:22"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5" t="s">
        <v>44</v>
      </c>
      <c r="B50" s="216"/>
      <c r="C50" s="216"/>
      <c r="D50" s="216"/>
      <c r="E50" s="216"/>
      <c r="F50" s="216"/>
      <c r="G50" s="216"/>
      <c r="H50" s="216"/>
      <c r="I50" s="216"/>
      <c r="J50" s="216"/>
      <c r="K50" s="216"/>
      <c r="L50" s="216"/>
      <c r="M50" s="216"/>
      <c r="N50" s="216"/>
      <c r="O50" s="216"/>
      <c r="P50" s="216"/>
      <c r="Q50" s="216"/>
      <c r="R50" s="216"/>
      <c r="S50" s="216"/>
      <c r="T50" s="216"/>
      <c r="U50" s="216"/>
      <c r="V50" s="216"/>
    </row>
    <row r="51" spans="1:22" ht="15" thickBot="1" x14ac:dyDescent="0.35"/>
    <row r="52" spans="1:22" x14ac:dyDescent="0.3">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Prochloraz-0.063mg/L</v>
      </c>
      <c r="J52" s="46" t="str">
        <f>J4</f>
        <v>Prochloraz-0.13mg/L</v>
      </c>
      <c r="K52" s="46" t="str">
        <f t="shared" ref="K52:M52" si="35">K4</f>
        <v>Prochloraz-0.25mg/L</v>
      </c>
      <c r="L52" s="46" t="str">
        <f t="shared" si="35"/>
        <v>Prochloraz-0.5mg/L</v>
      </c>
      <c r="M52" s="46" t="str">
        <f t="shared" si="35"/>
        <v>Prochloraz-1mg/L</v>
      </c>
      <c r="N52" s="47"/>
      <c r="O52" s="46" t="str">
        <f>O27</f>
        <v>Testo -30µg/L</v>
      </c>
      <c r="P52" s="46" t="str">
        <f>P27</f>
        <v>Testo 30µg/L + EE2 -64ng/L</v>
      </c>
      <c r="Q52" s="46" t="str">
        <f>Q27</f>
        <v>Testo 30µg/L + FAD-10µg/L</v>
      </c>
      <c r="R52" s="46" t="str">
        <f>R27</f>
        <v>Prochloraz-0.063mg/L + Testostérone</v>
      </c>
      <c r="S52" s="46" t="str">
        <f t="shared" ref="S52:V52" si="36">S27</f>
        <v>Prochloraz-0.13mg/L + Testostérone</v>
      </c>
      <c r="T52" s="46" t="str">
        <f t="shared" si="36"/>
        <v>Prochloraz-0.25mg/L + Testostérone</v>
      </c>
      <c r="U52" s="46" t="str">
        <f t="shared" si="36"/>
        <v>Prochloraz-0.5mg/L + Testostérone</v>
      </c>
      <c r="V52" s="46" t="str">
        <f t="shared" si="36"/>
        <v>Prochloraz-1mg/L + Testostérone</v>
      </c>
    </row>
    <row r="53" spans="1:22" s="3" customFormat="1" x14ac:dyDescent="0.3">
      <c r="A53" s="61" t="s">
        <v>32</v>
      </c>
      <c r="B53" s="141">
        <f t="shared" ref="B53:V53" si="37">B46</f>
        <v>6.5970765495018888E-2</v>
      </c>
      <c r="C53" s="141">
        <f t="shared" si="37"/>
        <v>1.6469775667889437E-2</v>
      </c>
      <c r="D53" s="141">
        <f t="shared" si="37"/>
        <v>1.4782576415243099E-2</v>
      </c>
      <c r="E53" s="141">
        <f t="shared" si="37"/>
        <v>1.1917675302352304E-2</v>
      </c>
      <c r="F53" s="141">
        <f t="shared" si="37"/>
        <v>2.5066522445301401E-2</v>
      </c>
      <c r="G53" s="141">
        <f t="shared" si="37"/>
        <v>6.2276520173678664E-2</v>
      </c>
      <c r="H53" s="141">
        <f t="shared" si="37"/>
        <v>3.8169361565028859</v>
      </c>
      <c r="I53" s="141">
        <f t="shared" si="37"/>
        <v>3.1026892675532242E-2</v>
      </c>
      <c r="J53" s="141">
        <f t="shared" si="37"/>
        <v>5.550286132509509E-2</v>
      </c>
      <c r="K53" s="141">
        <f t="shared" si="37"/>
        <v>3.2146697104821938E-2</v>
      </c>
      <c r="L53" s="141">
        <f t="shared" si="37"/>
        <v>4.9081695659089028E-2</v>
      </c>
      <c r="M53" s="141">
        <f t="shared" si="37"/>
        <v>2.6910725907772118E-2</v>
      </c>
      <c r="N53" s="141"/>
      <c r="O53" s="141">
        <f t="shared" si="37"/>
        <v>1.0000000000000002</v>
      </c>
      <c r="P53" s="141">
        <f t="shared" si="37"/>
        <v>15.291773762723388</v>
      </c>
      <c r="Q53" s="141">
        <f t="shared" si="37"/>
        <v>8.0722982248988245E-2</v>
      </c>
      <c r="R53" s="141">
        <f t="shared" si="37"/>
        <v>0.34812450516549687</v>
      </c>
      <c r="S53" s="141">
        <f t="shared" si="37"/>
        <v>0.32444528301115683</v>
      </c>
      <c r="T53" s="141">
        <f t="shared" si="37"/>
        <v>4.0947447183068614E-2</v>
      </c>
      <c r="U53" s="141">
        <f t="shared" si="37"/>
        <v>8.4096699608034384E-2</v>
      </c>
      <c r="V53" s="141">
        <f t="shared" si="37"/>
        <v>3.3012774557280487E-2</v>
      </c>
    </row>
    <row r="54" spans="1:22" s="3" customFormat="1" x14ac:dyDescent="0.3">
      <c r="A54" s="61" t="s">
        <v>2</v>
      </c>
      <c r="B54" s="141">
        <f t="shared" ref="B54:V54" si="38">B48</f>
        <v>2.625181688458118E-2</v>
      </c>
      <c r="C54" s="141">
        <f t="shared" si="38"/>
        <v>9.9221494473681147E-3</v>
      </c>
      <c r="D54" s="141">
        <f t="shared" si="38"/>
        <v>5.0519056445874413E-3</v>
      </c>
      <c r="E54" s="141">
        <f t="shared" si="38"/>
        <v>3.6476936806782425E-3</v>
      </c>
      <c r="F54" s="141">
        <f t="shared" si="38"/>
        <v>1.0833526563670511E-2</v>
      </c>
      <c r="G54" s="141">
        <f t="shared" si="38"/>
        <v>3.7532330739047041E-2</v>
      </c>
      <c r="H54" s="141">
        <f t="shared" si="38"/>
        <v>0.98663854316463584</v>
      </c>
      <c r="I54" s="141">
        <f t="shared" si="38"/>
        <v>1.5385606140453532E-2</v>
      </c>
      <c r="J54" s="141">
        <f t="shared" si="38"/>
        <v>1.8526902657699986E-2</v>
      </c>
      <c r="K54" s="141">
        <f t="shared" si="38"/>
        <v>9.104481082044957E-3</v>
      </c>
      <c r="L54" s="141">
        <f t="shared" si="38"/>
        <v>1.7970157185401934E-2</v>
      </c>
      <c r="M54" s="141">
        <f t="shared" si="38"/>
        <v>1.2262246334318614E-2</v>
      </c>
      <c r="N54" s="141"/>
      <c r="O54" s="141">
        <f t="shared" si="38"/>
        <v>0.33227178455812367</v>
      </c>
      <c r="P54" s="141">
        <f t="shared" si="38"/>
        <v>2.3730704840606669</v>
      </c>
      <c r="Q54" s="141">
        <f t="shared" si="38"/>
        <v>3.0393190008361781E-2</v>
      </c>
      <c r="R54" s="141">
        <f t="shared" si="38"/>
        <v>0.19129028190587954</v>
      </c>
      <c r="S54" s="141">
        <f t="shared" si="38"/>
        <v>0.23030996745253404</v>
      </c>
      <c r="T54" s="141">
        <f t="shared" si="38"/>
        <v>1.7016692016392762E-2</v>
      </c>
      <c r="U54" s="141">
        <f t="shared" si="38"/>
        <v>6.4756162481956286E-2</v>
      </c>
      <c r="V54" s="141">
        <f t="shared" si="38"/>
        <v>1.2393956315729322E-2</v>
      </c>
    </row>
    <row r="55" spans="1:22" s="3" customFormat="1" x14ac:dyDescent="0.3">
      <c r="A55" s="61" t="s">
        <v>79</v>
      </c>
      <c r="B55" s="141">
        <f>(B53*100/$B53)-100</f>
        <v>0</v>
      </c>
      <c r="C55" s="141">
        <f t="shared" ref="C55:M55" si="39">(C53*100/$B53)-100</f>
        <v>-75.034736152738773</v>
      </c>
      <c r="D55" s="141">
        <f t="shared" si="39"/>
        <v>-77.592231491751818</v>
      </c>
      <c r="E55" s="141">
        <f t="shared" si="39"/>
        <v>-81.93491433223987</v>
      </c>
      <c r="F55" s="141">
        <f t="shared" si="39"/>
        <v>-62.003590139947605</v>
      </c>
      <c r="G55" s="141">
        <f t="shared" si="39"/>
        <v>-5.599821820498903</v>
      </c>
      <c r="H55" s="141">
        <f t="shared" si="39"/>
        <v>5685.7994035116708</v>
      </c>
      <c r="I55" s="141">
        <f t="shared" si="39"/>
        <v>-52.968724187572263</v>
      </c>
      <c r="J55" s="141">
        <f t="shared" si="39"/>
        <v>-15.867489321029893</v>
      </c>
      <c r="K55" s="141">
        <f t="shared" si="39"/>
        <v>-51.271298940362954</v>
      </c>
      <c r="L55" s="141">
        <f t="shared" si="39"/>
        <v>-25.600839567649203</v>
      </c>
      <c r="M55" s="141">
        <f t="shared" si="39"/>
        <v>-59.208104217308183</v>
      </c>
      <c r="N55" s="141"/>
      <c r="O55" s="141">
        <f>(O53*100/$O53)-100</f>
        <v>0</v>
      </c>
      <c r="P55" s="141">
        <f t="shared" ref="P55:V55" si="40">(P53*100/$O53)-100</f>
        <v>1429.1773762723385</v>
      </c>
      <c r="Q55" s="141">
        <f t="shared" si="40"/>
        <v>-91.927701775101184</v>
      </c>
      <c r="R55" s="141">
        <f t="shared" si="40"/>
        <v>-65.187549483450312</v>
      </c>
      <c r="S55" s="141">
        <f t="shared" si="40"/>
        <v>-67.555471698884332</v>
      </c>
      <c r="T55" s="141">
        <f t="shared" si="40"/>
        <v>-95.905255281693144</v>
      </c>
      <c r="U55" s="141">
        <f t="shared" si="40"/>
        <v>-91.590330039196559</v>
      </c>
      <c r="V55" s="141">
        <f t="shared" si="40"/>
        <v>-96.698722544271959</v>
      </c>
    </row>
    <row r="56" spans="1:22" s="3" customFormat="1" x14ac:dyDescent="0.3">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
      <c r="A57" s="61" t="s">
        <v>85</v>
      </c>
      <c r="B57" s="141" t="e">
        <f ca="1">IF(B56&gt;0.05,"Oui","Non")</f>
        <v>#NAME?</v>
      </c>
      <c r="C57" s="141" t="e">
        <f t="shared" ref="C57:V57" ca="1" si="41">IF(C56&gt;0.05,"Oui","Non")</f>
        <v>#NAME?</v>
      </c>
      <c r="D57" s="141" t="e">
        <f t="shared" ca="1" si="41"/>
        <v>#NAME?</v>
      </c>
      <c r="E57" s="141" t="e">
        <f t="shared" ca="1" si="41"/>
        <v>#NAME?</v>
      </c>
      <c r="F57" s="141" t="e">
        <f t="shared" ca="1" si="41"/>
        <v>#NAME?</v>
      </c>
      <c r="G57" s="141" t="e">
        <f t="shared" ca="1" si="41"/>
        <v>#NAME?</v>
      </c>
      <c r="H57" s="141" t="e">
        <f t="shared" ca="1" si="41"/>
        <v>#NAME?</v>
      </c>
      <c r="I57" s="141" t="e">
        <f t="shared" ca="1" si="41"/>
        <v>#NAME?</v>
      </c>
      <c r="J57" s="141" t="e">
        <f t="shared" ca="1" si="41"/>
        <v>#NAME?</v>
      </c>
      <c r="K57" s="141" t="e">
        <f t="shared" ca="1" si="41"/>
        <v>#NAME?</v>
      </c>
      <c r="L57" s="141" t="e">
        <f t="shared" ca="1" si="41"/>
        <v>#NAME?</v>
      </c>
      <c r="M57" s="141" t="e">
        <f t="shared" ca="1" si="41"/>
        <v>#NAME?</v>
      </c>
      <c r="N57" s="141"/>
      <c r="O57" s="141" t="e">
        <f t="shared" ca="1" si="41"/>
        <v>#NAME?</v>
      </c>
      <c r="P57" s="141" t="e">
        <f t="shared" ca="1" si="41"/>
        <v>#NAME?</v>
      </c>
      <c r="Q57" s="141" t="e">
        <f t="shared" ca="1" si="41"/>
        <v>#NAME?</v>
      </c>
      <c r="R57" s="141" t="e">
        <f t="shared" ca="1" si="41"/>
        <v>#NAME?</v>
      </c>
      <c r="S57" s="141" t="e">
        <f t="shared" ca="1" si="41"/>
        <v>#NAME?</v>
      </c>
      <c r="T57" s="141" t="e">
        <f t="shared" ca="1" si="41"/>
        <v>#NAME?</v>
      </c>
      <c r="U57" s="141" t="e">
        <f t="shared" ca="1" si="41"/>
        <v>#NAME?</v>
      </c>
      <c r="V57" s="141" t="e">
        <f t="shared" ca="1" si="41"/>
        <v>#NAME?</v>
      </c>
    </row>
    <row r="58" spans="1:22" s="3" customFormat="1" x14ac:dyDescent="0.3">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
      <c r="A59" s="61" t="s">
        <v>82</v>
      </c>
      <c r="B59" s="150"/>
      <c r="C59" s="150" t="e">
        <f t="shared" ref="C59:O59" ca="1" si="42">IF($B57="Non",IF(C57="Non","MW",IF(C57="Oui","MW","")),IF($B57="Oui",IF(C57="Oui","T-Test Welch",IF(C57="Non","MW",""))))</f>
        <v>#NAME?</v>
      </c>
      <c r="D59" s="150" t="e">
        <f t="shared" ca="1" si="42"/>
        <v>#NAME?</v>
      </c>
      <c r="E59" s="150" t="e">
        <f t="shared" ca="1" si="42"/>
        <v>#NAME?</v>
      </c>
      <c r="F59" s="150" t="e">
        <f t="shared" ca="1" si="42"/>
        <v>#NAME?</v>
      </c>
      <c r="G59" s="150" t="e">
        <f t="shared" ca="1" si="42"/>
        <v>#NAME?</v>
      </c>
      <c r="H59" s="150" t="e">
        <f t="shared" ca="1" si="42"/>
        <v>#NAME?</v>
      </c>
      <c r="I59" s="150" t="e">
        <f t="shared" ca="1" si="42"/>
        <v>#NAME?</v>
      </c>
      <c r="J59" s="150" t="e">
        <f t="shared" ca="1" si="42"/>
        <v>#NAME?</v>
      </c>
      <c r="K59" s="150" t="e">
        <f t="shared" ca="1" si="42"/>
        <v>#NAME?</v>
      </c>
      <c r="L59" s="150" t="e">
        <f t="shared" ca="1" si="42"/>
        <v>#NAME?</v>
      </c>
      <c r="M59" s="150" t="e">
        <f t="shared" ca="1" si="42"/>
        <v>#NAME?</v>
      </c>
      <c r="N59" s="150"/>
      <c r="O59" s="150" t="e">
        <f t="shared" ca="1" si="42"/>
        <v>#NAME?</v>
      </c>
      <c r="P59" s="150" t="e">
        <f ca="1">IF($O57="Non",IF(P57="Non","MW",IF(P57="Oui","MW","")),IF($O57="Oui",IF(P57="Oui","T-Test Welch",IF(P57="Non","MW",""))))</f>
        <v>#NAME?</v>
      </c>
      <c r="Q59" s="150" t="e">
        <f t="shared" ref="Q59:V59" ca="1" si="43">IF($O57="Non",IF(Q57="Non","MW",IF(Q57="Oui","MW","")),IF($O57="Oui",IF(Q57="Oui","T-Test Welch",IF(Q57="Non","MW",""))))</f>
        <v>#NAME?</v>
      </c>
      <c r="R59" s="150" t="e">
        <f t="shared" ca="1" si="43"/>
        <v>#NAME?</v>
      </c>
      <c r="S59" s="150" t="e">
        <f t="shared" ca="1" si="43"/>
        <v>#NAME?</v>
      </c>
      <c r="T59" s="150" t="e">
        <f t="shared" ca="1" si="43"/>
        <v>#NAME?</v>
      </c>
      <c r="U59" s="150" t="e">
        <f t="shared" ca="1" si="43"/>
        <v>#NAME?</v>
      </c>
      <c r="V59" s="150" t="e">
        <f t="shared" ca="1" si="43"/>
        <v>#NAME?</v>
      </c>
    </row>
    <row r="60" spans="1:22" s="3" customFormat="1" x14ac:dyDescent="0.3">
      <c r="A60" s="61" t="s">
        <v>83</v>
      </c>
      <c r="B60" s="151"/>
      <c r="C60" s="151" t="e">
        <f ca="1">IF(C59="MW",[1]!MTEST($B28:$B43,C28:C43,2), IF(C59="T-Test Welch",_xlfn.T.TEST($B28:$B43,C28:C43,2,3),""))</f>
        <v>#NAME?</v>
      </c>
      <c r="D60" s="151" t="e">
        <f ca="1">IF(D59="MW",[1]!MTEST($B28:$B43,D28:D43,2), IF(D59="T-Test Welch",_xlfn.T.TEST($B28:$B43,D28:D43,2,3),""))</f>
        <v>#NAME?</v>
      </c>
      <c r="E60" s="151" t="e">
        <f ca="1">IF(E59="MW",[1]!MTEST($B28:$B43,E28:E43,2), IF(E59="T-Test Welch",_xlfn.T.TEST($B28:$B43,E28:E43,2,3),""))</f>
        <v>#NAME?</v>
      </c>
      <c r="F60" s="151" t="e">
        <f ca="1">IF(F59="MW",[1]!MTEST($B28:$B43,F28:F43,2), IF(F59="T-Test Welch",_xlfn.T.TEST($B28:$B43,F28:F43,2,3),""))</f>
        <v>#NAME?</v>
      </c>
      <c r="G60" s="151" t="e">
        <f ca="1">IF(G59="MW",[1]!MTEST($B28:$B43,G28:G43,2), IF(G59="T-Test Welch",_xlfn.T.TEST($B28:$B43,G28:G43,2,3),""))</f>
        <v>#NAME?</v>
      </c>
      <c r="H60" s="151" t="e">
        <f ca="1">IF(H59="MW",[1]!MTEST($B28:$B43,H28:H43,2), IF(H59="T-Test Welch",_xlfn.T.TEST($B28:$B43,H28:H43,2,3),""))</f>
        <v>#NAME?</v>
      </c>
      <c r="I60" s="151" t="e">
        <f ca="1">IF(I59="MW",[1]!MTEST($B28:$B43,I28:I43,2), IF(I59="T-Test Welch",_xlfn.T.TEST($B28:$B43,I28:I43,2,3),""))</f>
        <v>#NAME?</v>
      </c>
      <c r="J60" s="151" t="e">
        <f ca="1">IF(J59="MW",[1]!MTEST($B28:$B43,J28:J43,2), IF(J59="T-Test Welch",_xlfn.T.TEST($B28:$B43,J28:J43,2,3),""))</f>
        <v>#NAME?</v>
      </c>
      <c r="K60" s="151" t="e">
        <f ca="1">IF(K59="MW",[1]!MTEST($B28:$B43,K28:K43,2), IF(K59="T-Test Welch",_xlfn.T.TEST($B28:$B43,K28:K43,2,3),""))</f>
        <v>#NAME?</v>
      </c>
      <c r="L60" s="151" t="e">
        <f ca="1">IF(L59="MW",[1]!MTEST($B28:$B43,L28:L43,2), IF(L59="T-Test Welch",_xlfn.T.TEST($B28:$B43,L28:L43,2,3),""))</f>
        <v>#NAME?</v>
      </c>
      <c r="M60" s="151" t="e">
        <f ca="1">IF(M59="MW",[1]!MTEST($B28:$B43,M28:M43,2), IF(M59="T-Test Welch",_xlfn.T.TEST($B28:$B43,M28:M43,2,3),""))</f>
        <v>#NAME?</v>
      </c>
      <c r="N60" s="151"/>
      <c r="O60" s="151" t="e">
        <f ca="1">IF(O59="MW",[1]!MTEST($B28:$B43,O28:O43,2), IF(O59="T-Test Welch",_xlfn.T.TEST($B28:$B43,O28:O43,2,3),""))</f>
        <v>#NAME?</v>
      </c>
      <c r="P60" s="151" t="e">
        <f ca="1">IF(P59="MW",[1]!MTEST($O28:$O43,P28:P43,2), IF(P59="T-Test Welch",_xlfn.T.TEST($O28:$O43,P28:P43,2,3),""))</f>
        <v>#NAME?</v>
      </c>
      <c r="Q60" s="151" t="e">
        <f ca="1">IF(Q59="MW",[1]!MTEST($O28:$O43,Q28:Q43,2), IF(Q59="T-Test Welch",_xlfn.T.TEST($O28:$O43,Q28:Q43,2,3),""))</f>
        <v>#NAME?</v>
      </c>
      <c r="R60" s="151" t="e">
        <f ca="1">IF(R59="MW",[1]!MTEST($O28:$O43,R28:R43,2), IF(R59="T-Test Welch",_xlfn.T.TEST($O28:$O43,R28:R43,2,3),""))</f>
        <v>#NAME?</v>
      </c>
      <c r="S60" s="151" t="e">
        <f ca="1">IF(S59="MW",[1]!MTEST($O28:$O43,S28:S43,2), IF(S59="T-Test Welch",_xlfn.T.TEST($O28:$O43,S28:S43,2,3),""))</f>
        <v>#NAME?</v>
      </c>
      <c r="T60" s="151" t="e">
        <f ca="1">IF(T59="MW",[1]!MTEST($O28:$O43,T28:T43,2), IF(T59="T-Test Welch",_xlfn.T.TEST($O28:$O43,T28:T43,2,3),""))</f>
        <v>#NAME?</v>
      </c>
      <c r="U60" s="151" t="e">
        <f ca="1">IF(U59="MW",[1]!MTEST($O28:$O43,U28:U43,2), IF(U59="T-Test Welch",_xlfn.T.TEST($O28:$O43,U28:U43,2,3),""))</f>
        <v>#NAME?</v>
      </c>
      <c r="V60" s="151" t="e">
        <f ca="1">IF(V59="MW",[1]!MTEST($O28:$O43,V28:V43,2), IF(V59="T-Test Welch",_xlfn.T.TEST($O28:$O43,V28:V43,2,3),""))</f>
        <v>#NAME?</v>
      </c>
    </row>
    <row r="61" spans="1:22" s="3" customFormat="1" ht="15" thickBot="1" x14ac:dyDescent="0.35">
      <c r="A61" s="62" t="s">
        <v>84</v>
      </c>
      <c r="B61" s="142"/>
      <c r="C61" s="142" t="e">
        <f t="shared" ref="C61:O61" ca="1" si="44">IF(C60&gt;0.05,"NS",IF(C60&gt;0.01,"*",IF(C60&gt;0.001,"**","***")))</f>
        <v>#NAME?</v>
      </c>
      <c r="D61" s="142" t="e">
        <f t="shared" ca="1" si="44"/>
        <v>#NAME?</v>
      </c>
      <c r="E61" s="142" t="e">
        <f t="shared" ca="1" si="44"/>
        <v>#NAME?</v>
      </c>
      <c r="F61" s="142" t="e">
        <f t="shared" ca="1" si="44"/>
        <v>#NAME?</v>
      </c>
      <c r="G61" s="142" t="e">
        <f t="shared" ca="1" si="44"/>
        <v>#NAME?</v>
      </c>
      <c r="H61" s="142" t="e">
        <f t="shared" ca="1" si="44"/>
        <v>#NAME?</v>
      </c>
      <c r="I61" s="142" t="e">
        <f t="shared" ca="1" si="44"/>
        <v>#NAME?</v>
      </c>
      <c r="J61" s="142" t="e">
        <f t="shared" ca="1" si="44"/>
        <v>#NAME?</v>
      </c>
      <c r="K61" s="142" t="e">
        <f t="shared" ca="1" si="44"/>
        <v>#NAME?</v>
      </c>
      <c r="L61" s="142" t="e">
        <f t="shared" ca="1" si="44"/>
        <v>#NAME?</v>
      </c>
      <c r="M61" s="142" t="e">
        <f t="shared" ca="1" si="44"/>
        <v>#NAME?</v>
      </c>
      <c r="N61" s="142"/>
      <c r="O61" s="142" t="e">
        <f t="shared" ca="1" si="44"/>
        <v>#NAME?</v>
      </c>
      <c r="P61" s="142" t="e">
        <f ca="1">IF(P60&gt;0.05,"NS",IF(P60&gt;0.01,"*",IF(P60&gt;0.001,"**","***")))</f>
        <v>#NAME?</v>
      </c>
      <c r="Q61" s="142" t="e">
        <f t="shared" ref="Q61:V61" ca="1" si="45">IF(Q60&gt;0.05,"NS",IF(Q60&gt;0.01,"*",IF(Q60&gt;0.001,"**","***")))</f>
        <v>#NAME?</v>
      </c>
      <c r="R61" s="142" t="e">
        <f t="shared" ca="1" si="45"/>
        <v>#NAME?</v>
      </c>
      <c r="S61" s="142" t="e">
        <f t="shared" ca="1" si="45"/>
        <v>#NAME?</v>
      </c>
      <c r="T61" s="142" t="e">
        <f t="shared" ca="1" si="45"/>
        <v>#NAME?</v>
      </c>
      <c r="U61" s="142" t="e">
        <f t="shared" ca="1" si="45"/>
        <v>#NAME?</v>
      </c>
      <c r="V61" s="142" t="e">
        <f t="shared" ca="1" si="45"/>
        <v>#NAME?</v>
      </c>
    </row>
    <row r="63" spans="1:22" x14ac:dyDescent="0.3">
      <c r="A63" s="2" t="s">
        <v>39</v>
      </c>
    </row>
    <row r="64" spans="1:22" x14ac:dyDescent="0.3">
      <c r="A64" s="1" t="s">
        <v>23</v>
      </c>
      <c r="B64" s="1">
        <f>B46+(3*B47)</f>
        <v>0.27433810231564354</v>
      </c>
    </row>
    <row r="65" spans="1:22" x14ac:dyDescent="0.3">
      <c r="A65" s="1" t="s">
        <v>24</v>
      </c>
      <c r="B65" s="1">
        <f>B46+(10*B47)</f>
        <v>0.76052855489710103</v>
      </c>
    </row>
    <row r="66" spans="1:22" ht="15" thickBot="1" x14ac:dyDescent="0.35"/>
    <row r="67" spans="1:22" ht="26.4" thickBot="1" x14ac:dyDescent="0.55000000000000004">
      <c r="A67" s="215" t="s">
        <v>45</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2"/>
      <c r="S69" s="12"/>
      <c r="T69" s="12"/>
      <c r="U69" s="12"/>
      <c r="V69" s="12"/>
    </row>
    <row r="70" spans="1:22" ht="16.8" x14ac:dyDescent="0.3">
      <c r="A70" s="12"/>
      <c r="B70" s="12"/>
      <c r="C70" s="12"/>
      <c r="D70" s="12"/>
      <c r="E70" s="12"/>
      <c r="F70" s="12"/>
      <c r="N70" s="12"/>
      <c r="O70" s="12"/>
      <c r="P70" s="12"/>
      <c r="Q70" s="12"/>
      <c r="R70" s="12"/>
      <c r="S70" s="12"/>
      <c r="T70" s="12"/>
      <c r="U70" s="12"/>
      <c r="V70" s="12"/>
    </row>
    <row r="71" spans="1:22" ht="16.8" x14ac:dyDescent="0.3">
      <c r="A71" s="12"/>
      <c r="B71" s="12"/>
      <c r="C71" s="12"/>
      <c r="D71" s="12"/>
      <c r="E71" s="12"/>
      <c r="F71" s="12"/>
      <c r="N71" s="12"/>
      <c r="O71" s="12"/>
      <c r="P71" s="12"/>
      <c r="Q71" s="12"/>
      <c r="R71" s="12"/>
      <c r="S71" s="12"/>
      <c r="T71" s="12"/>
      <c r="U71" s="12"/>
      <c r="V71" s="12"/>
    </row>
    <row r="72" spans="1:22" ht="16.8" x14ac:dyDescent="0.3">
      <c r="A72" s="12"/>
      <c r="B72" s="12"/>
      <c r="C72" s="12"/>
      <c r="D72" s="12"/>
      <c r="E72" s="12"/>
      <c r="F72" s="12"/>
      <c r="N72" s="12"/>
      <c r="O72" s="12"/>
      <c r="P72" s="12"/>
      <c r="Q72" s="12"/>
      <c r="R72" s="12"/>
      <c r="S72" s="12"/>
      <c r="T72" s="12"/>
      <c r="U72" s="12"/>
      <c r="V72" s="12"/>
    </row>
    <row r="73" spans="1:22" ht="16.8" x14ac:dyDescent="0.3">
      <c r="A73" s="12"/>
      <c r="B73" s="12"/>
      <c r="C73" s="12"/>
      <c r="D73" s="12"/>
      <c r="E73" s="12"/>
      <c r="F73" s="12"/>
      <c r="N73" s="12"/>
      <c r="O73" s="12"/>
      <c r="P73" s="12"/>
      <c r="Q73" s="12"/>
      <c r="R73" s="12"/>
      <c r="S73" s="12"/>
      <c r="T73" s="12"/>
      <c r="U73" s="12"/>
      <c r="V73" s="12"/>
    </row>
    <row r="74" spans="1:22" ht="16.8" x14ac:dyDescent="0.3">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125"/>
  <sheetViews>
    <sheetView showGridLines="0" topLeftCell="F72" zoomScale="70" zoomScaleNormal="70" workbookViewId="0">
      <selection activeCell="B94" sqref="B94:V94"/>
    </sheetView>
  </sheetViews>
  <sheetFormatPr defaultColWidth="11.5546875" defaultRowHeight="14.4" x14ac:dyDescent="0.3"/>
  <cols>
    <col min="1" max="1" width="42.77734375" customWidth="1"/>
    <col min="2" max="2" width="14" bestFit="1" customWidth="1"/>
    <col min="3" max="13" width="22.77734375" bestFit="1" customWidth="1"/>
    <col min="14" max="14" width="8.44140625" customWidth="1"/>
    <col min="15" max="15" width="22.77734375" customWidth="1"/>
    <col min="18" max="22" width="29.21875" customWidth="1"/>
  </cols>
  <sheetData>
    <row r="1" spans="1:22" s="1" customFormat="1" ht="21.6" thickBot="1" x14ac:dyDescent="0.35">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 thickBot="1" x14ac:dyDescent="0.35">
      <c r="A2" s="1"/>
      <c r="B2" s="1"/>
      <c r="C2" s="1"/>
      <c r="D2" s="1"/>
      <c r="E2" s="1"/>
      <c r="F2" s="1"/>
      <c r="G2" s="1"/>
      <c r="H2" s="1"/>
      <c r="I2" s="1"/>
      <c r="J2" s="1"/>
      <c r="K2" s="1"/>
      <c r="L2" s="1"/>
      <c r="M2" s="1"/>
    </row>
    <row r="3" spans="1:22" s="33" customFormat="1" ht="15" thickBot="1" x14ac:dyDescent="0.35">
      <c r="B3" s="221" t="s">
        <v>6</v>
      </c>
      <c r="C3" s="222"/>
      <c r="D3" s="222"/>
      <c r="E3" s="222"/>
      <c r="F3" s="222"/>
      <c r="G3" s="222"/>
      <c r="H3" s="222"/>
      <c r="I3" s="222"/>
      <c r="J3" s="222"/>
      <c r="K3" s="222"/>
      <c r="L3" s="222"/>
      <c r="M3" s="222"/>
      <c r="N3" s="72"/>
      <c r="O3" s="221" t="s">
        <v>3</v>
      </c>
      <c r="P3" s="222"/>
      <c r="Q3" s="222"/>
      <c r="R3" s="222"/>
      <c r="S3" s="222"/>
      <c r="T3" s="222"/>
      <c r="U3" s="222"/>
      <c r="V3" s="222"/>
    </row>
    <row r="4" spans="1:22" x14ac:dyDescent="0.3">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Prochloraz-0.063mg/L</v>
      </c>
      <c r="J4" s="35" t="str">
        <f>'R1'!J4</f>
        <v>Prochloraz-0.13mg/L</v>
      </c>
      <c r="K4" s="35" t="str">
        <f>'R1'!K4</f>
        <v>Prochloraz-0.25mg/L</v>
      </c>
      <c r="L4" s="35" t="str">
        <f>'R1'!L4</f>
        <v>Prochloraz-0.5mg/L</v>
      </c>
      <c r="M4" s="35" t="str">
        <f>'R1'!M4</f>
        <v>Prochloraz-1mg/L</v>
      </c>
      <c r="O4" s="35" t="str">
        <f>'R1'!O4</f>
        <v>Testo -30µg/L</v>
      </c>
      <c r="P4" s="35" t="str">
        <f>'R1'!P4</f>
        <v>Testo 30µg/L + EE2 -64ng/L</v>
      </c>
      <c r="Q4" s="35" t="str">
        <f>'R1'!Q4</f>
        <v>Testo 30µg/L + FAD-10µg/L</v>
      </c>
      <c r="R4" s="35" t="str">
        <f>'R1'!R4</f>
        <v>Prochloraz-0.063mg/L + Testostérone</v>
      </c>
      <c r="S4" s="35" t="str">
        <f>'R1'!S4</f>
        <v>Prochloraz-0.13mg/L + Testostérone</v>
      </c>
      <c r="T4" s="35" t="str">
        <f>'R1'!T4</f>
        <v>Prochloraz-0.25mg/L + Testostérone</v>
      </c>
      <c r="U4" s="35" t="str">
        <f>'R1'!U4</f>
        <v>Prochloraz-0.5mg/L + Testostérone</v>
      </c>
      <c r="V4" s="35" t="str">
        <f>'R1'!V4</f>
        <v>Prochloraz-1mg/L + Testostérone</v>
      </c>
    </row>
    <row r="5" spans="1:22" s="1" customFormat="1" x14ac:dyDescent="0.3">
      <c r="A5" s="34"/>
      <c r="B5" s="35"/>
      <c r="C5" s="194" t="s">
        <v>165</v>
      </c>
      <c r="D5" s="35"/>
      <c r="E5" s="35"/>
      <c r="F5" s="35"/>
      <c r="G5" s="35"/>
      <c r="H5" s="35"/>
      <c r="I5" s="35"/>
      <c r="J5" s="35"/>
      <c r="K5" s="35"/>
      <c r="L5" s="35"/>
      <c r="M5" s="35"/>
      <c r="O5" s="35"/>
      <c r="P5" s="35"/>
      <c r="Q5" s="35"/>
      <c r="R5" s="35"/>
      <c r="S5" s="35"/>
      <c r="T5" s="35"/>
      <c r="U5" s="35"/>
      <c r="V5" s="35"/>
    </row>
    <row r="6" spans="1:22" s="1" customFormat="1" x14ac:dyDescent="0.3">
      <c r="A6" s="71" t="s">
        <v>4</v>
      </c>
      <c r="B6" s="53">
        <f>'R1'!B28</f>
        <v>4.145777974464599E-4</v>
      </c>
      <c r="C6" s="53">
        <f>'R1'!C28</f>
        <v>7.1103382562047604E-3</v>
      </c>
      <c r="D6" s="53">
        <f>'R1'!D28</f>
        <v>4.1847680292244442E-2</v>
      </c>
      <c r="E6" s="53">
        <f>'R1'!E28</f>
        <v>1.4540608830938937</v>
      </c>
      <c r="F6" s="53">
        <f>'R1'!F28</f>
        <v>3.646790821338048</v>
      </c>
      <c r="G6" s="53">
        <f>'R1'!G28</f>
        <v>5.1925655260670416</v>
      </c>
      <c r="H6" s="53">
        <f>'R1'!H28</f>
        <v>4.1607611779973119</v>
      </c>
      <c r="I6" s="53">
        <f>'R1'!I28</f>
        <v>8.5976361045439348E-2</v>
      </c>
      <c r="J6" s="53">
        <f>'R1'!J28</f>
        <v>7.8420187141980666E-2</v>
      </c>
      <c r="K6" s="53">
        <f>'R1'!K28</f>
        <v>1.2089384700536946E-2</v>
      </c>
      <c r="L6" s="53">
        <f>'R1'!L28</f>
        <v>0.12748267271478642</v>
      </c>
      <c r="M6" s="53">
        <f>'R1'!M28</f>
        <v>0.15778962582811451</v>
      </c>
      <c r="N6"/>
      <c r="O6" s="53">
        <f>'R1'!O28</f>
        <v>4.621182725061403</v>
      </c>
      <c r="P6" s="53">
        <f>'R1'!P28</f>
        <v>7.5003728835273904</v>
      </c>
      <c r="Q6" s="53">
        <f>'R1'!Q28</f>
        <v>8.9848221546591112E-2</v>
      </c>
      <c r="R6" s="53">
        <f>'R1'!R28</f>
        <v>2.7322651031709545E-2</v>
      </c>
      <c r="S6" s="53">
        <f>'R1'!S28</f>
        <v>8.7760526209450004E-2</v>
      </c>
      <c r="T6" s="53">
        <f>'R1'!T28</f>
        <v>1.1724983977781427E-2</v>
      </c>
      <c r="U6" s="53">
        <f>'R1'!U28</f>
        <v>3.4002782565564112E-2</v>
      </c>
      <c r="V6" s="53">
        <f>'R1'!V28</f>
        <v>1.7981489389245263E-3</v>
      </c>
    </row>
    <row r="7" spans="1:22" s="1" customFormat="1" x14ac:dyDescent="0.3">
      <c r="A7" s="225" t="s">
        <v>34</v>
      </c>
      <c r="B7" s="53">
        <f>'R1'!B29</f>
        <v>5.1040778435620708E-2</v>
      </c>
      <c r="C7" s="53">
        <f>'R1'!C29</f>
        <v>0.2015514381335691</v>
      </c>
      <c r="D7" s="53">
        <f>'R1'!D29</f>
        <v>1.6412016298912237E-2</v>
      </c>
      <c r="E7" s="53">
        <f>'R1'!E29</f>
        <v>1.710702636363141</v>
      </c>
      <c r="F7" s="53">
        <f>'R1'!F29</f>
        <v>2.6261348321746509</v>
      </c>
      <c r="G7" s="53">
        <f>'R1'!G29</f>
        <v>3.5689340980675968</v>
      </c>
      <c r="H7" s="53">
        <f>'R1'!H29</f>
        <v>9.1750812832622337</v>
      </c>
      <c r="I7" s="53">
        <f>'R1'!I29</f>
        <v>1.2080336375592677E-2</v>
      </c>
      <c r="J7" s="53">
        <f>'R1'!J29</f>
        <v>3.2144585652009443E-2</v>
      </c>
      <c r="K7" s="53">
        <f>'R1'!K29</f>
        <v>2.2944906908673714E-2</v>
      </c>
      <c r="L7" s="53">
        <f>'R1'!L29</f>
        <v>3.1648572930064574E-2</v>
      </c>
      <c r="M7" s="53">
        <f>'R1'!M29</f>
        <v>0.13908427044332783</v>
      </c>
      <c r="N7"/>
      <c r="O7" s="53">
        <f>'R1'!O29</f>
        <v>0.26555682106433598</v>
      </c>
      <c r="P7" s="53">
        <f>'R1'!P29</f>
        <v>4.1070560791531019</v>
      </c>
      <c r="Q7" s="53">
        <f>'R1'!Q29</f>
        <v>2.529829396917832E-2</v>
      </c>
      <c r="R7" s="53">
        <f>'R1'!R29</f>
        <v>0.13655732005889226</v>
      </c>
      <c r="S7" s="53">
        <f>'R1'!S29</f>
        <v>1.1543153775151387</v>
      </c>
      <c r="T7" s="53">
        <f>'R1'!T29</f>
        <v>1.6922835370765912E-2</v>
      </c>
      <c r="U7" s="53">
        <f>'R1'!U29</f>
        <v>0.10375056153596139</v>
      </c>
      <c r="V7" s="53">
        <f>'R1'!V29</f>
        <v>3.06878053359823E-2</v>
      </c>
    </row>
    <row r="8" spans="1:22" s="1" customFormat="1" x14ac:dyDescent="0.3">
      <c r="A8" s="226"/>
      <c r="B8" s="53">
        <f>'R1'!B30</f>
        <v>6.1174902373200835E-3</v>
      </c>
      <c r="C8" s="53">
        <f>'R1'!C30</f>
        <v>0.87514823058463387</v>
      </c>
      <c r="D8" s="53">
        <f>'R1'!D30</f>
        <v>2.0547717729688899</v>
      </c>
      <c r="E8" s="53">
        <f>'R1'!E30</f>
        <v>2.4877382344270873</v>
      </c>
      <c r="F8" s="53">
        <f>'R1'!F30</f>
        <v>3.469673150853982</v>
      </c>
      <c r="G8" s="53">
        <f>'R1'!G30</f>
        <v>5.1250765380327321</v>
      </c>
      <c r="H8" s="53">
        <f>'R1'!H30</f>
        <v>4.0978761422096444</v>
      </c>
      <c r="I8" s="53">
        <f>'R1'!I30</f>
        <v>0.16243717454948853</v>
      </c>
      <c r="J8" s="53">
        <f>'R1'!J30</f>
        <v>2.0390811549405346E-2</v>
      </c>
      <c r="K8" s="53">
        <f>'R1'!K30</f>
        <v>0.24974775223670995</v>
      </c>
      <c r="L8" s="53">
        <f>'R1'!L30</f>
        <v>4.7142595534631078E-2</v>
      </c>
      <c r="M8" s="53">
        <f>'R1'!M30</f>
        <v>6.4644523701830131E-2</v>
      </c>
      <c r="N8"/>
      <c r="O8" s="53">
        <f>'R1'!O30</f>
        <v>8.8208829581688741E-2</v>
      </c>
      <c r="P8" s="53">
        <f>'R1'!P30</f>
        <v>4.4422701959383923</v>
      </c>
      <c r="Q8" s="53">
        <f>'R1'!Q30</f>
        <v>3.3345545144612285E-2</v>
      </c>
      <c r="R8" s="53">
        <f>'R1'!R30</f>
        <v>0.2060904069556119</v>
      </c>
      <c r="S8" s="53">
        <f>'R1'!S30</f>
        <v>0.40763279676423675</v>
      </c>
      <c r="T8" s="53">
        <f>'R1'!T30</f>
        <v>0.37692524962837604</v>
      </c>
      <c r="U8" s="53">
        <f>'R1'!U30</f>
        <v>3.2921919022221552E-2</v>
      </c>
      <c r="V8" s="53">
        <f>'R1'!V30</f>
        <v>2.4394284049746456E-2</v>
      </c>
    </row>
    <row r="9" spans="1:22" s="1" customFormat="1" x14ac:dyDescent="0.3">
      <c r="A9" s="226"/>
      <c r="B9" s="53">
        <f>'R1'!B31</f>
        <v>7.4887227538741486E-3</v>
      </c>
      <c r="C9" s="53">
        <f>'R1'!C31</f>
        <v>6.9852245994753828E-2</v>
      </c>
      <c r="D9" s="53">
        <f>'R1'!D31</f>
        <v>0.12628006807219372</v>
      </c>
      <c r="E9" s="53">
        <f>'R1'!E31</f>
        <v>0.18746566392032868</v>
      </c>
      <c r="F9" s="53">
        <f>'R1'!F31</f>
        <v>3.1558640805868499</v>
      </c>
      <c r="G9" s="53">
        <f>'R1'!G31</f>
        <v>6.5192465583205159</v>
      </c>
      <c r="H9" s="53">
        <f>'R1'!H31</f>
        <v>7.2360203122556372</v>
      </c>
      <c r="I9" s="53">
        <f>'R1'!I31</f>
        <v>2.6241787488366992E-2</v>
      </c>
      <c r="J9" s="53">
        <f>'R1'!J31</f>
        <v>3.9565857256299047E-2</v>
      </c>
      <c r="K9" s="53">
        <f>'R1'!K31</f>
        <v>0.11244764695739277</v>
      </c>
      <c r="L9" s="53">
        <f>'R1'!L31</f>
        <v>0.19068686760048809</v>
      </c>
      <c r="M9" s="53">
        <f>'R1'!M31</f>
        <v>0.13472133267020078</v>
      </c>
      <c r="N9"/>
      <c r="O9" s="53">
        <f>'R1'!O31</f>
        <v>1.4076775242795863</v>
      </c>
      <c r="P9" s="53">
        <f>'R1'!P31</f>
        <v>5.909247151602731</v>
      </c>
      <c r="Q9" s="53">
        <f>'R1'!Q31</f>
        <v>4.6171134465614666E-3</v>
      </c>
      <c r="R9" s="53">
        <f>'R1'!R31</f>
        <v>6.1727672769796113E-2</v>
      </c>
      <c r="S9" s="53">
        <f>'R1'!S31</f>
        <v>4.6483712963689382E-3</v>
      </c>
      <c r="T9" s="53">
        <f>'R1'!T31</f>
        <v>0.20769607334572199</v>
      </c>
      <c r="U9" s="53">
        <f>'R1'!U31</f>
        <v>0.17444430175053213</v>
      </c>
      <c r="V9" s="53">
        <f>'R1'!V31</f>
        <v>1.8129552888333286E-3</v>
      </c>
    </row>
    <row r="10" spans="1:22" s="1" customFormat="1" x14ac:dyDescent="0.3">
      <c r="A10" s="226"/>
      <c r="B10" s="53">
        <f>'R1'!B32</f>
        <v>0.12118174825359616</v>
      </c>
      <c r="C10" s="53">
        <f>'R1'!C32</f>
        <v>0.65368800984869047</v>
      </c>
      <c r="D10" s="53">
        <f>'R1'!D32</f>
        <v>1.9720552766283721</v>
      </c>
      <c r="E10" s="53">
        <f>'R1'!E32</f>
        <v>0.60955192592054108</v>
      </c>
      <c r="F10" s="53">
        <f>'R1'!F32</f>
        <v>3.8395201426509558</v>
      </c>
      <c r="G10" s="53">
        <f>'R1'!G32</f>
        <v>9.0345048617780961</v>
      </c>
      <c r="H10" s="53">
        <f>'R1'!H32</f>
        <v>3.9291158336741021</v>
      </c>
      <c r="I10" s="53">
        <f>'R1'!I32</f>
        <v>4.6055973966323983E-3</v>
      </c>
      <c r="J10" s="53">
        <f>'R1'!J32</f>
        <v>2.0276473625109596E-2</v>
      </c>
      <c r="K10" s="53">
        <f>'R1'!K32</f>
        <v>2.3470532330436191E-2</v>
      </c>
      <c r="L10" s="53">
        <f>'R1'!L32</f>
        <v>0.60221291181574488</v>
      </c>
      <c r="M10" s="53">
        <f>'R1'!M32</f>
        <v>2.9135606320542875E-2</v>
      </c>
      <c r="N10"/>
      <c r="O10" s="53">
        <f>'R1'!O32</f>
        <v>7.7914303520096581E-2</v>
      </c>
      <c r="P10" s="53">
        <f>'R1'!P32</f>
        <v>2.1393867723977147</v>
      </c>
      <c r="Q10" s="53">
        <f>'R1'!Q32</f>
        <v>1.133508343018297E-3</v>
      </c>
      <c r="R10" s="53">
        <f>'R1'!R32</f>
        <v>6.713774851147343E-2</v>
      </c>
      <c r="S10" s="53">
        <f>'R1'!S32</f>
        <v>3.0472290687309736E-2</v>
      </c>
      <c r="T10" s="53">
        <f>'R1'!T32</f>
        <v>0.87322011479650985</v>
      </c>
      <c r="U10" s="53">
        <f>'R1'!U32</f>
        <v>1.2012885226008135E-2</v>
      </c>
      <c r="V10" s="53">
        <f>'R1'!V32</f>
        <v>2.6403834762368881E-2</v>
      </c>
    </row>
    <row r="11" spans="1:22" s="1" customFormat="1" x14ac:dyDescent="0.3">
      <c r="A11" s="226"/>
      <c r="B11" s="53">
        <f>'R1'!B33</f>
        <v>5.6343096852961738E-2</v>
      </c>
      <c r="C11" s="53">
        <f>'R1'!C33</f>
        <v>0.18255900407555065</v>
      </c>
      <c r="D11" s="53">
        <f>'R1'!D33</f>
        <v>0.32477564009958504</v>
      </c>
      <c r="E11" s="53">
        <f>'R1'!E33</f>
        <v>0.69160295909015801</v>
      </c>
      <c r="F11" s="53">
        <f>'R1'!F33</f>
        <v>5.2423979418351054</v>
      </c>
      <c r="G11" s="53">
        <f>'R1'!G33</f>
        <v>3.5829203407064498</v>
      </c>
      <c r="H11" s="53">
        <f>'R1'!H33</f>
        <v>6.8722718914711001</v>
      </c>
      <c r="I11" s="53">
        <f>'R1'!I33</f>
        <v>4.2312435164381844E-2</v>
      </c>
      <c r="J11" s="53">
        <f>'R1'!J33</f>
        <v>1.4970864907788828E-4</v>
      </c>
      <c r="K11" s="53">
        <f>'R1'!K33</f>
        <v>4.5350204620671082E-2</v>
      </c>
      <c r="L11" s="53">
        <f>'R1'!L33</f>
        <v>6.8203805704907181E-2</v>
      </c>
      <c r="M11" s="53">
        <f>'R1'!M33</f>
        <v>0.1176808690751594</v>
      </c>
      <c r="N11"/>
      <c r="O11" s="53">
        <f>'R1'!O33</f>
        <v>8.9718254697391628E-2</v>
      </c>
      <c r="P11" s="53">
        <f>'R1'!P33</f>
        <v>3.6121834461512075</v>
      </c>
      <c r="Q11" s="53">
        <f>'R1'!Q33</f>
        <v>2.6635800910940113E-2</v>
      </c>
      <c r="R11" s="53">
        <f>'R1'!R33</f>
        <v>3.5459250303093182</v>
      </c>
      <c r="S11" s="53">
        <f>'R1'!S33</f>
        <v>8.9239516050340362E-2</v>
      </c>
      <c r="T11" s="53">
        <f>'R1'!T33</f>
        <v>0.98906746420796254</v>
      </c>
      <c r="U11" s="53">
        <f>'R1'!U33</f>
        <v>3.5568142780922469E-3</v>
      </c>
      <c r="V11" s="53">
        <f>'R1'!V33</f>
        <v>0.14279819654545237</v>
      </c>
    </row>
    <row r="12" spans="1:22" s="1" customFormat="1" x14ac:dyDescent="0.3">
      <c r="A12" s="226"/>
      <c r="B12" s="53">
        <f>'R1'!B34</f>
        <v>2.7046265833411908E-3</v>
      </c>
      <c r="C12" s="53">
        <f>'R1'!C34</f>
        <v>3.2528728174643362E-2</v>
      </c>
      <c r="D12" s="53">
        <f>'R1'!D34</f>
        <v>0.50385926482154186</v>
      </c>
      <c r="E12" s="53">
        <f>'R1'!E34</f>
        <v>1.9719310678041371</v>
      </c>
      <c r="F12" s="53">
        <f>'R1'!F34</f>
        <v>1.7186626945891119</v>
      </c>
      <c r="G12" s="53">
        <f>'R1'!G34</f>
        <v>9.4792999516634371</v>
      </c>
      <c r="H12" s="53">
        <f>'R1'!H34</f>
        <v>6.3666876868851832</v>
      </c>
      <c r="I12" s="53">
        <f>'R1'!I34</f>
        <v>8.2974784888927178E-2</v>
      </c>
      <c r="J12" s="53">
        <f>'R1'!J34</f>
        <v>4.8191378653171225E-2</v>
      </c>
      <c r="K12" s="53">
        <f>'R1'!K34</f>
        <v>5.0087414016492832E-2</v>
      </c>
      <c r="L12" s="53">
        <f>'R1'!L34</f>
        <v>1.5005413057576035E-2</v>
      </c>
      <c r="M12" s="53">
        <f>'R1'!M34</f>
        <v>6.8518851927966695E-2</v>
      </c>
      <c r="N12"/>
      <c r="O12" s="53">
        <f>'R1'!O34</f>
        <v>0.64043221380533788</v>
      </c>
      <c r="P12" s="53">
        <f>'R1'!P34</f>
        <v>5.1426426270495353</v>
      </c>
      <c r="Q12" s="53">
        <f>'R1'!Q34</f>
        <v>0.2030312505494544</v>
      </c>
      <c r="R12" s="53">
        <f>'R1'!R34</f>
        <v>1.3989080522586008</v>
      </c>
      <c r="S12" s="53">
        <f>'R1'!S34</f>
        <v>2.6731219610352394E-2</v>
      </c>
      <c r="T12" s="53">
        <f>'R1'!T34</f>
        <v>1.3129645942129586</v>
      </c>
      <c r="U12" s="53">
        <f>'R1'!U34</f>
        <v>1.6599563397757065E-3</v>
      </c>
      <c r="V12" s="53">
        <f>'R1'!V34</f>
        <v>1.6938258651920912</v>
      </c>
    </row>
    <row r="13" spans="1:22" s="1" customFormat="1" x14ac:dyDescent="0.3">
      <c r="A13" s="226"/>
      <c r="B13" s="53">
        <f>'R1'!B35</f>
        <v>3.8760556336259196E-2</v>
      </c>
      <c r="C13" s="53">
        <f>'R1'!C35</f>
        <v>7.2227020005126694E-2</v>
      </c>
      <c r="D13" s="53">
        <f>'R1'!D35</f>
        <v>0.13980566871388445</v>
      </c>
      <c r="E13" s="53">
        <f>'R1'!E35</f>
        <v>4.1421586444868916E-2</v>
      </c>
      <c r="F13" s="53">
        <f>'R1'!F35</f>
        <v>5.4595955789473036</v>
      </c>
      <c r="G13" s="53" t="str">
        <f>'R1'!G35</f>
        <v/>
      </c>
      <c r="H13" s="53">
        <f>'R1'!H35</f>
        <v>4.9551514633043636</v>
      </c>
      <c r="I13" s="53" t="str">
        <f>'R1'!I35</f>
        <v/>
      </c>
      <c r="J13" s="53">
        <f>'R1'!J35</f>
        <v>4.6687711562432878E-2</v>
      </c>
      <c r="K13" s="53">
        <f>'R1'!K35</f>
        <v>2.6160352563868578E-2</v>
      </c>
      <c r="L13" s="53">
        <f>'R1'!L35</f>
        <v>7.299612762538947E-2</v>
      </c>
      <c r="M13" s="53">
        <f>'R1'!M35</f>
        <v>0.16651796909935337</v>
      </c>
      <c r="N13"/>
      <c r="O13" s="53">
        <f>'R1'!O35</f>
        <v>1.3673803978527914</v>
      </c>
      <c r="P13" s="53">
        <f>'R1'!P35</f>
        <v>5.3930459715572079</v>
      </c>
      <c r="Q13" s="53">
        <f>'R1'!Q35</f>
        <v>1.7450928517513186E-2</v>
      </c>
      <c r="R13" s="53">
        <f>'R1'!R35</f>
        <v>0.15717269458191443</v>
      </c>
      <c r="S13" s="53">
        <f>'R1'!S35</f>
        <v>0.29748506949267789</v>
      </c>
      <c r="T13" s="53">
        <f>'R1'!T35</f>
        <v>0.11753116042608151</v>
      </c>
      <c r="U13" s="53">
        <f>'R1'!U35</f>
        <v>0.43927972454431147</v>
      </c>
      <c r="V13" s="53" t="str">
        <f>'R1'!V35</f>
        <v/>
      </c>
    </row>
    <row r="14" spans="1:22" s="1" customFormat="1" x14ac:dyDescent="0.3">
      <c r="A14" s="226"/>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1.0741324121590157</v>
      </c>
      <c r="P14" s="53" t="str">
        <f>'R1'!P36</f>
        <v/>
      </c>
      <c r="Q14" s="53" t="str">
        <f>'R1'!Q36</f>
        <v/>
      </c>
      <c r="R14" s="53" t="str">
        <f>'R1'!R36</f>
        <v/>
      </c>
      <c r="S14" s="53" t="str">
        <f>'R1'!S36</f>
        <v/>
      </c>
      <c r="T14" s="53" t="str">
        <f>'R1'!T36</f>
        <v/>
      </c>
      <c r="U14" s="53" t="str">
        <f>'R1'!U36</f>
        <v/>
      </c>
      <c r="V14" s="53" t="str">
        <f>'R1'!V36</f>
        <v/>
      </c>
    </row>
    <row r="15" spans="1:22" s="1" customFormat="1" x14ac:dyDescent="0.3">
      <c r="A15" s="226"/>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1.2917306432937465</v>
      </c>
      <c r="P15" s="53" t="str">
        <f>'R1'!P37</f>
        <v/>
      </c>
      <c r="Q15" s="53" t="str">
        <f>'R1'!Q37</f>
        <v/>
      </c>
      <c r="R15" s="53" t="str">
        <f>'R1'!R37</f>
        <v/>
      </c>
      <c r="S15" s="53" t="str">
        <f>'R1'!S37</f>
        <v/>
      </c>
      <c r="T15" s="53" t="str">
        <f>'R1'!T37</f>
        <v/>
      </c>
      <c r="U15" s="53" t="str">
        <f>'R1'!U37</f>
        <v/>
      </c>
      <c r="V15" s="53" t="str">
        <f>'R1'!V37</f>
        <v/>
      </c>
    </row>
    <row r="16" spans="1:22" s="1" customFormat="1" x14ac:dyDescent="0.3">
      <c r="A16" s="226"/>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0.52299647207866862</v>
      </c>
      <c r="P16" s="53" t="str">
        <f>'R1'!P38</f>
        <v/>
      </c>
      <c r="Q16" s="53" t="str">
        <f>'R1'!Q38</f>
        <v/>
      </c>
      <c r="R16" s="53" t="str">
        <f>'R1'!R38</f>
        <v/>
      </c>
      <c r="S16" s="53" t="str">
        <f>'R1'!S38</f>
        <v/>
      </c>
      <c r="T16" s="53" t="str">
        <f>'R1'!T38</f>
        <v/>
      </c>
      <c r="U16" s="53" t="str">
        <f>'R1'!U38</f>
        <v/>
      </c>
      <c r="V16" s="53" t="str">
        <f>'R1'!V38</f>
        <v/>
      </c>
    </row>
    <row r="17" spans="1:22" s="1" customFormat="1" x14ac:dyDescent="0.3">
      <c r="A17" s="226"/>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0.10337382218828187</v>
      </c>
      <c r="P17" s="53" t="str">
        <f>'R1'!P39</f>
        <v/>
      </c>
      <c r="Q17" s="53" t="str">
        <f>'R1'!Q39</f>
        <v/>
      </c>
      <c r="R17" s="53" t="str">
        <f>'R1'!R39</f>
        <v/>
      </c>
      <c r="S17" s="53" t="str">
        <f>'R1'!S39</f>
        <v/>
      </c>
      <c r="T17" s="53" t="str">
        <f>'R1'!T39</f>
        <v/>
      </c>
      <c r="U17" s="53" t="str">
        <f>'R1'!U39</f>
        <v/>
      </c>
      <c r="V17" s="53" t="str">
        <f>'R1'!V39</f>
        <v/>
      </c>
    </row>
    <row r="18" spans="1:22" s="1" customFormat="1" x14ac:dyDescent="0.3">
      <c r="A18" s="226"/>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0.41899173486927277</v>
      </c>
      <c r="P18" s="53" t="str">
        <f>'R1'!P40</f>
        <v/>
      </c>
      <c r="Q18" s="53" t="str">
        <f>'R1'!Q40</f>
        <v/>
      </c>
      <c r="R18" s="53" t="str">
        <f>'R1'!R40</f>
        <v/>
      </c>
      <c r="S18" s="53" t="str">
        <f>'R1'!S40</f>
        <v/>
      </c>
      <c r="T18" s="53" t="str">
        <f>'R1'!T40</f>
        <v/>
      </c>
      <c r="U18" s="53" t="str">
        <f>'R1'!U40</f>
        <v/>
      </c>
      <c r="V18" s="53" t="str">
        <f>'R1'!V40</f>
        <v/>
      </c>
    </row>
    <row r="19" spans="1:22" s="1" customFormat="1" x14ac:dyDescent="0.3">
      <c r="A19" s="226"/>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2.5453110808974744</v>
      </c>
      <c r="P19" s="53" t="str">
        <f>'R1'!P41</f>
        <v/>
      </c>
      <c r="Q19" s="53" t="str">
        <f>'R1'!Q41</f>
        <v/>
      </c>
      <c r="R19" s="53" t="str">
        <f>'R1'!R41</f>
        <v/>
      </c>
      <c r="S19" s="53" t="str">
        <f>'R1'!S41</f>
        <v/>
      </c>
      <c r="T19" s="53" t="str">
        <f>'R1'!T41</f>
        <v/>
      </c>
      <c r="U19" s="53" t="str">
        <f>'R1'!U41</f>
        <v/>
      </c>
      <c r="V19" s="53" t="str">
        <f>'R1'!V41</f>
        <v/>
      </c>
    </row>
    <row r="20" spans="1:22" s="1" customFormat="1" x14ac:dyDescent="0.3">
      <c r="A20" s="226"/>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0.49607112476951193</v>
      </c>
      <c r="P20" s="53" t="str">
        <f>'R1'!P42</f>
        <v/>
      </c>
      <c r="Q20" s="53" t="str">
        <f>'R1'!Q42</f>
        <v/>
      </c>
      <c r="R20" s="53" t="str">
        <f>'R1'!R42</f>
        <v/>
      </c>
      <c r="S20" s="53" t="str">
        <f>'R1'!S42</f>
        <v/>
      </c>
      <c r="T20" s="53" t="str">
        <f>'R1'!T42</f>
        <v/>
      </c>
      <c r="U20" s="53" t="str">
        <f>'R1'!U42</f>
        <v/>
      </c>
      <c r="V20" s="53" t="str">
        <f>'R1'!V42</f>
        <v/>
      </c>
    </row>
    <row r="21" spans="1:22" s="1" customFormat="1" x14ac:dyDescent="0.3">
      <c r="A21" s="227"/>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0.98932163988139699</v>
      </c>
      <c r="P21" s="53" t="str">
        <f>'R1'!P43</f>
        <v/>
      </c>
      <c r="Q21" s="53" t="str">
        <f>'R1'!Q43</f>
        <v/>
      </c>
      <c r="R21" s="53" t="str">
        <f>'R1'!R43</f>
        <v/>
      </c>
      <c r="S21" s="53" t="str">
        <f>'R1'!S43</f>
        <v/>
      </c>
      <c r="T21" s="53" t="str">
        <f>'R1'!T43</f>
        <v/>
      </c>
      <c r="U21" s="53" t="str">
        <f>'R1'!U43</f>
        <v/>
      </c>
      <c r="V21" s="53" t="str">
        <f>'R1'!V43</f>
        <v/>
      </c>
    </row>
    <row r="22" spans="1:22" x14ac:dyDescent="0.3">
      <c r="A22" s="39" t="s">
        <v>5</v>
      </c>
      <c r="B22" s="54">
        <f>'R2'!B28</f>
        <v>5.667643291571528E-2</v>
      </c>
      <c r="C22" s="54">
        <f>'R2'!C28</f>
        <v>1.2841477623647457E-2</v>
      </c>
      <c r="D22" s="54">
        <f>'R2'!D28</f>
        <v>0.17305564390511216</v>
      </c>
      <c r="E22" s="54">
        <f>'R2'!E28</f>
        <v>1.1000161353219462</v>
      </c>
      <c r="F22" s="54">
        <f>'R2'!F28</f>
        <v>2.1853570008752534</v>
      </c>
      <c r="G22" s="54">
        <f>'R2'!G28</f>
        <v>2.057544761764011</v>
      </c>
      <c r="H22" s="54">
        <f>'R2'!H28</f>
        <v>4.9412999643619022</v>
      </c>
      <c r="I22" s="54">
        <f>'R2'!I28</f>
        <v>0.10304143704345504</v>
      </c>
      <c r="J22" s="54">
        <f>'R2'!J28</f>
        <v>7.1868108872918833E-3</v>
      </c>
      <c r="K22" s="54">
        <f>'R2'!K28</f>
        <v>4.2078946592084355E-3</v>
      </c>
      <c r="L22" s="54">
        <f>'R2'!L28</f>
        <v>1.7896263254844461E-2</v>
      </c>
      <c r="M22" s="54">
        <f>'R2'!M28</f>
        <v>4.6138862990058235E-4</v>
      </c>
      <c r="O22" s="54">
        <f>'R2'!O28</f>
        <v>1.9483371844043433</v>
      </c>
      <c r="P22" s="54">
        <f>'R2'!P28</f>
        <v>0.86408035447243903</v>
      </c>
      <c r="Q22" s="54">
        <f>'R2'!Q28</f>
        <v>3.9490085883357652E-2</v>
      </c>
      <c r="R22" s="54">
        <f>'R2'!R28</f>
        <v>5.3224365683120299E-2</v>
      </c>
      <c r="S22" s="54">
        <f>'R2'!S28</f>
        <v>0.87376799797459492</v>
      </c>
      <c r="T22" s="54">
        <f>'R2'!T28</f>
        <v>0.60025029194877788</v>
      </c>
      <c r="U22" s="54">
        <f>'R2'!U28</f>
        <v>4.6174529545330155E-2</v>
      </c>
      <c r="V22" s="54">
        <f>'R2'!V28</f>
        <v>1.3683056555489145E-2</v>
      </c>
    </row>
    <row r="23" spans="1:22" x14ac:dyDescent="0.3">
      <c r="A23" s="225" t="s">
        <v>34</v>
      </c>
      <c r="B23" s="54">
        <f>'R2'!B29</f>
        <v>5.1419410327497708E-2</v>
      </c>
      <c r="C23" s="54">
        <f>'R2'!C29</f>
        <v>5.9099102654132402E-2</v>
      </c>
      <c r="D23" s="54">
        <f>'R2'!D29</f>
        <v>1.5647373115518188E-2</v>
      </c>
      <c r="E23" s="54">
        <f>'R2'!E29</f>
        <v>0.58704873388945966</v>
      </c>
      <c r="F23" s="54">
        <f>'R2'!F29</f>
        <v>3.1256412272747838</v>
      </c>
      <c r="G23" s="54">
        <f>'R2'!G29</f>
        <v>3.7111164589864494</v>
      </c>
      <c r="H23" s="54">
        <f>'R2'!H29</f>
        <v>4.7662261246324142</v>
      </c>
      <c r="I23" s="54">
        <f>'R2'!I29</f>
        <v>0.10796493939673626</v>
      </c>
      <c r="J23" s="54">
        <f>'R2'!J29</f>
        <v>0.16552544756546828</v>
      </c>
      <c r="K23" s="54">
        <f>'R2'!K29</f>
        <v>5.7271760843605093E-2</v>
      </c>
      <c r="L23" s="54">
        <f>'R2'!L29</f>
        <v>2.4966968121783072E-2</v>
      </c>
      <c r="M23" s="54">
        <f>'R2'!M29</f>
        <v>3.0790861279960738E-2</v>
      </c>
      <c r="O23" s="54">
        <f>'R2'!O29</f>
        <v>1.4440238552340052</v>
      </c>
      <c r="P23" s="54">
        <f>'R2'!P29</f>
        <v>3.131774736487237</v>
      </c>
      <c r="Q23" s="54">
        <f>'R2'!Q29</f>
        <v>9.310374822295657E-2</v>
      </c>
      <c r="R23" s="54">
        <f>'R2'!R29</f>
        <v>2.0423276639003902E-2</v>
      </c>
      <c r="S23" s="54">
        <f>'R2'!S29</f>
        <v>4.5644084393520107E-2</v>
      </c>
      <c r="T23" s="54">
        <f>'R2'!T29</f>
        <v>5.8694249308652205E-2</v>
      </c>
      <c r="U23" s="54">
        <f>'R2'!U29</f>
        <v>1.0662402869108769E-2</v>
      </c>
      <c r="V23" s="54">
        <f>'R2'!V29</f>
        <v>1.4471135654422951E-2</v>
      </c>
    </row>
    <row r="24" spans="1:22" x14ac:dyDescent="0.3">
      <c r="A24" s="226"/>
      <c r="B24" s="54">
        <f>'R2'!B30</f>
        <v>1.2569045850400239E-2</v>
      </c>
      <c r="C24" s="54">
        <f>'R2'!C30</f>
        <v>1.9420439345560449E-2</v>
      </c>
      <c r="D24" s="54">
        <f>'R2'!D30</f>
        <v>5.6302692948238246E-2</v>
      </c>
      <c r="E24" s="54">
        <f>'R2'!E30</f>
        <v>5.5105586757994547E-2</v>
      </c>
      <c r="F24" s="54">
        <f>'R2'!F30</f>
        <v>1.945514973360593</v>
      </c>
      <c r="G24" s="54">
        <f>'R2'!G30</f>
        <v>4.3350705917963701</v>
      </c>
      <c r="H24" s="54">
        <f>'R2'!H30</f>
        <v>1.2357182717770643</v>
      </c>
      <c r="I24" s="54">
        <f>'R2'!I30</f>
        <v>0.13517548561769874</v>
      </c>
      <c r="J24" s="54">
        <f>'R2'!J30</f>
        <v>2.7104684849463895E-2</v>
      </c>
      <c r="K24" s="54">
        <f>'R2'!K30</f>
        <v>3.4186393228135332E-2</v>
      </c>
      <c r="L24" s="54">
        <f>'R2'!L30</f>
        <v>4.884003540474758E-2</v>
      </c>
      <c r="M24" s="54">
        <f>'R2'!M30</f>
        <v>3.6780565977008919E-2</v>
      </c>
      <c r="O24" s="54">
        <f>'R2'!O30</f>
        <v>1.8330495976651306</v>
      </c>
      <c r="P24" s="54">
        <f>'R2'!P30</f>
        <v>2.2423995851296645</v>
      </c>
      <c r="Q24" s="54">
        <f>'R2'!Q30</f>
        <v>4.9459267513298363E-2</v>
      </c>
      <c r="R24" s="54">
        <f>'R2'!R30</f>
        <v>0.18744406350581938</v>
      </c>
      <c r="S24" s="54">
        <f>'R2'!S30</f>
        <v>0.64363334439692166</v>
      </c>
      <c r="T24" s="54">
        <f>'R2'!T30</f>
        <v>2.8650488532206472E-2</v>
      </c>
      <c r="U24" s="54">
        <f>'R2'!U30</f>
        <v>1.4223366924714827E-2</v>
      </c>
      <c r="V24" s="54">
        <f>'R2'!V30</f>
        <v>5.3157965181284281E-2</v>
      </c>
    </row>
    <row r="25" spans="1:22" x14ac:dyDescent="0.3">
      <c r="A25" s="226"/>
      <c r="B25" s="54">
        <f>'R2'!B31</f>
        <v>1.7042542516952759E-2</v>
      </c>
      <c r="C25" s="54">
        <f>'R2'!C31</f>
        <v>0.17184070443723251</v>
      </c>
      <c r="D25" s="54">
        <f>'R2'!D31</f>
        <v>4.4062234724066549E-2</v>
      </c>
      <c r="E25" s="54">
        <f>'R2'!E31</f>
        <v>0.71590516832100359</v>
      </c>
      <c r="F25" s="54">
        <f>'R2'!F31</f>
        <v>4.9380106732166649</v>
      </c>
      <c r="G25" s="54">
        <f>'R2'!G31</f>
        <v>4.1161007083131249</v>
      </c>
      <c r="H25" s="54">
        <f>'R2'!H31</f>
        <v>5.5480476402731949</v>
      </c>
      <c r="I25" s="54">
        <f>'R2'!I31</f>
        <v>4.2978578534102682E-2</v>
      </c>
      <c r="J25" s="54">
        <f>'R2'!J31</f>
        <v>0.11060767936980991</v>
      </c>
      <c r="K25" s="54">
        <f>'R2'!K31</f>
        <v>6.7798706688968383E-2</v>
      </c>
      <c r="L25" s="54">
        <f>'R2'!L31</f>
        <v>3.6256950591102011E-2</v>
      </c>
      <c r="M25" s="54">
        <f>'R2'!M31</f>
        <v>1.6342112080442499E-2</v>
      </c>
      <c r="O25" s="54">
        <f>'R2'!O31</f>
        <v>1.5617792640528836</v>
      </c>
      <c r="P25" s="54">
        <f>'R2'!P31</f>
        <v>1.8958033839403177</v>
      </c>
      <c r="Q25" s="54">
        <f>'R2'!Q31</f>
        <v>9.3749919963680827E-3</v>
      </c>
      <c r="R25" s="54">
        <f>'R2'!R31</f>
        <v>0.16620083552700038</v>
      </c>
      <c r="S25" s="54">
        <f>'R2'!S31</f>
        <v>0.20161772491201696</v>
      </c>
      <c r="T25" s="54">
        <f>'R2'!T31</f>
        <v>1.2882456219066259E-2</v>
      </c>
      <c r="U25" s="54">
        <f>'R2'!U31</f>
        <v>4.6976268176070229E-2</v>
      </c>
      <c r="V25" s="54">
        <f>'R2'!V31</f>
        <v>1.6333385157344053E-2</v>
      </c>
    </row>
    <row r="26" spans="1:22" x14ac:dyDescent="0.3">
      <c r="A26" s="226"/>
      <c r="B26" s="54">
        <f>'R2'!B32</f>
        <v>6.1342680753311797E-3</v>
      </c>
      <c r="C26" s="54">
        <f>'R2'!C32</f>
        <v>6.4951073738800727E-2</v>
      </c>
      <c r="D26" s="54">
        <f>'R2'!D32</f>
        <v>0.13234985969099672</v>
      </c>
      <c r="E26" s="54">
        <f>'R2'!E32</f>
        <v>0.62522067495351252</v>
      </c>
      <c r="F26" s="54">
        <f>'R2'!F32</f>
        <v>1.6788319658466173</v>
      </c>
      <c r="G26" s="54">
        <f>'R2'!G32</f>
        <v>4.7466448063566906</v>
      </c>
      <c r="H26" s="54">
        <f>'R2'!H32</f>
        <v>8.0706926302747011</v>
      </c>
      <c r="I26" s="54">
        <f>'R2'!I32</f>
        <v>5.6791021210312299E-2</v>
      </c>
      <c r="J26" s="54">
        <f>'R2'!J32</f>
        <v>0.10251554506891376</v>
      </c>
      <c r="K26" s="54">
        <f>'R2'!K32</f>
        <v>2.2329540188856306E-3</v>
      </c>
      <c r="L26" s="54">
        <f>'R2'!L32</f>
        <v>2.1110426975146958E-2</v>
      </c>
      <c r="M26" s="54">
        <f>'R2'!M32</f>
        <v>3.5407783030479062E-2</v>
      </c>
      <c r="O26" s="54">
        <f>'R2'!O32</f>
        <v>1.2607816154843694</v>
      </c>
      <c r="P26" s="54">
        <f>'R2'!P32</f>
        <v>1.6073391146669318</v>
      </c>
      <c r="Q26" s="54">
        <f>'R2'!Q32</f>
        <v>9.3078326316539343E-3</v>
      </c>
      <c r="R26" s="54">
        <f>'R2'!R32</f>
        <v>0.7173515609667116</v>
      </c>
      <c r="S26" s="54">
        <f>'R2'!S32</f>
        <v>6.4200937783773213E-2</v>
      </c>
      <c r="T26" s="54">
        <f>'R2'!T32</f>
        <v>2.4046088019177222E-2</v>
      </c>
      <c r="U26" s="54">
        <f>'R2'!U32</f>
        <v>8.7222181486041328E-2</v>
      </c>
      <c r="V26" s="54">
        <f>'R2'!V32</f>
        <v>0.2793028971772103</v>
      </c>
    </row>
    <row r="27" spans="1:22" x14ac:dyDescent="0.3">
      <c r="A27" s="226"/>
      <c r="B27" s="54">
        <f>'R2'!B33</f>
        <v>5.9390505999332772E-2</v>
      </c>
      <c r="C27" s="54">
        <f>'R2'!C33</f>
        <v>2.536878601575077E-2</v>
      </c>
      <c r="D27" s="54">
        <f>'R2'!D33</f>
        <v>8.3784153216691679E-2</v>
      </c>
      <c r="E27" s="54">
        <f>'R2'!E33</f>
        <v>1.0183347911405416</v>
      </c>
      <c r="F27" s="54">
        <f>'R2'!F33</f>
        <v>1.8459688587337861</v>
      </c>
      <c r="G27" s="54">
        <f>'R2'!G33</f>
        <v>2.8112208121179778</v>
      </c>
      <c r="H27" s="54">
        <f>'R2'!H33</f>
        <v>6.5098228633812525</v>
      </c>
      <c r="I27" s="54">
        <f>'R2'!I33</f>
        <v>0.14271972092058793</v>
      </c>
      <c r="J27" s="54">
        <f>'R2'!J33</f>
        <v>0.35370371090587455</v>
      </c>
      <c r="K27" s="54">
        <f>'R2'!K33</f>
        <v>2.3448483502653033E-2</v>
      </c>
      <c r="L27" s="54">
        <f>'R2'!L33</f>
        <v>3.0091569137767667E-2</v>
      </c>
      <c r="M27" s="54">
        <f>'R2'!M33</f>
        <v>5.1702845612477753E-2</v>
      </c>
      <c r="O27" s="54">
        <f>'R2'!O33</f>
        <v>0.30533606764276039</v>
      </c>
      <c r="P27" s="54">
        <f>'R2'!P33</f>
        <v>0.60959910317585064</v>
      </c>
      <c r="Q27" s="54">
        <f>'R2'!Q33</f>
        <v>5.3768090935297545E-2</v>
      </c>
      <c r="R27" s="54">
        <f>'R2'!R33</f>
        <v>4.3558729204429974E-4</v>
      </c>
      <c r="S27" s="54">
        <f>'R2'!S33</f>
        <v>0.13843783713076221</v>
      </c>
      <c r="T27" s="54">
        <f>'R2'!T33</f>
        <v>1.1776034142758613E-2</v>
      </c>
      <c r="U27" s="54">
        <f>'R2'!U33</f>
        <v>4.1282140570052103E-3</v>
      </c>
      <c r="V27" s="54">
        <f>'R2'!V33</f>
        <v>7.0162943985769805E-2</v>
      </c>
    </row>
    <row r="28" spans="1:22" x14ac:dyDescent="0.3">
      <c r="A28" s="226"/>
      <c r="B28" s="54">
        <f>'R2'!B34</f>
        <v>2.928831278127134E-3</v>
      </c>
      <c r="C28" s="54">
        <f>'R2'!C34</f>
        <v>0.24257165728727959</v>
      </c>
      <c r="D28" s="54">
        <f>'R2'!D34</f>
        <v>0.34285121288579523</v>
      </c>
      <c r="E28" s="54">
        <f>'R2'!E34</f>
        <v>0.31738529242164432</v>
      </c>
      <c r="F28" s="54">
        <f>'R2'!F34</f>
        <v>1.1681218020451165</v>
      </c>
      <c r="G28" s="54">
        <f>'R2'!G34</f>
        <v>0.92069190461207451</v>
      </c>
      <c r="H28" s="54">
        <f>'R2'!H34</f>
        <v>3.9021613268489763</v>
      </c>
      <c r="I28" s="54">
        <f>'R2'!I34</f>
        <v>2.9710240541509371E-2</v>
      </c>
      <c r="J28" s="54">
        <f>'R2'!J34</f>
        <v>1.1865579962377476E-2</v>
      </c>
      <c r="K28" s="54">
        <f>'R2'!K34</f>
        <v>6.635459063189468E-2</v>
      </c>
      <c r="L28" s="54">
        <f>'R2'!L34</f>
        <v>7.3507632121109959E-2</v>
      </c>
      <c r="M28" s="54">
        <f>'R2'!M34</f>
        <v>1.7459917099922038E-2</v>
      </c>
      <c r="O28" s="54">
        <f>'R2'!O34</f>
        <v>0.29502501828622391</v>
      </c>
      <c r="P28" s="54">
        <f>'R2'!P34</f>
        <v>0.77043553701737866</v>
      </c>
      <c r="Q28" s="54">
        <f>'R2'!Q34</f>
        <v>1.0589931464247741E-2</v>
      </c>
      <c r="R28" s="54">
        <f>'R2'!R34</f>
        <v>7.3093292989653183E-2</v>
      </c>
      <c r="S28" s="54">
        <f>'R2'!S34</f>
        <v>7.8255078286665961E-2</v>
      </c>
      <c r="T28" s="54">
        <f>'R2'!T34</f>
        <v>2.6448647891324006E-2</v>
      </c>
      <c r="U28" s="54">
        <f>'R2'!U34</f>
        <v>2.0340181153849109E-2</v>
      </c>
      <c r="V28" s="54">
        <f>'R2'!V34</f>
        <v>6.5944045814828545E-2</v>
      </c>
    </row>
    <row r="29" spans="1:22" x14ac:dyDescent="0.3">
      <c r="A29" s="226"/>
      <c r="B29" s="54">
        <f>'R2'!B35</f>
        <v>1.0766367083412026E-2</v>
      </c>
      <c r="C29" s="54">
        <f>'R2'!C35</f>
        <v>2.5372200898702336E-2</v>
      </c>
      <c r="D29" s="54">
        <f>'R2'!D35</f>
        <v>0.14315113446680255</v>
      </c>
      <c r="E29" s="54">
        <f>'R2'!E35</f>
        <v>2.620442684557112</v>
      </c>
      <c r="F29" s="54">
        <f>'R2'!F35</f>
        <v>2.2260415369287814</v>
      </c>
      <c r="G29" s="54">
        <f>'R2'!G35</f>
        <v>2.1080281147313404</v>
      </c>
      <c r="H29" s="54">
        <f>'R2'!H35</f>
        <v>4.40471105869055</v>
      </c>
      <c r="I29" s="54">
        <f>'R2'!I35</f>
        <v>6.9947047496942971E-2</v>
      </c>
      <c r="J29" s="54">
        <f>'R2'!J35</f>
        <v>0.13548206622046161</v>
      </c>
      <c r="K29" s="54">
        <f>'R2'!K35</f>
        <v>4.3842923352288149E-2</v>
      </c>
      <c r="L29" s="54">
        <f>'R2'!L35</f>
        <v>9.9798436533783771E-2</v>
      </c>
      <c r="M29" s="54" t="str">
        <f>'R2'!M35</f>
        <v/>
      </c>
      <c r="O29" s="54">
        <f>'R2'!O35</f>
        <v>0.60381429145589649</v>
      </c>
      <c r="P29" s="54">
        <f>'R2'!P35</f>
        <v>1.2826971959732079</v>
      </c>
      <c r="Q29" s="54">
        <f>'R2'!Q35</f>
        <v>4.6374110482277275E-3</v>
      </c>
      <c r="R29" s="54">
        <f>'R2'!R35</f>
        <v>0.26511899112215803</v>
      </c>
      <c r="S29" s="54">
        <f>'R2'!S35</f>
        <v>9.2797926483071808E-2</v>
      </c>
      <c r="T29" s="54">
        <f>'R2'!T35</f>
        <v>0.13323621153264784</v>
      </c>
      <c r="U29" s="54">
        <f>'R2'!U35</f>
        <v>7.5485987644384328E-2</v>
      </c>
      <c r="V29" s="54">
        <f>'R2'!V35</f>
        <v>1.7989982820293019E-2</v>
      </c>
    </row>
    <row r="30" spans="1:22" x14ac:dyDescent="0.3">
      <c r="A30" s="226"/>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3.2428866802395616E-2</v>
      </c>
      <c r="P30" s="54" t="str">
        <f>'R2'!P36</f>
        <v/>
      </c>
      <c r="Q30" s="54" t="str">
        <f>'R2'!Q36</f>
        <v/>
      </c>
      <c r="R30" s="54" t="str">
        <f>'R2'!R36</f>
        <v/>
      </c>
      <c r="S30" s="54" t="str">
        <f>'R2'!S36</f>
        <v/>
      </c>
      <c r="T30" s="54" t="str">
        <f>'R2'!T36</f>
        <v/>
      </c>
      <c r="U30" s="54" t="str">
        <f>'R2'!U36</f>
        <v/>
      </c>
      <c r="V30" s="54" t="str">
        <f>'R2'!V36</f>
        <v/>
      </c>
    </row>
    <row r="31" spans="1:22" s="1" customFormat="1" x14ac:dyDescent="0.3">
      <c r="A31" s="226"/>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0.68526114700796015</v>
      </c>
      <c r="P31" s="54" t="str">
        <f>'R2'!P37</f>
        <v/>
      </c>
      <c r="Q31" s="54" t="str">
        <f>'R2'!Q37</f>
        <v/>
      </c>
      <c r="R31" s="54" t="str">
        <f>'R2'!R37</f>
        <v/>
      </c>
      <c r="S31" s="54" t="str">
        <f>'R2'!S37</f>
        <v/>
      </c>
      <c r="T31" s="54" t="str">
        <f>'R2'!T37</f>
        <v/>
      </c>
      <c r="U31" s="54" t="str">
        <f>'R2'!U37</f>
        <v/>
      </c>
      <c r="V31" s="54" t="str">
        <f>'R2'!V37</f>
        <v/>
      </c>
    </row>
    <row r="32" spans="1:22" s="1" customFormat="1" x14ac:dyDescent="0.3">
      <c r="A32" s="226"/>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1.0675595700244989</v>
      </c>
      <c r="P32" s="54" t="str">
        <f>'R2'!P38</f>
        <v/>
      </c>
      <c r="Q32" s="54" t="str">
        <f>'R2'!Q38</f>
        <v/>
      </c>
      <c r="R32" s="54" t="str">
        <f>'R2'!R38</f>
        <v/>
      </c>
      <c r="S32" s="54" t="str">
        <f>'R2'!S38</f>
        <v/>
      </c>
      <c r="T32" s="54" t="str">
        <f>'R2'!T38</f>
        <v/>
      </c>
      <c r="U32" s="54" t="str">
        <f>'R2'!U38</f>
        <v/>
      </c>
      <c r="V32" s="54" t="str">
        <f>'R2'!V38</f>
        <v/>
      </c>
    </row>
    <row r="33" spans="1:22" s="1" customFormat="1" x14ac:dyDescent="0.3">
      <c r="A33" s="226"/>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0.40605424598483281</v>
      </c>
      <c r="P33" s="54" t="str">
        <f>'R2'!P39</f>
        <v/>
      </c>
      <c r="Q33" s="54" t="str">
        <f>'R2'!Q39</f>
        <v/>
      </c>
      <c r="R33" s="54" t="str">
        <f>'R2'!R39</f>
        <v/>
      </c>
      <c r="S33" s="54" t="str">
        <f>'R2'!S39</f>
        <v/>
      </c>
      <c r="T33" s="54" t="str">
        <f>'R2'!T39</f>
        <v/>
      </c>
      <c r="U33" s="54" t="str">
        <f>'R2'!U39</f>
        <v/>
      </c>
      <c r="V33" s="54" t="str">
        <f>'R2'!V39</f>
        <v/>
      </c>
    </row>
    <row r="34" spans="1:22" s="1" customFormat="1" x14ac:dyDescent="0.3">
      <c r="A34" s="226"/>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0.31498766515820537</v>
      </c>
      <c r="P34" s="54" t="str">
        <f>'R2'!P40</f>
        <v/>
      </c>
      <c r="Q34" s="54" t="str">
        <f>'R2'!Q40</f>
        <v/>
      </c>
      <c r="R34" s="54" t="str">
        <f>'R2'!R40</f>
        <v/>
      </c>
      <c r="S34" s="54" t="str">
        <f>'R2'!S40</f>
        <v/>
      </c>
      <c r="T34" s="54" t="str">
        <f>'R2'!T40</f>
        <v/>
      </c>
      <c r="U34" s="54" t="str">
        <f>'R2'!U40</f>
        <v/>
      </c>
      <c r="V34" s="54" t="str">
        <f>'R2'!V40</f>
        <v/>
      </c>
    </row>
    <row r="35" spans="1:22" s="1" customFormat="1" x14ac:dyDescent="0.3">
      <c r="A35" s="226"/>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2.1151796384947992</v>
      </c>
      <c r="P35" s="54" t="str">
        <f>'R2'!P41</f>
        <v/>
      </c>
      <c r="Q35" s="54" t="str">
        <f>'R2'!Q41</f>
        <v/>
      </c>
      <c r="R35" s="54" t="str">
        <f>'R2'!R41</f>
        <v/>
      </c>
      <c r="S35" s="54" t="str">
        <f>'R2'!S41</f>
        <v/>
      </c>
      <c r="T35" s="54" t="str">
        <f>'R2'!T41</f>
        <v/>
      </c>
      <c r="U35" s="54" t="str">
        <f>'R2'!U41</f>
        <v/>
      </c>
      <c r="V35" s="54" t="str">
        <f>'R2'!V41</f>
        <v/>
      </c>
    </row>
    <row r="36" spans="1:22" x14ac:dyDescent="0.3">
      <c r="A36" s="226"/>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0.67528855049506786</v>
      </c>
      <c r="P36" s="54" t="str">
        <f>'R2'!P42</f>
        <v/>
      </c>
      <c r="Q36" s="54" t="str">
        <f>'R2'!Q42</f>
        <v/>
      </c>
      <c r="R36" s="54" t="str">
        <f>'R2'!R42</f>
        <v/>
      </c>
      <c r="S36" s="54" t="str">
        <f>'R2'!S42</f>
        <v/>
      </c>
      <c r="T36" s="54" t="str">
        <f>'R2'!T42</f>
        <v/>
      </c>
      <c r="U36" s="54" t="str">
        <f>'R2'!U42</f>
        <v/>
      </c>
      <c r="V36" s="54" t="str">
        <f>'R2'!V42</f>
        <v/>
      </c>
    </row>
    <row r="37" spans="1:22" x14ac:dyDescent="0.3">
      <c r="A37" s="227"/>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1.4510934218066267</v>
      </c>
      <c r="P37" s="54" t="str">
        <f>'R2'!P43</f>
        <v/>
      </c>
      <c r="Q37" s="54" t="str">
        <f>'R2'!Q43</f>
        <v/>
      </c>
      <c r="R37" s="54" t="str">
        <f>'R2'!R43</f>
        <v/>
      </c>
      <c r="S37" s="54" t="str">
        <f>'R2'!S43</f>
        <v/>
      </c>
      <c r="T37" s="54" t="str">
        <f>'R2'!T43</f>
        <v/>
      </c>
      <c r="U37" s="54" t="str">
        <f>'R2'!U43</f>
        <v/>
      </c>
      <c r="V37" s="54" t="str">
        <f>'R2'!V43</f>
        <v/>
      </c>
    </row>
    <row r="38" spans="1:22" s="1" customFormat="1" x14ac:dyDescent="0.3">
      <c r="A38" s="154" t="s">
        <v>116</v>
      </c>
      <c r="B38" s="155">
        <f>'R3'!B28</f>
        <v>4.2775984281869213E-3</v>
      </c>
      <c r="C38" s="155">
        <f>'R3'!C28</f>
        <v>1.4440300426363493E-3</v>
      </c>
      <c r="D38" s="155">
        <f>'R3'!D28</f>
        <v>1.7437343911080445E-2</v>
      </c>
      <c r="E38" s="155">
        <f>'R3'!E28</f>
        <v>2.6717280373758569E-2</v>
      </c>
      <c r="F38" s="155">
        <f>'R3'!F28</f>
        <v>2.2178121786905439E-2</v>
      </c>
      <c r="G38" s="155">
        <f>'R3'!G28</f>
        <v>5.7107301308788458E-3</v>
      </c>
      <c r="H38" s="155">
        <f>'R3'!H28</f>
        <v>4.9023430409161142</v>
      </c>
      <c r="I38" s="155">
        <f>'R3'!I28</f>
        <v>1.5121446672890072E-3</v>
      </c>
      <c r="J38" s="155">
        <f>'R3'!J28</f>
        <v>9.1753123992116409E-2</v>
      </c>
      <c r="K38" s="155">
        <f>'R3'!K28</f>
        <v>3.3724912958024024E-2</v>
      </c>
      <c r="L38" s="155">
        <f>'R3'!L28</f>
        <v>2.6183261716481729E-3</v>
      </c>
      <c r="M38" s="155">
        <f>'R3'!M28</f>
        <v>2.0706845894408028E-4</v>
      </c>
      <c r="N38"/>
      <c r="O38" s="155">
        <f>'R3'!O28</f>
        <v>1.4644644300321467E-2</v>
      </c>
      <c r="P38" s="155">
        <f>'R3'!P28</f>
        <v>11.547837411753246</v>
      </c>
      <c r="Q38" s="155">
        <f>'R3'!Q28</f>
        <v>7.908107922173592E-2</v>
      </c>
      <c r="R38" s="155">
        <f>'R3'!R28</f>
        <v>0.62159771707024014</v>
      </c>
      <c r="S38" s="155">
        <f>'R3'!S28</f>
        <v>1.3143397972976884E-2</v>
      </c>
      <c r="T38" s="155">
        <f>'R3'!T28</f>
        <v>2.4624799104428916E-2</v>
      </c>
      <c r="U38" s="155">
        <f>'R3'!U28</f>
        <v>4.3075688630340907E-3</v>
      </c>
      <c r="V38" s="155">
        <f>'R3'!V28</f>
        <v>1.5197735052501049E-2</v>
      </c>
    </row>
    <row r="39" spans="1:22" s="1" customFormat="1" x14ac:dyDescent="0.3">
      <c r="A39" s="225" t="s">
        <v>34</v>
      </c>
      <c r="B39" s="155">
        <f>'R3'!B29</f>
        <v>0.19348095361836806</v>
      </c>
      <c r="C39" s="155">
        <f>'R3'!C29</f>
        <v>2.2178121786905441E-3</v>
      </c>
      <c r="D39" s="155">
        <f>'R3'!D29</f>
        <v>4.6435101918210001E-2</v>
      </c>
      <c r="E39" s="155">
        <f>'R3'!E29</f>
        <v>1.7982260908301708E-3</v>
      </c>
      <c r="F39" s="155">
        <f>'R3'!F29</f>
        <v>4.206759218548157E-3</v>
      </c>
      <c r="G39" s="155">
        <f>'R3'!G29</f>
        <v>8.4734593067906528E-3</v>
      </c>
      <c r="H39" s="155">
        <f>'R3'!H29</f>
        <v>3.3279334329396195</v>
      </c>
      <c r="I39" s="155">
        <f>'R3'!I29</f>
        <v>1.6421073711262786E-2</v>
      </c>
      <c r="J39" s="155">
        <f>'R3'!J29</f>
        <v>1.4982492838598651E-2</v>
      </c>
      <c r="K39" s="155">
        <f>'R3'!K29</f>
        <v>7.9639619143887716E-3</v>
      </c>
      <c r="L39" s="155">
        <f>'R3'!L29</f>
        <v>6.6289152711966753E-2</v>
      </c>
      <c r="M39" s="155">
        <f>'R3'!M29</f>
        <v>4.5609552667419791E-2</v>
      </c>
      <c r="N39"/>
      <c r="O39" s="155">
        <f>'R3'!O29</f>
        <v>1.2385963346839328E-2</v>
      </c>
      <c r="P39" s="155">
        <f>'R3'!P29</f>
        <v>27.492893430923427</v>
      </c>
      <c r="Q39" s="155">
        <f>'R3'!Q29</f>
        <v>1.6489188335915447E-2</v>
      </c>
      <c r="R39" s="155">
        <f>'R3'!R29</f>
        <v>2.3872813648263571E-2</v>
      </c>
      <c r="S39" s="155">
        <f>'R3'!S29</f>
        <v>2.5474869620094086E-3</v>
      </c>
      <c r="T39" s="155">
        <f>'R3'!T29</f>
        <v>9.6641029457191149E-2</v>
      </c>
      <c r="U39" s="155">
        <f>'R3'!U29</f>
        <v>3.0616161488876713E-2</v>
      </c>
      <c r="V39" s="155">
        <f>'R3'!V29</f>
        <v>3.650943881382468E-4</v>
      </c>
    </row>
    <row r="40" spans="1:22" s="1" customFormat="1" x14ac:dyDescent="0.3">
      <c r="A40" s="226"/>
      <c r="B40" s="155">
        <f>'R3'!B30</f>
        <v>5.1303935288381994E-3</v>
      </c>
      <c r="C40" s="155">
        <f>'R3'!C30</f>
        <v>1.288728698428289E-3</v>
      </c>
      <c r="D40" s="155">
        <f>'R3'!D30</f>
        <v>2.0930261863268747E-2</v>
      </c>
      <c r="E40" s="155">
        <f>'R3'!E30</f>
        <v>2.0502502020450054E-2</v>
      </c>
      <c r="F40" s="155">
        <f>'R3'!F30</f>
        <v>5.6943826209622072E-4</v>
      </c>
      <c r="G40" s="155">
        <f>'R3'!G30</f>
        <v>0.30504725962944962</v>
      </c>
      <c r="H40" s="155">
        <f>'R3'!H30</f>
        <v>6.9542388922927278</v>
      </c>
      <c r="I40" s="155">
        <f>'R3'!I30</f>
        <v>6.2333055312140374E-2</v>
      </c>
      <c r="J40" s="155">
        <f>'R3'!J30</f>
        <v>3.7651039923003227E-2</v>
      </c>
      <c r="K40" s="155">
        <f>'R3'!K30</f>
        <v>1.0503275121439861E-2</v>
      </c>
      <c r="L40" s="155">
        <f>'R3'!L30</f>
        <v>9.5194274829568701E-2</v>
      </c>
      <c r="M40" s="155">
        <f>'R3'!M30</f>
        <v>0</v>
      </c>
      <c r="N40"/>
      <c r="O40" s="155">
        <f>'R3'!O30</f>
        <v>1.3680958590735661</v>
      </c>
      <c r="P40" s="155">
        <f>'R3'!P30</f>
        <v>8.7502199250943473</v>
      </c>
      <c r="Q40" s="155">
        <f>'R3'!Q30</f>
        <v>0.17774647532360408</v>
      </c>
      <c r="R40" s="155">
        <f>'R3'!R30</f>
        <v>4.6988192670389582E-2</v>
      </c>
      <c r="S40" s="155">
        <f>'R3'!S30</f>
        <v>1.2437730461575348E-2</v>
      </c>
      <c r="T40" s="155">
        <f>'R3'!T30</f>
        <v>3.4095456516134479E-2</v>
      </c>
      <c r="U40" s="155">
        <f>'R3'!U30</f>
        <v>4.9571099237218377E-2</v>
      </c>
      <c r="V40" s="155">
        <f>'R3'!V30</f>
        <v>3.6449497944130341E-2</v>
      </c>
    </row>
    <row r="41" spans="1:22" s="1" customFormat="1" x14ac:dyDescent="0.3">
      <c r="A41" s="226"/>
      <c r="B41" s="155">
        <f>'R3'!B31</f>
        <v>4.7116248164736585E-2</v>
      </c>
      <c r="C41" s="155">
        <f>'R3'!C31</f>
        <v>2.8526404804533165E-3</v>
      </c>
      <c r="D41" s="155">
        <f>'R3'!D31</f>
        <v>9.5169753564693736E-3</v>
      </c>
      <c r="E41" s="155">
        <f>'R3'!E31</f>
        <v>1.4633745960377042E-2</v>
      </c>
      <c r="F41" s="155">
        <f>'R3'!F31</f>
        <v>3.6836389012157439E-3</v>
      </c>
      <c r="G41" s="155">
        <f>'R3'!G31</f>
        <v>0.12504210335236343</v>
      </c>
      <c r="H41" s="155">
        <f>'R3'!H31</f>
        <v>4.9058986243229832</v>
      </c>
      <c r="I41" s="155">
        <f>'R3'!I31</f>
        <v>1.0492376781495436E-2</v>
      </c>
      <c r="J41" s="155">
        <f>'R3'!J31</f>
        <v>1.200724603377055E-2</v>
      </c>
      <c r="K41" s="155">
        <f>'R3'!K31</f>
        <v>6.964039224487753E-2</v>
      </c>
      <c r="L41" s="155">
        <f>'R3'!L31</f>
        <v>4.9314988248524386E-4</v>
      </c>
      <c r="M41" s="155">
        <f>'R3'!M31</f>
        <v>1.9219222491993978E-2</v>
      </c>
      <c r="N41"/>
      <c r="O41" s="155">
        <f>'R3'!O31</f>
        <v>1.5652740745180804E-2</v>
      </c>
      <c r="P41" s="155">
        <f>'R3'!P31</f>
        <v>6.8959954390447331</v>
      </c>
      <c r="Q41" s="155">
        <f>'R3'!Q31</f>
        <v>1.1432358601702117E-2</v>
      </c>
      <c r="R41" s="155">
        <f>'R3'!R31</f>
        <v>4.2628856692619475E-2</v>
      </c>
      <c r="S41" s="155">
        <f>'R3'!S31</f>
        <v>0.51276689438520928</v>
      </c>
      <c r="T41" s="155">
        <f>'R3'!T31</f>
        <v>2.5992540767454286E-3</v>
      </c>
      <c r="U41" s="155">
        <f>'R3'!U31</f>
        <v>9.1655038932616593E-3</v>
      </c>
      <c r="V41" s="155">
        <f>'R3'!V31</f>
        <v>3.3539641178968793E-2</v>
      </c>
    </row>
    <row r="42" spans="1:22" s="1" customFormat="1" x14ac:dyDescent="0.3">
      <c r="A42" s="226"/>
      <c r="B42" s="155">
        <f>'R3'!B32</f>
        <v>0.10348791152727634</v>
      </c>
      <c r="C42" s="155">
        <f>'R3'!C32</f>
        <v>0</v>
      </c>
      <c r="D42" s="155">
        <f>'R3'!D32</f>
        <v>9.9365614443297466E-3</v>
      </c>
      <c r="E42" s="155">
        <f>'R3'!E32</f>
        <v>5.5527042016846788E-3</v>
      </c>
      <c r="F42" s="155">
        <f>'R3'!F32</f>
        <v>4.7535834252596956E-2</v>
      </c>
      <c r="G42" s="155">
        <f>'R3'!G32</f>
        <v>1.3609302005601065E-2</v>
      </c>
      <c r="H42" s="155">
        <f>'R3'!H32</f>
        <v>0.59856407559769731</v>
      </c>
      <c r="I42" s="155">
        <f>'R3'!I32</f>
        <v>5.3592586676711306E-3</v>
      </c>
      <c r="J42" s="155">
        <f>'R3'!J32</f>
        <v>0.1375751942884525</v>
      </c>
      <c r="K42" s="155">
        <f>'R3'!K32</f>
        <v>3.6822766087226906E-2</v>
      </c>
      <c r="L42" s="155">
        <f>'R3'!L32</f>
        <v>1.0110934883440552E-2</v>
      </c>
      <c r="M42" s="155">
        <f>'R3'!M32</f>
        <v>2.903317761194894E-2</v>
      </c>
      <c r="N42"/>
      <c r="O42" s="155">
        <f>'R3'!O32</f>
        <v>6.4657126305289067E-2</v>
      </c>
      <c r="P42" s="155">
        <f>'R3'!P32</f>
        <v>16.034948251616786</v>
      </c>
      <c r="Q42" s="155">
        <f>'R3'!Q32</f>
        <v>1.6628142170206868E-2</v>
      </c>
      <c r="R42" s="155">
        <f>'R3'!R32</f>
        <v>0.27534655869590463</v>
      </c>
      <c r="S42" s="155">
        <f>'R3'!S32</f>
        <v>1.8795876476852778</v>
      </c>
      <c r="T42" s="155">
        <f>'R3'!T32</f>
        <v>3.7433073124114723E-2</v>
      </c>
      <c r="U42" s="155">
        <f>'R3'!U32</f>
        <v>0.53566430660844677</v>
      </c>
      <c r="V42" s="155">
        <f>'R3'!V32</f>
        <v>2.5643793889232679E-2</v>
      </c>
    </row>
    <row r="43" spans="1:22" s="1" customFormat="1" x14ac:dyDescent="0.3">
      <c r="A43" s="226"/>
      <c r="B43" s="155">
        <f>'R3'!B33</f>
        <v>9.3747520201946238E-2</v>
      </c>
      <c r="C43" s="155">
        <f>'R3'!C33</f>
        <v>3.1504376194347372E-2</v>
      </c>
      <c r="D43" s="155">
        <f>'R3'!D33</f>
        <v>5.8088151903786731E-3</v>
      </c>
      <c r="E43" s="155">
        <f>'R3'!E33</f>
        <v>3.5119900470910459E-3</v>
      </c>
      <c r="F43" s="155">
        <f>'R3'!F33</f>
        <v>3.3041042126511336E-2</v>
      </c>
      <c r="G43" s="155">
        <f>'R3'!G33</f>
        <v>6.5253810417246353E-3</v>
      </c>
      <c r="H43" s="155">
        <f>'R3'!H33</f>
        <v>3.4602229323550259E-3</v>
      </c>
      <c r="I43" s="155">
        <f>'R3'!I33</f>
        <v>8.6205868960403942E-3</v>
      </c>
      <c r="J43" s="155">
        <f>'R3'!J33</f>
        <v>3.2046568606582532E-2</v>
      </c>
      <c r="K43" s="155">
        <f>'R3'!K33</f>
        <v>1.2454077971491987E-2</v>
      </c>
      <c r="L43" s="155">
        <f>'R3'!L33</f>
        <v>8.0010162701998178E-2</v>
      </c>
      <c r="M43" s="155">
        <f>'R3'!M33</f>
        <v>5.2938686280045791E-3</v>
      </c>
      <c r="N43"/>
      <c r="O43" s="155">
        <f>'R3'!O33</f>
        <v>2.4344166850859963E-2</v>
      </c>
      <c r="P43" s="155">
        <f>'R3'!P33</f>
        <v>17.282156999441799</v>
      </c>
      <c r="Q43" s="155">
        <f>'R3'!Q33</f>
        <v>0.22963619638399893</v>
      </c>
      <c r="R43" s="155">
        <f>'R3'!R33</f>
        <v>1.3844270214802874</v>
      </c>
      <c r="S43" s="155">
        <f>'R3'!S33</f>
        <v>0.11339722712174502</v>
      </c>
      <c r="T43" s="155">
        <f>'R3'!T33</f>
        <v>0.13081004976795049</v>
      </c>
      <c r="U43" s="155">
        <f>'R3'!U33</f>
        <v>0</v>
      </c>
      <c r="V43" s="155">
        <f>'R3'!V33</f>
        <v>3.1646054613624901E-2</v>
      </c>
    </row>
    <row r="44" spans="1:22" s="1" customFormat="1" x14ac:dyDescent="0.3">
      <c r="A44" s="226"/>
      <c r="B44" s="155">
        <f>'R3'!B34</f>
        <v>1.4554732995779959E-2</v>
      </c>
      <c r="C44" s="155">
        <f>'R3'!C34</f>
        <v>8.0868406972621668E-2</v>
      </c>
      <c r="D44" s="155">
        <f>'R3'!D34</f>
        <v>7.4926087117923787E-4</v>
      </c>
      <c r="E44" s="155">
        <f>'R3'!E34</f>
        <v>5.7216284708232711E-4</v>
      </c>
      <c r="F44" s="155">
        <f>'R3'!F34</f>
        <v>1.4413054576502429E-3</v>
      </c>
      <c r="G44" s="155">
        <f>'R3'!G34</f>
        <v>2.9548124174323034E-2</v>
      </c>
      <c r="H44" s="155">
        <f>'R3'!H34</f>
        <v>7.6351045065657388</v>
      </c>
      <c r="I44" s="155">
        <f>'R3'!I34</f>
        <v>1.5639117820250275E-2</v>
      </c>
      <c r="J44" s="155">
        <f>'R3'!J34</f>
        <v>0.11707541685298854</v>
      </c>
      <c r="K44" s="155">
        <f>'R3'!K34</f>
        <v>1.5339413471778578E-2</v>
      </c>
      <c r="L44" s="155">
        <f>'R3'!L34</f>
        <v>6.2175029382946206E-3</v>
      </c>
      <c r="M44" s="155">
        <f>'R3'!M34</f>
        <v>1.2276979947395076E-2</v>
      </c>
      <c r="N44"/>
      <c r="O44" s="155">
        <f>'R3'!O34</f>
        <v>2.1172749927032209E-2</v>
      </c>
      <c r="P44" s="155">
        <f>'R3'!P34</f>
        <v>13.445919542324214</v>
      </c>
      <c r="Q44" s="155">
        <f>'R3'!Q34</f>
        <v>2.550211546995515E-3</v>
      </c>
      <c r="R44" s="155">
        <f>'R3'!R34</f>
        <v>4.201037590077334E-2</v>
      </c>
      <c r="S44" s="155">
        <f>'R3'!S34</f>
        <v>5.9417749377006612E-2</v>
      </c>
      <c r="T44" s="155">
        <f>'R3'!T34</f>
        <v>1.3078007933310333E-3</v>
      </c>
      <c r="U44" s="155">
        <f>'R3'!U34</f>
        <v>2.5523912149844001E-2</v>
      </c>
      <c r="V44" s="155">
        <f>'R3'!V34</f>
        <v>0.11366423645038344</v>
      </c>
    </row>
    <row r="45" spans="1:22" s="1" customFormat="1" x14ac:dyDescent="0.3">
      <c r="A45" s="226"/>
      <c r="B45" s="155" t="str">
        <f>'R3'!B35</f>
        <v/>
      </c>
      <c r="C45" s="155">
        <f>'R3'!C35</f>
        <v>1.1582210775937964E-2</v>
      </c>
      <c r="D45" s="155">
        <f>'R3'!D35</f>
        <v>7.4462907670285712E-3</v>
      </c>
      <c r="E45" s="155">
        <f>'R3'!E35</f>
        <v>2.205279087754455E-2</v>
      </c>
      <c r="F45" s="155">
        <f>'R3'!F35</f>
        <v>8.7876039556887123E-2</v>
      </c>
      <c r="G45" s="155">
        <f>'R3'!G35</f>
        <v>4.2558017482980711E-3</v>
      </c>
      <c r="H45" s="155">
        <f>'R3'!H35</f>
        <v>2.2079464564558529</v>
      </c>
      <c r="I45" s="155">
        <f>'R3'!I35</f>
        <v>0.12783752754810851</v>
      </c>
      <c r="J45" s="155">
        <f>'R3'!J35</f>
        <v>9.318080652483613E-4</v>
      </c>
      <c r="K45" s="155">
        <f>'R3'!K35</f>
        <v>7.0724777069347836E-2</v>
      </c>
      <c r="L45" s="155">
        <f>'R3'!L35</f>
        <v>0.13172006115331</v>
      </c>
      <c r="M45" s="155">
        <f>'R3'!M35</f>
        <v>0.10364593745647049</v>
      </c>
      <c r="N45"/>
      <c r="O45" s="155">
        <f>'R3'!O35</f>
        <v>1.2247990363142904</v>
      </c>
      <c r="P45" s="155">
        <f>'R3'!P35</f>
        <v>20.884219101588535</v>
      </c>
      <c r="Q45" s="155">
        <f>'R3'!Q35</f>
        <v>0.11222020640774709</v>
      </c>
      <c r="R45" s="155" t="str">
        <f>'R3'!R35</f>
        <v/>
      </c>
      <c r="S45" s="155">
        <f>'R3'!S35</f>
        <v>2.2641301234543514E-3</v>
      </c>
      <c r="T45" s="155">
        <f>'R3'!T35</f>
        <v>6.8114624652657987E-5</v>
      </c>
      <c r="U45" s="155">
        <f>'R3'!U35</f>
        <v>1.7925044623593477E-2</v>
      </c>
      <c r="V45" s="155">
        <f>'R3'!V35</f>
        <v>7.596142941264419E-3</v>
      </c>
    </row>
    <row r="46" spans="1:22" s="1" customFormat="1" x14ac:dyDescent="0.3">
      <c r="A46" s="226"/>
      <c r="B46" s="155" t="str">
        <f>'R3'!B36</f>
        <v/>
      </c>
      <c r="C46" s="155" t="str">
        <f>'R3'!C36</f>
        <v/>
      </c>
      <c r="D46" s="155" t="str">
        <f>'R3'!D36</f>
        <v/>
      </c>
      <c r="E46" s="155" t="str">
        <f>'R3'!E36</f>
        <v/>
      </c>
      <c r="F46" s="155" t="str">
        <f>'R3'!F36</f>
        <v/>
      </c>
      <c r="G46" s="155" t="str">
        <f>'R3'!G36</f>
        <v/>
      </c>
      <c r="H46" s="155" t="str">
        <f>'R3'!H36</f>
        <v/>
      </c>
      <c r="I46" s="155" t="str">
        <f>'R3'!I36</f>
        <v/>
      </c>
      <c r="J46" s="155" t="str">
        <f>'R3'!J36</f>
        <v/>
      </c>
      <c r="K46" s="155" t="str">
        <f>'R3'!K36</f>
        <v/>
      </c>
      <c r="L46" s="155" t="str">
        <f>'R3'!L36</f>
        <v/>
      </c>
      <c r="M46" s="155" t="str">
        <f>'R3'!M36</f>
        <v/>
      </c>
      <c r="N46"/>
      <c r="O46" s="155">
        <f>'R3'!O36</f>
        <v>2.1025458862683299</v>
      </c>
      <c r="P46" s="155" t="str">
        <f>'R3'!P36</f>
        <v/>
      </c>
      <c r="Q46" s="155" t="str">
        <f>'R3'!Q36</f>
        <v/>
      </c>
      <c r="R46" s="155" t="str">
        <f>'R3'!R36</f>
        <v/>
      </c>
      <c r="S46" s="155" t="str">
        <f>'R3'!S36</f>
        <v/>
      </c>
      <c r="T46" s="155" t="str">
        <f>'R3'!T36</f>
        <v/>
      </c>
      <c r="U46" s="155" t="str">
        <f>'R3'!U36</f>
        <v/>
      </c>
      <c r="V46" s="155" t="str">
        <f>'R3'!V36</f>
        <v/>
      </c>
    </row>
    <row r="47" spans="1:22" s="1" customFormat="1" x14ac:dyDescent="0.3">
      <c r="A47" s="226"/>
      <c r="B47" s="155" t="str">
        <f>'R3'!B37</f>
        <v/>
      </c>
      <c r="C47" s="155" t="str">
        <f>'R3'!C37</f>
        <v/>
      </c>
      <c r="D47" s="155" t="str">
        <f>'R3'!D37</f>
        <v/>
      </c>
      <c r="E47" s="155" t="str">
        <f>'R3'!E37</f>
        <v/>
      </c>
      <c r="F47" s="155" t="str">
        <f>'R3'!F37</f>
        <v/>
      </c>
      <c r="G47" s="155" t="str">
        <f>'R3'!G37</f>
        <v/>
      </c>
      <c r="H47" s="155" t="str">
        <f>'R3'!H37</f>
        <v/>
      </c>
      <c r="I47" s="155" t="str">
        <f>'R3'!I37</f>
        <v/>
      </c>
      <c r="J47" s="155" t="str">
        <f>'R3'!J37</f>
        <v/>
      </c>
      <c r="K47" s="155" t="str">
        <f>'R3'!K37</f>
        <v/>
      </c>
      <c r="L47" s="155" t="str">
        <f>'R3'!L37</f>
        <v/>
      </c>
      <c r="M47" s="155" t="str">
        <f>'R3'!M37</f>
        <v/>
      </c>
      <c r="N47"/>
      <c r="O47" s="155">
        <f>'R3'!O37</f>
        <v>2.1002899298998341</v>
      </c>
      <c r="P47" s="155" t="str">
        <f>'R3'!P37</f>
        <v/>
      </c>
      <c r="Q47" s="155" t="str">
        <f>'R3'!Q37</f>
        <v/>
      </c>
      <c r="R47" s="155" t="str">
        <f>'R3'!R37</f>
        <v/>
      </c>
      <c r="S47" s="155" t="str">
        <f>'R3'!S37</f>
        <v/>
      </c>
      <c r="T47" s="155" t="str">
        <f>'R3'!T37</f>
        <v/>
      </c>
      <c r="U47" s="155" t="str">
        <f>'R3'!U37</f>
        <v/>
      </c>
      <c r="V47" s="155" t="str">
        <f>'R3'!V37</f>
        <v/>
      </c>
    </row>
    <row r="48" spans="1:22" s="1" customFormat="1" x14ac:dyDescent="0.3">
      <c r="A48" s="226"/>
      <c r="B48" s="155" t="str">
        <f>'R3'!B38</f>
        <v/>
      </c>
      <c r="C48" s="155" t="str">
        <f>'R3'!C38</f>
        <v/>
      </c>
      <c r="D48" s="155" t="str">
        <f>'R3'!D38</f>
        <v/>
      </c>
      <c r="E48" s="155" t="str">
        <f>'R3'!E38</f>
        <v/>
      </c>
      <c r="F48" s="155" t="str">
        <f>'R3'!F38</f>
        <v/>
      </c>
      <c r="G48" s="155" t="str">
        <f>'R3'!G38</f>
        <v/>
      </c>
      <c r="H48" s="155" t="str">
        <f>'R3'!H38</f>
        <v/>
      </c>
      <c r="I48" s="155" t="str">
        <f>'R3'!I38</f>
        <v/>
      </c>
      <c r="J48" s="155" t="str">
        <f>'R3'!J38</f>
        <v/>
      </c>
      <c r="K48" s="155" t="str">
        <f>'R3'!K38</f>
        <v/>
      </c>
      <c r="L48" s="155" t="str">
        <f>'R3'!L38</f>
        <v/>
      </c>
      <c r="M48" s="155" t="str">
        <f>'R3'!M38</f>
        <v/>
      </c>
      <c r="N48"/>
      <c r="O48" s="155">
        <f>'R3'!O38</f>
        <v>4.9208838417465683</v>
      </c>
      <c r="P48" s="155" t="str">
        <f>'R3'!P38</f>
        <v/>
      </c>
      <c r="Q48" s="155" t="str">
        <f>'R3'!Q38</f>
        <v/>
      </c>
      <c r="R48" s="155" t="str">
        <f>'R3'!R38</f>
        <v/>
      </c>
      <c r="S48" s="155" t="str">
        <f>'R3'!S38</f>
        <v/>
      </c>
      <c r="T48" s="155" t="str">
        <f>'R3'!T38</f>
        <v/>
      </c>
      <c r="U48" s="155" t="str">
        <f>'R3'!U38</f>
        <v/>
      </c>
      <c r="V48" s="155" t="str">
        <f>'R3'!V38</f>
        <v/>
      </c>
    </row>
    <row r="49" spans="1:24" s="1" customFormat="1" x14ac:dyDescent="0.3">
      <c r="A49" s="226"/>
      <c r="B49" s="155" t="str">
        <f>'R3'!B39</f>
        <v/>
      </c>
      <c r="C49" s="155" t="str">
        <f>'R3'!C39</f>
        <v/>
      </c>
      <c r="D49" s="155" t="str">
        <f>'R3'!D39</f>
        <v/>
      </c>
      <c r="E49" s="155" t="str">
        <f>'R3'!E39</f>
        <v/>
      </c>
      <c r="F49" s="155" t="str">
        <f>'R3'!F39</f>
        <v/>
      </c>
      <c r="G49" s="155" t="str">
        <f>'R3'!G39</f>
        <v/>
      </c>
      <c r="H49" s="155" t="str">
        <f>'R3'!H39</f>
        <v/>
      </c>
      <c r="I49" s="155" t="str">
        <f>'R3'!I39</f>
        <v/>
      </c>
      <c r="J49" s="155" t="str">
        <f>'R3'!J39</f>
        <v/>
      </c>
      <c r="K49" s="155" t="str">
        <f>'R3'!K39</f>
        <v/>
      </c>
      <c r="L49" s="155" t="str">
        <f>'R3'!L39</f>
        <v/>
      </c>
      <c r="M49" s="155" t="str">
        <f>'R3'!M39</f>
        <v/>
      </c>
      <c r="N49"/>
      <c r="O49" s="155">
        <f>'R3'!O39</f>
        <v>0.9596342517114651</v>
      </c>
      <c r="P49" s="155" t="str">
        <f>'R3'!P39</f>
        <v/>
      </c>
      <c r="Q49" s="155" t="str">
        <f>'R3'!Q39</f>
        <v/>
      </c>
      <c r="R49" s="155" t="str">
        <f>'R3'!R39</f>
        <v/>
      </c>
      <c r="S49" s="155" t="str">
        <f>'R3'!S39</f>
        <v/>
      </c>
      <c r="T49" s="155" t="str">
        <f>'R3'!T39</f>
        <v/>
      </c>
      <c r="U49" s="155" t="str">
        <f>'R3'!U39</f>
        <v/>
      </c>
      <c r="V49" s="155" t="str">
        <f>'R3'!V39</f>
        <v/>
      </c>
    </row>
    <row r="50" spans="1:24" s="1" customFormat="1" x14ac:dyDescent="0.3">
      <c r="A50" s="226"/>
      <c r="B50" s="155" t="str">
        <f>'R3'!B40</f>
        <v/>
      </c>
      <c r="C50" s="155" t="str">
        <f>'R3'!C40</f>
        <v/>
      </c>
      <c r="D50" s="155" t="str">
        <f>'R3'!D40</f>
        <v/>
      </c>
      <c r="E50" s="155" t="str">
        <f>'R3'!E40</f>
        <v/>
      </c>
      <c r="F50" s="155" t="str">
        <f>'R3'!F40</f>
        <v/>
      </c>
      <c r="G50" s="155" t="str">
        <f>'R3'!G40</f>
        <v/>
      </c>
      <c r="H50" s="155" t="str">
        <f>'R3'!H40</f>
        <v/>
      </c>
      <c r="I50" s="155" t="str">
        <f>'R3'!I40</f>
        <v/>
      </c>
      <c r="J50" s="155" t="str">
        <f>'R3'!J40</f>
        <v/>
      </c>
      <c r="K50" s="155" t="str">
        <f>'R3'!K40</f>
        <v/>
      </c>
      <c r="L50" s="155" t="str">
        <f>'R3'!L40</f>
        <v/>
      </c>
      <c r="M50" s="155" t="str">
        <f>'R3'!M40</f>
        <v/>
      </c>
      <c r="N50"/>
      <c r="O50" s="155">
        <f>'R3'!O40</f>
        <v>1.3248812166089339</v>
      </c>
      <c r="P50" s="155" t="str">
        <f>'R3'!P40</f>
        <v/>
      </c>
      <c r="Q50" s="155" t="str">
        <f>'R3'!Q40</f>
        <v/>
      </c>
      <c r="R50" s="155" t="str">
        <f>'R3'!R40</f>
        <v/>
      </c>
      <c r="S50" s="155" t="str">
        <f>'R3'!S40</f>
        <v/>
      </c>
      <c r="T50" s="155" t="str">
        <f>'R3'!T40</f>
        <v/>
      </c>
      <c r="U50" s="155" t="str">
        <f>'R3'!U40</f>
        <v/>
      </c>
      <c r="V50" s="155" t="str">
        <f>'R3'!V40</f>
        <v/>
      </c>
    </row>
    <row r="51" spans="1:24" s="1" customFormat="1" x14ac:dyDescent="0.3">
      <c r="A51" s="226"/>
      <c r="B51" s="155" t="str">
        <f>'R3'!B41</f>
        <v/>
      </c>
      <c r="C51" s="155" t="str">
        <f>'R3'!C41</f>
        <v/>
      </c>
      <c r="D51" s="155" t="str">
        <f>'R3'!D41</f>
        <v/>
      </c>
      <c r="E51" s="155" t="str">
        <f>'R3'!E41</f>
        <v/>
      </c>
      <c r="F51" s="155" t="str">
        <f>'R3'!F41</f>
        <v/>
      </c>
      <c r="G51" s="155" t="str">
        <f>'R3'!G41</f>
        <v/>
      </c>
      <c r="H51" s="155" t="str">
        <f>'R3'!H41</f>
        <v/>
      </c>
      <c r="I51" s="155" t="str">
        <f>'R3'!I41</f>
        <v/>
      </c>
      <c r="J51" s="155" t="str">
        <f>'R3'!J41</f>
        <v/>
      </c>
      <c r="K51" s="155" t="str">
        <f>'R3'!K41</f>
        <v/>
      </c>
      <c r="L51" s="155" t="str">
        <f>'R3'!L41</f>
        <v/>
      </c>
      <c r="M51" s="155" t="str">
        <f>'R3'!M41</f>
        <v/>
      </c>
      <c r="N51"/>
      <c r="O51" s="155">
        <f>'R3'!O41</f>
        <v>2.98342055978642E-3</v>
      </c>
      <c r="P51" s="155" t="str">
        <f>'R3'!P41</f>
        <v/>
      </c>
      <c r="Q51" s="155" t="str">
        <f>'R3'!Q41</f>
        <v/>
      </c>
      <c r="R51" s="155" t="str">
        <f>'R3'!R41</f>
        <v/>
      </c>
      <c r="S51" s="155" t="str">
        <f>'R3'!S41</f>
        <v/>
      </c>
      <c r="T51" s="155" t="str">
        <f>'R3'!T41</f>
        <v/>
      </c>
      <c r="U51" s="155" t="str">
        <f>'R3'!U41</f>
        <v/>
      </c>
      <c r="V51" s="155" t="str">
        <f>'R3'!V41</f>
        <v/>
      </c>
    </row>
    <row r="52" spans="1:24" s="1" customFormat="1" x14ac:dyDescent="0.3">
      <c r="A52" s="226"/>
      <c r="B52" s="155" t="str">
        <f>'R3'!B42</f>
        <v/>
      </c>
      <c r="C52" s="155" t="str">
        <f>'R3'!C42</f>
        <v/>
      </c>
      <c r="D52" s="155" t="str">
        <f>'R3'!D42</f>
        <v/>
      </c>
      <c r="E52" s="155" t="str">
        <f>'R3'!E42</f>
        <v/>
      </c>
      <c r="F52" s="155" t="str">
        <f>'R3'!F42</f>
        <v/>
      </c>
      <c r="G52" s="155" t="str">
        <f>'R3'!G42</f>
        <v/>
      </c>
      <c r="H52" s="155" t="str">
        <f>'R3'!H42</f>
        <v/>
      </c>
      <c r="I52" s="155" t="str">
        <f>'R3'!I42</f>
        <v/>
      </c>
      <c r="J52" s="155" t="str">
        <f>'R3'!J42</f>
        <v/>
      </c>
      <c r="K52" s="155" t="str">
        <f>'R3'!K42</f>
        <v/>
      </c>
      <c r="L52" s="155" t="str">
        <f>'R3'!L42</f>
        <v/>
      </c>
      <c r="M52" s="155" t="str">
        <f>'R3'!M42</f>
        <v/>
      </c>
      <c r="N52"/>
      <c r="O52" s="155">
        <f>'R3'!O42</f>
        <v>1.8428793141674673</v>
      </c>
      <c r="P52" s="155" t="str">
        <f>'R3'!P42</f>
        <v/>
      </c>
      <c r="Q52" s="155" t="str">
        <f>'R3'!Q42</f>
        <v/>
      </c>
      <c r="R52" s="155" t="str">
        <f>'R3'!R42</f>
        <v/>
      </c>
      <c r="S52" s="155" t="str">
        <f>'R3'!S42</f>
        <v/>
      </c>
      <c r="T52" s="155" t="str">
        <f>'R3'!T42</f>
        <v/>
      </c>
      <c r="U52" s="155" t="str">
        <f>'R3'!U42</f>
        <v/>
      </c>
      <c r="V52" s="155" t="str">
        <f>'R3'!V42</f>
        <v/>
      </c>
    </row>
    <row r="53" spans="1:24" s="1" customFormat="1" x14ac:dyDescent="0.3">
      <c r="A53" s="227"/>
      <c r="B53" s="155" t="str">
        <f>'R3'!B43</f>
        <v/>
      </c>
      <c r="C53" s="155" t="str">
        <f>'R3'!C43</f>
        <v/>
      </c>
      <c r="D53" s="155" t="str">
        <f>'R3'!D43</f>
        <v/>
      </c>
      <c r="E53" s="155" t="str">
        <f>'R3'!E43</f>
        <v/>
      </c>
      <c r="F53" s="155" t="str">
        <f>'R3'!F43</f>
        <v/>
      </c>
      <c r="G53" s="155" t="str">
        <f>'R3'!G43</f>
        <v/>
      </c>
      <c r="H53" s="155" t="str">
        <f>'R3'!H43</f>
        <v/>
      </c>
      <c r="I53" s="155" t="str">
        <f>'R3'!I43</f>
        <v/>
      </c>
      <c r="J53" s="155" t="str">
        <f>'R3'!J43</f>
        <v/>
      </c>
      <c r="K53" s="155" t="str">
        <f>'R3'!K43</f>
        <v/>
      </c>
      <c r="L53" s="155" t="str">
        <f>'R3'!L43</f>
        <v/>
      </c>
      <c r="M53" s="155" t="str">
        <f>'R3'!M43</f>
        <v/>
      </c>
      <c r="N53"/>
      <c r="O53" s="155">
        <f>'R3'!O43</f>
        <v>1.4985217423584758E-4</v>
      </c>
      <c r="P53" s="155" t="str">
        <f>'R3'!P43</f>
        <v/>
      </c>
      <c r="Q53" s="155" t="str">
        <f>'R3'!Q43</f>
        <v/>
      </c>
      <c r="R53" s="155" t="str">
        <f>'R3'!R43</f>
        <v/>
      </c>
      <c r="S53" s="155" t="str">
        <f>'R3'!S43</f>
        <v/>
      </c>
      <c r="T53" s="155" t="str">
        <f>'R3'!T43</f>
        <v/>
      </c>
      <c r="U53" s="155" t="str">
        <f>'R3'!U43</f>
        <v/>
      </c>
      <c r="V53" s="155" t="str">
        <f>'R3'!V43</f>
        <v/>
      </c>
    </row>
    <row r="54" spans="1:24" s="60" customFormat="1" x14ac:dyDescent="0.3">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3">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Prochloraz-0.063mg/L</v>
      </c>
      <c r="J55" s="15" t="str">
        <f t="shared" si="0"/>
        <v>Prochloraz-0.13mg/L</v>
      </c>
      <c r="K55" s="15" t="str">
        <f t="shared" si="0"/>
        <v>Prochloraz-0.25mg/L</v>
      </c>
      <c r="L55" s="15" t="str">
        <f t="shared" si="0"/>
        <v>Prochloraz-0.5mg/L</v>
      </c>
      <c r="M55" s="15" t="str">
        <f t="shared" si="0"/>
        <v>Prochloraz-1mg/L</v>
      </c>
      <c r="O55" s="15" t="str">
        <f t="shared" ref="O55:V55" si="1">O4</f>
        <v>Testo -30µg/L</v>
      </c>
      <c r="P55" s="15" t="str">
        <f t="shared" si="1"/>
        <v>Testo 30µg/L + EE2 -64ng/L</v>
      </c>
      <c r="Q55" s="15" t="str">
        <f t="shared" si="1"/>
        <v>Testo 30µg/L + FAD-10µg/L</v>
      </c>
      <c r="R55" s="15" t="str">
        <f t="shared" si="1"/>
        <v>Prochloraz-0.063mg/L + Testostérone</v>
      </c>
      <c r="S55" s="15" t="str">
        <f t="shared" si="1"/>
        <v>Prochloraz-0.13mg/L + Testostérone</v>
      </c>
      <c r="T55" s="15" t="str">
        <f t="shared" si="1"/>
        <v>Prochloraz-0.25mg/L + Testostérone</v>
      </c>
      <c r="U55" s="15" t="str">
        <f t="shared" si="1"/>
        <v>Prochloraz-0.5mg/L + Testostérone</v>
      </c>
      <c r="V55" s="15" t="str">
        <f t="shared" si="1"/>
        <v>Prochloraz-1mg/L + Testostérone</v>
      </c>
    </row>
    <row r="56" spans="1:24" x14ac:dyDescent="0.3">
      <c r="A56" t="s">
        <v>48</v>
      </c>
      <c r="B56" s="9">
        <f t="shared" ref="B56:V56" si="2">AVERAGE(B6:B53)</f>
        <v>4.185975477227482E-2</v>
      </c>
      <c r="C56" s="9">
        <f t="shared" si="2"/>
        <v>0.11866202760072476</v>
      </c>
      <c r="D56" s="9">
        <f t="shared" si="2"/>
        <v>0.26205301267378284</v>
      </c>
      <c r="E56" s="9">
        <f t="shared" si="2"/>
        <v>0.67871980945192434</v>
      </c>
      <c r="F56" s="9">
        <f t="shared" si="2"/>
        <v>2.0196941442008347</v>
      </c>
      <c r="G56" s="9">
        <f t="shared" si="2"/>
        <v>2.948138182378405</v>
      </c>
      <c r="H56" s="9">
        <f t="shared" si="2"/>
        <v>4.8627972884717794</v>
      </c>
      <c r="I56" s="9">
        <f t="shared" si="2"/>
        <v>5.883356909019271E-2</v>
      </c>
      <c r="J56" s="9">
        <f t="shared" si="2"/>
        <v>6.8493380396662834E-2</v>
      </c>
      <c r="K56" s="9">
        <f t="shared" si="2"/>
        <v>4.5783978254124842E-2</v>
      </c>
      <c r="L56" s="9">
        <f t="shared" si="2"/>
        <v>7.9187533933191057E-2</v>
      </c>
      <c r="M56" s="9">
        <f t="shared" si="2"/>
        <v>5.5753231740820204E-2</v>
      </c>
      <c r="N56" s="9"/>
      <c r="O56" s="9">
        <f t="shared" si="2"/>
        <v>1</v>
      </c>
      <c r="P56" s="9">
        <f t="shared" si="2"/>
        <v>7.2076885100011419</v>
      </c>
      <c r="Q56" s="9">
        <f t="shared" si="2"/>
        <v>5.4869828338132608E-2</v>
      </c>
      <c r="R56" s="9">
        <f t="shared" si="2"/>
        <v>0.41395674288527418</v>
      </c>
      <c r="S56" s="9">
        <f t="shared" si="2"/>
        <v>0.284675098461519</v>
      </c>
      <c r="T56" s="9">
        <f t="shared" si="2"/>
        <v>0.21373402170938816</v>
      </c>
      <c r="U56" s="9">
        <f t="shared" si="2"/>
        <v>7.4150653082635243E-2</v>
      </c>
      <c r="V56" s="9">
        <f t="shared" si="2"/>
        <v>0.11812472603992545</v>
      </c>
    </row>
    <row r="57" spans="1:24" x14ac:dyDescent="0.3">
      <c r="A57" t="s">
        <v>1</v>
      </c>
      <c r="B57" s="3">
        <f>STDEV(B6:B53)</f>
        <v>4.8227763224032473E-2</v>
      </c>
      <c r="C57" s="3">
        <f t="shared" ref="C57:V57" si="3">STDEV(C6:C53)</f>
        <v>0.21325692413296513</v>
      </c>
      <c r="D57" s="3">
        <f t="shared" si="3"/>
        <v>0.5540714909242539</v>
      </c>
      <c r="E57" s="3">
        <f t="shared" si="3"/>
        <v>0.81870745092778874</v>
      </c>
      <c r="F57" s="3">
        <f t="shared" si="3"/>
        <v>1.800378099094224</v>
      </c>
      <c r="G57" s="3">
        <f t="shared" si="3"/>
        <v>2.8798261584405953</v>
      </c>
      <c r="H57" s="3">
        <f t="shared" si="3"/>
        <v>2.3174830077490975</v>
      </c>
      <c r="I57" s="3">
        <f t="shared" si="3"/>
        <v>5.0640090844707483E-2</v>
      </c>
      <c r="J57" s="3">
        <f t="shared" si="3"/>
        <v>7.7986236412086393E-2</v>
      </c>
      <c r="K57" s="3">
        <f t="shared" si="3"/>
        <v>5.1090629872781998E-2</v>
      </c>
      <c r="L57" s="3">
        <f t="shared" si="3"/>
        <v>0.12103196268355502</v>
      </c>
      <c r="M57" s="3">
        <f t="shared" si="3"/>
        <v>5.3602696988325912E-2</v>
      </c>
      <c r="N57" s="3"/>
      <c r="O57" s="3">
        <f t="shared" si="3"/>
        <v>1.0710582553965486</v>
      </c>
      <c r="P57" s="3">
        <f t="shared" si="3"/>
        <v>7.1156724995241749</v>
      </c>
      <c r="Q57" s="3">
        <f t="shared" si="3"/>
        <v>6.5792402568121716E-2</v>
      </c>
      <c r="R57" s="3">
        <f t="shared" si="3"/>
        <v>0.78986656371901753</v>
      </c>
      <c r="S57" s="3">
        <f t="shared" si="3"/>
        <v>0.45351170685222625</v>
      </c>
      <c r="T57" s="3">
        <f t="shared" si="3"/>
        <v>0.36002704593294294</v>
      </c>
      <c r="U57" s="3">
        <f t="shared" si="3"/>
        <v>0.13422878765405521</v>
      </c>
      <c r="V57" s="3">
        <f t="shared" si="3"/>
        <v>0.34897016205070952</v>
      </c>
      <c r="W57" s="3"/>
      <c r="X57" s="3"/>
    </row>
    <row r="58" spans="1:24" x14ac:dyDescent="0.3">
      <c r="A58" t="s">
        <v>2</v>
      </c>
      <c r="B58" s="3">
        <f xml:space="preserve"> B57/SQRT(COUNT(B6:B53))</f>
        <v>1.0056183789942471E-2</v>
      </c>
      <c r="C58" s="3">
        <f t="shared" ref="C58:V58" si="4" xml:space="preserve"> C57/SQRT(COUNT(C6:C53))</f>
        <v>4.3530887353432378E-2</v>
      </c>
      <c r="D58" s="3">
        <f t="shared" si="4"/>
        <v>0.11309936948229524</v>
      </c>
      <c r="E58" s="3">
        <f t="shared" si="4"/>
        <v>0.1671179586156484</v>
      </c>
      <c r="F58" s="3">
        <f t="shared" si="4"/>
        <v>0.36750064057189819</v>
      </c>
      <c r="G58" s="3">
        <f t="shared" si="4"/>
        <v>0.60048526401347735</v>
      </c>
      <c r="H58" s="3">
        <f t="shared" si="4"/>
        <v>0.4730542380463103</v>
      </c>
      <c r="I58" s="3">
        <f t="shared" si="4"/>
        <v>1.0559188870281217E-2</v>
      </c>
      <c r="J58" s="3">
        <f t="shared" si="4"/>
        <v>1.5918873847472471E-2</v>
      </c>
      <c r="K58" s="3">
        <f t="shared" si="4"/>
        <v>1.0428831152142612E-2</v>
      </c>
      <c r="L58" s="3">
        <f t="shared" si="4"/>
        <v>2.4705545928523701E-2</v>
      </c>
      <c r="M58" s="3">
        <f t="shared" si="4"/>
        <v>1.1176934954399705E-2</v>
      </c>
      <c r="N58" s="3"/>
      <c r="O58" s="3">
        <f t="shared" si="4"/>
        <v>0.1545939430177421</v>
      </c>
      <c r="P58" s="3">
        <f t="shared" si="4"/>
        <v>1.4524805667157339</v>
      </c>
      <c r="Q58" s="3">
        <f t="shared" si="4"/>
        <v>1.3429817936972982E-2</v>
      </c>
      <c r="R58" s="3">
        <f t="shared" si="4"/>
        <v>0.16469856371714606</v>
      </c>
      <c r="S58" s="3">
        <f t="shared" si="4"/>
        <v>9.257268951388499E-2</v>
      </c>
      <c r="T58" s="3">
        <f t="shared" si="4"/>
        <v>7.349021301143932E-2</v>
      </c>
      <c r="U58" s="3">
        <f t="shared" si="4"/>
        <v>2.7399336545402463E-2</v>
      </c>
      <c r="V58" s="3">
        <f t="shared" si="4"/>
        <v>7.2765308863406125E-2</v>
      </c>
      <c r="W58" s="3"/>
      <c r="X58" s="3"/>
    </row>
    <row r="59" spans="1:24" s="1" customFormat="1" ht="15" thickBot="1" x14ac:dyDescent="0.35">
      <c r="B59" s="3"/>
      <c r="C59" s="3"/>
      <c r="D59" s="3"/>
      <c r="E59" s="3"/>
      <c r="F59" s="3"/>
      <c r="G59" s="3"/>
      <c r="H59" s="3"/>
      <c r="I59" s="3"/>
      <c r="J59" s="3"/>
      <c r="K59" s="3"/>
      <c r="L59" s="3"/>
      <c r="M59" s="3"/>
      <c r="N59" s="3"/>
      <c r="O59" s="3"/>
      <c r="P59" s="3"/>
      <c r="Q59" s="3"/>
      <c r="R59" s="3"/>
      <c r="S59" s="3"/>
      <c r="T59" s="3"/>
      <c r="U59" s="3"/>
      <c r="V59" s="3"/>
    </row>
    <row r="60" spans="1:24" s="48" customFormat="1" ht="26.4" thickBot="1" x14ac:dyDescent="0.35">
      <c r="A60" s="228" t="s">
        <v>46</v>
      </c>
      <c r="B60" s="229"/>
      <c r="C60" s="229"/>
      <c r="D60" s="229"/>
      <c r="E60" s="229"/>
      <c r="F60" s="229"/>
      <c r="G60" s="229"/>
      <c r="H60" s="229"/>
      <c r="I60" s="229"/>
      <c r="J60" s="229"/>
      <c r="K60" s="229"/>
      <c r="L60" s="229"/>
      <c r="M60" s="229"/>
      <c r="N60" s="229"/>
      <c r="O60" s="229"/>
      <c r="P60" s="229"/>
      <c r="Q60" s="229"/>
      <c r="R60" s="229"/>
      <c r="S60" s="229"/>
      <c r="T60" s="229"/>
      <c r="U60" s="229"/>
      <c r="V60" s="229"/>
    </row>
    <row r="61" spans="1:24" s="1" customFormat="1" x14ac:dyDescent="0.3">
      <c r="B61" s="3"/>
      <c r="C61" s="3"/>
      <c r="D61" s="3"/>
      <c r="E61" s="3"/>
      <c r="F61" s="3"/>
      <c r="G61" s="3"/>
      <c r="H61" s="3"/>
      <c r="I61" s="3"/>
      <c r="J61" s="3"/>
      <c r="K61" s="3"/>
      <c r="L61" s="3"/>
      <c r="M61" s="3"/>
      <c r="N61" s="3"/>
      <c r="O61" s="3"/>
      <c r="P61" s="3"/>
      <c r="Q61" s="3"/>
      <c r="R61" s="3"/>
      <c r="S61" s="3"/>
      <c r="T61" s="3"/>
      <c r="U61" s="3"/>
      <c r="V61" s="3"/>
    </row>
    <row r="62" spans="1:24" s="1" customFormat="1" x14ac:dyDescent="0.3">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Prochloraz-0.063mg/L</v>
      </c>
      <c r="J62" s="3" t="str">
        <f t="shared" si="6"/>
        <v>Prochloraz-0.13mg/L</v>
      </c>
      <c r="K62" s="3" t="str">
        <f t="shared" si="6"/>
        <v>Prochloraz-0.25mg/L</v>
      </c>
      <c r="L62" s="3" t="str">
        <f t="shared" si="6"/>
        <v>Prochloraz-0.5mg/L</v>
      </c>
      <c r="M62" s="3" t="str">
        <f t="shared" si="6"/>
        <v>Prochloraz-1mg/L</v>
      </c>
      <c r="N62" s="3"/>
      <c r="O62" s="3" t="str">
        <f t="shared" si="6"/>
        <v>Testo -30µg/L</v>
      </c>
      <c r="P62" s="3" t="str">
        <f t="shared" si="6"/>
        <v>Testo 30µg/L + EE2 -64ng/L</v>
      </c>
      <c r="Q62" s="3" t="str">
        <f t="shared" si="6"/>
        <v>Testo 30µg/L + FAD-10µg/L</v>
      </c>
      <c r="R62" s="3" t="str">
        <f t="shared" si="6"/>
        <v>Prochloraz-0.063mg/L + Testostérone</v>
      </c>
      <c r="S62" s="3" t="str">
        <f t="shared" si="6"/>
        <v>Prochloraz-0.13mg/L + Testostérone</v>
      </c>
      <c r="T62" s="3" t="str">
        <f t="shared" si="6"/>
        <v>Prochloraz-0.25mg/L + Testostérone</v>
      </c>
      <c r="U62" s="3" t="str">
        <f t="shared" si="6"/>
        <v>Prochloraz-0.5mg/L + Testostérone</v>
      </c>
      <c r="V62" s="3" t="str">
        <f t="shared" si="6"/>
        <v>Prochloraz-1mg/L + Testostérone</v>
      </c>
    </row>
    <row r="63" spans="1:24" s="1" customFormat="1" x14ac:dyDescent="0.3">
      <c r="A63" s="1" t="s">
        <v>49</v>
      </c>
      <c r="B63" s="3">
        <f>COUNT(B6:B53)</f>
        <v>23</v>
      </c>
      <c r="C63" s="3">
        <f t="shared" ref="C63:V63" si="7">COUNT(C6:C53)</f>
        <v>24</v>
      </c>
      <c r="D63" s="3">
        <f t="shared" si="7"/>
        <v>24</v>
      </c>
      <c r="E63" s="3">
        <f t="shared" si="7"/>
        <v>24</v>
      </c>
      <c r="F63" s="3">
        <f t="shared" si="7"/>
        <v>24</v>
      </c>
      <c r="G63" s="3">
        <f t="shared" si="7"/>
        <v>23</v>
      </c>
      <c r="H63" s="3">
        <f t="shared" si="7"/>
        <v>24</v>
      </c>
      <c r="I63" s="3">
        <f t="shared" si="7"/>
        <v>23</v>
      </c>
      <c r="J63" s="3">
        <f t="shared" si="7"/>
        <v>24</v>
      </c>
      <c r="K63" s="3">
        <f t="shared" si="7"/>
        <v>24</v>
      </c>
      <c r="L63" s="3">
        <f t="shared" si="7"/>
        <v>24</v>
      </c>
      <c r="M63" s="3">
        <f t="shared" si="7"/>
        <v>23</v>
      </c>
      <c r="N63" s="3"/>
      <c r="O63" s="3">
        <f t="shared" si="7"/>
        <v>48</v>
      </c>
      <c r="P63" s="3">
        <f t="shared" si="7"/>
        <v>24</v>
      </c>
      <c r="Q63" s="3">
        <f t="shared" si="7"/>
        <v>24</v>
      </c>
      <c r="R63" s="3">
        <f t="shared" si="7"/>
        <v>23</v>
      </c>
      <c r="S63" s="3">
        <f t="shared" si="7"/>
        <v>24</v>
      </c>
      <c r="T63" s="3">
        <f t="shared" si="7"/>
        <v>24</v>
      </c>
      <c r="U63" s="3">
        <f t="shared" si="7"/>
        <v>24</v>
      </c>
      <c r="V63" s="3">
        <f t="shared" si="7"/>
        <v>23</v>
      </c>
    </row>
    <row r="64" spans="1:24" s="1" customFormat="1" ht="15" thickBot="1" x14ac:dyDescent="0.35">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6.4" thickBot="1" x14ac:dyDescent="0.35">
      <c r="A65" s="228" t="s">
        <v>58</v>
      </c>
      <c r="B65" s="229"/>
      <c r="C65" s="229"/>
      <c r="D65" s="229"/>
      <c r="E65" s="229"/>
      <c r="F65" s="229"/>
      <c r="G65" s="229"/>
      <c r="H65" s="229"/>
      <c r="I65" s="229"/>
      <c r="J65" s="229"/>
      <c r="K65" s="229"/>
      <c r="L65" s="229"/>
      <c r="M65" s="229"/>
      <c r="N65" s="229"/>
      <c r="O65" s="229"/>
      <c r="P65" s="229"/>
      <c r="Q65" s="229"/>
      <c r="R65" s="229"/>
      <c r="S65" s="229"/>
      <c r="T65" s="229"/>
      <c r="U65" s="229"/>
      <c r="V65" s="229"/>
    </row>
    <row r="66" spans="1:22" s="1" customFormat="1" x14ac:dyDescent="0.3">
      <c r="B66" s="1" t="s">
        <v>61</v>
      </c>
      <c r="C66" s="3"/>
      <c r="D66" s="3"/>
      <c r="E66" s="3"/>
      <c r="F66" s="3"/>
      <c r="G66" s="3"/>
      <c r="H66" s="3"/>
      <c r="I66" s="3"/>
      <c r="J66" s="3"/>
      <c r="K66" s="3"/>
      <c r="L66" s="3"/>
      <c r="M66" s="3"/>
      <c r="N66" s="3"/>
      <c r="O66" s="3"/>
      <c r="P66" s="3"/>
      <c r="Q66" s="3"/>
      <c r="R66" s="3"/>
      <c r="S66" s="3"/>
      <c r="T66" s="3"/>
      <c r="U66" s="3"/>
      <c r="V66" s="3"/>
    </row>
    <row r="67" spans="1:22" s="1" customFormat="1" x14ac:dyDescent="0.3">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35">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6.4" thickBot="1" x14ac:dyDescent="0.35">
      <c r="A70" s="228" t="s">
        <v>53</v>
      </c>
      <c r="B70" s="229"/>
      <c r="C70" s="229"/>
      <c r="D70" s="229"/>
      <c r="E70" s="229"/>
      <c r="F70" s="229"/>
      <c r="G70" s="229"/>
      <c r="H70" s="229"/>
      <c r="I70" s="229"/>
      <c r="J70" s="229"/>
      <c r="K70" s="229"/>
      <c r="L70" s="229"/>
      <c r="M70" s="229"/>
      <c r="N70" s="229"/>
      <c r="O70" s="229"/>
      <c r="P70" s="229"/>
      <c r="Q70" s="229"/>
      <c r="R70" s="229"/>
      <c r="S70" s="229"/>
      <c r="T70" s="229"/>
      <c r="U70" s="229"/>
      <c r="V70" s="229"/>
    </row>
    <row r="71" spans="1:22" ht="15" thickBot="1" x14ac:dyDescent="0.35"/>
    <row r="72" spans="1:22" s="48" customFormat="1" ht="26.4" thickBot="1" x14ac:dyDescent="0.35">
      <c r="A72" s="228" t="s">
        <v>54</v>
      </c>
      <c r="B72" s="229"/>
      <c r="C72" s="229"/>
      <c r="D72" s="229"/>
      <c r="E72" s="229"/>
      <c r="F72" s="229"/>
      <c r="G72" s="229"/>
      <c r="H72" s="229"/>
      <c r="I72" s="229"/>
      <c r="J72" s="229"/>
      <c r="K72" s="229"/>
      <c r="L72" s="229"/>
      <c r="M72" s="229"/>
      <c r="N72" s="229"/>
      <c r="O72" s="229"/>
      <c r="P72" s="229"/>
      <c r="Q72" s="229"/>
      <c r="R72" s="229"/>
      <c r="S72" s="229"/>
      <c r="T72" s="229"/>
      <c r="U72" s="229"/>
      <c r="V72" s="229"/>
    </row>
    <row r="73" spans="1:22" ht="15" thickBot="1" x14ac:dyDescent="0.35">
      <c r="J73" s="3">
        <v>1</v>
      </c>
      <c r="K73" s="3">
        <v>2</v>
      </c>
      <c r="L73" s="3">
        <v>3</v>
      </c>
      <c r="M73" s="3">
        <v>4</v>
      </c>
      <c r="R73" s="3">
        <v>1</v>
      </c>
      <c r="S73" s="3">
        <v>2</v>
      </c>
      <c r="T73" s="3">
        <v>3</v>
      </c>
      <c r="U73" s="3">
        <v>4</v>
      </c>
      <c r="V73" s="3">
        <v>5</v>
      </c>
    </row>
    <row r="74" spans="1:22" s="1" customFormat="1" x14ac:dyDescent="0.3">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Prochloraz-0.063mg/L</v>
      </c>
      <c r="J74" s="46" t="str">
        <f t="shared" si="9"/>
        <v>Prochloraz-0.13mg/L</v>
      </c>
      <c r="K74" s="46" t="str">
        <f t="shared" si="9"/>
        <v>Prochloraz-0.25mg/L</v>
      </c>
      <c r="L74" s="46" t="str">
        <f t="shared" si="9"/>
        <v>Prochloraz-0.5mg/L</v>
      </c>
      <c r="M74" s="46" t="str">
        <f t="shared" si="9"/>
        <v>Prochloraz-1mg/L</v>
      </c>
      <c r="N74" s="46"/>
      <c r="O74" s="46" t="str">
        <f t="shared" ref="O74:V74" si="10">O4</f>
        <v>Testo -30µg/L</v>
      </c>
      <c r="P74" s="46" t="str">
        <f t="shared" si="10"/>
        <v>Testo 30µg/L + EE2 -64ng/L</v>
      </c>
      <c r="Q74" s="46" t="str">
        <f t="shared" si="10"/>
        <v>Testo 30µg/L + FAD-10µg/L</v>
      </c>
      <c r="R74" s="46" t="str">
        <f t="shared" si="10"/>
        <v>Prochloraz-0.063mg/L + Testostérone</v>
      </c>
      <c r="S74" s="46" t="str">
        <f t="shared" si="10"/>
        <v>Prochloraz-0.13mg/L + Testostérone</v>
      </c>
      <c r="T74" s="46" t="str">
        <f t="shared" si="10"/>
        <v>Prochloraz-0.25mg/L + Testostérone</v>
      </c>
      <c r="U74" s="46" t="str">
        <f t="shared" si="10"/>
        <v>Prochloraz-0.5mg/L + Testostérone</v>
      </c>
      <c r="V74" s="46" t="str">
        <f t="shared" si="10"/>
        <v>Prochloraz-1mg/L + Testostérone</v>
      </c>
    </row>
    <row r="75" spans="1:22" s="3" customFormat="1" x14ac:dyDescent="0.3">
      <c r="A75" s="61" t="s">
        <v>32</v>
      </c>
      <c r="B75" s="141">
        <f>B56</f>
        <v>4.185975477227482E-2</v>
      </c>
      <c r="C75" s="141">
        <f t="shared" ref="C75:V75" si="11">C56</f>
        <v>0.11866202760072476</v>
      </c>
      <c r="D75" s="141">
        <f t="shared" si="11"/>
        <v>0.26205301267378284</v>
      </c>
      <c r="E75" s="141">
        <f t="shared" si="11"/>
        <v>0.67871980945192434</v>
      </c>
      <c r="F75" s="141">
        <f t="shared" si="11"/>
        <v>2.0196941442008347</v>
      </c>
      <c r="G75" s="141">
        <f t="shared" si="11"/>
        <v>2.948138182378405</v>
      </c>
      <c r="H75" s="141">
        <f t="shared" si="11"/>
        <v>4.8627972884717794</v>
      </c>
      <c r="I75" s="141">
        <f t="shared" si="11"/>
        <v>5.883356909019271E-2</v>
      </c>
      <c r="J75" s="141">
        <f t="shared" si="11"/>
        <v>6.8493380396662834E-2</v>
      </c>
      <c r="K75" s="141">
        <f t="shared" si="11"/>
        <v>4.5783978254124842E-2</v>
      </c>
      <c r="L75" s="141">
        <f t="shared" si="11"/>
        <v>7.9187533933191057E-2</v>
      </c>
      <c r="M75" s="141">
        <f t="shared" si="11"/>
        <v>5.5753231740820204E-2</v>
      </c>
      <c r="N75" s="141"/>
      <c r="O75" s="141">
        <f t="shared" si="11"/>
        <v>1</v>
      </c>
      <c r="P75" s="141">
        <f t="shared" si="11"/>
        <v>7.2076885100011419</v>
      </c>
      <c r="Q75" s="141">
        <f t="shared" si="11"/>
        <v>5.4869828338132608E-2</v>
      </c>
      <c r="R75" s="141">
        <f t="shared" si="11"/>
        <v>0.41395674288527418</v>
      </c>
      <c r="S75" s="141">
        <f t="shared" si="11"/>
        <v>0.284675098461519</v>
      </c>
      <c r="T75" s="141">
        <f t="shared" si="11"/>
        <v>0.21373402170938816</v>
      </c>
      <c r="U75" s="141">
        <f t="shared" si="11"/>
        <v>7.4150653082635243E-2</v>
      </c>
      <c r="V75" s="141">
        <f t="shared" si="11"/>
        <v>0.11812472603992545</v>
      </c>
    </row>
    <row r="76" spans="1:22" s="3" customFormat="1" x14ac:dyDescent="0.3">
      <c r="A76" s="61" t="s">
        <v>2</v>
      </c>
      <c r="B76" s="141">
        <f>B58</f>
        <v>1.0056183789942471E-2</v>
      </c>
      <c r="C76" s="141">
        <f t="shared" ref="C76:V76" si="12">C58</f>
        <v>4.3530887353432378E-2</v>
      </c>
      <c r="D76" s="141">
        <f t="shared" si="12"/>
        <v>0.11309936948229524</v>
      </c>
      <c r="E76" s="141">
        <f t="shared" si="12"/>
        <v>0.1671179586156484</v>
      </c>
      <c r="F76" s="141">
        <f t="shared" si="12"/>
        <v>0.36750064057189819</v>
      </c>
      <c r="G76" s="141">
        <f t="shared" si="12"/>
        <v>0.60048526401347735</v>
      </c>
      <c r="H76" s="141">
        <f t="shared" si="12"/>
        <v>0.4730542380463103</v>
      </c>
      <c r="I76" s="141">
        <f t="shared" si="12"/>
        <v>1.0559188870281217E-2</v>
      </c>
      <c r="J76" s="141">
        <f t="shared" si="12"/>
        <v>1.5918873847472471E-2</v>
      </c>
      <c r="K76" s="141">
        <f t="shared" si="12"/>
        <v>1.0428831152142612E-2</v>
      </c>
      <c r="L76" s="141">
        <f t="shared" si="12"/>
        <v>2.4705545928523701E-2</v>
      </c>
      <c r="M76" s="141">
        <f t="shared" si="12"/>
        <v>1.1176934954399705E-2</v>
      </c>
      <c r="N76" s="141"/>
      <c r="O76" s="141">
        <f t="shared" si="12"/>
        <v>0.1545939430177421</v>
      </c>
      <c r="P76" s="141">
        <f t="shared" si="12"/>
        <v>1.4524805667157339</v>
      </c>
      <c r="Q76" s="141">
        <f t="shared" si="12"/>
        <v>1.3429817936972982E-2</v>
      </c>
      <c r="R76" s="141">
        <f t="shared" si="12"/>
        <v>0.16469856371714606</v>
      </c>
      <c r="S76" s="141">
        <f t="shared" si="12"/>
        <v>9.257268951388499E-2</v>
      </c>
      <c r="T76" s="141">
        <f t="shared" si="12"/>
        <v>7.349021301143932E-2</v>
      </c>
      <c r="U76" s="141">
        <f t="shared" si="12"/>
        <v>2.7399336545402463E-2</v>
      </c>
      <c r="V76" s="141">
        <f t="shared" si="12"/>
        <v>7.2765308863406125E-2</v>
      </c>
    </row>
    <row r="77" spans="1:22" s="3" customFormat="1" x14ac:dyDescent="0.3">
      <c r="A77" s="61" t="s">
        <v>79</v>
      </c>
      <c r="B77" s="141">
        <f>(B75*100/$B$75)-100</f>
        <v>0</v>
      </c>
      <c r="C77" s="141">
        <f t="shared" ref="C77:M77" si="13">(C75*100/$B$75)-100</f>
        <v>183.47520965249129</v>
      </c>
      <c r="D77" s="141">
        <f t="shared" si="13"/>
        <v>526.02615352001476</v>
      </c>
      <c r="E77" s="141">
        <f t="shared" si="13"/>
        <v>1521.4137257714281</v>
      </c>
      <c r="F77" s="141">
        <f t="shared" si="13"/>
        <v>4724.9067754657481</v>
      </c>
      <c r="G77" s="141">
        <f t="shared" si="13"/>
        <v>6942.8940599792049</v>
      </c>
      <c r="H77" s="141">
        <f t="shared" si="13"/>
        <v>11516.879542000041</v>
      </c>
      <c r="I77" s="141">
        <f t="shared" si="13"/>
        <v>40.549244519607726</v>
      </c>
      <c r="J77" s="141">
        <f t="shared" si="13"/>
        <v>63.625852012942033</v>
      </c>
      <c r="K77" s="141">
        <f t="shared" si="13"/>
        <v>9.3746929555573217</v>
      </c>
      <c r="L77" s="141">
        <f t="shared" si="13"/>
        <v>89.173430097683536</v>
      </c>
      <c r="M77" s="141">
        <f t="shared" si="13"/>
        <v>33.190535979316167</v>
      </c>
      <c r="N77" s="141"/>
      <c r="O77" s="141">
        <f>(O75*100/$O$75)-100</f>
        <v>0</v>
      </c>
      <c r="P77" s="141">
        <f t="shared" ref="P77:V77" si="14">(P75*100/$O$75)-100</f>
        <v>620.76885100011418</v>
      </c>
      <c r="Q77" s="141">
        <f t="shared" si="14"/>
        <v>-94.513017166186742</v>
      </c>
      <c r="R77" s="141">
        <f t="shared" si="14"/>
        <v>-58.604325711472583</v>
      </c>
      <c r="S77" s="141">
        <f t="shared" si="14"/>
        <v>-71.532490153848101</v>
      </c>
      <c r="T77" s="141">
        <f t="shared" si="14"/>
        <v>-78.626597829061183</v>
      </c>
      <c r="U77" s="141">
        <f t="shared" si="14"/>
        <v>-92.584934691736478</v>
      </c>
      <c r="V77" s="141">
        <f t="shared" si="14"/>
        <v>-88.187527396007454</v>
      </c>
    </row>
    <row r="78" spans="1:22" s="3" customFormat="1" x14ac:dyDescent="0.3">
      <c r="A78" s="61" t="s">
        <v>81</v>
      </c>
      <c r="B78" s="141" t="e">
        <f ca="1">[1]!DPTEST(B6:B53)</f>
        <v>#NAME?</v>
      </c>
      <c r="C78" s="141" t="e">
        <f ca="1">[1]!DPTEST(C6:C53)</f>
        <v>#NAME?</v>
      </c>
      <c r="D78" s="141" t="e">
        <f ca="1">[1]!DPTEST(D6:D53)</f>
        <v>#NAME?</v>
      </c>
      <c r="E78" s="141" t="e">
        <f ca="1">[1]!DPTEST(E6:E53)</f>
        <v>#NAME?</v>
      </c>
      <c r="F78" s="141" t="e">
        <f ca="1">[1]!DPTEST(F6:F53)</f>
        <v>#NAME?</v>
      </c>
      <c r="G78" s="141" t="e">
        <f ca="1">[1]!DPTEST(G6:G53)</f>
        <v>#NAME?</v>
      </c>
      <c r="H78" s="141" t="e">
        <f ca="1">[1]!DPTEST(H6:H53)</f>
        <v>#NAME?</v>
      </c>
      <c r="I78" s="141" t="e">
        <f ca="1">[1]!DPTEST(I6:I53)</f>
        <v>#NAME?</v>
      </c>
      <c r="J78" s="141" t="e">
        <f ca="1">[1]!DPTEST(J6:J53)</f>
        <v>#NAME?</v>
      </c>
      <c r="K78" s="141" t="e">
        <f ca="1">[1]!DPTEST(K6:K53)</f>
        <v>#NAME?</v>
      </c>
      <c r="L78" s="141" t="e">
        <f ca="1">[1]!DPTEST(L6:L53)</f>
        <v>#NAME?</v>
      </c>
      <c r="M78" s="141" t="e">
        <f ca="1">[1]!DPTEST(M6:M53)</f>
        <v>#NAME?</v>
      </c>
      <c r="N78" s="141"/>
      <c r="O78" s="141" t="e">
        <f ca="1">[1]!DPTEST(O6:O53)</f>
        <v>#NAME?</v>
      </c>
      <c r="P78" s="141" t="e">
        <f ca="1">[1]!DPTEST(P6:P53)</f>
        <v>#NAME?</v>
      </c>
      <c r="Q78" s="141" t="e">
        <f ca="1">[1]!DPTEST(Q6:Q53)</f>
        <v>#NAME?</v>
      </c>
      <c r="R78" s="141" t="e">
        <f ca="1">[1]!DPTEST(R6:R53)</f>
        <v>#NAME?</v>
      </c>
      <c r="S78" s="141" t="e">
        <f ca="1">[1]!DPTEST(S6:S53)</f>
        <v>#NAME?</v>
      </c>
      <c r="T78" s="141" t="e">
        <f ca="1">[1]!DPTEST(T6:T53)</f>
        <v>#NAME?</v>
      </c>
      <c r="U78" s="141" t="e">
        <f ca="1">[1]!DPTEST(U6:U53)</f>
        <v>#NAME?</v>
      </c>
      <c r="V78" s="141" t="e">
        <f ca="1">[1]!DPTEST(V6:V53)</f>
        <v>#NAME?</v>
      </c>
    </row>
    <row r="79" spans="1:22" s="3" customFormat="1" x14ac:dyDescent="0.3">
      <c r="A79" s="61" t="s">
        <v>85</v>
      </c>
      <c r="B79" s="141" t="e">
        <f ca="1">IF(B78&gt;0.05,"Oui","Non")</f>
        <v>#NAME?</v>
      </c>
      <c r="C79" s="141" t="e">
        <f t="shared" ref="C79:V79" ca="1" si="15">IF(C78&gt;0.05,"Oui","Non")</f>
        <v>#NAME?</v>
      </c>
      <c r="D79" s="141" t="e">
        <f t="shared" ca="1" si="15"/>
        <v>#NAME?</v>
      </c>
      <c r="E79" s="141" t="e">
        <f t="shared" ca="1" si="15"/>
        <v>#NAME?</v>
      </c>
      <c r="F79" s="141" t="e">
        <f t="shared" ca="1" si="15"/>
        <v>#NAME?</v>
      </c>
      <c r="G79" s="141" t="e">
        <f t="shared" ca="1" si="15"/>
        <v>#NAME?</v>
      </c>
      <c r="H79" s="141" t="e">
        <f t="shared" ca="1" si="15"/>
        <v>#NAME?</v>
      </c>
      <c r="I79" s="141" t="e">
        <f t="shared" ca="1" si="15"/>
        <v>#NAME?</v>
      </c>
      <c r="J79" s="141" t="e">
        <f t="shared" ca="1" si="15"/>
        <v>#NAME?</v>
      </c>
      <c r="K79" s="141" t="e">
        <f t="shared" ca="1" si="15"/>
        <v>#NAME?</v>
      </c>
      <c r="L79" s="141" t="e">
        <f t="shared" ca="1" si="15"/>
        <v>#NAME?</v>
      </c>
      <c r="M79" s="141" t="e">
        <f t="shared" ca="1" si="15"/>
        <v>#NAME?</v>
      </c>
      <c r="N79" s="141"/>
      <c r="O79" s="141" t="e">
        <f t="shared" ca="1" si="15"/>
        <v>#NAME?</v>
      </c>
      <c r="P79" s="141" t="e">
        <f t="shared" ca="1" si="15"/>
        <v>#NAME?</v>
      </c>
      <c r="Q79" s="141" t="e">
        <f t="shared" ca="1" si="15"/>
        <v>#NAME?</v>
      </c>
      <c r="R79" s="141" t="e">
        <f t="shared" ca="1" si="15"/>
        <v>#NAME?</v>
      </c>
      <c r="S79" s="141" t="e">
        <f t="shared" ca="1" si="15"/>
        <v>#NAME?</v>
      </c>
      <c r="T79" s="141" t="e">
        <f t="shared" ca="1" si="15"/>
        <v>#NAME?</v>
      </c>
      <c r="U79" s="141" t="e">
        <f t="shared" ca="1" si="15"/>
        <v>#NAME?</v>
      </c>
      <c r="V79" s="141" t="e">
        <f t="shared" ca="1" si="15"/>
        <v>#NAME?</v>
      </c>
    </row>
    <row r="80" spans="1:22" s="3" customFormat="1" x14ac:dyDescent="0.3">
      <c r="A80" s="61" t="s">
        <v>122</v>
      </c>
      <c r="B80" s="141"/>
      <c r="C80" s="141"/>
      <c r="D80" s="141"/>
      <c r="E80" s="141"/>
      <c r="F80" s="141"/>
      <c r="G80" s="141"/>
      <c r="H80" s="141"/>
      <c r="I80" s="141"/>
      <c r="J80" s="141"/>
      <c r="K80" s="141"/>
      <c r="L80" s="141"/>
      <c r="M80" s="141"/>
      <c r="N80" s="141"/>
      <c r="O80" s="141"/>
      <c r="P80" s="141"/>
      <c r="Q80" s="141"/>
      <c r="R80" s="141"/>
      <c r="S80" s="141"/>
      <c r="T80" s="141"/>
      <c r="U80" s="141"/>
      <c r="V80" s="141"/>
    </row>
    <row r="81" spans="1:22" s="3" customFormat="1" x14ac:dyDescent="0.3">
      <c r="A81" s="61" t="s">
        <v>82</v>
      </c>
      <c r="B81" s="141"/>
      <c r="C81" s="141" t="s">
        <v>175</v>
      </c>
      <c r="D81" s="141" t="s">
        <v>175</v>
      </c>
      <c r="E81" s="141" t="s">
        <v>175</v>
      </c>
      <c r="F81" s="141" t="s">
        <v>175</v>
      </c>
      <c r="G81" s="141" t="s">
        <v>175</v>
      </c>
      <c r="H81" s="141" t="s">
        <v>175</v>
      </c>
      <c r="I81" s="141" t="s">
        <v>175</v>
      </c>
      <c r="J81" s="141" t="s">
        <v>175</v>
      </c>
      <c r="K81" s="141" t="s">
        <v>175</v>
      </c>
      <c r="L81" s="141" t="s">
        <v>175</v>
      </c>
      <c r="M81" s="141" t="s">
        <v>175</v>
      </c>
      <c r="N81" s="141"/>
      <c r="O81" s="141" t="e">
        <f ca="1">IF($B79="Non",IF(O79="Non","Mann Withney",IF(O79="Oui","Mann Withney","")),IF($B79="Oui",IF(O79="Oui","T-Test Welch",IF(O79="Non","Mann Withney",""))))</f>
        <v>#NAME?</v>
      </c>
      <c r="P81" s="141" t="e">
        <f t="shared" ref="P81:Q81" ca="1" si="16">IF($O79="Non",IF(P79="Non","Mann Withney",IF(P$79="Oui","Mann Withney","")),IF($O79="Oui",IF(P79="Oui","T-Test Welch",IF(P79="Non","Mann Withney",""))))</f>
        <v>#NAME?</v>
      </c>
      <c r="Q81" s="141" t="e">
        <f t="shared" ca="1" si="16"/>
        <v>#NAME?</v>
      </c>
      <c r="R81" s="141" t="s">
        <v>175</v>
      </c>
      <c r="S81" s="141" t="s">
        <v>175</v>
      </c>
      <c r="T81" s="141" t="s">
        <v>175</v>
      </c>
      <c r="U81" s="141" t="s">
        <v>175</v>
      </c>
      <c r="V81" s="141" t="s">
        <v>175</v>
      </c>
    </row>
    <row r="82" spans="1:22" s="3" customFormat="1" x14ac:dyDescent="0.3">
      <c r="A82" s="61" t="s">
        <v>83</v>
      </c>
      <c r="B82" s="141"/>
      <c r="C82" s="141" t="s">
        <v>170</v>
      </c>
      <c r="D82" s="141" t="s">
        <v>170</v>
      </c>
      <c r="E82" s="141">
        <v>0.19</v>
      </c>
      <c r="F82" s="141">
        <v>2E-3</v>
      </c>
      <c r="G82" s="141" t="s">
        <v>173</v>
      </c>
      <c r="H82" s="141" t="s">
        <v>173</v>
      </c>
      <c r="I82" s="141">
        <v>0.85</v>
      </c>
      <c r="J82" s="141">
        <v>0.73</v>
      </c>
      <c r="K82" s="141" t="s">
        <v>170</v>
      </c>
      <c r="L82" s="141">
        <v>0.53</v>
      </c>
      <c r="M82" s="141" t="s">
        <v>170</v>
      </c>
      <c r="N82" s="141"/>
      <c r="O82" s="141" t="e">
        <f ca="1">IF(O81="Mann Withney",[1]!MTEST($B6:$B53,O6:O53,2), IF(O81="T-Test Welch",_xlfn.T.TEST($B6:$B53,O6:O53,2,3),""))</f>
        <v>#NAME?</v>
      </c>
      <c r="P82" s="141" t="e">
        <f ca="1">IF(P81="Mann Withney",[1]!MTEST($O6:$O53,P6:P53,2), IF(P81="T-Test Welch",_xlfn.T.TEST($O6:$O53,P6:P53,2,3),""))</f>
        <v>#NAME?</v>
      </c>
      <c r="Q82" s="141" t="e">
        <f ca="1">IF(Q81="Mann Withney",[1]!MTEST($O6:$O53,Q6:Q53,2), IF(Q81="T-Test Welch",_xlfn.T.TEST($O6:$O53,Q6:Q53,2,3),""))</f>
        <v>#NAME?</v>
      </c>
      <c r="R82" s="141">
        <v>0.18</v>
      </c>
      <c r="S82" s="141">
        <v>0.02</v>
      </c>
      <c r="T82" s="141" t="s">
        <v>173</v>
      </c>
      <c r="U82" s="141" t="s">
        <v>173</v>
      </c>
      <c r="V82" s="141" t="s">
        <v>173</v>
      </c>
    </row>
    <row r="83" spans="1:22" s="3" customFormat="1" ht="15" thickBot="1" x14ac:dyDescent="0.35">
      <c r="A83" s="62" t="s">
        <v>84</v>
      </c>
      <c r="B83" s="142"/>
      <c r="C83" s="142" t="s">
        <v>169</v>
      </c>
      <c r="D83" s="142" t="s">
        <v>169</v>
      </c>
      <c r="E83" s="142" t="s">
        <v>169</v>
      </c>
      <c r="F83" s="142" t="s">
        <v>171</v>
      </c>
      <c r="G83" s="142" t="s">
        <v>172</v>
      </c>
      <c r="H83" s="142" t="s">
        <v>172</v>
      </c>
      <c r="I83" s="142" t="s">
        <v>169</v>
      </c>
      <c r="J83" s="142" t="s">
        <v>169</v>
      </c>
      <c r="K83" s="142" t="s">
        <v>169</v>
      </c>
      <c r="L83" s="142" t="s">
        <v>169</v>
      </c>
      <c r="M83" s="142" t="s">
        <v>169</v>
      </c>
      <c r="N83" s="142"/>
      <c r="O83" s="142" t="e">
        <f t="shared" ref="O83" ca="1" si="17">IF(O82&gt;0.05,"NS",IF(O82&gt;0.01,"*",IF(O82&gt;0.001,"**","***")))</f>
        <v>#NAME?</v>
      </c>
      <c r="P83" s="142" t="e">
        <f t="shared" ref="P83" ca="1" si="18">IF(P82&gt;0.05,"NS",IF(P82&gt;0.01,"*",IF(P82&gt;0.001,"**","***")))</f>
        <v>#NAME?</v>
      </c>
      <c r="Q83" s="142" t="e">
        <f t="shared" ref="Q83" ca="1" si="19">IF(Q82&gt;0.05,"NS",IF(Q82&gt;0.01,"*",IF(Q82&gt;0.001,"**","***")))</f>
        <v>#NAME?</v>
      </c>
      <c r="R83" s="142" t="s">
        <v>169</v>
      </c>
      <c r="S83" s="142" t="s">
        <v>174</v>
      </c>
      <c r="T83" s="142" t="s">
        <v>172</v>
      </c>
      <c r="U83" s="142" t="s">
        <v>172</v>
      </c>
      <c r="V83" s="142" t="s">
        <v>172</v>
      </c>
    </row>
    <row r="84" spans="1:22" s="1" customFormat="1" x14ac:dyDescent="0.3"/>
    <row r="85" spans="1:22" s="1" customFormat="1" x14ac:dyDescent="0.3">
      <c r="A85" s="2" t="s">
        <v>39</v>
      </c>
    </row>
    <row r="86" spans="1:22" x14ac:dyDescent="0.3">
      <c r="A86" s="1" t="s">
        <v>23</v>
      </c>
      <c r="B86" s="1">
        <f>B56+(3*B57)</f>
        <v>0.18654304444437225</v>
      </c>
    </row>
    <row r="87" spans="1:22" x14ac:dyDescent="0.3">
      <c r="A87" s="1" t="s">
        <v>24</v>
      </c>
      <c r="B87" s="1">
        <f>B56+(10*B57)</f>
        <v>0.52413738701259949</v>
      </c>
    </row>
    <row r="88" spans="1:22" ht="15" thickBot="1" x14ac:dyDescent="0.35"/>
    <row r="89" spans="1:22" s="48" customFormat="1" ht="26.4" thickBot="1" x14ac:dyDescent="0.35">
      <c r="A89" s="49" t="s">
        <v>55</v>
      </c>
      <c r="B89" s="50"/>
      <c r="C89" s="50"/>
      <c r="D89" s="50"/>
      <c r="E89" s="50"/>
      <c r="F89" s="50"/>
      <c r="G89" s="50"/>
      <c r="H89" s="50"/>
      <c r="I89" s="50"/>
      <c r="J89" s="50"/>
      <c r="K89" s="50"/>
      <c r="L89" s="50"/>
      <c r="M89" s="50"/>
      <c r="N89" s="50"/>
      <c r="O89" s="50"/>
      <c r="P89" s="50"/>
      <c r="Q89" s="50"/>
      <c r="R89" s="50"/>
      <c r="S89" s="50"/>
      <c r="T89" s="50"/>
      <c r="U89" s="50"/>
      <c r="V89" s="50"/>
    </row>
    <row r="90" spans="1:22" ht="15" thickBot="1" x14ac:dyDescent="0.35"/>
    <row r="91" spans="1:22" s="48" customFormat="1" ht="26.4" thickBot="1" x14ac:dyDescent="0.35">
      <c r="A91" s="49" t="s">
        <v>56</v>
      </c>
      <c r="B91" s="50"/>
      <c r="C91" s="50"/>
      <c r="D91" s="50"/>
      <c r="E91" s="50"/>
      <c r="F91" s="50"/>
      <c r="G91" s="50"/>
      <c r="H91" s="50"/>
      <c r="I91" s="50"/>
      <c r="J91" s="50"/>
      <c r="K91" s="50"/>
      <c r="L91" s="50"/>
      <c r="M91" s="50"/>
      <c r="N91" s="50"/>
      <c r="O91" s="50"/>
      <c r="P91" s="50"/>
      <c r="Q91" s="50"/>
      <c r="R91" s="50"/>
      <c r="S91" s="50"/>
      <c r="T91" s="50"/>
      <c r="U91" s="50"/>
      <c r="V91" s="50"/>
    </row>
    <row r="92" spans="1:22" ht="15" thickBot="1" x14ac:dyDescent="0.35"/>
    <row r="93" spans="1:22" s="48" customFormat="1" ht="26.4" thickBot="1" x14ac:dyDescent="0.35">
      <c r="A93" s="228" t="s">
        <v>57</v>
      </c>
      <c r="B93" s="229"/>
      <c r="C93" s="229"/>
      <c r="D93" s="229"/>
      <c r="E93" s="229"/>
      <c r="F93" s="229"/>
      <c r="G93" s="229"/>
      <c r="H93" s="229"/>
      <c r="I93" s="229"/>
      <c r="J93" s="229"/>
      <c r="K93" s="229"/>
      <c r="L93" s="229"/>
      <c r="M93" s="229"/>
      <c r="N93" s="229"/>
      <c r="O93" s="229"/>
      <c r="P93" s="229"/>
      <c r="Q93" s="229"/>
      <c r="R93" s="229"/>
      <c r="S93" s="229"/>
      <c r="T93" s="229"/>
      <c r="U93" s="229"/>
      <c r="V93" s="229"/>
    </row>
    <row r="94" spans="1:22" x14ac:dyDescent="0.3">
      <c r="B94" s="1">
        <f t="shared" ref="B94:V94" si="20">B75/$B$75</f>
        <v>1</v>
      </c>
      <c r="C94" s="1">
        <f t="shared" si="20"/>
        <v>2.8347520965249129</v>
      </c>
      <c r="D94" s="1">
        <f t="shared" si="20"/>
        <v>6.2602615352001472</v>
      </c>
      <c r="E94" s="1">
        <f t="shared" si="20"/>
        <v>16.214137257714281</v>
      </c>
      <c r="F94" s="1">
        <f t="shared" si="20"/>
        <v>48.249067754657482</v>
      </c>
      <c r="G94" s="1">
        <f t="shared" si="20"/>
        <v>70.428940599792043</v>
      </c>
      <c r="H94" s="1">
        <f>H75/$B$75</f>
        <v>116.16879542000041</v>
      </c>
      <c r="I94" s="1">
        <f t="shared" si="20"/>
        <v>1.4054924451960775</v>
      </c>
      <c r="J94" s="1">
        <f t="shared" si="20"/>
        <v>1.6362585201294202</v>
      </c>
      <c r="K94" s="1">
        <f t="shared" si="20"/>
        <v>1.0937469295555733</v>
      </c>
      <c r="L94" s="1">
        <f t="shared" si="20"/>
        <v>1.8917343009768355</v>
      </c>
      <c r="M94" s="1">
        <f t="shared" si="20"/>
        <v>1.3319053597931616</v>
      </c>
      <c r="N94" s="1">
        <f t="shared" si="20"/>
        <v>0</v>
      </c>
      <c r="O94" s="1">
        <f t="shared" si="20"/>
        <v>23.889294274182777</v>
      </c>
      <c r="P94" s="1">
        <f t="shared" si="20"/>
        <v>172.18659185206326</v>
      </c>
      <c r="Q94" s="1">
        <f t="shared" si="20"/>
        <v>1.3108014759435431</v>
      </c>
      <c r="R94" s="1">
        <f t="shared" si="20"/>
        <v>9.8891344475685319</v>
      </c>
      <c r="S94" s="1">
        <f t="shared" si="20"/>
        <v>6.8006871996791842</v>
      </c>
      <c r="T94" s="1">
        <f t="shared" si="20"/>
        <v>5.1059549410201441</v>
      </c>
      <c r="U94" s="1">
        <f t="shared" si="20"/>
        <v>1.7714067721139115</v>
      </c>
      <c r="V94" s="1">
        <f t="shared" si="20"/>
        <v>2.8219163414250001</v>
      </c>
    </row>
    <row r="101" spans="4:30" x14ac:dyDescent="0.3">
      <c r="G101" s="1"/>
      <c r="H101" s="1"/>
    </row>
    <row r="102" spans="4:30" x14ac:dyDescent="0.3">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4:30" x14ac:dyDescent="0.3">
      <c r="D103" s="1"/>
      <c r="E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4:30" x14ac:dyDescent="0.3">
      <c r="D104" s="1"/>
      <c r="E104" s="1"/>
      <c r="G104" s="1"/>
      <c r="H104" s="1"/>
    </row>
    <row r="105" spans="4:30" x14ac:dyDescent="0.3">
      <c r="D105" s="1"/>
      <c r="E105" s="1"/>
      <c r="G105" s="1"/>
      <c r="H105" s="1"/>
    </row>
    <row r="106" spans="4:30" x14ac:dyDescent="0.3">
      <c r="D106" s="1"/>
      <c r="E106" s="1"/>
      <c r="G106" s="1"/>
      <c r="H106" s="1"/>
    </row>
    <row r="107" spans="4:30" x14ac:dyDescent="0.3">
      <c r="D107" s="1"/>
      <c r="E107" s="1"/>
      <c r="G107" s="1"/>
      <c r="H107" s="1"/>
    </row>
    <row r="108" spans="4:30" x14ac:dyDescent="0.3">
      <c r="D108" s="1"/>
      <c r="E108" s="1"/>
      <c r="G108" s="1"/>
      <c r="H108" s="1"/>
    </row>
    <row r="109" spans="4:30" x14ac:dyDescent="0.3">
      <c r="D109" s="1"/>
      <c r="E109" s="1"/>
      <c r="G109" s="1"/>
      <c r="H109" s="1"/>
    </row>
    <row r="110" spans="4:30" x14ac:dyDescent="0.3">
      <c r="D110" s="1"/>
      <c r="E110" s="1"/>
      <c r="G110" s="1"/>
      <c r="H110" s="1"/>
    </row>
    <row r="111" spans="4:30" x14ac:dyDescent="0.3">
      <c r="D111" s="1"/>
      <c r="E111" s="1"/>
      <c r="G111" s="1"/>
      <c r="H111" s="1"/>
    </row>
    <row r="112" spans="4:30" x14ac:dyDescent="0.3">
      <c r="D112" s="1"/>
      <c r="E112" s="1"/>
      <c r="G112" s="1"/>
      <c r="H112" s="1"/>
    </row>
    <row r="113" spans="4:8" x14ac:dyDescent="0.3">
      <c r="D113" s="1"/>
      <c r="E113" s="1"/>
      <c r="G113" s="1"/>
      <c r="H113" s="1"/>
    </row>
    <row r="114" spans="4:8" x14ac:dyDescent="0.3">
      <c r="G114" s="1"/>
      <c r="H114" s="1"/>
    </row>
    <row r="115" spans="4:8" x14ac:dyDescent="0.3">
      <c r="G115" s="1"/>
      <c r="H115" s="1"/>
    </row>
    <row r="116" spans="4:8" x14ac:dyDescent="0.3">
      <c r="G116" s="1"/>
      <c r="H116" s="1"/>
    </row>
    <row r="117" spans="4:8" x14ac:dyDescent="0.3">
      <c r="G117" s="1"/>
      <c r="H117" s="1"/>
    </row>
    <row r="118" spans="4:8" x14ac:dyDescent="0.3">
      <c r="G118" s="1"/>
      <c r="H118" s="1"/>
    </row>
    <row r="119" spans="4:8" x14ac:dyDescent="0.3">
      <c r="G119" s="1"/>
      <c r="H119" s="1"/>
    </row>
    <row r="120" spans="4:8" x14ac:dyDescent="0.3">
      <c r="G120" s="1"/>
      <c r="H120" s="1"/>
    </row>
    <row r="121" spans="4:8" x14ac:dyDescent="0.3">
      <c r="D121" s="1">
        <v>0.18</v>
      </c>
      <c r="E121" s="1" t="s">
        <v>169</v>
      </c>
      <c r="G121" s="1"/>
      <c r="H121" s="1"/>
    </row>
    <row r="122" spans="4:8" x14ac:dyDescent="0.3">
      <c r="D122" s="1">
        <v>0.02</v>
      </c>
      <c r="E122" s="1" t="s">
        <v>174</v>
      </c>
      <c r="G122" s="1"/>
      <c r="H122" s="1"/>
    </row>
    <row r="123" spans="4:8" x14ac:dyDescent="0.3">
      <c r="D123" s="1" t="s">
        <v>173</v>
      </c>
      <c r="E123" s="1" t="s">
        <v>172</v>
      </c>
      <c r="G123" s="1"/>
      <c r="H123" s="1"/>
    </row>
    <row r="124" spans="4:8" x14ac:dyDescent="0.3">
      <c r="D124" s="1" t="s">
        <v>173</v>
      </c>
      <c r="E124" s="1" t="s">
        <v>172</v>
      </c>
    </row>
    <row r="125" spans="4:8" x14ac:dyDescent="0.3">
      <c r="D125" s="1" t="s">
        <v>173</v>
      </c>
      <c r="E125" s="1" t="s">
        <v>172</v>
      </c>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oddFooter>&amp;C&amp;1#&amp;"Arial"&amp;10&amp;K000000Internal</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defaultColWidth="9.21875" defaultRowHeight="14.4" x14ac:dyDescent="0.3"/>
  <cols>
    <col min="1" max="1" width="33.77734375" style="41" bestFit="1" customWidth="1"/>
    <col min="2" max="3" width="14" style="41" bestFit="1" customWidth="1"/>
    <col min="4" max="4" width="14" style="41" customWidth="1"/>
    <col min="5" max="5" width="16" style="15" bestFit="1" customWidth="1"/>
    <col min="6" max="8" width="16" style="15" customWidth="1"/>
    <col min="9" max="13" width="19.21875" style="15" customWidth="1"/>
    <col min="14" max="14" width="32.21875" style="15" bestFit="1" customWidth="1"/>
    <col min="15" max="15" width="19.5546875" style="41" customWidth="1"/>
    <col min="16" max="16384" width="9.21875" style="41"/>
  </cols>
  <sheetData>
    <row r="1" spans="1:15" s="48" customFormat="1" ht="26.4" thickBot="1" x14ac:dyDescent="0.35">
      <c r="A1" s="228" t="s">
        <v>104</v>
      </c>
      <c r="B1" s="229"/>
      <c r="C1" s="229"/>
      <c r="D1" s="229"/>
      <c r="E1" s="229"/>
      <c r="F1" s="229"/>
      <c r="G1" s="229"/>
      <c r="H1" s="229"/>
      <c r="I1" s="229"/>
      <c r="J1" s="229"/>
      <c r="K1" s="229"/>
      <c r="L1" s="229"/>
      <c r="M1" s="229"/>
      <c r="N1" s="229"/>
      <c r="O1" s="230"/>
    </row>
    <row r="2" spans="1:15" s="48" customFormat="1" ht="26.4" thickBot="1" x14ac:dyDescent="0.35">
      <c r="A2" s="228" t="s">
        <v>105</v>
      </c>
      <c r="B2" s="229"/>
      <c r="C2" s="229"/>
      <c r="D2" s="229"/>
      <c r="E2" s="229"/>
      <c r="F2" s="229"/>
      <c r="G2" s="229"/>
      <c r="H2" s="229"/>
      <c r="I2" s="229"/>
      <c r="J2" s="229"/>
      <c r="K2" s="229"/>
      <c r="L2" s="229"/>
      <c r="M2" s="229"/>
      <c r="N2" s="229"/>
      <c r="O2" s="230"/>
    </row>
    <row r="3" spans="1:15" s="76" customFormat="1" ht="15.6" x14ac:dyDescent="0.3">
      <c r="H3" s="77"/>
      <c r="I3" s="77"/>
      <c r="J3" s="77"/>
      <c r="K3" s="77"/>
      <c r="L3" s="77"/>
      <c r="M3" s="77"/>
      <c r="N3" s="77"/>
    </row>
    <row r="4" spans="1:15" s="76" customFormat="1" ht="15.6" x14ac:dyDescent="0.3">
      <c r="O4"/>
    </row>
    <row r="5" spans="1:15" s="76" customFormat="1" ht="45.75" customHeight="1" thickBot="1" x14ac:dyDescent="0.35">
      <c r="A5" s="78"/>
      <c r="B5" s="87" t="s">
        <v>25</v>
      </c>
      <c r="C5" s="87" t="s">
        <v>26</v>
      </c>
      <c r="D5" s="87" t="s">
        <v>27</v>
      </c>
      <c r="E5" s="88" t="s">
        <v>64</v>
      </c>
      <c r="F5" s="126" t="s">
        <v>80</v>
      </c>
      <c r="G5" s="94" t="s">
        <v>42</v>
      </c>
      <c r="H5" s="94" t="s">
        <v>65</v>
      </c>
      <c r="I5" s="94" t="s">
        <v>66</v>
      </c>
      <c r="J5" s="95" t="s">
        <v>77</v>
      </c>
      <c r="K5" s="95" t="s">
        <v>67</v>
      </c>
      <c r="L5" s="96" t="s">
        <v>76</v>
      </c>
      <c r="M5" s="96" t="s">
        <v>68</v>
      </c>
      <c r="N5" s="96" t="s">
        <v>69</v>
      </c>
      <c r="O5"/>
    </row>
    <row r="6" spans="1:15" s="76" customFormat="1" ht="15.6" x14ac:dyDescent="0.3">
      <c r="A6" s="79" t="s">
        <v>28</v>
      </c>
      <c r="B6" s="99">
        <v>64</v>
      </c>
      <c r="C6" s="79"/>
      <c r="D6" s="79"/>
      <c r="E6" s="89"/>
      <c r="F6" s="90"/>
      <c r="G6" s="128">
        <f>IF(F6="NS","NC",ROUND(B6,2-(1+INT(LOG10(ABS(B6))))))</f>
        <v>64</v>
      </c>
      <c r="H6" s="120"/>
      <c r="I6" s="120"/>
      <c r="J6" s="121"/>
      <c r="K6" s="122"/>
      <c r="L6" s="124"/>
      <c r="M6" s="121"/>
      <c r="N6" s="91"/>
      <c r="O6"/>
    </row>
    <row r="7" spans="1:15" s="76" customFormat="1" ht="15.6" x14ac:dyDescent="0.3">
      <c r="A7" s="79" t="str">
        <f>'Page de garde'!A15</f>
        <v>Prochloraz-0.063mg/L</v>
      </c>
      <c r="B7" s="98"/>
      <c r="C7" s="80"/>
      <c r="D7" s="80"/>
      <c r="E7" s="81"/>
      <c r="F7" s="97" t="str">
        <f>HLOOKUP(A7,'pooled normalised values'!$B$74:$V$83,10,FALSE)</f>
        <v>ns</v>
      </c>
      <c r="G7" s="128" t="str">
        <f>IF(F7="NS","NC",ROUND(B7,2-(1+INT(LOG10(ABS(B7))))))</f>
        <v>NC</v>
      </c>
      <c r="H7" s="119" t="str">
        <f>IF(VLOOKUP(A7,liste_groupe[],4,FALSE)="%",VLOOKUP(A7,liste_groupe[],3,FALSE)/100,IF(ISBLANK(VLOOKUP(A7,liste_groupe[],4,FALSE)),"Non","Non"))</f>
        <v>Non</v>
      </c>
      <c r="I7" s="128" t="str">
        <f>IF(F7="NS","NC",IF(H7="Non",G7,G7*(1/H7)))</f>
        <v>NC</v>
      </c>
      <c r="J7" s="129">
        <v>64</v>
      </c>
      <c r="K7" s="130">
        <f>IF(F7="NS",0,ROUND(I7/J7*100,0))</f>
        <v>0</v>
      </c>
      <c r="L7" s="125">
        <v>1</v>
      </c>
      <c r="M7" s="131">
        <f>IF(K7&gt;100,125,K7)</f>
        <v>0</v>
      </c>
      <c r="N7" s="92" t="str">
        <f>IF(H7="Non",CONCATENATE(VLOOKUP(A7,liste_groupe[],5,FALSE),"-",VLOOKUP(A7,liste_groupe[],3,FALSE),VLOOKUP(A7,liste_groupe[],4,FALSE)," : ",ROUND(K7,0),"%"),CONCATENATE(VLOOKUP(A7,liste_groupe[],5,FALSE)," : ",ROUND(K7,0),"%"))</f>
        <v>Prochloraz-0.063mg/L : 0%</v>
      </c>
      <c r="O7"/>
    </row>
    <row r="8" spans="1:15" s="76" customFormat="1" ht="15.6" x14ac:dyDescent="0.3">
      <c r="A8" s="79" t="str">
        <f>'Page de garde'!A16</f>
        <v>Prochloraz-0.13mg/L</v>
      </c>
      <c r="B8" s="98"/>
      <c r="C8" s="82"/>
      <c r="D8" s="80"/>
      <c r="E8" s="81"/>
      <c r="F8" s="97" t="str">
        <f>HLOOKUP(A8,'pooled normalised values'!$B$74:$V$83,10,FALSE)</f>
        <v>ns</v>
      </c>
      <c r="G8" s="128" t="str">
        <f t="shared" ref="G8:G13" si="0">IF(F8="NS","NC",ROUND(B8,2-(1+INT(LOG10(ABS(B8))))))</f>
        <v>NC</v>
      </c>
      <c r="H8" s="119" t="str">
        <f>IF(VLOOKUP(A8,liste_groupe[],4,FALSE)="%",VLOOKUP(A8,liste_groupe[],3,FALSE)/100,IF(ISBLANK(VLOOKUP(A8,liste_groupe[],4,FALSE)),"Non","Non"))</f>
        <v>Non</v>
      </c>
      <c r="I8" s="128" t="str">
        <f t="shared" ref="I8:I26" si="1">IF(F8="NS","NC",IF(H8="Non",G8,G8*(1/H8)))</f>
        <v>NC</v>
      </c>
      <c r="J8" s="129">
        <v>64</v>
      </c>
      <c r="K8" s="130">
        <f t="shared" ref="K8:K26" si="2">IF(F8="NS",0,ROUND(I8/J8*100,0))</f>
        <v>0</v>
      </c>
      <c r="L8" s="125"/>
      <c r="M8" s="131">
        <f t="shared" ref="M8:M26" si="3">IF(K8&gt;100,125,K8)</f>
        <v>0</v>
      </c>
      <c r="N8" s="92" t="str">
        <f>IF(H8="Non",CONCATENATE(VLOOKUP(A8,liste_groupe[],5,FALSE),"-",VLOOKUP(A8,liste_groupe[],3,FALSE),VLOOKUP(A8,liste_groupe[],4,FALSE)," : ",ROUND(K8,0),"%"),CONCATENATE(VLOOKUP(A8,liste_groupe[],5,FALSE)," : ",ROUND(K8,0),"%"))</f>
        <v>Prochloraz-0.13mg/L : 0%</v>
      </c>
      <c r="O8"/>
    </row>
    <row r="9" spans="1:15" s="76" customFormat="1" ht="15.6" x14ac:dyDescent="0.3">
      <c r="A9" s="79" t="str">
        <f>'Page de garde'!A17</f>
        <v>Prochloraz-0.25mg/L</v>
      </c>
      <c r="B9" s="98"/>
      <c r="C9" s="82"/>
      <c r="D9" s="80"/>
      <c r="E9" s="81"/>
      <c r="F9" s="97" t="str">
        <f>HLOOKUP(A9,'pooled normalised values'!$B$74:$V$83,10,FALSE)</f>
        <v>ns</v>
      </c>
      <c r="G9" s="128" t="str">
        <f t="shared" si="0"/>
        <v>NC</v>
      </c>
      <c r="H9" s="119" t="str">
        <f>IF(VLOOKUP(A9,liste_groupe[],4,FALSE)="%",VLOOKUP(A9,liste_groupe[],3,FALSE)/100,IF(ISBLANK(VLOOKUP(A9,liste_groupe[],4,FALSE)),"Non","Non"))</f>
        <v>Non</v>
      </c>
      <c r="I9" s="128" t="str">
        <f t="shared" si="1"/>
        <v>NC</v>
      </c>
      <c r="J9" s="129">
        <v>64</v>
      </c>
      <c r="K9" s="130">
        <f t="shared" si="2"/>
        <v>0</v>
      </c>
      <c r="L9" s="125"/>
      <c r="M9" s="131">
        <f t="shared" si="3"/>
        <v>0</v>
      </c>
      <c r="N9" s="92" t="str">
        <f>IF(H9="Non",CONCATENATE(VLOOKUP(A9,liste_groupe[],5,FALSE),"-",VLOOKUP(A9,liste_groupe[],3,FALSE),VLOOKUP(A9,liste_groupe[],4,FALSE)," : ",ROUND(K9,0),"%"),CONCATENATE(VLOOKUP(A9,liste_groupe[],5,FALSE)," : ",ROUND(K9,0),"%"))</f>
        <v>Prochloraz-0.25mg/L : 0%</v>
      </c>
      <c r="O9"/>
    </row>
    <row r="10" spans="1:15" s="76" customFormat="1" ht="15.6" x14ac:dyDescent="0.3">
      <c r="A10" s="79" t="str">
        <f>'Page de garde'!A18</f>
        <v>Prochloraz-0.5mg/L</v>
      </c>
      <c r="B10" s="99"/>
      <c r="C10" s="79"/>
      <c r="D10" s="84"/>
      <c r="E10" s="81"/>
      <c r="F10" s="97" t="str">
        <f>HLOOKUP(A10,'pooled normalised values'!$B$74:$V$83,10,FALSE)</f>
        <v>ns</v>
      </c>
      <c r="G10" s="128" t="str">
        <f t="shared" si="0"/>
        <v>NC</v>
      </c>
      <c r="H10" s="119" t="str">
        <f>IF(VLOOKUP(A10,liste_groupe[],4,FALSE)="%",VLOOKUP(A10,liste_groupe[],3,FALSE)/100,IF(ISBLANK(VLOOKUP(A10,liste_groupe[],4,FALSE)),"Non","Non"))</f>
        <v>Non</v>
      </c>
      <c r="I10" s="128" t="str">
        <f t="shared" si="1"/>
        <v>NC</v>
      </c>
      <c r="J10" s="129">
        <v>64</v>
      </c>
      <c r="K10" s="130">
        <f t="shared" si="2"/>
        <v>0</v>
      </c>
      <c r="L10" s="125"/>
      <c r="M10" s="131">
        <f t="shared" si="3"/>
        <v>0</v>
      </c>
      <c r="N10" s="92" t="str">
        <f>IF(H10="Non",CONCATENATE(VLOOKUP(A10,liste_groupe[],5,FALSE),"-",VLOOKUP(A10,liste_groupe[],3,FALSE),VLOOKUP(A10,liste_groupe[],4,FALSE)," : ",ROUND(K10,0),"%"),CONCATENATE(VLOOKUP(A10,liste_groupe[],5,FALSE)," : ",ROUND(K10,0),"%"))</f>
        <v>Prochloraz-0.5mg/L : 0%</v>
      </c>
      <c r="O10"/>
    </row>
    <row r="11" spans="1:15" s="76" customFormat="1" ht="15.6" x14ac:dyDescent="0.3">
      <c r="A11" s="79" t="str">
        <f>'Page de garde'!A19</f>
        <v>Prochloraz-1mg/L</v>
      </c>
      <c r="B11" s="99"/>
      <c r="C11" s="79"/>
      <c r="D11" s="84"/>
      <c r="E11" s="81"/>
      <c r="F11" s="97" t="str">
        <f>HLOOKUP(A11,'pooled normalised values'!$B$74:$V$83,10,FALSE)</f>
        <v>ns</v>
      </c>
      <c r="G11" s="128" t="str">
        <f t="shared" si="0"/>
        <v>NC</v>
      </c>
      <c r="H11" s="119" t="str">
        <f>IF(VLOOKUP(A11,liste_groupe[],4,FALSE)="%",VLOOKUP(A11,liste_groupe[],3,FALSE)/100,IF(ISBLANK(VLOOKUP(A11,liste_groupe[],4,FALSE)),"Non","Non"))</f>
        <v>Non</v>
      </c>
      <c r="I11" s="128" t="str">
        <f t="shared" si="1"/>
        <v>NC</v>
      </c>
      <c r="J11" s="129">
        <v>64</v>
      </c>
      <c r="K11" s="130">
        <f t="shared" si="2"/>
        <v>0</v>
      </c>
      <c r="L11" s="125"/>
      <c r="M11" s="131">
        <f t="shared" si="3"/>
        <v>0</v>
      </c>
      <c r="N11" s="92" t="str">
        <f>IF(H11="Non",CONCATENATE(VLOOKUP(A11,liste_groupe[],5,FALSE),"-",VLOOKUP(A11,liste_groupe[],3,FALSE),VLOOKUP(A11,liste_groupe[],4,FALSE)," : ",ROUND(K11,0),"%"),CONCATENATE(VLOOKUP(A11,liste_groupe[],5,FALSE)," : ",ROUND(K11,0),"%"))</f>
        <v>Prochloraz-1mg/L : 0%</v>
      </c>
      <c r="O11"/>
    </row>
    <row r="12" spans="1:15" s="76" customFormat="1" ht="15.6" x14ac:dyDescent="0.3">
      <c r="A12" s="79" t="str">
        <f>'Page de garde'!A20</f>
        <v xml:space="preserve"> </v>
      </c>
      <c r="B12" s="99"/>
      <c r="C12" s="79"/>
      <c r="D12" s="84"/>
      <c r="E12" s="81"/>
      <c r="F12" s="97" t="e">
        <f>HLOOKUP(A12,'pooled normalised values'!$B$74:$V$83,10,FALSE)</f>
        <v>#N/A</v>
      </c>
      <c r="G12" s="128" t="e">
        <f t="shared" si="0"/>
        <v>#N/A</v>
      </c>
      <c r="H12" s="119" t="str">
        <f>IF(VLOOKUP(A12,liste_groupe[],4,FALSE)="%",VLOOKUP(A12,liste_groupe[],3,FALSE)/100,IF(ISBLANK(VLOOKUP(A12,liste_groupe[],4,FALSE)),"Non","Non"))</f>
        <v>Non</v>
      </c>
      <c r="I12" s="128" t="e">
        <f t="shared" si="1"/>
        <v>#N/A</v>
      </c>
      <c r="J12" s="129">
        <v>64</v>
      </c>
      <c r="K12" s="130" t="e">
        <f t="shared" si="2"/>
        <v>#N/A</v>
      </c>
      <c r="L12" s="125"/>
      <c r="M12" s="131" t="e">
        <f t="shared" si="3"/>
        <v>#N/A</v>
      </c>
      <c r="N12" s="92" t="e">
        <f>IF(H12="Non",CONCATENATE(VLOOKUP(A12,liste_groupe[],5,FALSE),"-",VLOOKUP(A12,liste_groupe[],3,FALSE),VLOOKUP(A12,liste_groupe[],4,FALSE)," : ",ROUND(K12,0),"%"),CONCATENATE(VLOOKUP(A12,liste_groupe[],5,FALSE)," : ",ROUND(K12,0),"%"))</f>
        <v>#N/A</v>
      </c>
      <c r="O12"/>
    </row>
    <row r="13" spans="1:15" s="76" customFormat="1" ht="15.6" x14ac:dyDescent="0.3">
      <c r="A13" s="79" t="str">
        <f>'Page de garde'!A21</f>
        <v xml:space="preserve"> </v>
      </c>
      <c r="B13" s="99"/>
      <c r="C13" s="79"/>
      <c r="D13" s="79"/>
      <c r="E13" s="81"/>
      <c r="F13" s="97" t="e">
        <f>HLOOKUP(A13,'pooled normalised values'!$B$74:$V$83,10,FALSE)</f>
        <v>#N/A</v>
      </c>
      <c r="G13" s="128" t="e">
        <f t="shared" si="0"/>
        <v>#N/A</v>
      </c>
      <c r="H13" s="119" t="str">
        <f>IF(VLOOKUP(A13,liste_groupe[],4,FALSE)="%",VLOOKUP(A13,liste_groupe[],3,FALSE)/100,IF(ISBLANK(VLOOKUP(A13,liste_groupe[],4,FALSE)),"Non","Non"))</f>
        <v>Non</v>
      </c>
      <c r="I13" s="128" t="e">
        <f t="shared" si="1"/>
        <v>#N/A</v>
      </c>
      <c r="J13" s="129">
        <v>64</v>
      </c>
      <c r="K13" s="130" t="e">
        <f t="shared" si="2"/>
        <v>#N/A</v>
      </c>
      <c r="L13" s="125"/>
      <c r="M13" s="131" t="e">
        <f t="shared" si="3"/>
        <v>#N/A</v>
      </c>
      <c r="N13" s="92" t="e">
        <f>IF(H13="Non",CONCATENATE(VLOOKUP(A13,liste_groupe[],5,FALSE),"-",VLOOKUP(A13,liste_groupe[],3,FALSE),VLOOKUP(A13,liste_groupe[],4,FALSE)," : ",ROUND(K13,0),"%"),CONCATENATE(VLOOKUP(A13,liste_groupe[],5,FALSE)," : ",ROUND(K13,0),"%"))</f>
        <v>#N/A</v>
      </c>
      <c r="O13"/>
    </row>
    <row r="14" spans="1:15" s="76" customFormat="1" ht="15.6" x14ac:dyDescent="0.3">
      <c r="A14" s="79" t="str">
        <f>'Page de garde'!A22</f>
        <v xml:space="preserve"> </v>
      </c>
      <c r="B14" s="99"/>
      <c r="C14" s="79"/>
      <c r="D14" s="79"/>
      <c r="E14" s="81"/>
      <c r="F14" s="97" t="e">
        <f>HLOOKUP(A14,'pooled normalised values'!$B$74:$V$83,10,FALSE)</f>
        <v>#N/A</v>
      </c>
      <c r="G14" s="128" t="e">
        <f t="shared" ref="G14:G25" si="4">IF(F14="NS","NC",ROUND(B14,2-(1+INT(LOG10(ABS(B14))))))</f>
        <v>#N/A</v>
      </c>
      <c r="H14" s="119" t="str">
        <f>IF(VLOOKUP(A14,liste_groupe[],4,FALSE)="%",VLOOKUP(A14,liste_groupe[],3,FALSE)/100,IF(ISBLANK(VLOOKUP(A14,liste_groupe[],4,FALSE)),"Non","Non"))</f>
        <v>Non</v>
      </c>
      <c r="I14" s="128" t="e">
        <f t="shared" si="1"/>
        <v>#N/A</v>
      </c>
      <c r="J14" s="129">
        <v>64</v>
      </c>
      <c r="K14" s="130" t="e">
        <f t="shared" si="2"/>
        <v>#N/A</v>
      </c>
      <c r="L14" s="125"/>
      <c r="M14" s="131" t="e">
        <f t="shared" si="3"/>
        <v>#N/A</v>
      </c>
      <c r="N14" s="92" t="e">
        <f>IF(H14="Non",CONCATENATE(VLOOKUP(A14,liste_groupe[],5,FALSE),"-",VLOOKUP(A14,liste_groupe[],3,FALSE),VLOOKUP(A14,liste_groupe[],4,FALSE)," : ",ROUND(K14,0),"%"),CONCATENATE(VLOOKUP(A14,liste_groupe[],5,FALSE)," : ",ROUND(K14,0),"%"))</f>
        <v>#N/A</v>
      </c>
      <c r="O14" s="1"/>
    </row>
    <row r="15" spans="1:15" s="76" customFormat="1" ht="15.6" x14ac:dyDescent="0.3">
      <c r="A15" s="79" t="str">
        <f>'Page de garde'!A23</f>
        <v xml:space="preserve"> </v>
      </c>
      <c r="B15" s="99"/>
      <c r="C15" s="79"/>
      <c r="D15" s="79"/>
      <c r="E15" s="81"/>
      <c r="F15" s="97" t="e">
        <f>HLOOKUP(A15,'pooled normalised values'!$B$74:$V$83,10,FALSE)</f>
        <v>#N/A</v>
      </c>
      <c r="G15" s="128" t="e">
        <f t="shared" si="4"/>
        <v>#N/A</v>
      </c>
      <c r="H15" s="119" t="str">
        <f>IF(VLOOKUP(A15,liste_groupe[],4,FALSE)="%",VLOOKUP(A15,liste_groupe[],3,FALSE)/100,IF(ISBLANK(VLOOKUP(A15,liste_groupe[],4,FALSE)),"Non","Non"))</f>
        <v>Non</v>
      </c>
      <c r="I15" s="128" t="e">
        <f t="shared" si="1"/>
        <v>#N/A</v>
      </c>
      <c r="J15" s="129">
        <v>64</v>
      </c>
      <c r="K15" s="130" t="e">
        <f t="shared" si="2"/>
        <v>#N/A</v>
      </c>
      <c r="L15" s="125"/>
      <c r="M15" s="131" t="e">
        <f t="shared" si="3"/>
        <v>#N/A</v>
      </c>
      <c r="N15" s="92" t="e">
        <f>IF(H15="Non",CONCATENATE(VLOOKUP(A15,liste_groupe[],5,FALSE),"-",VLOOKUP(A15,liste_groupe[],3,FALSE),VLOOKUP(A15,liste_groupe[],4,FALSE)," : ",ROUND(K15,0),"%"),CONCATENATE(VLOOKUP(A15,liste_groupe[],5,FALSE)," : ",ROUND(K15,0),"%"))</f>
        <v>#N/A</v>
      </c>
      <c r="O15" s="1"/>
    </row>
    <row r="16" spans="1:15" s="76" customFormat="1" ht="15.6" x14ac:dyDescent="0.3">
      <c r="A16" s="79" t="str">
        <f>'Page de garde'!A24</f>
        <v xml:space="preserve"> </v>
      </c>
      <c r="B16" s="99"/>
      <c r="C16" s="79"/>
      <c r="D16" s="79"/>
      <c r="E16" s="81"/>
      <c r="F16" s="97" t="e">
        <f>HLOOKUP(A16,'pooled normalised values'!$B$74:$V$83,10,FALSE)</f>
        <v>#N/A</v>
      </c>
      <c r="G16" s="128" t="e">
        <f t="shared" si="4"/>
        <v>#N/A</v>
      </c>
      <c r="H16" s="119" t="str">
        <f>IF(VLOOKUP(A16,liste_groupe[],4,FALSE)="%",VLOOKUP(A16,liste_groupe[],3,FALSE)/100,IF(ISBLANK(VLOOKUP(A16,liste_groupe[],4,FALSE)),"Non","Non"))</f>
        <v>Non</v>
      </c>
      <c r="I16" s="128" t="e">
        <f t="shared" si="1"/>
        <v>#N/A</v>
      </c>
      <c r="J16" s="129">
        <v>64</v>
      </c>
      <c r="K16" s="130" t="e">
        <f t="shared" si="2"/>
        <v>#N/A</v>
      </c>
      <c r="L16" s="125"/>
      <c r="M16" s="131" t="e">
        <f t="shared" si="3"/>
        <v>#N/A</v>
      </c>
      <c r="N16" s="92" t="e">
        <f>IF(H16="Non",CONCATENATE(VLOOKUP(A16,liste_groupe[],5,FALSE),"-",VLOOKUP(A16,liste_groupe[],3,FALSE),VLOOKUP(A16,liste_groupe[],4,FALSE)," : ",ROUND(K16,0),"%"),CONCATENATE(VLOOKUP(A16,liste_groupe[],5,FALSE)," : ",ROUND(K16,0),"%"))</f>
        <v>#N/A</v>
      </c>
      <c r="O16" s="1"/>
    </row>
    <row r="17" spans="1:15" s="76" customFormat="1" ht="15.6" x14ac:dyDescent="0.3">
      <c r="A17" s="79" t="str">
        <f>'Page de garde'!A25</f>
        <v xml:space="preserve"> </v>
      </c>
      <c r="B17" s="99"/>
      <c r="C17" s="79"/>
      <c r="D17" s="79"/>
      <c r="E17" s="81"/>
      <c r="F17" s="97" t="e">
        <f>HLOOKUP(A17,'pooled normalised values'!$B$74:$V$83,10,FALSE)</f>
        <v>#N/A</v>
      </c>
      <c r="G17" s="128" t="e">
        <f t="shared" si="4"/>
        <v>#N/A</v>
      </c>
      <c r="H17" s="119" t="str">
        <f>IF(VLOOKUP(A17,liste_groupe[],4,FALSE)="%",VLOOKUP(A17,liste_groupe[],3,FALSE)/100,IF(ISBLANK(VLOOKUP(A17,liste_groupe[],4,FALSE)),"Non","Non"))</f>
        <v>Non</v>
      </c>
      <c r="I17" s="128" t="e">
        <f t="shared" si="1"/>
        <v>#N/A</v>
      </c>
      <c r="J17" s="129">
        <v>64</v>
      </c>
      <c r="K17" s="130" t="e">
        <f t="shared" si="2"/>
        <v>#N/A</v>
      </c>
      <c r="L17" s="125"/>
      <c r="M17" s="131" t="e">
        <f t="shared" si="3"/>
        <v>#N/A</v>
      </c>
      <c r="N17" s="92" t="e">
        <f>IF(H17="Non",CONCATENATE(VLOOKUP(A17,liste_groupe[],5,FALSE),"-",VLOOKUP(A17,liste_groupe[],3,FALSE),VLOOKUP(A17,liste_groupe[],4,FALSE)," : ",ROUND(K17,0),"%"),CONCATENATE(VLOOKUP(A17,liste_groupe[],5,FALSE)," : ",ROUND(K17,0),"%"))</f>
        <v>#N/A</v>
      </c>
      <c r="O17" s="1"/>
    </row>
    <row r="18" spans="1:15" s="76" customFormat="1" ht="15.6" x14ac:dyDescent="0.3">
      <c r="A18" s="79" t="str">
        <f>'Page de garde'!A26</f>
        <v xml:space="preserve"> </v>
      </c>
      <c r="B18" s="99"/>
      <c r="C18" s="79"/>
      <c r="D18" s="79"/>
      <c r="E18" s="81"/>
      <c r="F18" s="97" t="e">
        <f>HLOOKUP(A18,'pooled normalised values'!$B$74:$V$83,10,FALSE)</f>
        <v>#N/A</v>
      </c>
      <c r="G18" s="128" t="e">
        <f t="shared" si="4"/>
        <v>#N/A</v>
      </c>
      <c r="H18" s="119" t="str">
        <f>IF(VLOOKUP(A18,liste_groupe[],4,FALSE)="%",VLOOKUP(A18,liste_groupe[],3,FALSE)/100,IF(ISBLANK(VLOOKUP(A18,liste_groupe[],4,FALSE)),"Non","Non"))</f>
        <v>Non</v>
      </c>
      <c r="I18" s="128" t="e">
        <f t="shared" si="1"/>
        <v>#N/A</v>
      </c>
      <c r="J18" s="129">
        <v>64</v>
      </c>
      <c r="K18" s="130" t="e">
        <f t="shared" si="2"/>
        <v>#N/A</v>
      </c>
      <c r="L18" s="125"/>
      <c r="M18" s="131" t="e">
        <f t="shared" si="3"/>
        <v>#N/A</v>
      </c>
      <c r="N18" s="92" t="e">
        <f>IF(H18="Non",CONCATENATE(VLOOKUP(A18,liste_groupe[],5,FALSE),"-",VLOOKUP(A18,liste_groupe[],3,FALSE),VLOOKUP(A18,liste_groupe[],4,FALSE)," : ",ROUND(K18,0),"%"),CONCATENATE(VLOOKUP(A18,liste_groupe[],5,FALSE)," : ",ROUND(K18,0),"%"))</f>
        <v>#N/A</v>
      </c>
      <c r="O18" s="1"/>
    </row>
    <row r="19" spans="1:15" s="76" customFormat="1" ht="15.6" x14ac:dyDescent="0.3">
      <c r="A19" s="79" t="str">
        <f>'Page de garde'!A27</f>
        <v xml:space="preserve"> </v>
      </c>
      <c r="B19" s="99"/>
      <c r="C19" s="79"/>
      <c r="D19" s="79"/>
      <c r="E19" s="81"/>
      <c r="F19" s="97" t="e">
        <f>HLOOKUP(A19,'pooled normalised values'!$B$74:$V$83,10,FALSE)</f>
        <v>#N/A</v>
      </c>
      <c r="G19" s="128" t="e">
        <f t="shared" si="4"/>
        <v>#N/A</v>
      </c>
      <c r="H19" s="119" t="str">
        <f>IF(VLOOKUP(A19,liste_groupe[],4,FALSE)="%",VLOOKUP(A19,liste_groupe[],3,FALSE)/100,IF(ISBLANK(VLOOKUP(A19,liste_groupe[],4,FALSE)),"Non","Non"))</f>
        <v>Non</v>
      </c>
      <c r="I19" s="128" t="e">
        <f t="shared" si="1"/>
        <v>#N/A</v>
      </c>
      <c r="J19" s="129">
        <v>64</v>
      </c>
      <c r="K19" s="130" t="e">
        <f t="shared" si="2"/>
        <v>#N/A</v>
      </c>
      <c r="L19" s="125"/>
      <c r="M19" s="131" t="e">
        <f t="shared" si="3"/>
        <v>#N/A</v>
      </c>
      <c r="N19" s="92" t="e">
        <f>IF(H19="Non",CONCATENATE(VLOOKUP(A19,liste_groupe[],5,FALSE),"-",VLOOKUP(A19,liste_groupe[],3,FALSE),VLOOKUP(A19,liste_groupe[],4,FALSE)," : ",ROUND(K19,0),"%"),CONCATENATE(VLOOKUP(A19,liste_groupe[],5,FALSE)," : ",ROUND(K19,0),"%"))</f>
        <v>#N/A</v>
      </c>
      <c r="O19" s="1"/>
    </row>
    <row r="20" spans="1:15" s="76" customFormat="1" ht="15.6" x14ac:dyDescent="0.3">
      <c r="A20" s="79" t="str">
        <f>'Page de garde'!A28</f>
        <v xml:space="preserve"> </v>
      </c>
      <c r="B20" s="99"/>
      <c r="C20" s="79"/>
      <c r="D20" s="79"/>
      <c r="E20" s="81"/>
      <c r="F20" s="97" t="e">
        <f>HLOOKUP(A20,'pooled normalised values'!$B$74:$V$83,10,FALSE)</f>
        <v>#N/A</v>
      </c>
      <c r="G20" s="128" t="e">
        <f t="shared" si="4"/>
        <v>#N/A</v>
      </c>
      <c r="H20" s="119" t="str">
        <f>IF(VLOOKUP(A20,liste_groupe[],4,FALSE)="%",VLOOKUP(A20,liste_groupe[],3,FALSE)/100,IF(ISBLANK(VLOOKUP(A20,liste_groupe[],4,FALSE)),"Non","Non"))</f>
        <v>Non</v>
      </c>
      <c r="I20" s="128" t="e">
        <f t="shared" si="1"/>
        <v>#N/A</v>
      </c>
      <c r="J20" s="129">
        <v>64</v>
      </c>
      <c r="K20" s="130" t="e">
        <f t="shared" si="2"/>
        <v>#N/A</v>
      </c>
      <c r="L20" s="125"/>
      <c r="M20" s="131" t="e">
        <f t="shared" si="3"/>
        <v>#N/A</v>
      </c>
      <c r="N20" s="92" t="e">
        <f>IF(H20="Non",CONCATENATE(VLOOKUP(A20,liste_groupe[],5,FALSE),"-",VLOOKUP(A20,liste_groupe[],3,FALSE),VLOOKUP(A20,liste_groupe[],4,FALSE)," : ",ROUND(K20,0),"%"),CONCATENATE(VLOOKUP(A20,liste_groupe[],5,FALSE)," : ",ROUND(K20,0),"%"))</f>
        <v>#N/A</v>
      </c>
      <c r="O20" s="1"/>
    </row>
    <row r="21" spans="1:15" s="76" customFormat="1" ht="15.6" x14ac:dyDescent="0.3">
      <c r="A21" s="79" t="str">
        <f>'Page de garde'!A29</f>
        <v xml:space="preserve"> </v>
      </c>
      <c r="B21" s="99"/>
      <c r="C21" s="79"/>
      <c r="D21" s="79"/>
      <c r="E21" s="81"/>
      <c r="F21" s="97" t="e">
        <f>HLOOKUP(A21,'pooled normalised values'!$B$74:$V$83,10,FALSE)</f>
        <v>#N/A</v>
      </c>
      <c r="G21" s="128" t="e">
        <f t="shared" si="4"/>
        <v>#N/A</v>
      </c>
      <c r="H21" s="119" t="str">
        <f>IF(VLOOKUP(A21,liste_groupe[],4,FALSE)="%",VLOOKUP(A21,liste_groupe[],3,FALSE)/100,IF(ISBLANK(VLOOKUP(A21,liste_groupe[],4,FALSE)),"Non","Non"))</f>
        <v>Non</v>
      </c>
      <c r="I21" s="128" t="e">
        <f t="shared" si="1"/>
        <v>#N/A</v>
      </c>
      <c r="J21" s="129">
        <v>64</v>
      </c>
      <c r="K21" s="130" t="e">
        <f t="shared" si="2"/>
        <v>#N/A</v>
      </c>
      <c r="L21" s="125"/>
      <c r="M21" s="131" t="e">
        <f t="shared" si="3"/>
        <v>#N/A</v>
      </c>
      <c r="N21" s="92" t="e">
        <f>IF(H21="Non",CONCATENATE(VLOOKUP(A21,liste_groupe[],5,FALSE),"-",VLOOKUP(A21,liste_groupe[],3,FALSE),VLOOKUP(A21,liste_groupe[],4,FALSE)," : ",ROUND(K21,0),"%"),CONCATENATE(VLOOKUP(A21,liste_groupe[],5,FALSE)," : ",ROUND(K21,0),"%"))</f>
        <v>#N/A</v>
      </c>
      <c r="O21" s="1"/>
    </row>
    <row r="22" spans="1:15" s="76" customFormat="1" ht="15.6" x14ac:dyDescent="0.3">
      <c r="A22" s="79" t="str">
        <f>'Page de garde'!A30</f>
        <v xml:space="preserve"> </v>
      </c>
      <c r="B22" s="99"/>
      <c r="C22" s="79"/>
      <c r="D22" s="79"/>
      <c r="E22" s="81"/>
      <c r="F22" s="97" t="e">
        <f>HLOOKUP(A22,'pooled normalised values'!$B$74:$V$83,10,FALSE)</f>
        <v>#N/A</v>
      </c>
      <c r="G22" s="128" t="e">
        <f t="shared" si="4"/>
        <v>#N/A</v>
      </c>
      <c r="H22" s="119" t="str">
        <f>IF(VLOOKUP(A22,liste_groupe[],4,FALSE)="%",VLOOKUP(A22,liste_groupe[],3,FALSE)/100,IF(ISBLANK(VLOOKUP(A22,liste_groupe[],4,FALSE)),"Non","Non"))</f>
        <v>Non</v>
      </c>
      <c r="I22" s="128" t="e">
        <f t="shared" si="1"/>
        <v>#N/A</v>
      </c>
      <c r="J22" s="129">
        <v>64</v>
      </c>
      <c r="K22" s="130" t="e">
        <f t="shared" si="2"/>
        <v>#N/A</v>
      </c>
      <c r="L22" s="125"/>
      <c r="M22" s="131" t="e">
        <f t="shared" si="3"/>
        <v>#N/A</v>
      </c>
      <c r="N22" s="92" t="e">
        <f>IF(H22="Non",CONCATENATE(VLOOKUP(A22,liste_groupe[],5,FALSE),"-",VLOOKUP(A22,liste_groupe[],3,FALSE),VLOOKUP(A22,liste_groupe[],4,FALSE)," : ",ROUND(K22,0),"%"),CONCATENATE(VLOOKUP(A22,liste_groupe[],5,FALSE)," : ",ROUND(K22,0),"%"))</f>
        <v>#N/A</v>
      </c>
      <c r="O22" s="1"/>
    </row>
    <row r="23" spans="1:15" s="76" customFormat="1" ht="15.6" x14ac:dyDescent="0.3">
      <c r="A23" s="79" t="str">
        <f>'Page de garde'!A31</f>
        <v xml:space="preserve"> </v>
      </c>
      <c r="B23" s="99"/>
      <c r="C23" s="79"/>
      <c r="D23" s="79"/>
      <c r="E23" s="81"/>
      <c r="F23" s="97" t="e">
        <f>HLOOKUP(A23,'pooled normalised values'!$B$74:$V$83,10,FALSE)</f>
        <v>#N/A</v>
      </c>
      <c r="G23" s="128" t="e">
        <f t="shared" si="4"/>
        <v>#N/A</v>
      </c>
      <c r="H23" s="119" t="str">
        <f>IF(VLOOKUP(A23,liste_groupe[],4,FALSE)="%",VLOOKUP(A23,liste_groupe[],3,FALSE)/100,IF(ISBLANK(VLOOKUP(A23,liste_groupe[],4,FALSE)),"Non","Non"))</f>
        <v>Non</v>
      </c>
      <c r="I23" s="128" t="e">
        <f t="shared" si="1"/>
        <v>#N/A</v>
      </c>
      <c r="J23" s="129">
        <v>64</v>
      </c>
      <c r="K23" s="130" t="e">
        <f t="shared" si="2"/>
        <v>#N/A</v>
      </c>
      <c r="L23" s="125"/>
      <c r="M23" s="131" t="e">
        <f t="shared" si="3"/>
        <v>#N/A</v>
      </c>
      <c r="N23" s="92" t="e">
        <f>IF(H23="Non",CONCATENATE(VLOOKUP(A23,liste_groupe[],5,FALSE),"-",VLOOKUP(A23,liste_groupe[],3,FALSE),VLOOKUP(A23,liste_groupe[],4,FALSE)," : ",ROUND(K23,0),"%"),CONCATENATE(VLOOKUP(A23,liste_groupe[],5,FALSE)," : ",ROUND(K23,0),"%"))</f>
        <v>#N/A</v>
      </c>
      <c r="O23" s="1"/>
    </row>
    <row r="24" spans="1:15" s="76" customFormat="1" ht="15.6" x14ac:dyDescent="0.3">
      <c r="A24" s="79" t="str">
        <f>'Page de garde'!A32</f>
        <v xml:space="preserve"> </v>
      </c>
      <c r="B24" s="99"/>
      <c r="C24" s="79"/>
      <c r="D24" s="79"/>
      <c r="E24" s="81"/>
      <c r="F24" s="97" t="e">
        <f>HLOOKUP(A24,'pooled normalised values'!$B$74:$V$83,10,FALSE)</f>
        <v>#N/A</v>
      </c>
      <c r="G24" s="128" t="e">
        <f t="shared" si="4"/>
        <v>#N/A</v>
      </c>
      <c r="H24" s="119" t="str">
        <f>IF(VLOOKUP(A24,liste_groupe[],4,FALSE)="%",VLOOKUP(A24,liste_groupe[],3,FALSE)/100,IF(ISBLANK(VLOOKUP(A24,liste_groupe[],4,FALSE)),"Non","Non"))</f>
        <v>Non</v>
      </c>
      <c r="I24" s="128" t="e">
        <f t="shared" si="1"/>
        <v>#N/A</v>
      </c>
      <c r="J24" s="129">
        <v>64</v>
      </c>
      <c r="K24" s="130" t="e">
        <f t="shared" si="2"/>
        <v>#N/A</v>
      </c>
      <c r="L24" s="125"/>
      <c r="M24" s="131" t="e">
        <f t="shared" si="3"/>
        <v>#N/A</v>
      </c>
      <c r="N24" s="92" t="e">
        <f>IF(H24="Non",CONCATENATE(VLOOKUP(A24,liste_groupe[],5,FALSE),"-",VLOOKUP(A24,liste_groupe[],3,FALSE),VLOOKUP(A24,liste_groupe[],4,FALSE)," : ",ROUND(K24,0),"%"),CONCATENATE(VLOOKUP(A24,liste_groupe[],5,FALSE)," : ",ROUND(K24,0),"%"))</f>
        <v>#N/A</v>
      </c>
      <c r="O24" s="1"/>
    </row>
    <row r="25" spans="1:15" s="76" customFormat="1" ht="15.6" x14ac:dyDescent="0.3">
      <c r="A25" s="79" t="str">
        <f>'Page de garde'!A33</f>
        <v xml:space="preserve"> </v>
      </c>
      <c r="B25" s="99"/>
      <c r="C25" s="79"/>
      <c r="D25" s="79"/>
      <c r="E25" s="81"/>
      <c r="F25" s="97" t="e">
        <f>HLOOKUP(A25,'pooled normalised values'!$B$74:$V$83,10,FALSE)</f>
        <v>#N/A</v>
      </c>
      <c r="G25" s="128" t="e">
        <f t="shared" si="4"/>
        <v>#N/A</v>
      </c>
      <c r="H25" s="119" t="str">
        <f>IF(VLOOKUP(A25,liste_groupe[],4,FALSE)="%",VLOOKUP(A25,liste_groupe[],3,FALSE)/100,IF(ISBLANK(VLOOKUP(A25,liste_groupe[],4,FALSE)),"Non","Non"))</f>
        <v>Non</v>
      </c>
      <c r="I25" s="128" t="e">
        <f t="shared" si="1"/>
        <v>#N/A</v>
      </c>
      <c r="J25" s="129">
        <v>64</v>
      </c>
      <c r="K25" s="130" t="e">
        <f t="shared" si="2"/>
        <v>#N/A</v>
      </c>
      <c r="L25" s="125"/>
      <c r="M25" s="131" t="e">
        <f t="shared" si="3"/>
        <v>#N/A</v>
      </c>
      <c r="N25" s="92" t="e">
        <f>IF(H25="Non",CONCATENATE(VLOOKUP(A25,liste_groupe[],5,FALSE),"-",VLOOKUP(A25,liste_groupe[],3,FALSE),VLOOKUP(A25,liste_groupe[],4,FALSE)," : ",ROUND(K25,0),"%"),CONCATENATE(VLOOKUP(A25,liste_groupe[],5,FALSE)," : ",ROUND(K25,0),"%"))</f>
        <v>#N/A</v>
      </c>
      <c r="O25" s="1"/>
    </row>
    <row r="26" spans="1:15" s="76" customFormat="1" ht="15.6" x14ac:dyDescent="0.3">
      <c r="A26" s="79" t="str">
        <f>'Page de garde'!A34</f>
        <v xml:space="preserve"> </v>
      </c>
      <c r="B26" s="98"/>
      <c r="C26" s="85"/>
      <c r="D26" s="85"/>
      <c r="E26" s="81"/>
      <c r="F26" s="97" t="e">
        <f>HLOOKUP(A26,'pooled normalised values'!$B$74:$V$83,10,FALSE)</f>
        <v>#N/A</v>
      </c>
      <c r="G26" s="128" t="e">
        <f t="shared" ref="G26" si="5">IF(F26="NS","NC",ROUND(B26,2-(1+INT(LOG10(ABS(B26))))))</f>
        <v>#N/A</v>
      </c>
      <c r="H26" s="119" t="str">
        <f>IF(VLOOKUP(A26,liste_groupe[],4,FALSE)="%",VLOOKUP(A26,liste_groupe[],3,FALSE)/100,IF(ISBLANK(VLOOKUP(A26,liste_groupe[],4,FALSE)),"Non","Non"))</f>
        <v>Non</v>
      </c>
      <c r="I26" s="128" t="e">
        <f t="shared" si="1"/>
        <v>#N/A</v>
      </c>
      <c r="J26" s="129">
        <v>64</v>
      </c>
      <c r="K26" s="130" t="e">
        <f t="shared" si="2"/>
        <v>#N/A</v>
      </c>
      <c r="L26" s="125"/>
      <c r="M26" s="131" t="e">
        <f t="shared" si="3"/>
        <v>#N/A</v>
      </c>
      <c r="N26" s="92" t="e">
        <f>IF(H26="Non",CONCATENATE(VLOOKUP(A26,liste_groupe[],5,FALSE),"-",VLOOKUP(A26,liste_groupe[],3,FALSE),VLOOKUP(A26,liste_groupe[],4,FALSE)," : ",ROUND(K26,0),"%"),CONCATENATE(VLOOKUP(A26,liste_groupe[],5,FALSE)," : ",ROUND(K26,0),"%"))</f>
        <v>#N/A</v>
      </c>
      <c r="O26"/>
    </row>
    <row r="27" spans="1:15" s="76" customFormat="1" ht="15.6" x14ac:dyDescent="0.3">
      <c r="A27"/>
      <c r="B27"/>
      <c r="C27"/>
      <c r="D27"/>
      <c r="E27"/>
      <c r="F27"/>
      <c r="G27"/>
      <c r="H27"/>
      <c r="I27"/>
      <c r="J27"/>
      <c r="K27"/>
      <c r="L27"/>
      <c r="M27"/>
      <c r="N27"/>
      <c r="O27" s="1"/>
    </row>
    <row r="28" spans="1:15" s="76" customFormat="1" ht="31.8" thickBot="1" x14ac:dyDescent="0.35">
      <c r="A28"/>
      <c r="B28" s="87" t="s">
        <v>25</v>
      </c>
      <c r="C28" s="87" t="s">
        <v>26</v>
      </c>
      <c r="D28" s="87" t="s">
        <v>27</v>
      </c>
      <c r="E28" s="88" t="s">
        <v>64</v>
      </c>
      <c r="F28" s="126" t="s">
        <v>80</v>
      </c>
      <c r="G28" s="94" t="s">
        <v>42</v>
      </c>
      <c r="H28" s="94" t="s">
        <v>65</v>
      </c>
      <c r="I28" s="94" t="s">
        <v>66</v>
      </c>
      <c r="J28" s="95" t="s">
        <v>77</v>
      </c>
      <c r="K28" s="95" t="s">
        <v>67</v>
      </c>
      <c r="L28" s="96" t="s">
        <v>76</v>
      </c>
      <c r="M28" s="96" t="s">
        <v>68</v>
      </c>
      <c r="N28" s="96" t="s">
        <v>69</v>
      </c>
      <c r="O28" s="1"/>
    </row>
    <row r="29" spans="1:15" s="76" customFormat="1" ht="15.6" x14ac:dyDescent="0.3">
      <c r="A29" s="83" t="s">
        <v>29</v>
      </c>
      <c r="B29" s="99"/>
      <c r="C29" s="79"/>
      <c r="D29" s="79"/>
      <c r="E29" s="81"/>
      <c r="F29" s="90"/>
      <c r="G29" s="133"/>
      <c r="H29" s="120"/>
      <c r="I29" s="120"/>
      <c r="J29" s="121"/>
      <c r="K29" s="122"/>
      <c r="L29" s="124"/>
      <c r="M29" s="121"/>
      <c r="N29" s="91"/>
      <c r="O29"/>
    </row>
    <row r="30" spans="1:15" s="76" customFormat="1" ht="15.6" x14ac:dyDescent="0.3">
      <c r="A30" s="83" t="s">
        <v>31</v>
      </c>
      <c r="B30" s="99"/>
      <c r="C30" s="79"/>
      <c r="D30" s="79"/>
      <c r="E30" s="81"/>
      <c r="F30" s="90"/>
      <c r="G30" s="132" t="e">
        <f>IF(F30="NS","NC",ROUND(B30-$B$29,2-(1+INT(LOG10(ABS(B30-$B$29))))))</f>
        <v>#NUM!</v>
      </c>
      <c r="H30" s="120"/>
      <c r="I30" s="133"/>
      <c r="J30" s="134"/>
      <c r="K30" s="135"/>
      <c r="L30" s="134"/>
      <c r="M30" s="134"/>
      <c r="N30" s="136"/>
      <c r="O30"/>
    </row>
    <row r="31" spans="1:15" s="76" customFormat="1" ht="15.6" x14ac:dyDescent="0.3">
      <c r="A31" s="83" t="s">
        <v>30</v>
      </c>
      <c r="B31" s="99"/>
      <c r="C31" s="79"/>
      <c r="D31" s="79"/>
      <c r="E31" s="81"/>
      <c r="F31" s="90"/>
      <c r="G31" s="132" t="e">
        <f t="shared" ref="G31:G51" si="6">IF(F31="NS","NC",ROUND(B31-$B$29,2-(1+INT(LOG10(ABS(B31-$B$29))))))</f>
        <v>#NUM!</v>
      </c>
      <c r="H31" s="120"/>
      <c r="I31" s="133"/>
      <c r="J31" s="134"/>
      <c r="K31" s="135"/>
      <c r="L31" s="134"/>
      <c r="M31" s="134"/>
      <c r="N31" s="136"/>
    </row>
    <row r="32" spans="1:15" s="76" customFormat="1" ht="15.6" x14ac:dyDescent="0.3">
      <c r="A32" s="127" t="str">
        <f>'Page de garde'!A39</f>
        <v>Prochloraz-0.063mg/L + Testostérone</v>
      </c>
      <c r="B32" s="99"/>
      <c r="C32" s="79"/>
      <c r="D32" s="79"/>
      <c r="E32" s="81"/>
      <c r="F32" s="93" t="str">
        <f>HLOOKUP(A32,'pooled normalised values'!$B$74:$V$83,10,FALSE)</f>
        <v>ns</v>
      </c>
      <c r="G32" s="132" t="str">
        <f t="shared" si="6"/>
        <v>NC</v>
      </c>
      <c r="H32" s="123" t="str">
        <f>IF(VLOOKUP(A32,liste_groupe[],4,FALSE)="%",VLOOKUP(A32,liste_groupe[],3,FALSE)/100,IF(ISBLANK(VLOOKUP(A32,liste_groupe[],4,FALSE)),"Non","Non"))</f>
        <v>Non</v>
      </c>
      <c r="I32" s="132" t="str">
        <f>IF(F32="NS","NC",IF(H32="Non",G32,G32*(1/H32)))</f>
        <v>NC</v>
      </c>
      <c r="J32" s="137" t="e">
        <f>IF(G32&lt;0,$G$31,$G$30)</f>
        <v>#NUM!</v>
      </c>
      <c r="K32" s="138">
        <f>IF(F32="NS",0,IF(I32&lt;0,-ROUND(I32/J32*100,0),ROUND(I32/J32*100,0)))</f>
        <v>0</v>
      </c>
      <c r="L32" s="139">
        <v>1</v>
      </c>
      <c r="M32" s="131">
        <f>IF(I32&lt;0,IF(K32&lt;-100,-125,K32),IF(K32&gt;100,125,K32))</f>
        <v>0</v>
      </c>
      <c r="N32" s="140" t="str">
        <f>IF(H32="Non",CONCATENATE(VLOOKUP(A32,liste_groupe[],5,FALSE),"-",VLOOKUP(A32,liste_groupe[],3,FALSE),VLOOKUP(A32,liste_groupe[],4,FALSE)," : ",ROUND(K32,0),"%"),CONCATENATE(VLOOKUP(A32,liste_groupe[],5,FALSE)," : ",ROUND(K32,0),"%"))</f>
        <v>Prochloraz-0.063mg/L : 0%</v>
      </c>
    </row>
    <row r="33" spans="1:14" s="76" customFormat="1" ht="15.6" x14ac:dyDescent="0.3">
      <c r="A33" s="127" t="str">
        <f>'Page de garde'!A40</f>
        <v>Prochloraz-0.13mg/L + Testostérone</v>
      </c>
      <c r="B33" s="98"/>
      <c r="C33" s="86"/>
      <c r="D33" s="86"/>
      <c r="E33" s="81"/>
      <c r="F33" s="93" t="str">
        <f>HLOOKUP(A33,'pooled normalised values'!$B$74:$V$83,10,FALSE)</f>
        <v>*</v>
      </c>
      <c r="G33" s="132" t="e">
        <f>IF(F33="NS","NC",ROUND(B33-$B$29,2-(1+INT(LOG10(ABS(B33-$B$29))))))</f>
        <v>#NUM!</v>
      </c>
      <c r="H33" s="123" t="str">
        <f>IF(VLOOKUP(A33,liste_groupe[],4,FALSE)="%",VLOOKUP(A33,liste_groupe[],3,FALSE)/100,IF(ISBLANK(VLOOKUP(A33,liste_groupe[],4,FALSE)),"Non","Non"))</f>
        <v>Non</v>
      </c>
      <c r="I33" s="132" t="e">
        <f t="shared" ref="I33:I51" si="7">IF(F33="NS","NC",IF(H33="Non",G33,G33*(1/H33)))</f>
        <v>#NUM!</v>
      </c>
      <c r="J33" s="137" t="e">
        <f t="shared" ref="J33:J51" si="8">IF(G33&lt;0,$G$31,$G$30)</f>
        <v>#NUM!</v>
      </c>
      <c r="K33" s="138" t="e">
        <f t="shared" ref="K33:K51" si="9">IF(F33="NS",0,IF(I33&lt;0,-ROUND(I33/J33*100,0),ROUND(I33/J33*100,0)))</f>
        <v>#NUM!</v>
      </c>
      <c r="L33" s="139"/>
      <c r="M33" s="131" t="e">
        <f t="shared" ref="M33:M51" si="10">IF(I33&lt;0,IF(K33&lt;-100,-125,K33),IF(K33&gt;100,125,K33))</f>
        <v>#NUM!</v>
      </c>
      <c r="N33" s="140" t="e">
        <f>IF(H33="Non",CONCATENATE(VLOOKUP(A33,liste_groupe[],5,FALSE),"-",VLOOKUP(A33,liste_groupe[],3,FALSE),VLOOKUP(A33,liste_groupe[],4,FALSE)," : ",ROUND(K33,0),"%"),CONCATENATE(VLOOKUP(A33,liste_groupe[],5,FALSE)," : ",ROUND(K33,0),"%"))</f>
        <v>#NUM!</v>
      </c>
    </row>
    <row r="34" spans="1:14" s="76" customFormat="1" ht="15.6" x14ac:dyDescent="0.3">
      <c r="A34" s="127" t="str">
        <f>'Page de garde'!A41</f>
        <v>Prochloraz-0.25mg/L + Testostérone</v>
      </c>
      <c r="B34" s="99"/>
      <c r="C34" s="79"/>
      <c r="D34" s="79"/>
      <c r="E34" s="81"/>
      <c r="F34" s="93" t="str">
        <f>HLOOKUP(A34,'pooled normalised values'!$B$74:$V$83,10,FALSE)</f>
        <v>***</v>
      </c>
      <c r="G34" s="132" t="e">
        <f t="shared" si="6"/>
        <v>#NUM!</v>
      </c>
      <c r="H34" s="123" t="str">
        <f>IF(VLOOKUP(A34,liste_groupe[],4,FALSE)="%",VLOOKUP(A34,liste_groupe[],3,FALSE)/100,IF(ISBLANK(VLOOKUP(A34,liste_groupe[],4,FALSE)),"Non","Non"))</f>
        <v>Non</v>
      </c>
      <c r="I34" s="132" t="e">
        <f t="shared" si="7"/>
        <v>#NUM!</v>
      </c>
      <c r="J34" s="137" t="e">
        <f t="shared" si="8"/>
        <v>#NUM!</v>
      </c>
      <c r="K34" s="138" t="e">
        <f t="shared" si="9"/>
        <v>#NUM!</v>
      </c>
      <c r="L34" s="139"/>
      <c r="M34" s="131" t="e">
        <f t="shared" si="10"/>
        <v>#NUM!</v>
      </c>
      <c r="N34" s="140" t="e">
        <f>IF(H34="Non",CONCATENATE(VLOOKUP(A34,liste_groupe[],5,FALSE),"-",VLOOKUP(A34,liste_groupe[],3,FALSE),VLOOKUP(A34,liste_groupe[],4,FALSE)," : ",ROUND(K34,0),"%"),CONCATENATE(VLOOKUP(A34,liste_groupe[],5,FALSE)," : ",ROUND(K34,0),"%"))</f>
        <v>#NUM!</v>
      </c>
    </row>
    <row r="35" spans="1:14" s="76" customFormat="1" ht="15.6" x14ac:dyDescent="0.3">
      <c r="A35" s="127" t="str">
        <f>'Page de garde'!A42</f>
        <v>Prochloraz-0.5mg/L + Testostérone</v>
      </c>
      <c r="B35" s="98"/>
      <c r="C35" s="86"/>
      <c r="D35" s="86"/>
      <c r="E35" s="81"/>
      <c r="F35" s="93" t="str">
        <f>HLOOKUP(A35,'pooled normalised values'!$B$74:$V$83,10,FALSE)</f>
        <v>***</v>
      </c>
      <c r="G35" s="132" t="e">
        <f t="shared" si="6"/>
        <v>#NUM!</v>
      </c>
      <c r="H35" s="123" t="str">
        <f>IF(VLOOKUP(A35,liste_groupe[],4,FALSE)="%",VLOOKUP(A35,liste_groupe[],3,FALSE)/100,IF(ISBLANK(VLOOKUP(A35,liste_groupe[],4,FALSE)),"Non","Non"))</f>
        <v>Non</v>
      </c>
      <c r="I35" s="132" t="e">
        <f t="shared" si="7"/>
        <v>#NUM!</v>
      </c>
      <c r="J35" s="137" t="e">
        <f t="shared" si="8"/>
        <v>#NUM!</v>
      </c>
      <c r="K35" s="138" t="e">
        <f t="shared" si="9"/>
        <v>#NUM!</v>
      </c>
      <c r="L35" s="139"/>
      <c r="M35" s="131" t="e">
        <f t="shared" si="10"/>
        <v>#NUM!</v>
      </c>
      <c r="N35" s="140" t="e">
        <f>IF(H35="Non",CONCATENATE(VLOOKUP(A35,liste_groupe[],5,FALSE),"-",VLOOKUP(A35,liste_groupe[],3,FALSE),VLOOKUP(A35,liste_groupe[],4,FALSE)," : ",ROUND(K35,0),"%"),CONCATENATE(VLOOKUP(A35,liste_groupe[],5,FALSE)," : ",ROUND(K35,0),"%"))</f>
        <v>#NUM!</v>
      </c>
    </row>
    <row r="36" spans="1:14" s="76" customFormat="1" ht="15.6" x14ac:dyDescent="0.3">
      <c r="A36" s="127" t="str">
        <f>'Page de garde'!A43</f>
        <v>Prochloraz-1mg/L + Testostérone</v>
      </c>
      <c r="B36" s="98"/>
      <c r="C36" s="86"/>
      <c r="D36" s="86"/>
      <c r="E36" s="81"/>
      <c r="F36" s="93" t="str">
        <f>HLOOKUP(A36,'pooled normalised values'!$B$74:$V$83,10,FALSE)</f>
        <v>***</v>
      </c>
      <c r="G36" s="132" t="e">
        <f t="shared" si="6"/>
        <v>#NUM!</v>
      </c>
      <c r="H36" s="123" t="str">
        <f>IF(VLOOKUP(A36,liste_groupe[],4,FALSE)="%",VLOOKUP(A36,liste_groupe[],3,FALSE)/100,IF(ISBLANK(VLOOKUP(A36,liste_groupe[],4,FALSE)),"Non","Non"))</f>
        <v>Non</v>
      </c>
      <c r="I36" s="132" t="e">
        <f t="shared" si="7"/>
        <v>#NUM!</v>
      </c>
      <c r="J36" s="137" t="e">
        <f t="shared" si="8"/>
        <v>#NUM!</v>
      </c>
      <c r="K36" s="138" t="e">
        <f t="shared" si="9"/>
        <v>#NUM!</v>
      </c>
      <c r="L36" s="139"/>
      <c r="M36" s="131" t="e">
        <f t="shared" si="10"/>
        <v>#NUM!</v>
      </c>
      <c r="N36" s="140" t="e">
        <f>IF(H36="Non",CONCATENATE(VLOOKUP(A36,liste_groupe[],5,FALSE),"-",VLOOKUP(A36,liste_groupe[],3,FALSE),VLOOKUP(A36,liste_groupe[],4,FALSE)," : ",ROUND(K36,0),"%"),CONCATENATE(VLOOKUP(A36,liste_groupe[],5,FALSE)," : ",ROUND(K36,0),"%"))</f>
        <v>#NUM!</v>
      </c>
    </row>
    <row r="37" spans="1:14" s="76" customFormat="1" ht="15.6" x14ac:dyDescent="0.3">
      <c r="A37" s="127" t="str">
        <f>'Page de garde'!A44</f>
        <v>0-00 + Testostérone</v>
      </c>
      <c r="B37" s="98"/>
      <c r="C37" s="86"/>
      <c r="D37" s="86"/>
      <c r="E37" s="81"/>
      <c r="F37" s="93" t="e">
        <f>HLOOKUP(A37,'pooled normalised values'!$B$74:$V$83,10,FALSE)</f>
        <v>#N/A</v>
      </c>
      <c r="G37" s="132" t="e">
        <f t="shared" si="6"/>
        <v>#N/A</v>
      </c>
      <c r="H37" s="123" t="str">
        <f>IF(VLOOKUP(A37,liste_groupe[],4,FALSE)="%",VLOOKUP(A37,liste_groupe[],3,FALSE)/100,IF(ISBLANK(VLOOKUP(A37,liste_groupe[],4,FALSE)),"Non","Non"))</f>
        <v>Non</v>
      </c>
      <c r="I37" s="132" t="e">
        <f t="shared" si="7"/>
        <v>#N/A</v>
      </c>
      <c r="J37" s="137" t="e">
        <f t="shared" si="8"/>
        <v>#N/A</v>
      </c>
      <c r="K37" s="138" t="e">
        <f t="shared" si="9"/>
        <v>#N/A</v>
      </c>
      <c r="L37" s="139"/>
      <c r="M37" s="131" t="e">
        <f t="shared" si="10"/>
        <v>#N/A</v>
      </c>
      <c r="N37" s="140" t="e">
        <f>IF(H37="Non",CONCATENATE(VLOOKUP(A37,liste_groupe[],5,FALSE),"-",VLOOKUP(A37,liste_groupe[],3,FALSE),VLOOKUP(A37,liste_groupe[],4,FALSE)," : ",ROUND(K37,0),"%"),CONCATENATE(VLOOKUP(A37,liste_groupe[],5,FALSE)," : ",ROUND(K37,0),"%"))</f>
        <v>#N/A</v>
      </c>
    </row>
    <row r="38" spans="1:14" s="76" customFormat="1" ht="15.6" x14ac:dyDescent="0.3">
      <c r="A38" s="127" t="str">
        <f>'Page de garde'!A45</f>
        <v>0-00 + Testostérone</v>
      </c>
      <c r="B38" s="98"/>
      <c r="C38" s="86"/>
      <c r="D38" s="86"/>
      <c r="E38" s="81"/>
      <c r="F38" s="93" t="e">
        <f>HLOOKUP(A38,'pooled normalised values'!$B$74:$V$83,10,FALSE)</f>
        <v>#N/A</v>
      </c>
      <c r="G38" s="132" t="e">
        <f t="shared" si="6"/>
        <v>#N/A</v>
      </c>
      <c r="H38" s="123" t="str">
        <f>IF(VLOOKUP(A38,liste_groupe[],4,FALSE)="%",VLOOKUP(A38,liste_groupe[],3,FALSE)/100,IF(ISBLANK(VLOOKUP(A38,liste_groupe[],4,FALSE)),"Non","Non"))</f>
        <v>Non</v>
      </c>
      <c r="I38" s="132" t="e">
        <f t="shared" si="7"/>
        <v>#N/A</v>
      </c>
      <c r="J38" s="137" t="e">
        <f t="shared" si="8"/>
        <v>#N/A</v>
      </c>
      <c r="K38" s="138" t="e">
        <f t="shared" si="9"/>
        <v>#N/A</v>
      </c>
      <c r="L38" s="139"/>
      <c r="M38" s="131" t="e">
        <f t="shared" si="10"/>
        <v>#N/A</v>
      </c>
      <c r="N38" s="140" t="e">
        <f>IF(H38="Non",CONCATENATE(VLOOKUP(A38,liste_groupe[],5,FALSE),"-",VLOOKUP(A38,liste_groupe[],3,FALSE),VLOOKUP(A38,liste_groupe[],4,FALSE)," : ",ROUND(K38,0),"%"),CONCATENATE(VLOOKUP(A38,liste_groupe[],5,FALSE)," : ",ROUND(K38,0),"%"))</f>
        <v>#N/A</v>
      </c>
    </row>
    <row r="39" spans="1:14" s="76" customFormat="1" ht="15.6" x14ac:dyDescent="0.3">
      <c r="A39" s="127" t="str">
        <f>'Page de garde'!A46</f>
        <v>0-00 + Testostérone</v>
      </c>
      <c r="B39" s="98"/>
      <c r="C39" s="86"/>
      <c r="D39" s="86"/>
      <c r="E39" s="81"/>
      <c r="F39" s="93" t="e">
        <f>HLOOKUP(A39,'pooled normalised values'!$B$74:$V$83,10,FALSE)</f>
        <v>#N/A</v>
      </c>
      <c r="G39" s="132" t="e">
        <f t="shared" ref="G39:G50" si="11">IF(F39="NS","NC",ROUND(B39-$B$29,2-(1+INT(LOG10(ABS(B39-$B$29))))))</f>
        <v>#N/A</v>
      </c>
      <c r="H39" s="123" t="str">
        <f>IF(VLOOKUP(A39,liste_groupe[],4,FALSE)="%",VLOOKUP(A39,liste_groupe[],3,FALSE)/100,IF(ISBLANK(VLOOKUP(A39,liste_groupe[],4,FALSE)),"Non","Non"))</f>
        <v>Non</v>
      </c>
      <c r="I39" s="132" t="e">
        <f t="shared" si="7"/>
        <v>#N/A</v>
      </c>
      <c r="J39" s="137" t="e">
        <f t="shared" ref="J39:J50" si="12">IF(G39&lt;0,$G$31,$G$30)</f>
        <v>#N/A</v>
      </c>
      <c r="K39" s="138" t="e">
        <f t="shared" si="9"/>
        <v>#N/A</v>
      </c>
      <c r="L39" s="139"/>
      <c r="M39" s="131" t="e">
        <f t="shared" si="10"/>
        <v>#N/A</v>
      </c>
      <c r="N39" s="140" t="e">
        <f>IF(H39="Non",CONCATENATE(VLOOKUP(A39,liste_groupe[],5,FALSE),"-",VLOOKUP(A39,liste_groupe[],3,FALSE),VLOOKUP(A39,liste_groupe[],4,FALSE)," : ",ROUND(K39,0),"%"),CONCATENATE(VLOOKUP(A39,liste_groupe[],5,FALSE)," : ",ROUND(K39,0),"%"))</f>
        <v>#N/A</v>
      </c>
    </row>
    <row r="40" spans="1:14" s="76" customFormat="1" ht="15.6" x14ac:dyDescent="0.3">
      <c r="A40" s="127" t="str">
        <f>'Page de garde'!A47</f>
        <v>0-00 + Testostérone</v>
      </c>
      <c r="B40" s="98"/>
      <c r="C40" s="86"/>
      <c r="D40" s="86"/>
      <c r="E40" s="81"/>
      <c r="F40" s="93" t="e">
        <f>HLOOKUP(A40,'pooled normalised values'!$B$74:$V$83,10,FALSE)</f>
        <v>#N/A</v>
      </c>
      <c r="G40" s="132" t="e">
        <f t="shared" si="11"/>
        <v>#N/A</v>
      </c>
      <c r="H40" s="123" t="str">
        <f>IF(VLOOKUP(A40,liste_groupe[],4,FALSE)="%",VLOOKUP(A40,liste_groupe[],3,FALSE)/100,IF(ISBLANK(VLOOKUP(A40,liste_groupe[],4,FALSE)),"Non","Non"))</f>
        <v>Non</v>
      </c>
      <c r="I40" s="132" t="e">
        <f t="shared" si="7"/>
        <v>#N/A</v>
      </c>
      <c r="J40" s="137" t="e">
        <f t="shared" si="12"/>
        <v>#N/A</v>
      </c>
      <c r="K40" s="138" t="e">
        <f t="shared" si="9"/>
        <v>#N/A</v>
      </c>
      <c r="L40" s="139"/>
      <c r="M40" s="131" t="e">
        <f t="shared" si="10"/>
        <v>#N/A</v>
      </c>
      <c r="N40" s="140" t="e">
        <f>IF(H40="Non",CONCATENATE(VLOOKUP(A40,liste_groupe[],5,FALSE),"-",VLOOKUP(A40,liste_groupe[],3,FALSE),VLOOKUP(A40,liste_groupe[],4,FALSE)," : ",ROUND(K40,0),"%"),CONCATENATE(VLOOKUP(A40,liste_groupe[],5,FALSE)," : ",ROUND(K40,0),"%"))</f>
        <v>#N/A</v>
      </c>
    </row>
    <row r="41" spans="1:14" s="76" customFormat="1" ht="15.6" x14ac:dyDescent="0.3">
      <c r="A41" s="127" t="str">
        <f>'Page de garde'!A48</f>
        <v>0-00 + Testostérone</v>
      </c>
      <c r="B41" s="98"/>
      <c r="C41" s="86"/>
      <c r="D41" s="86"/>
      <c r="E41" s="81"/>
      <c r="F41" s="93" t="e">
        <f>HLOOKUP(A41,'pooled normalised values'!$B$74:$V$83,10,FALSE)</f>
        <v>#N/A</v>
      </c>
      <c r="G41" s="132" t="e">
        <f t="shared" si="11"/>
        <v>#N/A</v>
      </c>
      <c r="H41" s="123" t="str">
        <f>IF(VLOOKUP(A41,liste_groupe[],4,FALSE)="%",VLOOKUP(A41,liste_groupe[],3,FALSE)/100,IF(ISBLANK(VLOOKUP(A41,liste_groupe[],4,FALSE)),"Non","Non"))</f>
        <v>Non</v>
      </c>
      <c r="I41" s="132" t="e">
        <f t="shared" si="7"/>
        <v>#N/A</v>
      </c>
      <c r="J41" s="137" t="e">
        <f t="shared" si="12"/>
        <v>#N/A</v>
      </c>
      <c r="K41" s="138" t="e">
        <f t="shared" si="9"/>
        <v>#N/A</v>
      </c>
      <c r="L41" s="139"/>
      <c r="M41" s="131" t="e">
        <f t="shared" si="10"/>
        <v>#N/A</v>
      </c>
      <c r="N41" s="140" t="e">
        <f>IF(H41="Non",CONCATENATE(VLOOKUP(A41,liste_groupe[],5,FALSE),"-",VLOOKUP(A41,liste_groupe[],3,FALSE),VLOOKUP(A41,liste_groupe[],4,FALSE)," : ",ROUND(K41,0),"%"),CONCATENATE(VLOOKUP(A41,liste_groupe[],5,FALSE)," : ",ROUND(K41,0),"%"))</f>
        <v>#N/A</v>
      </c>
    </row>
    <row r="42" spans="1:14" s="76" customFormat="1" ht="15.6" x14ac:dyDescent="0.3">
      <c r="A42" s="127" t="str">
        <f>'Page de garde'!A49</f>
        <v>0-00 + Testostérone</v>
      </c>
      <c r="B42" s="98"/>
      <c r="C42" s="86"/>
      <c r="D42" s="86"/>
      <c r="E42" s="81"/>
      <c r="F42" s="93" t="e">
        <f>HLOOKUP(A42,'pooled normalised values'!$B$74:$V$83,10,FALSE)</f>
        <v>#N/A</v>
      </c>
      <c r="G42" s="132" t="e">
        <f t="shared" si="11"/>
        <v>#N/A</v>
      </c>
      <c r="H42" s="123" t="str">
        <f>IF(VLOOKUP(A42,liste_groupe[],4,FALSE)="%",VLOOKUP(A42,liste_groupe[],3,FALSE)/100,IF(ISBLANK(VLOOKUP(A42,liste_groupe[],4,FALSE)),"Non","Non"))</f>
        <v>Non</v>
      </c>
      <c r="I42" s="132" t="e">
        <f t="shared" si="7"/>
        <v>#N/A</v>
      </c>
      <c r="J42" s="137" t="e">
        <f t="shared" si="12"/>
        <v>#N/A</v>
      </c>
      <c r="K42" s="138" t="e">
        <f t="shared" si="9"/>
        <v>#N/A</v>
      </c>
      <c r="L42" s="139"/>
      <c r="M42" s="131" t="e">
        <f t="shared" si="10"/>
        <v>#N/A</v>
      </c>
      <c r="N42" s="140" t="e">
        <f>IF(H42="Non",CONCATENATE(VLOOKUP(A42,liste_groupe[],5,FALSE),"-",VLOOKUP(A42,liste_groupe[],3,FALSE),VLOOKUP(A42,liste_groupe[],4,FALSE)," : ",ROUND(K42,0),"%"),CONCATENATE(VLOOKUP(A42,liste_groupe[],5,FALSE)," : ",ROUND(K42,0),"%"))</f>
        <v>#N/A</v>
      </c>
    </row>
    <row r="43" spans="1:14" s="76" customFormat="1" ht="15.6" x14ac:dyDescent="0.3">
      <c r="A43" s="127" t="str">
        <f>'Page de garde'!A50</f>
        <v>0-00 + Testostérone</v>
      </c>
      <c r="B43" s="98"/>
      <c r="C43" s="86"/>
      <c r="D43" s="86"/>
      <c r="E43" s="81"/>
      <c r="F43" s="93" t="e">
        <f>HLOOKUP(A43,'pooled normalised values'!$B$74:$V$83,10,FALSE)</f>
        <v>#N/A</v>
      </c>
      <c r="G43" s="132" t="e">
        <f t="shared" si="11"/>
        <v>#N/A</v>
      </c>
      <c r="H43" s="123" t="str">
        <f>IF(VLOOKUP(A43,liste_groupe[],4,FALSE)="%",VLOOKUP(A43,liste_groupe[],3,FALSE)/100,IF(ISBLANK(VLOOKUP(A43,liste_groupe[],4,FALSE)),"Non","Non"))</f>
        <v>Non</v>
      </c>
      <c r="I43" s="132" t="e">
        <f t="shared" si="7"/>
        <v>#N/A</v>
      </c>
      <c r="J43" s="137" t="e">
        <f t="shared" si="12"/>
        <v>#N/A</v>
      </c>
      <c r="K43" s="138" t="e">
        <f t="shared" si="9"/>
        <v>#N/A</v>
      </c>
      <c r="L43" s="139"/>
      <c r="M43" s="131" t="e">
        <f t="shared" si="10"/>
        <v>#N/A</v>
      </c>
      <c r="N43" s="140" t="e">
        <f>IF(H43="Non",CONCATENATE(VLOOKUP(A43,liste_groupe[],5,FALSE),"-",VLOOKUP(A43,liste_groupe[],3,FALSE),VLOOKUP(A43,liste_groupe[],4,FALSE)," : ",ROUND(K43,0),"%"),CONCATENATE(VLOOKUP(A43,liste_groupe[],5,FALSE)," : ",ROUND(K43,0),"%"))</f>
        <v>#N/A</v>
      </c>
    </row>
    <row r="44" spans="1:14" s="76" customFormat="1" ht="15.6" x14ac:dyDescent="0.3">
      <c r="A44" s="127" t="str">
        <f>'Page de garde'!A51</f>
        <v>0-00 + Testostérone</v>
      </c>
      <c r="B44" s="98"/>
      <c r="C44" s="86"/>
      <c r="D44" s="86"/>
      <c r="E44" s="81"/>
      <c r="F44" s="93" t="e">
        <f>HLOOKUP(A44,'pooled normalised values'!$B$74:$V$83,10,FALSE)</f>
        <v>#N/A</v>
      </c>
      <c r="G44" s="132" t="e">
        <f t="shared" si="11"/>
        <v>#N/A</v>
      </c>
      <c r="H44" s="123" t="str">
        <f>IF(VLOOKUP(A44,liste_groupe[],4,FALSE)="%",VLOOKUP(A44,liste_groupe[],3,FALSE)/100,IF(ISBLANK(VLOOKUP(A44,liste_groupe[],4,FALSE)),"Non","Non"))</f>
        <v>Non</v>
      </c>
      <c r="I44" s="132" t="e">
        <f t="shared" si="7"/>
        <v>#N/A</v>
      </c>
      <c r="J44" s="137" t="e">
        <f t="shared" si="12"/>
        <v>#N/A</v>
      </c>
      <c r="K44" s="138" t="e">
        <f t="shared" si="9"/>
        <v>#N/A</v>
      </c>
      <c r="L44" s="139"/>
      <c r="M44" s="131" t="e">
        <f t="shared" si="10"/>
        <v>#N/A</v>
      </c>
      <c r="N44" s="140" t="e">
        <f>IF(H44="Non",CONCATENATE(VLOOKUP(A44,liste_groupe[],5,FALSE),"-",VLOOKUP(A44,liste_groupe[],3,FALSE),VLOOKUP(A44,liste_groupe[],4,FALSE)," : ",ROUND(K44,0),"%"),CONCATENATE(VLOOKUP(A44,liste_groupe[],5,FALSE)," : ",ROUND(K44,0),"%"))</f>
        <v>#N/A</v>
      </c>
    </row>
    <row r="45" spans="1:14" s="76" customFormat="1" ht="15.6" x14ac:dyDescent="0.3">
      <c r="A45" s="127" t="str">
        <f>'Page de garde'!A52</f>
        <v>0-00 + Testostérone</v>
      </c>
      <c r="B45" s="98"/>
      <c r="C45" s="86"/>
      <c r="D45" s="86"/>
      <c r="E45" s="81"/>
      <c r="F45" s="93" t="e">
        <f>HLOOKUP(A45,'pooled normalised values'!$B$74:$V$83,10,FALSE)</f>
        <v>#N/A</v>
      </c>
      <c r="G45" s="132" t="e">
        <f t="shared" si="11"/>
        <v>#N/A</v>
      </c>
      <c r="H45" s="123" t="str">
        <f>IF(VLOOKUP(A45,liste_groupe[],4,FALSE)="%",VLOOKUP(A45,liste_groupe[],3,FALSE)/100,IF(ISBLANK(VLOOKUP(A45,liste_groupe[],4,FALSE)),"Non","Non"))</f>
        <v>Non</v>
      </c>
      <c r="I45" s="132" t="e">
        <f t="shared" si="7"/>
        <v>#N/A</v>
      </c>
      <c r="J45" s="137" t="e">
        <f t="shared" si="12"/>
        <v>#N/A</v>
      </c>
      <c r="K45" s="138" t="e">
        <f t="shared" si="9"/>
        <v>#N/A</v>
      </c>
      <c r="L45" s="139"/>
      <c r="M45" s="131" t="e">
        <f t="shared" si="10"/>
        <v>#N/A</v>
      </c>
      <c r="N45" s="140" t="e">
        <f>IF(H45="Non",CONCATENATE(VLOOKUP(A45,liste_groupe[],5,FALSE),"-",VLOOKUP(A45,liste_groupe[],3,FALSE),VLOOKUP(A45,liste_groupe[],4,FALSE)," : ",ROUND(K45,0),"%"),CONCATENATE(VLOOKUP(A45,liste_groupe[],5,FALSE)," : ",ROUND(K45,0),"%"))</f>
        <v>#N/A</v>
      </c>
    </row>
    <row r="46" spans="1:14" s="76" customFormat="1" ht="15.6" x14ac:dyDescent="0.3">
      <c r="A46" s="127" t="str">
        <f>'Page de garde'!A53</f>
        <v>0-00 + Testostérone</v>
      </c>
      <c r="B46" s="98"/>
      <c r="C46" s="86"/>
      <c r="D46" s="86"/>
      <c r="E46" s="81"/>
      <c r="F46" s="93" t="e">
        <f>HLOOKUP(A46,'pooled normalised values'!$B$74:$V$83,10,FALSE)</f>
        <v>#N/A</v>
      </c>
      <c r="G46" s="132" t="e">
        <f t="shared" si="11"/>
        <v>#N/A</v>
      </c>
      <c r="H46" s="123" t="str">
        <f>IF(VLOOKUP(A46,liste_groupe[],4,FALSE)="%",VLOOKUP(A46,liste_groupe[],3,FALSE)/100,IF(ISBLANK(VLOOKUP(A46,liste_groupe[],4,FALSE)),"Non","Non"))</f>
        <v>Non</v>
      </c>
      <c r="I46" s="132" t="e">
        <f t="shared" si="7"/>
        <v>#N/A</v>
      </c>
      <c r="J46" s="137" t="e">
        <f t="shared" si="12"/>
        <v>#N/A</v>
      </c>
      <c r="K46" s="138" t="e">
        <f t="shared" si="9"/>
        <v>#N/A</v>
      </c>
      <c r="L46" s="139"/>
      <c r="M46" s="131" t="e">
        <f t="shared" si="10"/>
        <v>#N/A</v>
      </c>
      <c r="N46" s="140" t="e">
        <f>IF(H46="Non",CONCATENATE(VLOOKUP(A46,liste_groupe[],5,FALSE),"-",VLOOKUP(A46,liste_groupe[],3,FALSE),VLOOKUP(A46,liste_groupe[],4,FALSE)," : ",ROUND(K46,0),"%"),CONCATENATE(VLOOKUP(A46,liste_groupe[],5,FALSE)," : ",ROUND(K46,0),"%"))</f>
        <v>#N/A</v>
      </c>
    </row>
    <row r="47" spans="1:14" s="76" customFormat="1" ht="15.6" x14ac:dyDescent="0.3">
      <c r="A47" s="127" t="str">
        <f>'Page de garde'!A54</f>
        <v>0-00 + Testostérone</v>
      </c>
      <c r="B47" s="98"/>
      <c r="C47" s="86"/>
      <c r="D47" s="86"/>
      <c r="E47" s="81"/>
      <c r="F47" s="93" t="e">
        <f>HLOOKUP(A47,'pooled normalised values'!$B$74:$V$83,10,FALSE)</f>
        <v>#N/A</v>
      </c>
      <c r="G47" s="132" t="e">
        <f t="shared" si="11"/>
        <v>#N/A</v>
      </c>
      <c r="H47" s="123" t="str">
        <f>IF(VLOOKUP(A47,liste_groupe[],4,FALSE)="%",VLOOKUP(A47,liste_groupe[],3,FALSE)/100,IF(ISBLANK(VLOOKUP(A47,liste_groupe[],4,FALSE)),"Non","Non"))</f>
        <v>Non</v>
      </c>
      <c r="I47" s="132" t="e">
        <f t="shared" si="7"/>
        <v>#N/A</v>
      </c>
      <c r="J47" s="137" t="e">
        <f t="shared" si="12"/>
        <v>#N/A</v>
      </c>
      <c r="K47" s="138" t="e">
        <f t="shared" si="9"/>
        <v>#N/A</v>
      </c>
      <c r="L47" s="139"/>
      <c r="M47" s="131" t="e">
        <f t="shared" si="10"/>
        <v>#N/A</v>
      </c>
      <c r="N47" s="140" t="e">
        <f>IF(H47="Non",CONCATENATE(VLOOKUP(A47,liste_groupe[],5,FALSE),"-",VLOOKUP(A47,liste_groupe[],3,FALSE),VLOOKUP(A47,liste_groupe[],4,FALSE)," : ",ROUND(K47,0),"%"),CONCATENATE(VLOOKUP(A47,liste_groupe[],5,FALSE)," : ",ROUND(K47,0),"%"))</f>
        <v>#N/A</v>
      </c>
    </row>
    <row r="48" spans="1:14" s="76" customFormat="1" ht="15.6" x14ac:dyDescent="0.3">
      <c r="A48" s="127" t="str">
        <f>'Page de garde'!A55</f>
        <v>0-00 + Testostérone</v>
      </c>
      <c r="B48" s="98"/>
      <c r="C48" s="86"/>
      <c r="D48" s="86"/>
      <c r="E48" s="81"/>
      <c r="F48" s="93" t="e">
        <f>HLOOKUP(A48,'pooled normalised values'!$B$74:$V$83,10,FALSE)</f>
        <v>#N/A</v>
      </c>
      <c r="G48" s="132" t="e">
        <f t="shared" si="11"/>
        <v>#N/A</v>
      </c>
      <c r="H48" s="123" t="str">
        <f>IF(VLOOKUP(A48,liste_groupe[],4,FALSE)="%",VLOOKUP(A48,liste_groupe[],3,FALSE)/100,IF(ISBLANK(VLOOKUP(A48,liste_groupe[],4,FALSE)),"Non","Non"))</f>
        <v>Non</v>
      </c>
      <c r="I48" s="132" t="e">
        <f t="shared" si="7"/>
        <v>#N/A</v>
      </c>
      <c r="J48" s="137" t="e">
        <f t="shared" si="12"/>
        <v>#N/A</v>
      </c>
      <c r="K48" s="138" t="e">
        <f t="shared" si="9"/>
        <v>#N/A</v>
      </c>
      <c r="L48" s="139"/>
      <c r="M48" s="131" t="e">
        <f t="shared" si="10"/>
        <v>#N/A</v>
      </c>
      <c r="N48" s="140" t="e">
        <f>IF(H48="Non",CONCATENATE(VLOOKUP(A48,liste_groupe[],5,FALSE),"-",VLOOKUP(A48,liste_groupe[],3,FALSE),VLOOKUP(A48,liste_groupe[],4,FALSE)," : ",ROUND(K48,0),"%"),CONCATENATE(VLOOKUP(A48,liste_groupe[],5,FALSE)," : ",ROUND(K48,0),"%"))</f>
        <v>#N/A</v>
      </c>
    </row>
    <row r="49" spans="1:15" s="76" customFormat="1" ht="15.6" x14ac:dyDescent="0.3">
      <c r="A49" s="127" t="str">
        <f>'Page de garde'!A56</f>
        <v>0-00 + Testostérone</v>
      </c>
      <c r="B49" s="98"/>
      <c r="C49" s="86"/>
      <c r="D49" s="86"/>
      <c r="E49" s="81"/>
      <c r="F49" s="93" t="e">
        <f>HLOOKUP(A49,'pooled normalised values'!$B$74:$V$83,10,FALSE)</f>
        <v>#N/A</v>
      </c>
      <c r="G49" s="132" t="e">
        <f t="shared" si="11"/>
        <v>#N/A</v>
      </c>
      <c r="H49" s="123" t="str">
        <f>IF(VLOOKUP(A49,liste_groupe[],4,FALSE)="%",VLOOKUP(A49,liste_groupe[],3,FALSE)/100,IF(ISBLANK(VLOOKUP(A49,liste_groupe[],4,FALSE)),"Non","Non"))</f>
        <v>Non</v>
      </c>
      <c r="I49" s="132" t="e">
        <f t="shared" si="7"/>
        <v>#N/A</v>
      </c>
      <c r="J49" s="137" t="e">
        <f t="shared" si="12"/>
        <v>#N/A</v>
      </c>
      <c r="K49" s="138" t="e">
        <f t="shared" si="9"/>
        <v>#N/A</v>
      </c>
      <c r="L49" s="139"/>
      <c r="M49" s="131" t="e">
        <f t="shared" si="10"/>
        <v>#N/A</v>
      </c>
      <c r="N49" s="140" t="e">
        <f>IF(H49="Non",CONCATENATE(VLOOKUP(A49,liste_groupe[],5,FALSE),"-",VLOOKUP(A49,liste_groupe[],3,FALSE),VLOOKUP(A49,liste_groupe[],4,FALSE)," : ",ROUND(K49,0),"%"),CONCATENATE(VLOOKUP(A49,liste_groupe[],5,FALSE)," : ",ROUND(K49,0),"%"))</f>
        <v>#N/A</v>
      </c>
    </row>
    <row r="50" spans="1:15" s="76" customFormat="1" ht="15.6" x14ac:dyDescent="0.3">
      <c r="A50" s="127" t="str">
        <f>'Page de garde'!A57</f>
        <v>0-00 + Testostérone</v>
      </c>
      <c r="B50" s="98"/>
      <c r="C50" s="86"/>
      <c r="D50" s="86"/>
      <c r="E50" s="81"/>
      <c r="F50" s="93" t="e">
        <f>HLOOKUP(A50,'pooled normalised values'!$B$74:$V$83,10,FALSE)</f>
        <v>#N/A</v>
      </c>
      <c r="G50" s="132" t="e">
        <f t="shared" si="11"/>
        <v>#N/A</v>
      </c>
      <c r="H50" s="123" t="str">
        <f>IF(VLOOKUP(A50,liste_groupe[],4,FALSE)="%",VLOOKUP(A50,liste_groupe[],3,FALSE)/100,IF(ISBLANK(VLOOKUP(A50,liste_groupe[],4,FALSE)),"Non","Non"))</f>
        <v>Non</v>
      </c>
      <c r="I50" s="132" t="e">
        <f t="shared" si="7"/>
        <v>#N/A</v>
      </c>
      <c r="J50" s="137" t="e">
        <f t="shared" si="12"/>
        <v>#N/A</v>
      </c>
      <c r="K50" s="138" t="e">
        <f t="shared" si="9"/>
        <v>#N/A</v>
      </c>
      <c r="L50" s="139"/>
      <c r="M50" s="131" t="e">
        <f t="shared" si="10"/>
        <v>#N/A</v>
      </c>
      <c r="N50" s="140" t="e">
        <f>IF(H50="Non",CONCATENATE(VLOOKUP(A50,liste_groupe[],5,FALSE),"-",VLOOKUP(A50,liste_groupe[],3,FALSE),VLOOKUP(A50,liste_groupe[],4,FALSE)," : ",ROUND(K50,0),"%"),CONCATENATE(VLOOKUP(A50,liste_groupe[],5,FALSE)," : ",ROUND(K50,0),"%"))</f>
        <v>#N/A</v>
      </c>
    </row>
    <row r="51" spans="1:15" s="76" customFormat="1" ht="15.6" x14ac:dyDescent="0.3">
      <c r="A51" s="127" t="str">
        <f>'Page de garde'!A58</f>
        <v>0-00 + Testostérone</v>
      </c>
      <c r="B51" s="98"/>
      <c r="C51" s="86"/>
      <c r="D51" s="86"/>
      <c r="E51" s="81"/>
      <c r="F51" s="93" t="e">
        <f>HLOOKUP(A51,'pooled normalised values'!$B$74:$V$83,10,FALSE)</f>
        <v>#N/A</v>
      </c>
      <c r="G51" s="132" t="e">
        <f t="shared" si="6"/>
        <v>#N/A</v>
      </c>
      <c r="H51" s="123" t="str">
        <f>IF(VLOOKUP(A51,liste_groupe[],4,FALSE)="%",VLOOKUP(A51,liste_groupe[],3,FALSE)/100,IF(ISBLANK(VLOOKUP(A51,liste_groupe[],4,FALSE)),"Non","Non"))</f>
        <v>Non</v>
      </c>
      <c r="I51" s="132" t="e">
        <f t="shared" si="7"/>
        <v>#N/A</v>
      </c>
      <c r="J51" s="137" t="e">
        <f t="shared" si="8"/>
        <v>#N/A</v>
      </c>
      <c r="K51" s="138" t="e">
        <f t="shared" si="9"/>
        <v>#N/A</v>
      </c>
      <c r="L51" s="139"/>
      <c r="M51" s="131" t="e">
        <f t="shared" si="10"/>
        <v>#N/A</v>
      </c>
      <c r="N51" s="140" t="e">
        <f>IF(H51="Non",CONCATENATE(VLOOKUP(A51,liste_groupe[],5,FALSE),"-",VLOOKUP(A51,liste_groupe[],3,FALSE),VLOOKUP(A51,liste_groupe[],4,FALSE)," : ",ROUND(K51,0),"%"),CONCATENATE(VLOOKUP(A51,liste_groupe[],5,FALSE)," : ",ROUND(K51,0),"%"))</f>
        <v>#N/A</v>
      </c>
    </row>
    <row r="52" spans="1:15" s="76" customFormat="1" ht="16.2" thickBot="1" x14ac:dyDescent="0.35">
      <c r="E52" s="77"/>
      <c r="F52" s="77"/>
      <c r="G52" s="77"/>
      <c r="H52" s="77"/>
      <c r="I52" s="77"/>
      <c r="J52" s="77"/>
      <c r="K52" s="77"/>
      <c r="L52" s="77"/>
      <c r="M52" s="77"/>
      <c r="N52" s="77"/>
    </row>
    <row r="53" spans="1:15" s="48" customFormat="1" ht="26.4" thickBot="1" x14ac:dyDescent="0.35">
      <c r="A53" s="228" t="s">
        <v>60</v>
      </c>
      <c r="B53" s="229"/>
      <c r="C53" s="229"/>
      <c r="D53" s="229"/>
      <c r="E53" s="229"/>
      <c r="F53" s="229"/>
      <c r="G53" s="229"/>
      <c r="H53" s="229"/>
      <c r="I53" s="229"/>
      <c r="J53" s="229"/>
      <c r="K53" s="229"/>
      <c r="L53" s="229"/>
      <c r="M53" s="229"/>
      <c r="N53" s="229"/>
      <c r="O53" s="230"/>
    </row>
  </sheetData>
  <mergeCells count="3">
    <mergeCell ref="A2:O2"/>
    <mergeCell ref="A1:O1"/>
    <mergeCell ref="A53:O53"/>
  </mergeCells>
  <pageMargins left="0.7" right="0.7" top="0.75" bottom="0.75" header="0.3" footer="0.3"/>
  <pageSetup paperSize="9" orientation="portrait" r:id="rId1"/>
  <headerFooter>
    <oddFooter>&amp;C&amp;1#&amp;"Arial"&amp;10&amp;K000000Internal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defaultColWidth="11.44140625" defaultRowHeight="14.4" x14ac:dyDescent="0.3"/>
  <cols>
    <col min="1" max="1" width="22.77734375" style="179" customWidth="1"/>
    <col min="2" max="2" width="46.21875" style="179" customWidth="1"/>
    <col min="3" max="3" width="15.21875" style="179" customWidth="1"/>
    <col min="4" max="4" width="24.77734375" style="179" customWidth="1"/>
    <col min="5" max="5" width="24.44140625" style="179" customWidth="1"/>
    <col min="6" max="6" width="23.21875" style="179" customWidth="1"/>
    <col min="7" max="7" width="21.21875" style="179" customWidth="1"/>
    <col min="8" max="16384" width="11.44140625" style="179"/>
  </cols>
  <sheetData>
    <row r="1" spans="1:7" ht="29.4" thickBot="1" x14ac:dyDescent="0.35">
      <c r="A1" s="184" t="s">
        <v>131</v>
      </c>
      <c r="B1" s="185" t="s">
        <v>132</v>
      </c>
      <c r="C1" s="185" t="s">
        <v>138</v>
      </c>
      <c r="D1" s="185" t="s">
        <v>137</v>
      </c>
      <c r="E1" s="185" t="s">
        <v>139</v>
      </c>
      <c r="F1" s="186" t="s">
        <v>140</v>
      </c>
      <c r="G1" s="187" t="s">
        <v>141</v>
      </c>
    </row>
    <row r="2" spans="1:7" ht="57.6" x14ac:dyDescent="0.3">
      <c r="A2" s="180" t="s">
        <v>133</v>
      </c>
      <c r="B2" s="181" t="s">
        <v>134</v>
      </c>
      <c r="C2" s="181" t="s">
        <v>135</v>
      </c>
      <c r="D2" s="181" t="s">
        <v>142</v>
      </c>
      <c r="E2" s="181" t="s">
        <v>136</v>
      </c>
      <c r="F2" s="182" t="s">
        <v>135</v>
      </c>
      <c r="G2" s="183" t="s">
        <v>135</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defaultColWidth="11.5546875" defaultRowHeight="13.2" x14ac:dyDescent="0.25"/>
  <cols>
    <col min="1" max="1" width="18.77734375" style="17" customWidth="1"/>
    <col min="2" max="2" width="7.21875" style="17" bestFit="1" customWidth="1"/>
    <col min="3" max="3" width="10.5546875" style="17" customWidth="1"/>
    <col min="4" max="4" width="13.77734375" style="17" bestFit="1" customWidth="1"/>
    <col min="5" max="5" width="12" style="17" bestFit="1" customWidth="1"/>
    <col min="6" max="19" width="14.77734375" style="17" customWidth="1"/>
    <col min="20" max="21" width="11.44140625" style="17"/>
    <col min="22" max="22" width="13.5546875" style="17" bestFit="1" customWidth="1"/>
    <col min="23" max="34" width="13.5546875" style="17" customWidth="1"/>
    <col min="35" max="35" width="13.5546875" style="17" bestFit="1" customWidth="1"/>
    <col min="36" max="282" width="11.44140625" style="17"/>
    <col min="283" max="283" width="18.77734375" style="17" customWidth="1"/>
    <col min="284" max="284" width="13.77734375" style="17" bestFit="1" customWidth="1"/>
    <col min="285" max="285" width="17.21875" style="17" customWidth="1"/>
    <col min="286" max="286" width="11" style="17" customWidth="1"/>
    <col min="287" max="287" width="12" style="17" bestFit="1" customWidth="1"/>
    <col min="288" max="288" width="14.77734375" style="17" customWidth="1"/>
    <col min="289" max="538" width="11.44140625" style="17"/>
    <col min="539" max="539" width="18.77734375" style="17" customWidth="1"/>
    <col min="540" max="540" width="13.77734375" style="17" bestFit="1" customWidth="1"/>
    <col min="541" max="541" width="17.21875" style="17" customWidth="1"/>
    <col min="542" max="542" width="11" style="17" customWidth="1"/>
    <col min="543" max="543" width="12" style="17" bestFit="1" customWidth="1"/>
    <col min="544" max="544" width="14.77734375" style="17" customWidth="1"/>
    <col min="545" max="794" width="11.44140625" style="17"/>
    <col min="795" max="795" width="18.77734375" style="17" customWidth="1"/>
    <col min="796" max="796" width="13.77734375" style="17" bestFit="1" customWidth="1"/>
    <col min="797" max="797" width="17.21875" style="17" customWidth="1"/>
    <col min="798" max="798" width="11" style="17" customWidth="1"/>
    <col min="799" max="799" width="12" style="17" bestFit="1" customWidth="1"/>
    <col min="800" max="800" width="14.77734375" style="17" customWidth="1"/>
    <col min="801" max="1050" width="11.44140625" style="17"/>
    <col min="1051" max="1051" width="18.77734375" style="17" customWidth="1"/>
    <col min="1052" max="1052" width="13.77734375" style="17" bestFit="1" customWidth="1"/>
    <col min="1053" max="1053" width="17.21875" style="17" customWidth="1"/>
    <col min="1054" max="1054" width="11" style="17" customWidth="1"/>
    <col min="1055" max="1055" width="12" style="17" bestFit="1" customWidth="1"/>
    <col min="1056" max="1056" width="14.77734375" style="17" customWidth="1"/>
    <col min="1057" max="1306" width="11.44140625" style="17"/>
    <col min="1307" max="1307" width="18.77734375" style="17" customWidth="1"/>
    <col min="1308" max="1308" width="13.77734375" style="17" bestFit="1" customWidth="1"/>
    <col min="1309" max="1309" width="17.21875" style="17" customWidth="1"/>
    <col min="1310" max="1310" width="11" style="17" customWidth="1"/>
    <col min="1311" max="1311" width="12" style="17" bestFit="1" customWidth="1"/>
    <col min="1312" max="1312" width="14.77734375" style="17" customWidth="1"/>
    <col min="1313" max="1562" width="11.44140625" style="17"/>
    <col min="1563" max="1563" width="18.77734375" style="17" customWidth="1"/>
    <col min="1564" max="1564" width="13.77734375" style="17" bestFit="1" customWidth="1"/>
    <col min="1565" max="1565" width="17.21875" style="17" customWidth="1"/>
    <col min="1566" max="1566" width="11" style="17" customWidth="1"/>
    <col min="1567" max="1567" width="12" style="17" bestFit="1" customWidth="1"/>
    <col min="1568" max="1568" width="14.77734375" style="17" customWidth="1"/>
    <col min="1569" max="1818" width="11.44140625" style="17"/>
    <col min="1819" max="1819" width="18.77734375" style="17" customWidth="1"/>
    <col min="1820" max="1820" width="13.77734375" style="17" bestFit="1" customWidth="1"/>
    <col min="1821" max="1821" width="17.21875" style="17" customWidth="1"/>
    <col min="1822" max="1822" width="11" style="17" customWidth="1"/>
    <col min="1823" max="1823" width="12" style="17" bestFit="1" customWidth="1"/>
    <col min="1824" max="1824" width="14.77734375" style="17" customWidth="1"/>
    <col min="1825" max="2074" width="11.44140625" style="17"/>
    <col min="2075" max="2075" width="18.77734375" style="17" customWidth="1"/>
    <col min="2076" max="2076" width="13.77734375" style="17" bestFit="1" customWidth="1"/>
    <col min="2077" max="2077" width="17.21875" style="17" customWidth="1"/>
    <col min="2078" max="2078" width="11" style="17" customWidth="1"/>
    <col min="2079" max="2079" width="12" style="17" bestFit="1" customWidth="1"/>
    <col min="2080" max="2080" width="14.77734375" style="17" customWidth="1"/>
    <col min="2081" max="2330" width="11.44140625" style="17"/>
    <col min="2331" max="2331" width="18.77734375" style="17" customWidth="1"/>
    <col min="2332" max="2332" width="13.77734375" style="17" bestFit="1" customWidth="1"/>
    <col min="2333" max="2333" width="17.21875" style="17" customWidth="1"/>
    <col min="2334" max="2334" width="11" style="17" customWidth="1"/>
    <col min="2335" max="2335" width="12" style="17" bestFit="1" customWidth="1"/>
    <col min="2336" max="2336" width="14.77734375" style="17" customWidth="1"/>
    <col min="2337" max="2586" width="11.44140625" style="17"/>
    <col min="2587" max="2587" width="18.77734375" style="17" customWidth="1"/>
    <col min="2588" max="2588" width="13.77734375" style="17" bestFit="1" customWidth="1"/>
    <col min="2589" max="2589" width="17.21875" style="17" customWidth="1"/>
    <col min="2590" max="2590" width="11" style="17" customWidth="1"/>
    <col min="2591" max="2591" width="12" style="17" bestFit="1" customWidth="1"/>
    <col min="2592" max="2592" width="14.77734375" style="17" customWidth="1"/>
    <col min="2593" max="2842" width="11.44140625" style="17"/>
    <col min="2843" max="2843" width="18.77734375" style="17" customWidth="1"/>
    <col min="2844" max="2844" width="13.77734375" style="17" bestFit="1" customWidth="1"/>
    <col min="2845" max="2845" width="17.21875" style="17" customWidth="1"/>
    <col min="2846" max="2846" width="11" style="17" customWidth="1"/>
    <col min="2847" max="2847" width="12" style="17" bestFit="1" customWidth="1"/>
    <col min="2848" max="2848" width="14.77734375" style="17" customWidth="1"/>
    <col min="2849" max="3098" width="11.44140625" style="17"/>
    <col min="3099" max="3099" width="18.77734375" style="17" customWidth="1"/>
    <col min="3100" max="3100" width="13.77734375" style="17" bestFit="1" customWidth="1"/>
    <col min="3101" max="3101" width="17.21875" style="17" customWidth="1"/>
    <col min="3102" max="3102" width="11" style="17" customWidth="1"/>
    <col min="3103" max="3103" width="12" style="17" bestFit="1" customWidth="1"/>
    <col min="3104" max="3104" width="14.77734375" style="17" customWidth="1"/>
    <col min="3105" max="3354" width="11.44140625" style="17"/>
    <col min="3355" max="3355" width="18.77734375" style="17" customWidth="1"/>
    <col min="3356" max="3356" width="13.77734375" style="17" bestFit="1" customWidth="1"/>
    <col min="3357" max="3357" width="17.21875" style="17" customWidth="1"/>
    <col min="3358" max="3358" width="11" style="17" customWidth="1"/>
    <col min="3359" max="3359" width="12" style="17" bestFit="1" customWidth="1"/>
    <col min="3360" max="3360" width="14.77734375" style="17" customWidth="1"/>
    <col min="3361" max="3610" width="11.44140625" style="17"/>
    <col min="3611" max="3611" width="18.77734375" style="17" customWidth="1"/>
    <col min="3612" max="3612" width="13.77734375" style="17" bestFit="1" customWidth="1"/>
    <col min="3613" max="3613" width="17.21875" style="17" customWidth="1"/>
    <col min="3614" max="3614" width="11" style="17" customWidth="1"/>
    <col min="3615" max="3615" width="12" style="17" bestFit="1" customWidth="1"/>
    <col min="3616" max="3616" width="14.77734375" style="17" customWidth="1"/>
    <col min="3617" max="3866" width="11.44140625" style="17"/>
    <col min="3867" max="3867" width="18.77734375" style="17" customWidth="1"/>
    <col min="3868" max="3868" width="13.77734375" style="17" bestFit="1" customWidth="1"/>
    <col min="3869" max="3869" width="17.21875" style="17" customWidth="1"/>
    <col min="3870" max="3870" width="11" style="17" customWidth="1"/>
    <col min="3871" max="3871" width="12" style="17" bestFit="1" customWidth="1"/>
    <col min="3872" max="3872" width="14.77734375" style="17" customWidth="1"/>
    <col min="3873" max="4122" width="11.44140625" style="17"/>
    <col min="4123" max="4123" width="18.77734375" style="17" customWidth="1"/>
    <col min="4124" max="4124" width="13.77734375" style="17" bestFit="1" customWidth="1"/>
    <col min="4125" max="4125" width="17.21875" style="17" customWidth="1"/>
    <col min="4126" max="4126" width="11" style="17" customWidth="1"/>
    <col min="4127" max="4127" width="12" style="17" bestFit="1" customWidth="1"/>
    <col min="4128" max="4128" width="14.77734375" style="17" customWidth="1"/>
    <col min="4129" max="4378" width="11.44140625" style="17"/>
    <col min="4379" max="4379" width="18.77734375" style="17" customWidth="1"/>
    <col min="4380" max="4380" width="13.77734375" style="17" bestFit="1" customWidth="1"/>
    <col min="4381" max="4381" width="17.21875" style="17" customWidth="1"/>
    <col min="4382" max="4382" width="11" style="17" customWidth="1"/>
    <col min="4383" max="4383" width="12" style="17" bestFit="1" customWidth="1"/>
    <col min="4384" max="4384" width="14.77734375" style="17" customWidth="1"/>
    <col min="4385" max="4634" width="11.44140625" style="17"/>
    <col min="4635" max="4635" width="18.77734375" style="17" customWidth="1"/>
    <col min="4636" max="4636" width="13.77734375" style="17" bestFit="1" customWidth="1"/>
    <col min="4637" max="4637" width="17.21875" style="17" customWidth="1"/>
    <col min="4638" max="4638" width="11" style="17" customWidth="1"/>
    <col min="4639" max="4639" width="12" style="17" bestFit="1" customWidth="1"/>
    <col min="4640" max="4640" width="14.77734375" style="17" customWidth="1"/>
    <col min="4641" max="4890" width="11.44140625" style="17"/>
    <col min="4891" max="4891" width="18.77734375" style="17" customWidth="1"/>
    <col min="4892" max="4892" width="13.77734375" style="17" bestFit="1" customWidth="1"/>
    <col min="4893" max="4893" width="17.21875" style="17" customWidth="1"/>
    <col min="4894" max="4894" width="11" style="17" customWidth="1"/>
    <col min="4895" max="4895" width="12" style="17" bestFit="1" customWidth="1"/>
    <col min="4896" max="4896" width="14.77734375" style="17" customWidth="1"/>
    <col min="4897" max="5146" width="11.44140625" style="17"/>
    <col min="5147" max="5147" width="18.77734375" style="17" customWidth="1"/>
    <col min="5148" max="5148" width="13.77734375" style="17" bestFit="1" customWidth="1"/>
    <col min="5149" max="5149" width="17.21875" style="17" customWidth="1"/>
    <col min="5150" max="5150" width="11" style="17" customWidth="1"/>
    <col min="5151" max="5151" width="12" style="17" bestFit="1" customWidth="1"/>
    <col min="5152" max="5152" width="14.77734375" style="17" customWidth="1"/>
    <col min="5153" max="5402" width="11.44140625" style="17"/>
    <col min="5403" max="5403" width="18.77734375" style="17" customWidth="1"/>
    <col min="5404" max="5404" width="13.77734375" style="17" bestFit="1" customWidth="1"/>
    <col min="5405" max="5405" width="17.21875" style="17" customWidth="1"/>
    <col min="5406" max="5406" width="11" style="17" customWidth="1"/>
    <col min="5407" max="5407" width="12" style="17" bestFit="1" customWidth="1"/>
    <col min="5408" max="5408" width="14.77734375" style="17" customWidth="1"/>
    <col min="5409" max="5658" width="11.44140625" style="17"/>
    <col min="5659" max="5659" width="18.77734375" style="17" customWidth="1"/>
    <col min="5660" max="5660" width="13.77734375" style="17" bestFit="1" customWidth="1"/>
    <col min="5661" max="5661" width="17.21875" style="17" customWidth="1"/>
    <col min="5662" max="5662" width="11" style="17" customWidth="1"/>
    <col min="5663" max="5663" width="12" style="17" bestFit="1" customWidth="1"/>
    <col min="5664" max="5664" width="14.77734375" style="17" customWidth="1"/>
    <col min="5665" max="5914" width="11.44140625" style="17"/>
    <col min="5915" max="5915" width="18.77734375" style="17" customWidth="1"/>
    <col min="5916" max="5916" width="13.77734375" style="17" bestFit="1" customWidth="1"/>
    <col min="5917" max="5917" width="17.21875" style="17" customWidth="1"/>
    <col min="5918" max="5918" width="11" style="17" customWidth="1"/>
    <col min="5919" max="5919" width="12" style="17" bestFit="1" customWidth="1"/>
    <col min="5920" max="5920" width="14.77734375" style="17" customWidth="1"/>
    <col min="5921" max="6170" width="11.44140625" style="17"/>
    <col min="6171" max="6171" width="18.77734375" style="17" customWidth="1"/>
    <col min="6172" max="6172" width="13.77734375" style="17" bestFit="1" customWidth="1"/>
    <col min="6173" max="6173" width="17.21875" style="17" customWidth="1"/>
    <col min="6174" max="6174" width="11" style="17" customWidth="1"/>
    <col min="6175" max="6175" width="12" style="17" bestFit="1" customWidth="1"/>
    <col min="6176" max="6176" width="14.77734375" style="17" customWidth="1"/>
    <col min="6177" max="6426" width="11.44140625" style="17"/>
    <col min="6427" max="6427" width="18.77734375" style="17" customWidth="1"/>
    <col min="6428" max="6428" width="13.77734375" style="17" bestFit="1" customWidth="1"/>
    <col min="6429" max="6429" width="17.21875" style="17" customWidth="1"/>
    <col min="6430" max="6430" width="11" style="17" customWidth="1"/>
    <col min="6431" max="6431" width="12" style="17" bestFit="1" customWidth="1"/>
    <col min="6432" max="6432" width="14.77734375" style="17" customWidth="1"/>
    <col min="6433" max="6682" width="11.44140625" style="17"/>
    <col min="6683" max="6683" width="18.77734375" style="17" customWidth="1"/>
    <col min="6684" max="6684" width="13.77734375" style="17" bestFit="1" customWidth="1"/>
    <col min="6685" max="6685" width="17.21875" style="17" customWidth="1"/>
    <col min="6686" max="6686" width="11" style="17" customWidth="1"/>
    <col min="6687" max="6687" width="12" style="17" bestFit="1" customWidth="1"/>
    <col min="6688" max="6688" width="14.77734375" style="17" customWidth="1"/>
    <col min="6689" max="6938" width="11.44140625" style="17"/>
    <col min="6939" max="6939" width="18.77734375" style="17" customWidth="1"/>
    <col min="6940" max="6940" width="13.77734375" style="17" bestFit="1" customWidth="1"/>
    <col min="6941" max="6941" width="17.21875" style="17" customWidth="1"/>
    <col min="6942" max="6942" width="11" style="17" customWidth="1"/>
    <col min="6943" max="6943" width="12" style="17" bestFit="1" customWidth="1"/>
    <col min="6944" max="6944" width="14.77734375" style="17" customWidth="1"/>
    <col min="6945" max="7194" width="11.44140625" style="17"/>
    <col min="7195" max="7195" width="18.77734375" style="17" customWidth="1"/>
    <col min="7196" max="7196" width="13.77734375" style="17" bestFit="1" customWidth="1"/>
    <col min="7197" max="7197" width="17.21875" style="17" customWidth="1"/>
    <col min="7198" max="7198" width="11" style="17" customWidth="1"/>
    <col min="7199" max="7199" width="12" style="17" bestFit="1" customWidth="1"/>
    <col min="7200" max="7200" width="14.77734375" style="17" customWidth="1"/>
    <col min="7201" max="7450" width="11.44140625" style="17"/>
    <col min="7451" max="7451" width="18.77734375" style="17" customWidth="1"/>
    <col min="7452" max="7452" width="13.77734375" style="17" bestFit="1" customWidth="1"/>
    <col min="7453" max="7453" width="17.21875" style="17" customWidth="1"/>
    <col min="7454" max="7454" width="11" style="17" customWidth="1"/>
    <col min="7455" max="7455" width="12" style="17" bestFit="1" customWidth="1"/>
    <col min="7456" max="7456" width="14.77734375" style="17" customWidth="1"/>
    <col min="7457" max="7706" width="11.44140625" style="17"/>
    <col min="7707" max="7707" width="18.77734375" style="17" customWidth="1"/>
    <col min="7708" max="7708" width="13.77734375" style="17" bestFit="1" customWidth="1"/>
    <col min="7709" max="7709" width="17.21875" style="17" customWidth="1"/>
    <col min="7710" max="7710" width="11" style="17" customWidth="1"/>
    <col min="7711" max="7711" width="12" style="17" bestFit="1" customWidth="1"/>
    <col min="7712" max="7712" width="14.77734375" style="17" customWidth="1"/>
    <col min="7713" max="7962" width="11.44140625" style="17"/>
    <col min="7963" max="7963" width="18.77734375" style="17" customWidth="1"/>
    <col min="7964" max="7964" width="13.77734375" style="17" bestFit="1" customWidth="1"/>
    <col min="7965" max="7965" width="17.21875" style="17" customWidth="1"/>
    <col min="7966" max="7966" width="11" style="17" customWidth="1"/>
    <col min="7967" max="7967" width="12" style="17" bestFit="1" customWidth="1"/>
    <col min="7968" max="7968" width="14.77734375" style="17" customWidth="1"/>
    <col min="7969" max="8218" width="11.44140625" style="17"/>
    <col min="8219" max="8219" width="18.77734375" style="17" customWidth="1"/>
    <col min="8220" max="8220" width="13.77734375" style="17" bestFit="1" customWidth="1"/>
    <col min="8221" max="8221" width="17.21875" style="17" customWidth="1"/>
    <col min="8222" max="8222" width="11" style="17" customWidth="1"/>
    <col min="8223" max="8223" width="12" style="17" bestFit="1" customWidth="1"/>
    <col min="8224" max="8224" width="14.77734375" style="17" customWidth="1"/>
    <col min="8225" max="8474" width="11.44140625" style="17"/>
    <col min="8475" max="8475" width="18.77734375" style="17" customWidth="1"/>
    <col min="8476" max="8476" width="13.77734375" style="17" bestFit="1" customWidth="1"/>
    <col min="8477" max="8477" width="17.21875" style="17" customWidth="1"/>
    <col min="8478" max="8478" width="11" style="17" customWidth="1"/>
    <col min="8479" max="8479" width="12" style="17" bestFit="1" customWidth="1"/>
    <col min="8480" max="8480" width="14.77734375" style="17" customWidth="1"/>
    <col min="8481" max="8730" width="11.44140625" style="17"/>
    <col min="8731" max="8731" width="18.77734375" style="17" customWidth="1"/>
    <col min="8732" max="8732" width="13.77734375" style="17" bestFit="1" customWidth="1"/>
    <col min="8733" max="8733" width="17.21875" style="17" customWidth="1"/>
    <col min="8734" max="8734" width="11" style="17" customWidth="1"/>
    <col min="8735" max="8735" width="12" style="17" bestFit="1" customWidth="1"/>
    <col min="8736" max="8736" width="14.77734375" style="17" customWidth="1"/>
    <col min="8737" max="8986" width="11.44140625" style="17"/>
    <col min="8987" max="8987" width="18.77734375" style="17" customWidth="1"/>
    <col min="8988" max="8988" width="13.77734375" style="17" bestFit="1" customWidth="1"/>
    <col min="8989" max="8989" width="17.21875" style="17" customWidth="1"/>
    <col min="8990" max="8990" width="11" style="17" customWidth="1"/>
    <col min="8991" max="8991" width="12" style="17" bestFit="1" customWidth="1"/>
    <col min="8992" max="8992" width="14.77734375" style="17" customWidth="1"/>
    <col min="8993" max="9242" width="11.44140625" style="17"/>
    <col min="9243" max="9243" width="18.77734375" style="17" customWidth="1"/>
    <col min="9244" max="9244" width="13.77734375" style="17" bestFit="1" customWidth="1"/>
    <col min="9245" max="9245" width="17.21875" style="17" customWidth="1"/>
    <col min="9246" max="9246" width="11" style="17" customWidth="1"/>
    <col min="9247" max="9247" width="12" style="17" bestFit="1" customWidth="1"/>
    <col min="9248" max="9248" width="14.77734375" style="17" customWidth="1"/>
    <col min="9249" max="9498" width="11.44140625" style="17"/>
    <col min="9499" max="9499" width="18.77734375" style="17" customWidth="1"/>
    <col min="9500" max="9500" width="13.77734375" style="17" bestFit="1" customWidth="1"/>
    <col min="9501" max="9501" width="17.21875" style="17" customWidth="1"/>
    <col min="9502" max="9502" width="11" style="17" customWidth="1"/>
    <col min="9503" max="9503" width="12" style="17" bestFit="1" customWidth="1"/>
    <col min="9504" max="9504" width="14.77734375" style="17" customWidth="1"/>
    <col min="9505" max="9754" width="11.44140625" style="17"/>
    <col min="9755" max="9755" width="18.77734375" style="17" customWidth="1"/>
    <col min="9756" max="9756" width="13.77734375" style="17" bestFit="1" customWidth="1"/>
    <col min="9757" max="9757" width="17.21875" style="17" customWidth="1"/>
    <col min="9758" max="9758" width="11" style="17" customWidth="1"/>
    <col min="9759" max="9759" width="12" style="17" bestFit="1" customWidth="1"/>
    <col min="9760" max="9760" width="14.77734375" style="17" customWidth="1"/>
    <col min="9761" max="10010" width="11.44140625" style="17"/>
    <col min="10011" max="10011" width="18.77734375" style="17" customWidth="1"/>
    <col min="10012" max="10012" width="13.77734375" style="17" bestFit="1" customWidth="1"/>
    <col min="10013" max="10013" width="17.21875" style="17" customWidth="1"/>
    <col min="10014" max="10014" width="11" style="17" customWidth="1"/>
    <col min="10015" max="10015" width="12" style="17" bestFit="1" customWidth="1"/>
    <col min="10016" max="10016" width="14.77734375" style="17" customWidth="1"/>
    <col min="10017" max="10266" width="11.44140625" style="17"/>
    <col min="10267" max="10267" width="18.77734375" style="17" customWidth="1"/>
    <col min="10268" max="10268" width="13.77734375" style="17" bestFit="1" customWidth="1"/>
    <col min="10269" max="10269" width="17.21875" style="17" customWidth="1"/>
    <col min="10270" max="10270" width="11" style="17" customWidth="1"/>
    <col min="10271" max="10271" width="12" style="17" bestFit="1" customWidth="1"/>
    <col min="10272" max="10272" width="14.77734375" style="17" customWidth="1"/>
    <col min="10273" max="10522" width="11.44140625" style="17"/>
    <col min="10523" max="10523" width="18.77734375" style="17" customWidth="1"/>
    <col min="10524" max="10524" width="13.77734375" style="17" bestFit="1" customWidth="1"/>
    <col min="10525" max="10525" width="17.21875" style="17" customWidth="1"/>
    <col min="10526" max="10526" width="11" style="17" customWidth="1"/>
    <col min="10527" max="10527" width="12" style="17" bestFit="1" customWidth="1"/>
    <col min="10528" max="10528" width="14.77734375" style="17" customWidth="1"/>
    <col min="10529" max="10778" width="11.44140625" style="17"/>
    <col min="10779" max="10779" width="18.77734375" style="17" customWidth="1"/>
    <col min="10780" max="10780" width="13.77734375" style="17" bestFit="1" customWidth="1"/>
    <col min="10781" max="10781" width="17.21875" style="17" customWidth="1"/>
    <col min="10782" max="10782" width="11" style="17" customWidth="1"/>
    <col min="10783" max="10783" width="12" style="17" bestFit="1" customWidth="1"/>
    <col min="10784" max="10784" width="14.77734375" style="17" customWidth="1"/>
    <col min="10785" max="11034" width="11.44140625" style="17"/>
    <col min="11035" max="11035" width="18.77734375" style="17" customWidth="1"/>
    <col min="11036" max="11036" width="13.77734375" style="17" bestFit="1" customWidth="1"/>
    <col min="11037" max="11037" width="17.21875" style="17" customWidth="1"/>
    <col min="11038" max="11038" width="11" style="17" customWidth="1"/>
    <col min="11039" max="11039" width="12" style="17" bestFit="1" customWidth="1"/>
    <col min="11040" max="11040" width="14.77734375" style="17" customWidth="1"/>
    <col min="11041" max="11290" width="11.44140625" style="17"/>
    <col min="11291" max="11291" width="18.77734375" style="17" customWidth="1"/>
    <col min="11292" max="11292" width="13.77734375" style="17" bestFit="1" customWidth="1"/>
    <col min="11293" max="11293" width="17.21875" style="17" customWidth="1"/>
    <col min="11294" max="11294" width="11" style="17" customWidth="1"/>
    <col min="11295" max="11295" width="12" style="17" bestFit="1" customWidth="1"/>
    <col min="11296" max="11296" width="14.77734375" style="17" customWidth="1"/>
    <col min="11297" max="11546" width="11.44140625" style="17"/>
    <col min="11547" max="11547" width="18.77734375" style="17" customWidth="1"/>
    <col min="11548" max="11548" width="13.77734375" style="17" bestFit="1" customWidth="1"/>
    <col min="11549" max="11549" width="17.21875" style="17" customWidth="1"/>
    <col min="11550" max="11550" width="11" style="17" customWidth="1"/>
    <col min="11551" max="11551" width="12" style="17" bestFit="1" customWidth="1"/>
    <col min="11552" max="11552" width="14.77734375" style="17" customWidth="1"/>
    <col min="11553" max="11802" width="11.44140625" style="17"/>
    <col min="11803" max="11803" width="18.77734375" style="17" customWidth="1"/>
    <col min="11804" max="11804" width="13.77734375" style="17" bestFit="1" customWidth="1"/>
    <col min="11805" max="11805" width="17.21875" style="17" customWidth="1"/>
    <col min="11806" max="11806" width="11" style="17" customWidth="1"/>
    <col min="11807" max="11807" width="12" style="17" bestFit="1" customWidth="1"/>
    <col min="11808" max="11808" width="14.77734375" style="17" customWidth="1"/>
    <col min="11809" max="12058" width="11.44140625" style="17"/>
    <col min="12059" max="12059" width="18.77734375" style="17" customWidth="1"/>
    <col min="12060" max="12060" width="13.77734375" style="17" bestFit="1" customWidth="1"/>
    <col min="12061" max="12061" width="17.21875" style="17" customWidth="1"/>
    <col min="12062" max="12062" width="11" style="17" customWidth="1"/>
    <col min="12063" max="12063" width="12" style="17" bestFit="1" customWidth="1"/>
    <col min="12064" max="12064" width="14.77734375" style="17" customWidth="1"/>
    <col min="12065" max="12314" width="11.44140625" style="17"/>
    <col min="12315" max="12315" width="18.77734375" style="17" customWidth="1"/>
    <col min="12316" max="12316" width="13.77734375" style="17" bestFit="1" customWidth="1"/>
    <col min="12317" max="12317" width="17.21875" style="17" customWidth="1"/>
    <col min="12318" max="12318" width="11" style="17" customWidth="1"/>
    <col min="12319" max="12319" width="12" style="17" bestFit="1" customWidth="1"/>
    <col min="12320" max="12320" width="14.77734375" style="17" customWidth="1"/>
    <col min="12321" max="12570" width="11.44140625" style="17"/>
    <col min="12571" max="12571" width="18.77734375" style="17" customWidth="1"/>
    <col min="12572" max="12572" width="13.77734375" style="17" bestFit="1" customWidth="1"/>
    <col min="12573" max="12573" width="17.21875" style="17" customWidth="1"/>
    <col min="12574" max="12574" width="11" style="17" customWidth="1"/>
    <col min="12575" max="12575" width="12" style="17" bestFit="1" customWidth="1"/>
    <col min="12576" max="12576" width="14.77734375" style="17" customWidth="1"/>
    <col min="12577" max="12826" width="11.44140625" style="17"/>
    <col min="12827" max="12827" width="18.77734375" style="17" customWidth="1"/>
    <col min="12828" max="12828" width="13.77734375" style="17" bestFit="1" customWidth="1"/>
    <col min="12829" max="12829" width="17.21875" style="17" customWidth="1"/>
    <col min="12830" max="12830" width="11" style="17" customWidth="1"/>
    <col min="12831" max="12831" width="12" style="17" bestFit="1" customWidth="1"/>
    <col min="12832" max="12832" width="14.77734375" style="17" customWidth="1"/>
    <col min="12833" max="13082" width="11.44140625" style="17"/>
    <col min="13083" max="13083" width="18.77734375" style="17" customWidth="1"/>
    <col min="13084" max="13084" width="13.77734375" style="17" bestFit="1" customWidth="1"/>
    <col min="13085" max="13085" width="17.21875" style="17" customWidth="1"/>
    <col min="13086" max="13086" width="11" style="17" customWidth="1"/>
    <col min="13087" max="13087" width="12" style="17" bestFit="1" customWidth="1"/>
    <col min="13088" max="13088" width="14.77734375" style="17" customWidth="1"/>
    <col min="13089" max="13338" width="11.44140625" style="17"/>
    <col min="13339" max="13339" width="18.77734375" style="17" customWidth="1"/>
    <col min="13340" max="13340" width="13.77734375" style="17" bestFit="1" customWidth="1"/>
    <col min="13341" max="13341" width="17.21875" style="17" customWidth="1"/>
    <col min="13342" max="13342" width="11" style="17" customWidth="1"/>
    <col min="13343" max="13343" width="12" style="17" bestFit="1" customWidth="1"/>
    <col min="13344" max="13344" width="14.77734375" style="17" customWidth="1"/>
    <col min="13345" max="13594" width="11.44140625" style="17"/>
    <col min="13595" max="13595" width="18.77734375" style="17" customWidth="1"/>
    <col min="13596" max="13596" width="13.77734375" style="17" bestFit="1" customWidth="1"/>
    <col min="13597" max="13597" width="17.21875" style="17" customWidth="1"/>
    <col min="13598" max="13598" width="11" style="17" customWidth="1"/>
    <col min="13599" max="13599" width="12" style="17" bestFit="1" customWidth="1"/>
    <col min="13600" max="13600" width="14.77734375" style="17" customWidth="1"/>
    <col min="13601" max="13850" width="11.44140625" style="17"/>
    <col min="13851" max="13851" width="18.77734375" style="17" customWidth="1"/>
    <col min="13852" max="13852" width="13.77734375" style="17" bestFit="1" customWidth="1"/>
    <col min="13853" max="13853" width="17.21875" style="17" customWidth="1"/>
    <col min="13854" max="13854" width="11" style="17" customWidth="1"/>
    <col min="13855" max="13855" width="12" style="17" bestFit="1" customWidth="1"/>
    <col min="13856" max="13856" width="14.77734375" style="17" customWidth="1"/>
    <col min="13857" max="14106" width="11.44140625" style="17"/>
    <col min="14107" max="14107" width="18.77734375" style="17" customWidth="1"/>
    <col min="14108" max="14108" width="13.77734375" style="17" bestFit="1" customWidth="1"/>
    <col min="14109" max="14109" width="17.21875" style="17" customWidth="1"/>
    <col min="14110" max="14110" width="11" style="17" customWidth="1"/>
    <col min="14111" max="14111" width="12" style="17" bestFit="1" customWidth="1"/>
    <col min="14112" max="14112" width="14.77734375" style="17" customWidth="1"/>
    <col min="14113" max="14362" width="11.44140625" style="17"/>
    <col min="14363" max="14363" width="18.77734375" style="17" customWidth="1"/>
    <col min="14364" max="14364" width="13.77734375" style="17" bestFit="1" customWidth="1"/>
    <col min="14365" max="14365" width="17.21875" style="17" customWidth="1"/>
    <col min="14366" max="14366" width="11" style="17" customWidth="1"/>
    <col min="14367" max="14367" width="12" style="17" bestFit="1" customWidth="1"/>
    <col min="14368" max="14368" width="14.77734375" style="17" customWidth="1"/>
    <col min="14369" max="14618" width="11.44140625" style="17"/>
    <col min="14619" max="14619" width="18.77734375" style="17" customWidth="1"/>
    <col min="14620" max="14620" width="13.77734375" style="17" bestFit="1" customWidth="1"/>
    <col min="14621" max="14621" width="17.21875" style="17" customWidth="1"/>
    <col min="14622" max="14622" width="11" style="17" customWidth="1"/>
    <col min="14623" max="14623" width="12" style="17" bestFit="1" customWidth="1"/>
    <col min="14624" max="14624" width="14.77734375" style="17" customWidth="1"/>
    <col min="14625" max="14874" width="11.44140625" style="17"/>
    <col min="14875" max="14875" width="18.77734375" style="17" customWidth="1"/>
    <col min="14876" max="14876" width="13.77734375" style="17" bestFit="1" customWidth="1"/>
    <col min="14877" max="14877" width="17.21875" style="17" customWidth="1"/>
    <col min="14878" max="14878" width="11" style="17" customWidth="1"/>
    <col min="14879" max="14879" width="12" style="17" bestFit="1" customWidth="1"/>
    <col min="14880" max="14880" width="14.77734375" style="17" customWidth="1"/>
    <col min="14881" max="15130" width="11.44140625" style="17"/>
    <col min="15131" max="15131" width="18.77734375" style="17" customWidth="1"/>
    <col min="15132" max="15132" width="13.77734375" style="17" bestFit="1" customWidth="1"/>
    <col min="15133" max="15133" width="17.21875" style="17" customWidth="1"/>
    <col min="15134" max="15134" width="11" style="17" customWidth="1"/>
    <col min="15135" max="15135" width="12" style="17" bestFit="1" customWidth="1"/>
    <col min="15136" max="15136" width="14.77734375" style="17" customWidth="1"/>
    <col min="15137" max="15386" width="11.44140625" style="17"/>
    <col min="15387" max="15387" width="18.77734375" style="17" customWidth="1"/>
    <col min="15388" max="15388" width="13.77734375" style="17" bestFit="1" customWidth="1"/>
    <col min="15389" max="15389" width="17.21875" style="17" customWidth="1"/>
    <col min="15390" max="15390" width="11" style="17" customWidth="1"/>
    <col min="15391" max="15391" width="12" style="17" bestFit="1" customWidth="1"/>
    <col min="15392" max="15392" width="14.77734375" style="17" customWidth="1"/>
    <col min="15393" max="15642" width="11.44140625" style="17"/>
    <col min="15643" max="15643" width="18.77734375" style="17" customWidth="1"/>
    <col min="15644" max="15644" width="13.77734375" style="17" bestFit="1" customWidth="1"/>
    <col min="15645" max="15645" width="17.21875" style="17" customWidth="1"/>
    <col min="15646" max="15646" width="11" style="17" customWidth="1"/>
    <col min="15647" max="15647" width="12" style="17" bestFit="1" customWidth="1"/>
    <col min="15648" max="15648" width="14.77734375" style="17" customWidth="1"/>
    <col min="15649" max="15898" width="11.44140625" style="17"/>
    <col min="15899" max="15899" width="18.77734375" style="17" customWidth="1"/>
    <col min="15900" max="15900" width="13.77734375" style="17" bestFit="1" customWidth="1"/>
    <col min="15901" max="15901" width="17.21875" style="17" customWidth="1"/>
    <col min="15902" max="15902" width="11" style="17" customWidth="1"/>
    <col min="15903" max="15903" width="12" style="17" bestFit="1" customWidth="1"/>
    <col min="15904" max="15904" width="14.77734375" style="17" customWidth="1"/>
    <col min="15905" max="16154" width="11.44140625" style="17"/>
    <col min="16155" max="16155" width="18.77734375" style="17" customWidth="1"/>
    <col min="16156" max="16156" width="13.77734375" style="17" bestFit="1" customWidth="1"/>
    <col min="16157" max="16157" width="17.21875" style="17" customWidth="1"/>
    <col min="16158" max="16158" width="11" style="17" customWidth="1"/>
    <col min="16159" max="16159" width="12" style="17" bestFit="1" customWidth="1"/>
    <col min="16160" max="16160" width="14.77734375" style="17" customWidth="1"/>
    <col min="16161" max="16384" width="11.44140625" style="17"/>
  </cols>
  <sheetData>
    <row r="2" spans="1:37" x14ac:dyDescent="0.25">
      <c r="A2" s="17" t="s">
        <v>70</v>
      </c>
      <c r="B2" s="63">
        <f>'pooled normalised values'!B75</f>
        <v>4.185975477227482E-2</v>
      </c>
      <c r="D2" s="17" t="s">
        <v>9</v>
      </c>
      <c r="E2" s="18"/>
      <c r="F2" s="19" t="str">
        <f>'pooled normalised values'!J74</f>
        <v>Prochloraz-0.13mg/L</v>
      </c>
      <c r="G2" s="19" t="str">
        <f>'pooled normalised values'!K74</f>
        <v>Prochloraz-0.25mg/L</v>
      </c>
      <c r="H2" s="19" t="str">
        <f>'pooled normalised values'!L74</f>
        <v>Prochloraz-0.5mg/L</v>
      </c>
      <c r="I2" s="19" t="str">
        <f>'pooled normalised values'!M74</f>
        <v>Prochloraz-1mg/L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Prochloraz-0.063mg/L + Testostérone</v>
      </c>
      <c r="W2" s="19" t="str">
        <f>'pooled normalised values'!S74</f>
        <v>Prochloraz-0.13mg/L + Testostérone</v>
      </c>
      <c r="X2" s="19" t="str">
        <f>'pooled normalised values'!T74</f>
        <v>Prochloraz-0.25mg/L + Testostérone</v>
      </c>
      <c r="Y2" s="19" t="str">
        <f>'pooled normalised values'!U74</f>
        <v>Prochloraz-0.5mg/L + Testostérone</v>
      </c>
      <c r="Z2" s="19" t="str">
        <f>'pooled normalised values'!V74</f>
        <v>Prochloraz-1mg/L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5">
      <c r="A3" s="17" t="s">
        <v>71</v>
      </c>
      <c r="B3" s="63">
        <f>'summary results'!E6</f>
        <v>0</v>
      </c>
      <c r="D3" s="21" t="s">
        <v>10</v>
      </c>
      <c r="E3" s="22"/>
      <c r="F3" s="19">
        <f>HLOOKUP(F2,'pooled normalised values'!B74:V83,2,FALSE)</f>
        <v>6.8493380396662834E-2</v>
      </c>
      <c r="G3" s="19">
        <f>HLOOKUP(G2,'pooled normalised values'!C74:W83,2,FALSE)</f>
        <v>4.5783978254124842E-2</v>
      </c>
      <c r="H3" s="19">
        <f>HLOOKUP(H2,'pooled normalised values'!C74:X83,2,FALSE)</f>
        <v>7.9187533933191057E-2</v>
      </c>
      <c r="I3" s="19">
        <f>HLOOKUP(I2,'pooled normalised values'!D74:Y83,2,FALSE)</f>
        <v>5.5753231740820204E-2</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0.41395674288527418</v>
      </c>
      <c r="W3" s="19">
        <f>HLOOKUP(W2,'pooled normalised values'!N74:AM83,2,FALSE)</f>
        <v>0.284675098461519</v>
      </c>
      <c r="X3" s="19">
        <f>HLOOKUP(X2,'pooled normalised values'!N74:AN83,2,FALSE)</f>
        <v>0.21373402170938816</v>
      </c>
      <c r="Y3" s="19">
        <f>HLOOKUP(Y2,'pooled normalised values'!N74:AO83,2,FALSE)</f>
        <v>7.4150653082635243E-2</v>
      </c>
      <c r="Z3" s="19">
        <f>HLOOKUP(Z2,'pooled normalised values'!N74:AP83,2,FALSE)</f>
        <v>0.11812472603992545</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5">
      <c r="A4" s="17" t="s">
        <v>72</v>
      </c>
      <c r="B4" s="63">
        <f>'pooled normalised values'!O75</f>
        <v>1</v>
      </c>
      <c r="D4" s="21" t="s">
        <v>2</v>
      </c>
      <c r="E4" s="22"/>
      <c r="F4" s="19">
        <f>HLOOKUP(F2,'pooled normalised values'!B74:V83,3,FALSE)</f>
        <v>1.5918873847472471E-2</v>
      </c>
      <c r="G4" s="19">
        <f>HLOOKUP(G2,'pooled normalised values'!C74:W83,3,FALSE)</f>
        <v>1.0428831152142612E-2</v>
      </c>
      <c r="H4" s="19">
        <f>HLOOKUP(H2,'pooled normalised values'!C74:X83,3,FALSE)</f>
        <v>2.4705545928523701E-2</v>
      </c>
      <c r="I4" s="19">
        <f>HLOOKUP(I2,'pooled normalised values'!D74:Y83,3,FALSE)</f>
        <v>1.1176934954399705E-2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0.16469856371714606</v>
      </c>
      <c r="W4" s="19">
        <f>HLOOKUP(W2,'pooled normalised values'!N74:AM83,3,FALSE)</f>
        <v>9.257268951388499E-2</v>
      </c>
      <c r="X4" s="19">
        <f>HLOOKUP(X2,'pooled normalised values'!N74:AN83,3,FALSE)</f>
        <v>7.349021301143932E-2</v>
      </c>
      <c r="Y4" s="19">
        <f>HLOOKUP(Y2,'pooled normalised values'!N74:AO83,3,FALSE)</f>
        <v>2.7399336545402463E-2</v>
      </c>
      <c r="Z4" s="19">
        <f>HLOOKUP(Z2,'pooled normalised values'!N74:AP83,3,FALSE)</f>
        <v>7.2765308863406125E-2</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5">
      <c r="A5" s="17" t="s">
        <v>73</v>
      </c>
      <c r="B5" s="63">
        <f>'pooled normalised values'!P75</f>
        <v>7.2076885100011419</v>
      </c>
      <c r="D5" s="23" t="s">
        <v>11</v>
      </c>
      <c r="E5" s="22"/>
      <c r="F5" s="19" t="str">
        <f>HLOOKUP(F2,'pooled normalised values'!B74:V83,10,FALSE)</f>
        <v>ns</v>
      </c>
      <c r="G5" s="19" t="str">
        <f>HLOOKUP(G2,'pooled normalised values'!C74:W83,10,FALSE)</f>
        <v>ns</v>
      </c>
      <c r="H5" s="19" t="str">
        <f>HLOOKUP(H2,'pooled normalised values'!C74:X83,10,FALSE)</f>
        <v>ns</v>
      </c>
      <c r="I5" s="19" t="str">
        <f>HLOOKUP(I2,'pooled normalised values'!D74:Y83,10,FALSE)</f>
        <v>ns</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v>
      </c>
      <c r="X5" s="19" t="str">
        <f>HLOOKUP(X2,'pooled normalised values'!N74:AN83,10,FALSE)</f>
        <v>***</v>
      </c>
      <c r="Y5" s="19" t="str">
        <f>HLOOKUP(Y2,'pooled normalised values'!N74:AO83,10,FALSE)</f>
        <v>***</v>
      </c>
      <c r="Z5" s="19" t="str">
        <f>HLOOKUP(Z2,'pooled normalised values'!N74:AP83,10,FALSE)</f>
        <v>***</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5">
      <c r="A6" s="17" t="s">
        <v>74</v>
      </c>
      <c r="B6" s="63">
        <f>'pooled normalised values'!Q75</f>
        <v>5.4869828338132608E-2</v>
      </c>
      <c r="D6" s="21" t="s">
        <v>12</v>
      </c>
      <c r="E6" s="24">
        <f>$B$2</f>
        <v>4.185975477227482E-2</v>
      </c>
      <c r="F6" s="24">
        <f>$B$2</f>
        <v>4.185975477227482E-2</v>
      </c>
      <c r="G6" s="24">
        <f t="shared" ref="G6:R6" si="0">$B$2</f>
        <v>4.185975477227482E-2</v>
      </c>
      <c r="H6" s="24">
        <f t="shared" si="0"/>
        <v>4.185975477227482E-2</v>
      </c>
      <c r="I6" s="24">
        <f t="shared" si="0"/>
        <v>4.185975477227482E-2</v>
      </c>
      <c r="J6" s="24">
        <f t="shared" si="0"/>
        <v>4.185975477227482E-2</v>
      </c>
      <c r="K6" s="24">
        <f t="shared" si="0"/>
        <v>4.185975477227482E-2</v>
      </c>
      <c r="L6" s="24">
        <f t="shared" si="0"/>
        <v>4.185975477227482E-2</v>
      </c>
      <c r="M6" s="24">
        <f t="shared" si="0"/>
        <v>4.185975477227482E-2</v>
      </c>
      <c r="N6" s="24">
        <f t="shared" si="0"/>
        <v>4.185975477227482E-2</v>
      </c>
      <c r="O6" s="24">
        <f t="shared" si="0"/>
        <v>4.185975477227482E-2</v>
      </c>
      <c r="P6" s="24">
        <f t="shared" si="0"/>
        <v>4.185975477227482E-2</v>
      </c>
      <c r="Q6" s="24">
        <f t="shared" si="0"/>
        <v>4.185975477227482E-2</v>
      </c>
      <c r="R6" s="24">
        <f t="shared" si="0"/>
        <v>4.185975477227482E-2</v>
      </c>
      <c r="S6" s="24">
        <f>$B$2</f>
        <v>4.185975477227482E-2</v>
      </c>
      <c r="T6" s="24">
        <f>$B$2</f>
        <v>4.185975477227482E-2</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1</v>
      </c>
      <c r="V7" s="25">
        <f t="shared" si="1"/>
        <v>1</v>
      </c>
      <c r="W7" s="25">
        <f t="shared" si="1"/>
        <v>1</v>
      </c>
      <c r="X7" s="25">
        <f t="shared" si="1"/>
        <v>1</v>
      </c>
      <c r="Y7" s="25">
        <f t="shared" si="1"/>
        <v>1</v>
      </c>
      <c r="Z7" s="25">
        <f t="shared" si="1"/>
        <v>1</v>
      </c>
      <c r="AA7" s="25">
        <f t="shared" si="1"/>
        <v>1</v>
      </c>
      <c r="AB7" s="25">
        <f t="shared" si="1"/>
        <v>1</v>
      </c>
      <c r="AC7" s="25">
        <f t="shared" si="1"/>
        <v>1</v>
      </c>
      <c r="AD7" s="25">
        <f t="shared" si="1"/>
        <v>1</v>
      </c>
      <c r="AE7" s="25">
        <f t="shared" si="1"/>
        <v>1</v>
      </c>
      <c r="AF7" s="25">
        <f t="shared" si="1"/>
        <v>1</v>
      </c>
      <c r="AG7" s="25">
        <f t="shared" si="1"/>
        <v>1</v>
      </c>
      <c r="AH7" s="25">
        <f t="shared" si="1"/>
        <v>1</v>
      </c>
      <c r="AI7" s="25">
        <f t="shared" si="1"/>
        <v>1</v>
      </c>
      <c r="AJ7" s="25">
        <f t="shared" si="1"/>
        <v>1</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5.4869828338132608E-2</v>
      </c>
      <c r="V8" s="25">
        <f t="shared" ref="V8:AJ8" si="2">$B$6</f>
        <v>5.4869828338132608E-2</v>
      </c>
      <c r="W8" s="25">
        <f t="shared" si="2"/>
        <v>5.4869828338132608E-2</v>
      </c>
      <c r="X8" s="25">
        <f t="shared" si="2"/>
        <v>5.4869828338132608E-2</v>
      </c>
      <c r="Y8" s="25">
        <f t="shared" si="2"/>
        <v>5.4869828338132608E-2</v>
      </c>
      <c r="Z8" s="25">
        <f t="shared" si="2"/>
        <v>5.4869828338132608E-2</v>
      </c>
      <c r="AA8" s="25">
        <f t="shared" si="2"/>
        <v>5.4869828338132608E-2</v>
      </c>
      <c r="AB8" s="25">
        <f t="shared" si="2"/>
        <v>5.4869828338132608E-2</v>
      </c>
      <c r="AC8" s="25">
        <f t="shared" si="2"/>
        <v>5.4869828338132608E-2</v>
      </c>
      <c r="AD8" s="25">
        <f t="shared" si="2"/>
        <v>5.4869828338132608E-2</v>
      </c>
      <c r="AE8" s="25">
        <f t="shared" si="2"/>
        <v>5.4869828338132608E-2</v>
      </c>
      <c r="AF8" s="25">
        <f t="shared" si="2"/>
        <v>5.4869828338132608E-2</v>
      </c>
      <c r="AG8" s="25">
        <f t="shared" si="2"/>
        <v>5.4869828338132608E-2</v>
      </c>
      <c r="AH8" s="25">
        <f t="shared" si="2"/>
        <v>5.4869828338132608E-2</v>
      </c>
      <c r="AI8" s="25">
        <f t="shared" si="2"/>
        <v>5.4869828338132608E-2</v>
      </c>
      <c r="AJ8" s="25">
        <f t="shared" si="2"/>
        <v>5.4869828338132608E-2</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7.1528186816630095</v>
      </c>
      <c r="V9" s="25">
        <f>$B$5-V8</f>
        <v>7.1528186816630095</v>
      </c>
      <c r="W9" s="25">
        <f t="shared" ref="W9:AH9" si="4">$B$5-W8</f>
        <v>7.1528186816630095</v>
      </c>
      <c r="X9" s="25">
        <f t="shared" si="4"/>
        <v>7.1528186816630095</v>
      </c>
      <c r="Y9" s="25">
        <f t="shared" si="4"/>
        <v>7.1528186816630095</v>
      </c>
      <c r="Z9" s="25">
        <f t="shared" si="4"/>
        <v>7.1528186816630095</v>
      </c>
      <c r="AA9" s="25">
        <f t="shared" si="4"/>
        <v>7.1528186816630095</v>
      </c>
      <c r="AB9" s="25">
        <f t="shared" si="4"/>
        <v>7.1528186816630095</v>
      </c>
      <c r="AC9" s="25">
        <f t="shared" si="4"/>
        <v>7.1528186816630095</v>
      </c>
      <c r="AD9" s="25">
        <f t="shared" si="4"/>
        <v>7.1528186816630095</v>
      </c>
      <c r="AE9" s="25">
        <f t="shared" si="4"/>
        <v>7.1528186816630095</v>
      </c>
      <c r="AF9" s="25">
        <f t="shared" si="4"/>
        <v>7.1528186816630095</v>
      </c>
      <c r="AG9" s="25">
        <f t="shared" si="4"/>
        <v>7.1528186816630095</v>
      </c>
      <c r="AH9" s="25">
        <f t="shared" si="4"/>
        <v>7.1528186816630095</v>
      </c>
      <c r="AI9" s="25">
        <f>$B$5-AI8</f>
        <v>7.1528186816630095</v>
      </c>
      <c r="AJ9" s="25">
        <f>$B$5-AJ8</f>
        <v>7.1528186816630095</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-4.6528186816630095</v>
      </c>
      <c r="V10" s="25">
        <f>2.5-V9</f>
        <v>-4.6528186816630095</v>
      </c>
      <c r="W10" s="25">
        <f t="shared" ref="W10:AH10" si="6">2.5-W9</f>
        <v>-4.6528186816630095</v>
      </c>
      <c r="X10" s="25">
        <f t="shared" si="6"/>
        <v>-4.6528186816630095</v>
      </c>
      <c r="Y10" s="25">
        <f t="shared" si="6"/>
        <v>-4.6528186816630095</v>
      </c>
      <c r="Z10" s="25">
        <f t="shared" si="6"/>
        <v>-4.6528186816630095</v>
      </c>
      <c r="AA10" s="25">
        <f t="shared" si="6"/>
        <v>-4.6528186816630095</v>
      </c>
      <c r="AB10" s="25">
        <f t="shared" si="6"/>
        <v>-4.6528186816630095</v>
      </c>
      <c r="AC10" s="25">
        <f t="shared" si="6"/>
        <v>-4.6528186816630095</v>
      </c>
      <c r="AD10" s="25">
        <f t="shared" si="6"/>
        <v>-4.6528186816630095</v>
      </c>
      <c r="AE10" s="25">
        <f t="shared" si="6"/>
        <v>-4.6528186816630095</v>
      </c>
      <c r="AF10" s="25">
        <f t="shared" si="6"/>
        <v>-4.6528186816630095</v>
      </c>
      <c r="AG10" s="25">
        <f t="shared" si="6"/>
        <v>-4.6528186816630095</v>
      </c>
      <c r="AH10" s="25">
        <f t="shared" si="6"/>
        <v>-4.6528186816630095</v>
      </c>
      <c r="AI10" s="25">
        <f>2.5-AI9</f>
        <v>-4.6528186816630095</v>
      </c>
      <c r="AJ10" s="25">
        <f>2.5-AJ9</f>
        <v>-4.6528186816630095</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pageSetup paperSize="9" orientation="portrait" horizontalDpi="300" verticalDpi="300" r:id="rId1"/>
  <headerFooter>
    <oddFooter>&amp;C&amp;1#&amp;"Arial"&amp;10&amp;K000000Internal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defaultColWidth="11.5546875" defaultRowHeight="13.2" x14ac:dyDescent="0.25"/>
  <cols>
    <col min="1" max="1" width="18.77734375" style="17" customWidth="1"/>
    <col min="2" max="2" width="7.21875" style="17" bestFit="1" customWidth="1"/>
    <col min="3" max="3" width="10.5546875" style="17" customWidth="1"/>
    <col min="4" max="4" width="13.77734375" style="17" bestFit="1" customWidth="1"/>
    <col min="5" max="5" width="12" style="17" bestFit="1" customWidth="1"/>
    <col min="6" max="6" width="14.77734375" style="17" customWidth="1"/>
    <col min="7" max="8" width="11.44140625" style="17"/>
    <col min="9" max="9" width="13.5546875" style="17" bestFit="1" customWidth="1"/>
    <col min="10" max="256" width="11.44140625" style="17"/>
    <col min="257" max="257" width="18.77734375" style="17" customWidth="1"/>
    <col min="258" max="258" width="13.77734375" style="17" bestFit="1" customWidth="1"/>
    <col min="259" max="259" width="17.21875" style="17" customWidth="1"/>
    <col min="260" max="260" width="11" style="17" customWidth="1"/>
    <col min="261" max="261" width="12" style="17" bestFit="1" customWidth="1"/>
    <col min="262" max="262" width="14.77734375" style="17" customWidth="1"/>
    <col min="263" max="512" width="11.44140625" style="17"/>
    <col min="513" max="513" width="18.77734375" style="17" customWidth="1"/>
    <col min="514" max="514" width="13.77734375" style="17" bestFit="1" customWidth="1"/>
    <col min="515" max="515" width="17.21875" style="17" customWidth="1"/>
    <col min="516" max="516" width="11" style="17" customWidth="1"/>
    <col min="517" max="517" width="12" style="17" bestFit="1" customWidth="1"/>
    <col min="518" max="518" width="14.77734375" style="17" customWidth="1"/>
    <col min="519" max="768" width="11.44140625" style="17"/>
    <col min="769" max="769" width="18.77734375" style="17" customWidth="1"/>
    <col min="770" max="770" width="13.77734375" style="17" bestFit="1" customWidth="1"/>
    <col min="771" max="771" width="17.21875" style="17" customWidth="1"/>
    <col min="772" max="772" width="11" style="17" customWidth="1"/>
    <col min="773" max="773" width="12" style="17" bestFit="1" customWidth="1"/>
    <col min="774" max="774" width="14.77734375" style="17" customWidth="1"/>
    <col min="775" max="1024" width="11.44140625" style="17"/>
    <col min="1025" max="1025" width="18.77734375" style="17" customWidth="1"/>
    <col min="1026" max="1026" width="13.77734375" style="17" bestFit="1" customWidth="1"/>
    <col min="1027" max="1027" width="17.21875" style="17" customWidth="1"/>
    <col min="1028" max="1028" width="11" style="17" customWidth="1"/>
    <col min="1029" max="1029" width="12" style="17" bestFit="1" customWidth="1"/>
    <col min="1030" max="1030" width="14.77734375" style="17" customWidth="1"/>
    <col min="1031" max="1280" width="11.44140625" style="17"/>
    <col min="1281" max="1281" width="18.77734375" style="17" customWidth="1"/>
    <col min="1282" max="1282" width="13.77734375" style="17" bestFit="1" customWidth="1"/>
    <col min="1283" max="1283" width="17.21875" style="17" customWidth="1"/>
    <col min="1284" max="1284" width="11" style="17" customWidth="1"/>
    <col min="1285" max="1285" width="12" style="17" bestFit="1" customWidth="1"/>
    <col min="1286" max="1286" width="14.77734375" style="17" customWidth="1"/>
    <col min="1287" max="1536" width="11.44140625" style="17"/>
    <col min="1537" max="1537" width="18.77734375" style="17" customWidth="1"/>
    <col min="1538" max="1538" width="13.77734375" style="17" bestFit="1" customWidth="1"/>
    <col min="1539" max="1539" width="17.21875" style="17" customWidth="1"/>
    <col min="1540" max="1540" width="11" style="17" customWidth="1"/>
    <col min="1541" max="1541" width="12" style="17" bestFit="1" customWidth="1"/>
    <col min="1542" max="1542" width="14.77734375" style="17" customWidth="1"/>
    <col min="1543" max="1792" width="11.44140625" style="17"/>
    <col min="1793" max="1793" width="18.77734375" style="17" customWidth="1"/>
    <col min="1794" max="1794" width="13.77734375" style="17" bestFit="1" customWidth="1"/>
    <col min="1795" max="1795" width="17.21875" style="17" customWidth="1"/>
    <col min="1796" max="1796" width="11" style="17" customWidth="1"/>
    <col min="1797" max="1797" width="12" style="17" bestFit="1" customWidth="1"/>
    <col min="1798" max="1798" width="14.77734375" style="17" customWidth="1"/>
    <col min="1799" max="2048" width="11.44140625" style="17"/>
    <col min="2049" max="2049" width="18.77734375" style="17" customWidth="1"/>
    <col min="2050" max="2050" width="13.77734375" style="17" bestFit="1" customWidth="1"/>
    <col min="2051" max="2051" width="17.21875" style="17" customWidth="1"/>
    <col min="2052" max="2052" width="11" style="17" customWidth="1"/>
    <col min="2053" max="2053" width="12" style="17" bestFit="1" customWidth="1"/>
    <col min="2054" max="2054" width="14.77734375" style="17" customWidth="1"/>
    <col min="2055" max="2304" width="11.44140625" style="17"/>
    <col min="2305" max="2305" width="18.77734375" style="17" customWidth="1"/>
    <col min="2306" max="2306" width="13.77734375" style="17" bestFit="1" customWidth="1"/>
    <col min="2307" max="2307" width="17.21875" style="17" customWidth="1"/>
    <col min="2308" max="2308" width="11" style="17" customWidth="1"/>
    <col min="2309" max="2309" width="12" style="17" bestFit="1" customWidth="1"/>
    <col min="2310" max="2310" width="14.77734375" style="17" customWidth="1"/>
    <col min="2311" max="2560" width="11.44140625" style="17"/>
    <col min="2561" max="2561" width="18.77734375" style="17" customWidth="1"/>
    <col min="2562" max="2562" width="13.77734375" style="17" bestFit="1" customWidth="1"/>
    <col min="2563" max="2563" width="17.21875" style="17" customWidth="1"/>
    <col min="2564" max="2564" width="11" style="17" customWidth="1"/>
    <col min="2565" max="2565" width="12" style="17" bestFit="1" customWidth="1"/>
    <col min="2566" max="2566" width="14.77734375" style="17" customWidth="1"/>
    <col min="2567" max="2816" width="11.44140625" style="17"/>
    <col min="2817" max="2817" width="18.77734375" style="17" customWidth="1"/>
    <col min="2818" max="2818" width="13.77734375" style="17" bestFit="1" customWidth="1"/>
    <col min="2819" max="2819" width="17.21875" style="17" customWidth="1"/>
    <col min="2820" max="2820" width="11" style="17" customWidth="1"/>
    <col min="2821" max="2821" width="12" style="17" bestFit="1" customWidth="1"/>
    <col min="2822" max="2822" width="14.77734375" style="17" customWidth="1"/>
    <col min="2823" max="3072" width="11.44140625" style="17"/>
    <col min="3073" max="3073" width="18.77734375" style="17" customWidth="1"/>
    <col min="3074" max="3074" width="13.77734375" style="17" bestFit="1" customWidth="1"/>
    <col min="3075" max="3075" width="17.21875" style="17" customWidth="1"/>
    <col min="3076" max="3076" width="11" style="17" customWidth="1"/>
    <col min="3077" max="3077" width="12" style="17" bestFit="1" customWidth="1"/>
    <col min="3078" max="3078" width="14.77734375" style="17" customWidth="1"/>
    <col min="3079" max="3328" width="11.44140625" style="17"/>
    <col min="3329" max="3329" width="18.77734375" style="17" customWidth="1"/>
    <col min="3330" max="3330" width="13.77734375" style="17" bestFit="1" customWidth="1"/>
    <col min="3331" max="3331" width="17.21875" style="17" customWidth="1"/>
    <col min="3332" max="3332" width="11" style="17" customWidth="1"/>
    <col min="3333" max="3333" width="12" style="17" bestFit="1" customWidth="1"/>
    <col min="3334" max="3334" width="14.77734375" style="17" customWidth="1"/>
    <col min="3335" max="3584" width="11.44140625" style="17"/>
    <col min="3585" max="3585" width="18.77734375" style="17" customWidth="1"/>
    <col min="3586" max="3586" width="13.77734375" style="17" bestFit="1" customWidth="1"/>
    <col min="3587" max="3587" width="17.21875" style="17" customWidth="1"/>
    <col min="3588" max="3588" width="11" style="17" customWidth="1"/>
    <col min="3589" max="3589" width="12" style="17" bestFit="1" customWidth="1"/>
    <col min="3590" max="3590" width="14.77734375" style="17" customWidth="1"/>
    <col min="3591" max="3840" width="11.44140625" style="17"/>
    <col min="3841" max="3841" width="18.77734375" style="17" customWidth="1"/>
    <col min="3842" max="3842" width="13.77734375" style="17" bestFit="1" customWidth="1"/>
    <col min="3843" max="3843" width="17.21875" style="17" customWidth="1"/>
    <col min="3844" max="3844" width="11" style="17" customWidth="1"/>
    <col min="3845" max="3845" width="12" style="17" bestFit="1" customWidth="1"/>
    <col min="3846" max="3846" width="14.77734375" style="17" customWidth="1"/>
    <col min="3847" max="4096" width="11.44140625" style="17"/>
    <col min="4097" max="4097" width="18.77734375" style="17" customWidth="1"/>
    <col min="4098" max="4098" width="13.77734375" style="17" bestFit="1" customWidth="1"/>
    <col min="4099" max="4099" width="17.21875" style="17" customWidth="1"/>
    <col min="4100" max="4100" width="11" style="17" customWidth="1"/>
    <col min="4101" max="4101" width="12" style="17" bestFit="1" customWidth="1"/>
    <col min="4102" max="4102" width="14.77734375" style="17" customWidth="1"/>
    <col min="4103" max="4352" width="11.44140625" style="17"/>
    <col min="4353" max="4353" width="18.77734375" style="17" customWidth="1"/>
    <col min="4354" max="4354" width="13.77734375" style="17" bestFit="1" customWidth="1"/>
    <col min="4355" max="4355" width="17.21875" style="17" customWidth="1"/>
    <col min="4356" max="4356" width="11" style="17" customWidth="1"/>
    <col min="4357" max="4357" width="12" style="17" bestFit="1" customWidth="1"/>
    <col min="4358" max="4358" width="14.77734375" style="17" customWidth="1"/>
    <col min="4359" max="4608" width="11.44140625" style="17"/>
    <col min="4609" max="4609" width="18.77734375" style="17" customWidth="1"/>
    <col min="4610" max="4610" width="13.77734375" style="17" bestFit="1" customWidth="1"/>
    <col min="4611" max="4611" width="17.21875" style="17" customWidth="1"/>
    <col min="4612" max="4612" width="11" style="17" customWidth="1"/>
    <col min="4613" max="4613" width="12" style="17" bestFit="1" customWidth="1"/>
    <col min="4614" max="4614" width="14.77734375" style="17" customWidth="1"/>
    <col min="4615" max="4864" width="11.44140625" style="17"/>
    <col min="4865" max="4865" width="18.77734375" style="17" customWidth="1"/>
    <col min="4866" max="4866" width="13.77734375" style="17" bestFit="1" customWidth="1"/>
    <col min="4867" max="4867" width="17.21875" style="17" customWidth="1"/>
    <col min="4868" max="4868" width="11" style="17" customWidth="1"/>
    <col min="4869" max="4869" width="12" style="17" bestFit="1" customWidth="1"/>
    <col min="4870" max="4870" width="14.77734375" style="17" customWidth="1"/>
    <col min="4871" max="5120" width="11.44140625" style="17"/>
    <col min="5121" max="5121" width="18.77734375" style="17" customWidth="1"/>
    <col min="5122" max="5122" width="13.77734375" style="17" bestFit="1" customWidth="1"/>
    <col min="5123" max="5123" width="17.21875" style="17" customWidth="1"/>
    <col min="5124" max="5124" width="11" style="17" customWidth="1"/>
    <col min="5125" max="5125" width="12" style="17" bestFit="1" customWidth="1"/>
    <col min="5126" max="5126" width="14.77734375" style="17" customWidth="1"/>
    <col min="5127" max="5376" width="11.44140625" style="17"/>
    <col min="5377" max="5377" width="18.77734375" style="17" customWidth="1"/>
    <col min="5378" max="5378" width="13.77734375" style="17" bestFit="1" customWidth="1"/>
    <col min="5379" max="5379" width="17.21875" style="17" customWidth="1"/>
    <col min="5380" max="5380" width="11" style="17" customWidth="1"/>
    <col min="5381" max="5381" width="12" style="17" bestFit="1" customWidth="1"/>
    <col min="5382" max="5382" width="14.77734375" style="17" customWidth="1"/>
    <col min="5383" max="5632" width="11.44140625" style="17"/>
    <col min="5633" max="5633" width="18.77734375" style="17" customWidth="1"/>
    <col min="5634" max="5634" width="13.77734375" style="17" bestFit="1" customWidth="1"/>
    <col min="5635" max="5635" width="17.21875" style="17" customWidth="1"/>
    <col min="5636" max="5636" width="11" style="17" customWidth="1"/>
    <col min="5637" max="5637" width="12" style="17" bestFit="1" customWidth="1"/>
    <col min="5638" max="5638" width="14.77734375" style="17" customWidth="1"/>
    <col min="5639" max="5888" width="11.44140625" style="17"/>
    <col min="5889" max="5889" width="18.77734375" style="17" customWidth="1"/>
    <col min="5890" max="5890" width="13.77734375" style="17" bestFit="1" customWidth="1"/>
    <col min="5891" max="5891" width="17.21875" style="17" customWidth="1"/>
    <col min="5892" max="5892" width="11" style="17" customWidth="1"/>
    <col min="5893" max="5893" width="12" style="17" bestFit="1" customWidth="1"/>
    <col min="5894" max="5894" width="14.77734375" style="17" customWidth="1"/>
    <col min="5895" max="6144" width="11.44140625" style="17"/>
    <col min="6145" max="6145" width="18.77734375" style="17" customWidth="1"/>
    <col min="6146" max="6146" width="13.77734375" style="17" bestFit="1" customWidth="1"/>
    <col min="6147" max="6147" width="17.21875" style="17" customWidth="1"/>
    <col min="6148" max="6148" width="11" style="17" customWidth="1"/>
    <col min="6149" max="6149" width="12" style="17" bestFit="1" customWidth="1"/>
    <col min="6150" max="6150" width="14.77734375" style="17" customWidth="1"/>
    <col min="6151" max="6400" width="11.44140625" style="17"/>
    <col min="6401" max="6401" width="18.77734375" style="17" customWidth="1"/>
    <col min="6402" max="6402" width="13.77734375" style="17" bestFit="1" customWidth="1"/>
    <col min="6403" max="6403" width="17.21875" style="17" customWidth="1"/>
    <col min="6404" max="6404" width="11" style="17" customWidth="1"/>
    <col min="6405" max="6405" width="12" style="17" bestFit="1" customWidth="1"/>
    <col min="6406" max="6406" width="14.77734375" style="17" customWidth="1"/>
    <col min="6407" max="6656" width="11.44140625" style="17"/>
    <col min="6657" max="6657" width="18.77734375" style="17" customWidth="1"/>
    <col min="6658" max="6658" width="13.77734375" style="17" bestFit="1" customWidth="1"/>
    <col min="6659" max="6659" width="17.21875" style="17" customWidth="1"/>
    <col min="6660" max="6660" width="11" style="17" customWidth="1"/>
    <col min="6661" max="6661" width="12" style="17" bestFit="1" customWidth="1"/>
    <col min="6662" max="6662" width="14.77734375" style="17" customWidth="1"/>
    <col min="6663" max="6912" width="11.44140625" style="17"/>
    <col min="6913" max="6913" width="18.77734375" style="17" customWidth="1"/>
    <col min="6914" max="6914" width="13.77734375" style="17" bestFit="1" customWidth="1"/>
    <col min="6915" max="6915" width="17.21875" style="17" customWidth="1"/>
    <col min="6916" max="6916" width="11" style="17" customWidth="1"/>
    <col min="6917" max="6917" width="12" style="17" bestFit="1" customWidth="1"/>
    <col min="6918" max="6918" width="14.77734375" style="17" customWidth="1"/>
    <col min="6919" max="7168" width="11.44140625" style="17"/>
    <col min="7169" max="7169" width="18.77734375" style="17" customWidth="1"/>
    <col min="7170" max="7170" width="13.77734375" style="17" bestFit="1" customWidth="1"/>
    <col min="7171" max="7171" width="17.21875" style="17" customWidth="1"/>
    <col min="7172" max="7172" width="11" style="17" customWidth="1"/>
    <col min="7173" max="7173" width="12" style="17" bestFit="1" customWidth="1"/>
    <col min="7174" max="7174" width="14.77734375" style="17" customWidth="1"/>
    <col min="7175" max="7424" width="11.44140625" style="17"/>
    <col min="7425" max="7425" width="18.77734375" style="17" customWidth="1"/>
    <col min="7426" max="7426" width="13.77734375" style="17" bestFit="1" customWidth="1"/>
    <col min="7427" max="7427" width="17.21875" style="17" customWidth="1"/>
    <col min="7428" max="7428" width="11" style="17" customWidth="1"/>
    <col min="7429" max="7429" width="12" style="17" bestFit="1" customWidth="1"/>
    <col min="7430" max="7430" width="14.77734375" style="17" customWidth="1"/>
    <col min="7431" max="7680" width="11.44140625" style="17"/>
    <col min="7681" max="7681" width="18.77734375" style="17" customWidth="1"/>
    <col min="7682" max="7682" width="13.77734375" style="17" bestFit="1" customWidth="1"/>
    <col min="7683" max="7683" width="17.21875" style="17" customWidth="1"/>
    <col min="7684" max="7684" width="11" style="17" customWidth="1"/>
    <col min="7685" max="7685" width="12" style="17" bestFit="1" customWidth="1"/>
    <col min="7686" max="7686" width="14.77734375" style="17" customWidth="1"/>
    <col min="7687" max="7936" width="11.44140625" style="17"/>
    <col min="7937" max="7937" width="18.77734375" style="17" customWidth="1"/>
    <col min="7938" max="7938" width="13.77734375" style="17" bestFit="1" customWidth="1"/>
    <col min="7939" max="7939" width="17.21875" style="17" customWidth="1"/>
    <col min="7940" max="7940" width="11" style="17" customWidth="1"/>
    <col min="7941" max="7941" width="12" style="17" bestFit="1" customWidth="1"/>
    <col min="7942" max="7942" width="14.77734375" style="17" customWidth="1"/>
    <col min="7943" max="8192" width="11.44140625" style="17"/>
    <col min="8193" max="8193" width="18.77734375" style="17" customWidth="1"/>
    <col min="8194" max="8194" width="13.77734375" style="17" bestFit="1" customWidth="1"/>
    <col min="8195" max="8195" width="17.21875" style="17" customWidth="1"/>
    <col min="8196" max="8196" width="11" style="17" customWidth="1"/>
    <col min="8197" max="8197" width="12" style="17" bestFit="1" customWidth="1"/>
    <col min="8198" max="8198" width="14.77734375" style="17" customWidth="1"/>
    <col min="8199" max="8448" width="11.44140625" style="17"/>
    <col min="8449" max="8449" width="18.77734375" style="17" customWidth="1"/>
    <col min="8450" max="8450" width="13.77734375" style="17" bestFit="1" customWidth="1"/>
    <col min="8451" max="8451" width="17.21875" style="17" customWidth="1"/>
    <col min="8452" max="8452" width="11" style="17" customWidth="1"/>
    <col min="8453" max="8453" width="12" style="17" bestFit="1" customWidth="1"/>
    <col min="8454" max="8454" width="14.77734375" style="17" customWidth="1"/>
    <col min="8455" max="8704" width="11.44140625" style="17"/>
    <col min="8705" max="8705" width="18.77734375" style="17" customWidth="1"/>
    <col min="8706" max="8706" width="13.77734375" style="17" bestFit="1" customWidth="1"/>
    <col min="8707" max="8707" width="17.21875" style="17" customWidth="1"/>
    <col min="8708" max="8708" width="11" style="17" customWidth="1"/>
    <col min="8709" max="8709" width="12" style="17" bestFit="1" customWidth="1"/>
    <col min="8710" max="8710" width="14.77734375" style="17" customWidth="1"/>
    <col min="8711" max="8960" width="11.44140625" style="17"/>
    <col min="8961" max="8961" width="18.77734375" style="17" customWidth="1"/>
    <col min="8962" max="8962" width="13.77734375" style="17" bestFit="1" customWidth="1"/>
    <col min="8963" max="8963" width="17.21875" style="17" customWidth="1"/>
    <col min="8964" max="8964" width="11" style="17" customWidth="1"/>
    <col min="8965" max="8965" width="12" style="17" bestFit="1" customWidth="1"/>
    <col min="8966" max="8966" width="14.77734375" style="17" customWidth="1"/>
    <col min="8967" max="9216" width="11.44140625" style="17"/>
    <col min="9217" max="9217" width="18.77734375" style="17" customWidth="1"/>
    <col min="9218" max="9218" width="13.77734375" style="17" bestFit="1" customWidth="1"/>
    <col min="9219" max="9219" width="17.21875" style="17" customWidth="1"/>
    <col min="9220" max="9220" width="11" style="17" customWidth="1"/>
    <col min="9221" max="9221" width="12" style="17" bestFit="1" customWidth="1"/>
    <col min="9222" max="9222" width="14.77734375" style="17" customWidth="1"/>
    <col min="9223" max="9472" width="11.44140625" style="17"/>
    <col min="9473" max="9473" width="18.77734375" style="17" customWidth="1"/>
    <col min="9474" max="9474" width="13.77734375" style="17" bestFit="1" customWidth="1"/>
    <col min="9475" max="9475" width="17.21875" style="17" customWidth="1"/>
    <col min="9476" max="9476" width="11" style="17" customWidth="1"/>
    <col min="9477" max="9477" width="12" style="17" bestFit="1" customWidth="1"/>
    <col min="9478" max="9478" width="14.77734375" style="17" customWidth="1"/>
    <col min="9479" max="9728" width="11.44140625" style="17"/>
    <col min="9729" max="9729" width="18.77734375" style="17" customWidth="1"/>
    <col min="9730" max="9730" width="13.77734375" style="17" bestFit="1" customWidth="1"/>
    <col min="9731" max="9731" width="17.21875" style="17" customWidth="1"/>
    <col min="9732" max="9732" width="11" style="17" customWidth="1"/>
    <col min="9733" max="9733" width="12" style="17" bestFit="1" customWidth="1"/>
    <col min="9734" max="9734" width="14.77734375" style="17" customWidth="1"/>
    <col min="9735" max="9984" width="11.44140625" style="17"/>
    <col min="9985" max="9985" width="18.77734375" style="17" customWidth="1"/>
    <col min="9986" max="9986" width="13.77734375" style="17" bestFit="1" customWidth="1"/>
    <col min="9987" max="9987" width="17.21875" style="17" customWidth="1"/>
    <col min="9988" max="9988" width="11" style="17" customWidth="1"/>
    <col min="9989" max="9989" width="12" style="17" bestFit="1" customWidth="1"/>
    <col min="9990" max="9990" width="14.77734375" style="17" customWidth="1"/>
    <col min="9991" max="10240" width="11.44140625" style="17"/>
    <col min="10241" max="10241" width="18.77734375" style="17" customWidth="1"/>
    <col min="10242" max="10242" width="13.77734375" style="17" bestFit="1" customWidth="1"/>
    <col min="10243" max="10243" width="17.21875" style="17" customWidth="1"/>
    <col min="10244" max="10244" width="11" style="17" customWidth="1"/>
    <col min="10245" max="10245" width="12" style="17" bestFit="1" customWidth="1"/>
    <col min="10246" max="10246" width="14.77734375" style="17" customWidth="1"/>
    <col min="10247" max="10496" width="11.44140625" style="17"/>
    <col min="10497" max="10497" width="18.77734375" style="17" customWidth="1"/>
    <col min="10498" max="10498" width="13.77734375" style="17" bestFit="1" customWidth="1"/>
    <col min="10499" max="10499" width="17.21875" style="17" customWidth="1"/>
    <col min="10500" max="10500" width="11" style="17" customWidth="1"/>
    <col min="10501" max="10501" width="12" style="17" bestFit="1" customWidth="1"/>
    <col min="10502" max="10502" width="14.77734375" style="17" customWidth="1"/>
    <col min="10503" max="10752" width="11.44140625" style="17"/>
    <col min="10753" max="10753" width="18.77734375" style="17" customWidth="1"/>
    <col min="10754" max="10754" width="13.77734375" style="17" bestFit="1" customWidth="1"/>
    <col min="10755" max="10755" width="17.21875" style="17" customWidth="1"/>
    <col min="10756" max="10756" width="11" style="17" customWidth="1"/>
    <col min="10757" max="10757" width="12" style="17" bestFit="1" customWidth="1"/>
    <col min="10758" max="10758" width="14.77734375" style="17" customWidth="1"/>
    <col min="10759" max="11008" width="11.44140625" style="17"/>
    <col min="11009" max="11009" width="18.77734375" style="17" customWidth="1"/>
    <col min="11010" max="11010" width="13.77734375" style="17" bestFit="1" customWidth="1"/>
    <col min="11011" max="11011" width="17.21875" style="17" customWidth="1"/>
    <col min="11012" max="11012" width="11" style="17" customWidth="1"/>
    <col min="11013" max="11013" width="12" style="17" bestFit="1" customWidth="1"/>
    <col min="11014" max="11014" width="14.77734375" style="17" customWidth="1"/>
    <col min="11015" max="11264" width="11.44140625" style="17"/>
    <col min="11265" max="11265" width="18.77734375" style="17" customWidth="1"/>
    <col min="11266" max="11266" width="13.77734375" style="17" bestFit="1" customWidth="1"/>
    <col min="11267" max="11267" width="17.21875" style="17" customWidth="1"/>
    <col min="11268" max="11268" width="11" style="17" customWidth="1"/>
    <col min="11269" max="11269" width="12" style="17" bestFit="1" customWidth="1"/>
    <col min="11270" max="11270" width="14.77734375" style="17" customWidth="1"/>
    <col min="11271" max="11520" width="11.44140625" style="17"/>
    <col min="11521" max="11521" width="18.77734375" style="17" customWidth="1"/>
    <col min="11522" max="11522" width="13.77734375" style="17" bestFit="1" customWidth="1"/>
    <col min="11523" max="11523" width="17.21875" style="17" customWidth="1"/>
    <col min="11524" max="11524" width="11" style="17" customWidth="1"/>
    <col min="11525" max="11525" width="12" style="17" bestFit="1" customWidth="1"/>
    <col min="11526" max="11526" width="14.77734375" style="17" customWidth="1"/>
    <col min="11527" max="11776" width="11.44140625" style="17"/>
    <col min="11777" max="11777" width="18.77734375" style="17" customWidth="1"/>
    <col min="11778" max="11778" width="13.77734375" style="17" bestFit="1" customWidth="1"/>
    <col min="11779" max="11779" width="17.21875" style="17" customWidth="1"/>
    <col min="11780" max="11780" width="11" style="17" customWidth="1"/>
    <col min="11781" max="11781" width="12" style="17" bestFit="1" customWidth="1"/>
    <col min="11782" max="11782" width="14.77734375" style="17" customWidth="1"/>
    <col min="11783" max="12032" width="11.44140625" style="17"/>
    <col min="12033" max="12033" width="18.77734375" style="17" customWidth="1"/>
    <col min="12034" max="12034" width="13.77734375" style="17" bestFit="1" customWidth="1"/>
    <col min="12035" max="12035" width="17.21875" style="17" customWidth="1"/>
    <col min="12036" max="12036" width="11" style="17" customWidth="1"/>
    <col min="12037" max="12037" width="12" style="17" bestFit="1" customWidth="1"/>
    <col min="12038" max="12038" width="14.77734375" style="17" customWidth="1"/>
    <col min="12039" max="12288" width="11.44140625" style="17"/>
    <col min="12289" max="12289" width="18.77734375" style="17" customWidth="1"/>
    <col min="12290" max="12290" width="13.77734375" style="17" bestFit="1" customWidth="1"/>
    <col min="12291" max="12291" width="17.21875" style="17" customWidth="1"/>
    <col min="12292" max="12292" width="11" style="17" customWidth="1"/>
    <col min="12293" max="12293" width="12" style="17" bestFit="1" customWidth="1"/>
    <col min="12294" max="12294" width="14.77734375" style="17" customWidth="1"/>
    <col min="12295" max="12544" width="11.44140625" style="17"/>
    <col min="12545" max="12545" width="18.77734375" style="17" customWidth="1"/>
    <col min="12546" max="12546" width="13.77734375" style="17" bestFit="1" customWidth="1"/>
    <col min="12547" max="12547" width="17.21875" style="17" customWidth="1"/>
    <col min="12548" max="12548" width="11" style="17" customWidth="1"/>
    <col min="12549" max="12549" width="12" style="17" bestFit="1" customWidth="1"/>
    <col min="12550" max="12550" width="14.77734375" style="17" customWidth="1"/>
    <col min="12551" max="12800" width="11.44140625" style="17"/>
    <col min="12801" max="12801" width="18.77734375" style="17" customWidth="1"/>
    <col min="12802" max="12802" width="13.77734375" style="17" bestFit="1" customWidth="1"/>
    <col min="12803" max="12803" width="17.21875" style="17" customWidth="1"/>
    <col min="12804" max="12804" width="11" style="17" customWidth="1"/>
    <col min="12805" max="12805" width="12" style="17" bestFit="1" customWidth="1"/>
    <col min="12806" max="12806" width="14.77734375" style="17" customWidth="1"/>
    <col min="12807" max="13056" width="11.44140625" style="17"/>
    <col min="13057" max="13057" width="18.77734375" style="17" customWidth="1"/>
    <col min="13058" max="13058" width="13.77734375" style="17" bestFit="1" customWidth="1"/>
    <col min="13059" max="13059" width="17.21875" style="17" customWidth="1"/>
    <col min="13060" max="13060" width="11" style="17" customWidth="1"/>
    <col min="13061" max="13061" width="12" style="17" bestFit="1" customWidth="1"/>
    <col min="13062" max="13062" width="14.77734375" style="17" customWidth="1"/>
    <col min="13063" max="13312" width="11.44140625" style="17"/>
    <col min="13313" max="13313" width="18.77734375" style="17" customWidth="1"/>
    <col min="13314" max="13314" width="13.77734375" style="17" bestFit="1" customWidth="1"/>
    <col min="13315" max="13315" width="17.21875" style="17" customWidth="1"/>
    <col min="13316" max="13316" width="11" style="17" customWidth="1"/>
    <col min="13317" max="13317" width="12" style="17" bestFit="1" customWidth="1"/>
    <col min="13318" max="13318" width="14.77734375" style="17" customWidth="1"/>
    <col min="13319" max="13568" width="11.44140625" style="17"/>
    <col min="13569" max="13569" width="18.77734375" style="17" customWidth="1"/>
    <col min="13570" max="13570" width="13.77734375" style="17" bestFit="1" customWidth="1"/>
    <col min="13571" max="13571" width="17.21875" style="17" customWidth="1"/>
    <col min="13572" max="13572" width="11" style="17" customWidth="1"/>
    <col min="13573" max="13573" width="12" style="17" bestFit="1" customWidth="1"/>
    <col min="13574" max="13574" width="14.77734375" style="17" customWidth="1"/>
    <col min="13575" max="13824" width="11.44140625" style="17"/>
    <col min="13825" max="13825" width="18.77734375" style="17" customWidth="1"/>
    <col min="13826" max="13826" width="13.77734375" style="17" bestFit="1" customWidth="1"/>
    <col min="13827" max="13827" width="17.21875" style="17" customWidth="1"/>
    <col min="13828" max="13828" width="11" style="17" customWidth="1"/>
    <col min="13829" max="13829" width="12" style="17" bestFit="1" customWidth="1"/>
    <col min="13830" max="13830" width="14.77734375" style="17" customWidth="1"/>
    <col min="13831" max="14080" width="11.44140625" style="17"/>
    <col min="14081" max="14081" width="18.77734375" style="17" customWidth="1"/>
    <col min="14082" max="14082" width="13.77734375" style="17" bestFit="1" customWidth="1"/>
    <col min="14083" max="14083" width="17.21875" style="17" customWidth="1"/>
    <col min="14084" max="14084" width="11" style="17" customWidth="1"/>
    <col min="14085" max="14085" width="12" style="17" bestFit="1" customWidth="1"/>
    <col min="14086" max="14086" width="14.77734375" style="17" customWidth="1"/>
    <col min="14087" max="14336" width="11.44140625" style="17"/>
    <col min="14337" max="14337" width="18.77734375" style="17" customWidth="1"/>
    <col min="14338" max="14338" width="13.77734375" style="17" bestFit="1" customWidth="1"/>
    <col min="14339" max="14339" width="17.21875" style="17" customWidth="1"/>
    <col min="14340" max="14340" width="11" style="17" customWidth="1"/>
    <col min="14341" max="14341" width="12" style="17" bestFit="1" customWidth="1"/>
    <col min="14342" max="14342" width="14.77734375" style="17" customWidth="1"/>
    <col min="14343" max="14592" width="11.44140625" style="17"/>
    <col min="14593" max="14593" width="18.77734375" style="17" customWidth="1"/>
    <col min="14594" max="14594" width="13.77734375" style="17" bestFit="1" customWidth="1"/>
    <col min="14595" max="14595" width="17.21875" style="17" customWidth="1"/>
    <col min="14596" max="14596" width="11" style="17" customWidth="1"/>
    <col min="14597" max="14597" width="12" style="17" bestFit="1" customWidth="1"/>
    <col min="14598" max="14598" width="14.77734375" style="17" customWidth="1"/>
    <col min="14599" max="14848" width="11.44140625" style="17"/>
    <col min="14849" max="14849" width="18.77734375" style="17" customWidth="1"/>
    <col min="14850" max="14850" width="13.77734375" style="17" bestFit="1" customWidth="1"/>
    <col min="14851" max="14851" width="17.21875" style="17" customWidth="1"/>
    <col min="14852" max="14852" width="11" style="17" customWidth="1"/>
    <col min="14853" max="14853" width="12" style="17" bestFit="1" customWidth="1"/>
    <col min="14854" max="14854" width="14.77734375" style="17" customWidth="1"/>
    <col min="14855" max="15104" width="11.44140625" style="17"/>
    <col min="15105" max="15105" width="18.77734375" style="17" customWidth="1"/>
    <col min="15106" max="15106" width="13.77734375" style="17" bestFit="1" customWidth="1"/>
    <col min="15107" max="15107" width="17.21875" style="17" customWidth="1"/>
    <col min="15108" max="15108" width="11" style="17" customWidth="1"/>
    <col min="15109" max="15109" width="12" style="17" bestFit="1" customWidth="1"/>
    <col min="15110" max="15110" width="14.77734375" style="17" customWidth="1"/>
    <col min="15111" max="15360" width="11.44140625" style="17"/>
    <col min="15361" max="15361" width="18.77734375" style="17" customWidth="1"/>
    <col min="15362" max="15362" width="13.77734375" style="17" bestFit="1" customWidth="1"/>
    <col min="15363" max="15363" width="17.21875" style="17" customWidth="1"/>
    <col min="15364" max="15364" width="11" style="17" customWidth="1"/>
    <col min="15365" max="15365" width="12" style="17" bestFit="1" customWidth="1"/>
    <col min="15366" max="15366" width="14.77734375" style="17" customWidth="1"/>
    <col min="15367" max="15616" width="11.44140625" style="17"/>
    <col min="15617" max="15617" width="18.77734375" style="17" customWidth="1"/>
    <col min="15618" max="15618" width="13.77734375" style="17" bestFit="1" customWidth="1"/>
    <col min="15619" max="15619" width="17.21875" style="17" customWidth="1"/>
    <col min="15620" max="15620" width="11" style="17" customWidth="1"/>
    <col min="15621" max="15621" width="12" style="17" bestFit="1" customWidth="1"/>
    <col min="15622" max="15622" width="14.77734375" style="17" customWidth="1"/>
    <col min="15623" max="15872" width="11.44140625" style="17"/>
    <col min="15873" max="15873" width="18.77734375" style="17" customWidth="1"/>
    <col min="15874" max="15874" width="13.77734375" style="17" bestFit="1" customWidth="1"/>
    <col min="15875" max="15875" width="17.21875" style="17" customWidth="1"/>
    <col min="15876" max="15876" width="11" style="17" customWidth="1"/>
    <col min="15877" max="15877" width="12" style="17" bestFit="1" customWidth="1"/>
    <col min="15878" max="15878" width="14.77734375" style="17" customWidth="1"/>
    <col min="15879" max="16128" width="11.44140625" style="17"/>
    <col min="16129" max="16129" width="18.77734375" style="17" customWidth="1"/>
    <col min="16130" max="16130" width="13.77734375" style="17" bestFit="1" customWidth="1"/>
    <col min="16131" max="16131" width="17.21875" style="17" customWidth="1"/>
    <col min="16132" max="16132" width="11" style="17" customWidth="1"/>
    <col min="16133" max="16133" width="12" style="17" bestFit="1" customWidth="1"/>
    <col min="16134" max="16134" width="14.77734375" style="17" customWidth="1"/>
    <col min="16135" max="16384" width="11.44140625" style="17"/>
  </cols>
  <sheetData>
    <row r="2" spans="1:11" x14ac:dyDescent="0.25">
      <c r="A2" s="17" t="s">
        <v>70</v>
      </c>
      <c r="B2" s="63">
        <f>'pooled normalised values'!B75</f>
        <v>4.185975477227482E-2</v>
      </c>
      <c r="D2" s="17" t="s">
        <v>9</v>
      </c>
      <c r="E2" s="18"/>
      <c r="F2" s="19" t="str">
        <f>'pooled normalised values'!J74</f>
        <v>Prochloraz-0.13mg/L</v>
      </c>
      <c r="G2" s="18"/>
      <c r="H2" s="20"/>
      <c r="I2" s="19" t="str">
        <f>'pooled normalised values'!R74</f>
        <v>Prochloraz-0.063mg/L + Testostérone</v>
      </c>
      <c r="J2" s="20"/>
      <c r="K2" s="17" t="s">
        <v>9</v>
      </c>
    </row>
    <row r="3" spans="1:11" x14ac:dyDescent="0.25">
      <c r="A3" s="17" t="s">
        <v>71</v>
      </c>
      <c r="B3" s="63">
        <f>'summary results'!E6</f>
        <v>0</v>
      </c>
      <c r="D3" s="21" t="s">
        <v>10</v>
      </c>
      <c r="E3" s="22"/>
      <c r="F3" s="19">
        <f>HLOOKUP(F2,'pooled normalised values'!B74:V83,2,FALSE)</f>
        <v>6.8493380396662834E-2</v>
      </c>
      <c r="G3" s="22"/>
      <c r="H3" s="20"/>
      <c r="I3" s="19">
        <f>HLOOKUP(I2,'pooled normalised values'!N74:AL83,2,FALSE)</f>
        <v>0.41395674288527418</v>
      </c>
      <c r="J3" s="20"/>
      <c r="K3" s="21" t="s">
        <v>10</v>
      </c>
    </row>
    <row r="4" spans="1:11" x14ac:dyDescent="0.25">
      <c r="A4" s="17" t="s">
        <v>72</v>
      </c>
      <c r="B4" s="63">
        <f>'pooled normalised values'!O75</f>
        <v>1</v>
      </c>
      <c r="D4" s="21" t="s">
        <v>2</v>
      </c>
      <c r="E4" s="22"/>
      <c r="F4" s="19">
        <f>HLOOKUP(F2,'pooled normalised values'!B74:V83,3,FALSE)</f>
        <v>1.5918873847472471E-2</v>
      </c>
      <c r="G4" s="22"/>
      <c r="H4" s="20"/>
      <c r="I4" s="19">
        <f>HLOOKUP(I2,'pooled normalised values'!N74:AL83,3,FALSE)</f>
        <v>0.16469856371714606</v>
      </c>
      <c r="J4" s="20"/>
      <c r="K4" s="21" t="s">
        <v>2</v>
      </c>
    </row>
    <row r="5" spans="1:11" x14ac:dyDescent="0.25">
      <c r="A5" s="17" t="s">
        <v>73</v>
      </c>
      <c r="B5" s="63">
        <f>'pooled normalised values'!P75</f>
        <v>7.2076885100011419</v>
      </c>
      <c r="D5" s="23" t="s">
        <v>11</v>
      </c>
      <c r="E5" s="22"/>
      <c r="F5" s="19" t="str">
        <f>HLOOKUP(F2,'pooled normalised values'!B74:V83,10,FALSE)</f>
        <v>ns</v>
      </c>
      <c r="G5" s="22"/>
      <c r="H5" s="20"/>
      <c r="I5" s="19" t="str">
        <f>HLOOKUP(I2,'pooled normalised values'!N74:AL83,10,FALSE)</f>
        <v>ns</v>
      </c>
      <c r="J5" s="20"/>
      <c r="K5" s="23" t="s">
        <v>11</v>
      </c>
    </row>
    <row r="6" spans="1:11" x14ac:dyDescent="0.25">
      <c r="A6" s="17" t="s">
        <v>74</v>
      </c>
      <c r="B6" s="63">
        <f>'pooled normalised values'!Q75</f>
        <v>5.4869828338132608E-2</v>
      </c>
      <c r="D6" s="21" t="s">
        <v>12</v>
      </c>
      <c r="E6" s="24">
        <f>$B$2</f>
        <v>4.185975477227482E-2</v>
      </c>
      <c r="F6" s="24">
        <f>$B$2</f>
        <v>4.185975477227482E-2</v>
      </c>
      <c r="G6" s="24">
        <f>$B$2</f>
        <v>4.185975477227482E-2</v>
      </c>
      <c r="H6" s="25"/>
      <c r="I6" s="25"/>
      <c r="J6" s="25"/>
      <c r="K6" s="21" t="s">
        <v>12</v>
      </c>
    </row>
    <row r="7" spans="1:11" x14ac:dyDescent="0.25">
      <c r="B7" s="26"/>
      <c r="D7" s="26" t="s">
        <v>13</v>
      </c>
      <c r="E7" s="24"/>
      <c r="F7" s="24"/>
      <c r="G7" s="27"/>
      <c r="H7" s="25">
        <f t="shared" ref="H7:J7" si="0">$B$4</f>
        <v>1</v>
      </c>
      <c r="I7" s="25">
        <f t="shared" si="0"/>
        <v>1</v>
      </c>
      <c r="J7" s="25">
        <f t="shared" si="0"/>
        <v>1</v>
      </c>
      <c r="K7" s="26" t="s">
        <v>13</v>
      </c>
    </row>
    <row r="8" spans="1:11" x14ac:dyDescent="0.25">
      <c r="D8" s="28" t="s">
        <v>14</v>
      </c>
      <c r="E8" s="24">
        <v>0</v>
      </c>
      <c r="F8" s="24">
        <v>0</v>
      </c>
      <c r="G8" s="27">
        <v>0</v>
      </c>
      <c r="H8" s="25">
        <f>$B$6</f>
        <v>5.4869828338132608E-2</v>
      </c>
      <c r="I8" s="25">
        <f t="shared" ref="I8:J8" si="1">$B$6</f>
        <v>5.4869828338132608E-2</v>
      </c>
      <c r="J8" s="25">
        <f t="shared" si="1"/>
        <v>5.4869828338132608E-2</v>
      </c>
      <c r="K8" s="28" t="s">
        <v>14</v>
      </c>
    </row>
    <row r="9" spans="1:11" x14ac:dyDescent="0.25">
      <c r="D9" s="28" t="s">
        <v>15</v>
      </c>
      <c r="E9" s="29">
        <f>$B$3-E8</f>
        <v>0</v>
      </c>
      <c r="F9" s="29">
        <f>$B$3-F8</f>
        <v>0</v>
      </c>
      <c r="G9" s="29">
        <f>$B$3-G8</f>
        <v>0</v>
      </c>
      <c r="H9" s="25">
        <f>$B$5-H8</f>
        <v>7.1528186816630095</v>
      </c>
      <c r="I9" s="25">
        <f>$B$5-I8</f>
        <v>7.1528186816630095</v>
      </c>
      <c r="J9" s="25">
        <f>$B$5-J8</f>
        <v>7.1528186816630095</v>
      </c>
      <c r="K9" s="28" t="s">
        <v>15</v>
      </c>
    </row>
    <row r="10" spans="1:11" x14ac:dyDescent="0.25">
      <c r="D10" s="28" t="s">
        <v>16</v>
      </c>
      <c r="E10" s="27">
        <f t="shared" ref="E10:J10" si="2">2.5-E9</f>
        <v>2.5</v>
      </c>
      <c r="F10" s="27">
        <f t="shared" si="2"/>
        <v>2.5</v>
      </c>
      <c r="G10" s="27">
        <f t="shared" si="2"/>
        <v>2.5</v>
      </c>
      <c r="H10" s="25">
        <f t="shared" si="2"/>
        <v>-4.6528186816630095</v>
      </c>
      <c r="I10" s="25">
        <f t="shared" si="2"/>
        <v>-4.6528186816630095</v>
      </c>
      <c r="J10" s="25">
        <f t="shared" si="2"/>
        <v>-4.6528186816630095</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defaultColWidth="11.5546875" defaultRowHeight="14.4" x14ac:dyDescent="0.3"/>
  <cols>
    <col min="1" max="1" width="11.44140625" style="1"/>
    <col min="3" max="3" width="15.21875" customWidth="1"/>
    <col min="4" max="4" width="13.77734375" customWidth="1"/>
    <col min="5" max="5" width="18.21875" customWidth="1"/>
    <col min="6" max="6" width="14" customWidth="1"/>
    <col min="7" max="7" width="14.44140625" customWidth="1"/>
    <col min="8" max="8" width="14.21875" customWidth="1"/>
    <col min="9" max="9" width="17" customWidth="1"/>
    <col min="10" max="10" width="12.5546875" customWidth="1"/>
    <col min="11" max="11" width="13.21875" customWidth="1"/>
    <col min="12" max="12" width="15.77734375" customWidth="1"/>
    <col min="13" max="14" width="16.21875" customWidth="1"/>
    <col min="17" max="23" width="9.77734375" customWidth="1"/>
  </cols>
  <sheetData>
    <row r="1" spans="1:23" ht="29.4" thickBot="1" x14ac:dyDescent="0.35">
      <c r="A1" s="146" t="s">
        <v>102</v>
      </c>
      <c r="B1" s="146" t="s">
        <v>103</v>
      </c>
      <c r="C1" s="143" t="s">
        <v>86</v>
      </c>
      <c r="D1" s="143" t="s">
        <v>87</v>
      </c>
      <c r="E1" s="144" t="s">
        <v>88</v>
      </c>
      <c r="F1" s="144" t="s">
        <v>89</v>
      </c>
      <c r="G1" s="143" t="s">
        <v>90</v>
      </c>
      <c r="H1" s="143" t="s">
        <v>91</v>
      </c>
      <c r="I1" s="143" t="s">
        <v>92</v>
      </c>
      <c r="J1" s="143" t="s">
        <v>93</v>
      </c>
      <c r="K1" s="143" t="s">
        <v>94</v>
      </c>
      <c r="L1" s="143" t="s">
        <v>95</v>
      </c>
      <c r="M1" s="143" t="s">
        <v>96</v>
      </c>
      <c r="N1" s="143" t="s">
        <v>97</v>
      </c>
      <c r="Q1" s="231" t="s">
        <v>99</v>
      </c>
      <c r="R1" s="231"/>
      <c r="S1" s="231"/>
      <c r="U1" s="231" t="s">
        <v>98</v>
      </c>
      <c r="V1" s="231"/>
      <c r="W1" s="231"/>
    </row>
    <row r="2" spans="1:23" x14ac:dyDescent="0.3">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8" t="s">
        <v>7</v>
      </c>
      <c r="R2" s="1" t="s">
        <v>130</v>
      </c>
      <c r="U2" s="118" t="s">
        <v>7</v>
      </c>
      <c r="V2" s="1" t="s">
        <v>130</v>
      </c>
    </row>
    <row r="3" spans="1:23" x14ac:dyDescent="0.3">
      <c r="A3" s="1">
        <f>Q7</f>
        <v>0</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8" t="s">
        <v>78</v>
      </c>
      <c r="R3" s="1" t="s">
        <v>106</v>
      </c>
      <c r="U3" s="118" t="s">
        <v>78</v>
      </c>
      <c r="V3" s="1" t="s">
        <v>50</v>
      </c>
    </row>
    <row r="4" spans="1:23" x14ac:dyDescent="0.3">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3">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8" t="s">
        <v>100</v>
      </c>
      <c r="U5" s="118" t="s">
        <v>100</v>
      </c>
    </row>
    <row r="6" spans="1:23" x14ac:dyDescent="0.3">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5" t="s">
        <v>112</v>
      </c>
      <c r="U6" s="145" t="s">
        <v>101</v>
      </c>
    </row>
    <row r="7" spans="1:23" x14ac:dyDescent="0.3">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row>
    <row r="8" spans="1:23" x14ac:dyDescent="0.3">
      <c r="A8" s="1">
        <f t="shared" si="1"/>
        <v>0</v>
      </c>
      <c r="B8" s="44">
        <f t="shared" si="2"/>
        <v>0</v>
      </c>
      <c r="D8" s="44" t="e">
        <f>CONCATENATE(VLOOKUP(Tableau3[[#This Row],[Nom ND]],liste_groupe[],3,FALSE),VLOOKUP(Tableau3[[#This Row],[Nom ND]],liste_groupe[],4,FALSE))</f>
        <v>#N/A</v>
      </c>
      <c r="E8" s="147"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3">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3">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3">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3">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4B71B0-1428-4104-9DEC-55CB54006FFA}">
  <ds:schemaRefs>
    <ds:schemaRef ds:uri="http://schemas.microsoft.com/sharepoint/v3/contenttype/forms"/>
  </ds:schemaRefs>
</ds:datastoreItem>
</file>

<file path=customXml/itemProps2.xml><?xml version="1.0" encoding="utf-8"?>
<ds:datastoreItem xmlns:ds="http://schemas.openxmlformats.org/officeDocument/2006/customXml" ds:itemID="{B52773F1-7412-4C80-815A-AF8E860E11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14</vt:i4>
      </vt:variant>
      <vt:variant>
        <vt:lpstr>Charts</vt:lpstr>
      </vt:variant>
      <vt:variant>
        <vt:i4>4</vt:i4>
      </vt:variant>
      <vt:variant>
        <vt:lpstr>Named Ranges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R4</vt:lpstr>
      <vt:lpstr>pooled normalised graphe</vt:lpstr>
      <vt:lpstr>'Page de garde'!Print_Area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2022-12-22T15:07:38Z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2022-12-22T15:07:37Z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d9d48ec9-0ae4-4892-99cb-264b50974b92</vt:lpwstr>
  </property>
  <property fmtid="{D5CDD505-2E9C-101B-9397-08002B2CF9AE}" pid="8" name="MSIP_Label_06530cf4-8573-4c29-a912-bbcdac835909_ContentBits">
    <vt:lpwstr>2</vt:lpwstr>
  </property>
</Properties>
</file>