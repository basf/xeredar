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drawings/drawing15.xml" ContentType="application/vnd.openxmlformats-officedocument.drawingml.chartshapes+xml"/>
  <Override PartName="/xl/drawings/drawing10.xml" ContentType="application/vnd.openxmlformats-officedocument.drawingml.chartshapes+xml"/>
  <Override PartName="/xl/drawings/drawing4.xml" ContentType="application/vnd.openxmlformats-officedocument.drawingml.chartshapes+xml"/>
  <Override PartName="/xl/drawings/drawing13.xml" ContentType="application/vnd.openxmlformats-officedocument.drawingml.chartshapes+xml"/>
  <Override PartName="/xl/drawings/drawing18.xml" ContentType="application/vnd.openxmlformats-officedocument.drawingml.chartshapes+xml"/>
  <Override PartName="/xl/drawings/drawing17.xml" ContentType="application/vnd.openxmlformats-officedocument.drawingml.chartshapes+xml"/>
  <Override PartName="/xl/drawings/drawing16.xml" ContentType="application/vnd.openxmlformats-officedocument.drawingml.chartshapes+xml"/>
  <Override PartName="/xl/drawings/drawing12.xml" ContentType="application/vnd.openxmlformats-officedocument.drawingml.chartshapes+xml"/>
  <Override PartName="/xl/drawings/drawing11.xml" ContentType="application/vnd.openxmlformats-officedocument.drawingml.chartshapes+xml"/>
  <Override PartName="/xl/drawings/drawing2.xml" ContentType="application/vnd.openxmlformats-officedocument.drawingml.chartshapes+xml"/>
  <Override PartName="/xl/drawings/drawing6.xml" ContentType="application/vnd.openxmlformats-officedocument.drawingml.chartshap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hartsheets/sheet1.xml" ContentType="application/vnd.openxmlformats-officedocument.spreadsheetml.chartsheet+xml"/>
  <Override PartName="/xl/worksheets/sheet5.xml" ContentType="application/vnd.openxmlformats-officedocument.spreadsheetml.worksheet+xml"/>
  <Override PartName="/xl/worksheets/sheet6.xml" ContentType="application/vnd.openxmlformats-officedocument.spreadsheetml.worksheet+xml"/>
  <Override PartName="/xl/chartsheets/sheet2.xml" ContentType="application/vnd.openxmlformats-officedocument.spreadsheetml.chartsheet+xml"/>
  <Override PartName="/xl/worksheets/sheet7.xml" ContentType="application/vnd.openxmlformats-officedocument.spreadsheetml.worksheet+xml"/>
  <Override PartName="/xl/worksheets/sheet8.xml" ContentType="application/vnd.openxmlformats-officedocument.spreadsheetml.worksheet+xml"/>
  <Override PartName="/xl/chartsheets/sheet3.xml" ContentType="application/vnd.openxmlformats-officedocument.spreadsheetml.chartsheet+xml"/>
  <Override PartName="/xl/worksheets/sheet9.xml" ContentType="application/vnd.openxmlformats-officedocument.spreadsheetml.worksheet+xml"/>
  <Override PartName="/xl/chartsheets/sheet4.xml" ContentType="application/vnd.openxmlformats-officedocument.spreadsheetml.chart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pivotTables/pivotTable2.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pivotTables/pivotTable3.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drawings/drawing7.xml" ContentType="application/vnd.openxmlformats-officedocument.drawing+xml"/>
  <Override PartName="/xl/charts/chart4.xml" ContentType="application/vnd.openxmlformats-officedocument.drawingml.chart+xml"/>
  <Override PartName="/xl/drawings/drawing8.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9.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drawings/drawing14.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pivotTables/pivotTable4.xml" ContentType="application/vnd.openxmlformats-officedocument.spreadsheetml.pivotTable+xml"/>
  <Override PartName="/xl/pivotTables/pivotTable5.xml" ContentType="application/vnd.openxmlformats-officedocument.spreadsheetml.pivotTable+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comments1.xml" ContentType="application/vnd.openxmlformats-officedocument.spreadsheetml.comments+xml"/>
  <Override PartName="/xl/tables/table6.xml" ContentType="application/vnd.openxmlformats-officedocument.spreadsheetml.table+xml"/>
  <Override PartName="/xl/tables/table5.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filterPrivacy="1" hidePivotFieldList="1" defaultThemeVersion="124226"/>
  <xr:revisionPtr revIDLastSave="0" documentId="13_ncr:1_{06392F14-499B-4335-AB61-3A787E840D7A}" xr6:coauthVersionLast="47" xr6:coauthVersionMax="47" xr10:uidLastSave="{00000000-0000-0000-0000-000000000000}"/>
  <bookViews>
    <workbookView xWindow="-110" yWindow="-110" windowWidth="19420" windowHeight="10420" firstSheet="7" activeTab="11" xr2:uid="{00000000-000D-0000-FFFF-FFFF00000000}"/>
  </bookViews>
  <sheets>
    <sheet name="Page de garde" sheetId="10" r:id="rId1"/>
    <sheet name="Feuil1" sheetId="39" r:id="rId2"/>
    <sheet name="Raw data R1" sheetId="35" r:id="rId3"/>
    <sheet name="R1" sheetId="1" r:id="rId4"/>
    <sheet name="Graph R1" sheetId="8" r:id="rId5"/>
    <sheet name="Raw data R2" sheetId="36" r:id="rId6"/>
    <sheet name="R2" sheetId="23" r:id="rId7"/>
    <sheet name="Graph R2" sheetId="19" r:id="rId8"/>
    <sheet name="Raw data R3" sheetId="37" r:id="rId9"/>
    <sheet name="R3" sheetId="33" r:id="rId10"/>
    <sheet name="Graph R3" sheetId="34" r:id="rId11"/>
    <sheet name="pooled normalised values" sheetId="4" r:id="rId12"/>
    <sheet name="pooled normalised graphe" sheetId="5" r:id="rId13"/>
    <sheet name="summary results" sheetId="22" r:id="rId14"/>
    <sheet name="Notice" sheetId="38" r:id="rId15"/>
    <sheet name="Graph format rapport CHG" sheetId="12" r:id="rId16"/>
    <sheet name="Graph format rapport CHG 1éch" sheetId="27" r:id="rId17"/>
    <sheet name="Récap" sheetId="28" r:id="rId18"/>
  </sheets>
  <externalReferences>
    <externalReference r:id="rId19"/>
  </externalReferences>
  <definedNames>
    <definedName name="_xlnm.Print_Area" localSheetId="0">'Page de garde'!$A$1:$I$52</definedName>
  </definedNames>
  <calcPr calcId="181029"/>
  <pivotCaches>
    <pivotCache cacheId="8" r:id="rId20"/>
    <pivotCache cacheId="9" r:id="rId21"/>
    <pivotCache cacheId="10" r:id="rId22"/>
    <pivotCache cacheId="11" r:id="rId23"/>
  </pivotCaches>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V94" i="4" l="1"/>
  <c r="U94" i="4"/>
  <c r="T94" i="4"/>
  <c r="S94" i="4"/>
  <c r="R94" i="4"/>
  <c r="Q94" i="4"/>
  <c r="P94" i="4"/>
  <c r="O94" i="4"/>
  <c r="N94" i="4"/>
  <c r="M94" i="4"/>
  <c r="L94" i="4"/>
  <c r="K94" i="4"/>
  <c r="J94" i="4"/>
  <c r="I94" i="4"/>
  <c r="H94" i="4"/>
  <c r="G94" i="4"/>
  <c r="F94" i="4"/>
  <c r="E94" i="4"/>
  <c r="D94" i="4"/>
  <c r="C94" i="4"/>
  <c r="B94" i="4"/>
  <c r="I23" i="1"/>
  <c r="J23" i="1"/>
  <c r="K23" i="1"/>
  <c r="L23" i="1"/>
  <c r="M23" i="1"/>
  <c r="I24" i="1"/>
  <c r="J24" i="1"/>
  <c r="K24" i="1"/>
  <c r="L24" i="1"/>
  <c r="M24" i="1"/>
  <c r="I28" i="1"/>
  <c r="J28" i="1"/>
  <c r="I29" i="1"/>
  <c r="J29" i="1"/>
  <c r="I30" i="1"/>
  <c r="J30" i="1"/>
  <c r="I31" i="1"/>
  <c r="J31" i="1"/>
  <c r="I32" i="1"/>
  <c r="J32" i="1"/>
  <c r="I33" i="1"/>
  <c r="J33" i="1"/>
  <c r="I34" i="1"/>
  <c r="J34" i="1"/>
  <c r="I35" i="1"/>
  <c r="J35" i="1"/>
  <c r="I36" i="1"/>
  <c r="J36" i="1"/>
  <c r="K36" i="1"/>
  <c r="L36" i="1"/>
  <c r="M36" i="1"/>
  <c r="I37" i="1"/>
  <c r="J37" i="1"/>
  <c r="K37" i="1"/>
  <c r="L37" i="1"/>
  <c r="M37" i="1"/>
  <c r="I38" i="1"/>
  <c r="J38" i="1"/>
  <c r="K38" i="1"/>
  <c r="L38" i="1"/>
  <c r="M38" i="1"/>
  <c r="I39" i="1"/>
  <c r="J39" i="1"/>
  <c r="K39" i="1"/>
  <c r="L39" i="1"/>
  <c r="M39" i="1"/>
  <c r="I40" i="1"/>
  <c r="J40" i="1"/>
  <c r="K40" i="1"/>
  <c r="L40" i="1"/>
  <c r="M40" i="1"/>
  <c r="I41" i="1"/>
  <c r="J41" i="1"/>
  <c r="K41" i="1"/>
  <c r="L41" i="1"/>
  <c r="M41" i="1"/>
  <c r="I42" i="1"/>
  <c r="J42" i="1"/>
  <c r="K42" i="1"/>
  <c r="L42" i="1"/>
  <c r="M42" i="1"/>
  <c r="I43" i="1"/>
  <c r="J43" i="1"/>
  <c r="K43" i="1"/>
  <c r="L43" i="1"/>
  <c r="M43" i="1"/>
  <c r="I56" i="1"/>
  <c r="J56" i="1"/>
  <c r="I47" i="1" l="1"/>
  <c r="I48" i="1" s="1"/>
  <c r="I54" i="1" s="1"/>
  <c r="J46" i="1"/>
  <c r="J53" i="1" s="1"/>
  <c r="I46" i="1"/>
  <c r="I53" i="1" s="1"/>
  <c r="J47" i="1"/>
  <c r="J48" i="1" s="1"/>
  <c r="J54" i="1" s="1"/>
  <c r="I57" i="1"/>
  <c r="J57" i="1"/>
  <c r="R23" i="1"/>
  <c r="S23" i="1"/>
  <c r="T23" i="1"/>
  <c r="U23" i="1"/>
  <c r="V23" i="1"/>
  <c r="R24" i="1"/>
  <c r="S24" i="1"/>
  <c r="T24" i="1"/>
  <c r="U24" i="1"/>
  <c r="V24" i="1"/>
  <c r="R28" i="1"/>
  <c r="S28" i="1"/>
  <c r="T28" i="1"/>
  <c r="U28" i="1"/>
  <c r="V28" i="1"/>
  <c r="R29" i="1"/>
  <c r="S29" i="1"/>
  <c r="T29" i="1"/>
  <c r="U29" i="1"/>
  <c r="V29" i="1"/>
  <c r="R30" i="1"/>
  <c r="S30" i="1"/>
  <c r="T30" i="1"/>
  <c r="U30" i="1"/>
  <c r="V30" i="1"/>
  <c r="R31" i="1"/>
  <c r="S31" i="1"/>
  <c r="T31" i="1"/>
  <c r="U31" i="1"/>
  <c r="V31" i="1"/>
  <c r="R32" i="1"/>
  <c r="S32" i="1"/>
  <c r="T32" i="1"/>
  <c r="U32" i="1"/>
  <c r="V32" i="1"/>
  <c r="R33" i="1"/>
  <c r="S33" i="1"/>
  <c r="T33" i="1"/>
  <c r="U33" i="1"/>
  <c r="V33" i="1"/>
  <c r="R34" i="1"/>
  <c r="S34" i="1"/>
  <c r="T34" i="1"/>
  <c r="U34" i="1"/>
  <c r="V34" i="1"/>
  <c r="R35" i="1"/>
  <c r="S35" i="1"/>
  <c r="T35" i="1"/>
  <c r="U35" i="1"/>
  <c r="V35" i="1"/>
  <c r="R36" i="1"/>
  <c r="S36" i="1"/>
  <c r="T36" i="1"/>
  <c r="U36" i="1"/>
  <c r="V36" i="1"/>
  <c r="R37" i="1"/>
  <c r="S37" i="1"/>
  <c r="T37" i="1"/>
  <c r="U37" i="1"/>
  <c r="V37" i="1"/>
  <c r="R38" i="1"/>
  <c r="S38" i="1"/>
  <c r="T38" i="1"/>
  <c r="U38" i="1"/>
  <c r="V38" i="1"/>
  <c r="R39" i="1"/>
  <c r="S39" i="1"/>
  <c r="T39" i="1"/>
  <c r="U39" i="1"/>
  <c r="V39" i="1"/>
  <c r="R40" i="1"/>
  <c r="S40" i="1"/>
  <c r="T40" i="1"/>
  <c r="U40" i="1"/>
  <c r="V40" i="1"/>
  <c r="R41" i="1"/>
  <c r="S41" i="1"/>
  <c r="T41" i="1"/>
  <c r="U41" i="1"/>
  <c r="V41" i="1"/>
  <c r="R42" i="1"/>
  <c r="S42" i="1"/>
  <c r="T42" i="1"/>
  <c r="U42" i="1"/>
  <c r="V42" i="1"/>
  <c r="R43" i="1"/>
  <c r="S43" i="1"/>
  <c r="T43" i="1"/>
  <c r="U43" i="1"/>
  <c r="V43" i="1"/>
  <c r="U56" i="1"/>
  <c r="T56" i="1"/>
  <c r="R56" i="1"/>
  <c r="V56" i="1"/>
  <c r="S56" i="1"/>
  <c r="U46" i="1" l="1"/>
  <c r="U53" i="1" s="1"/>
  <c r="V46" i="1"/>
  <c r="V53" i="1" s="1"/>
  <c r="R47" i="1"/>
  <c r="R48" i="1" s="1"/>
  <c r="R54" i="1" s="1"/>
  <c r="V47" i="1"/>
  <c r="V48" i="1" s="1"/>
  <c r="V54" i="1" s="1"/>
  <c r="S47" i="1"/>
  <c r="S48" i="1" s="1"/>
  <c r="S54" i="1" s="1"/>
  <c r="T46" i="1"/>
  <c r="T53" i="1" s="1"/>
  <c r="R46" i="1"/>
  <c r="R53" i="1" s="1"/>
  <c r="U47" i="1"/>
  <c r="U48" i="1" s="1"/>
  <c r="U54" i="1" s="1"/>
  <c r="S46" i="1"/>
  <c r="S53" i="1" s="1"/>
  <c r="T47" i="1"/>
  <c r="T48" i="1" s="1"/>
  <c r="T54" i="1" s="1"/>
  <c r="R57" i="1"/>
  <c r="S57" i="1"/>
  <c r="T57" i="1"/>
  <c r="U57" i="1"/>
  <c r="V57" i="1"/>
  <c r="A1011" i="37" l="1"/>
  <c r="B1011" i="37"/>
  <c r="A1012" i="37"/>
  <c r="B1012" i="37"/>
  <c r="A1013" i="37"/>
  <c r="B1013" i="37"/>
  <c r="A1014" i="37"/>
  <c r="B1014" i="37"/>
  <c r="A1015" i="37"/>
  <c r="B1015" i="37"/>
  <c r="A1016" i="37"/>
  <c r="B1016" i="37"/>
  <c r="A1017" i="37"/>
  <c r="B1017" i="37"/>
  <c r="A1018" i="37"/>
  <c r="B1018" i="37"/>
  <c r="A1019" i="37"/>
  <c r="B1019" i="37"/>
  <c r="A1020" i="37"/>
  <c r="B1020" i="37"/>
  <c r="A1021" i="37"/>
  <c r="B1021" i="37"/>
  <c r="A1022" i="37"/>
  <c r="B1022" i="37"/>
  <c r="A1023" i="37"/>
  <c r="B1023" i="37"/>
  <c r="A1024" i="37"/>
  <c r="B1024" i="37"/>
  <c r="A1025" i="37"/>
  <c r="B1025" i="37"/>
  <c r="A1026" i="37"/>
  <c r="B1026" i="37"/>
  <c r="A1027" i="37"/>
  <c r="B1027" i="37"/>
  <c r="A1028" i="37"/>
  <c r="B1028" i="37"/>
  <c r="A1029" i="37"/>
  <c r="B1029" i="37"/>
  <c r="A1030" i="37"/>
  <c r="B1030" i="37"/>
  <c r="A1031" i="37"/>
  <c r="B1031" i="37"/>
  <c r="A1032" i="37"/>
  <c r="B1032" i="37"/>
  <c r="A1033" i="37"/>
  <c r="B1033" i="37"/>
  <c r="A1034" i="37"/>
  <c r="B1034" i="37"/>
  <c r="A1035" i="37"/>
  <c r="B1035" i="37"/>
  <c r="A1036" i="37"/>
  <c r="B1036" i="37"/>
  <c r="A1037" i="37"/>
  <c r="B1037" i="37"/>
  <c r="A1038" i="37"/>
  <c r="B1038" i="37"/>
  <c r="A1039" i="37"/>
  <c r="B1039" i="37"/>
  <c r="A1040" i="37"/>
  <c r="B1040" i="37"/>
  <c r="A1041" i="37"/>
  <c r="B1041" i="37"/>
  <c r="A1042" i="37"/>
  <c r="B1042" i="37"/>
  <c r="A1043" i="37"/>
  <c r="B1043" i="37"/>
  <c r="A1044" i="37"/>
  <c r="B1044" i="37"/>
  <c r="A1045" i="37"/>
  <c r="B1045" i="37"/>
  <c r="A1046" i="37"/>
  <c r="B1046" i="37"/>
  <c r="A1047" i="37"/>
  <c r="B1047" i="37"/>
  <c r="A1048" i="37"/>
  <c r="B1048" i="37"/>
  <c r="A1049" i="37"/>
  <c r="B1049" i="37"/>
  <c r="A1050" i="37"/>
  <c r="B1050" i="37"/>
  <c r="A1051" i="37"/>
  <c r="B1051" i="37"/>
  <c r="A1052" i="37"/>
  <c r="B1052" i="37"/>
  <c r="A1053" i="37"/>
  <c r="B1053" i="37"/>
  <c r="A1054" i="37"/>
  <c r="B1054" i="37"/>
  <c r="A1055" i="37"/>
  <c r="B1055" i="37"/>
  <c r="A1056" i="37"/>
  <c r="B1056" i="37"/>
  <c r="A1057" i="37"/>
  <c r="B1057" i="37"/>
  <c r="A1058" i="37"/>
  <c r="B1058" i="37"/>
  <c r="A1059" i="37"/>
  <c r="B1059" i="37"/>
  <c r="A1060" i="37"/>
  <c r="B1060" i="37"/>
  <c r="A1061" i="37"/>
  <c r="B1061" i="37"/>
  <c r="A1062" i="37"/>
  <c r="B1062" i="37"/>
  <c r="A1063" i="37"/>
  <c r="B1063" i="37"/>
  <c r="A1064" i="37"/>
  <c r="B1064" i="37"/>
  <c r="A1065" i="37"/>
  <c r="B1065" i="37"/>
  <c r="A1066" i="37"/>
  <c r="B1066" i="37"/>
  <c r="A1067" i="37"/>
  <c r="B1067" i="37"/>
  <c r="A1068" i="37"/>
  <c r="B1068" i="37"/>
  <c r="A1069" i="37"/>
  <c r="B1069" i="37"/>
  <c r="A1070" i="37"/>
  <c r="B1070" i="37"/>
  <c r="A1071" i="37"/>
  <c r="B1071" i="37"/>
  <c r="A1072" i="37"/>
  <c r="B1072" i="37"/>
  <c r="A1073" i="37"/>
  <c r="B1073" i="37"/>
  <c r="A1074" i="37"/>
  <c r="B1074" i="37"/>
  <c r="A1075" i="37"/>
  <c r="B1075" i="37"/>
  <c r="A1076" i="37"/>
  <c r="B1076" i="37"/>
  <c r="A1077" i="37"/>
  <c r="B1077" i="37"/>
  <c r="A1078" i="37"/>
  <c r="B1078" i="37"/>
  <c r="A1079" i="37"/>
  <c r="B1079" i="37"/>
  <c r="A1080" i="37"/>
  <c r="B1080" i="37"/>
  <c r="A1081" i="37"/>
  <c r="B1081" i="37"/>
  <c r="A1082" i="37"/>
  <c r="B1082" i="37"/>
  <c r="A1083" i="37"/>
  <c r="B1083" i="37"/>
  <c r="A1084" i="37"/>
  <c r="B1084" i="37"/>
  <c r="A1085" i="37"/>
  <c r="B1085" i="37"/>
  <c r="A1086" i="37"/>
  <c r="B1086" i="37"/>
  <c r="A1087" i="37"/>
  <c r="B1087" i="37"/>
  <c r="A1088" i="37"/>
  <c r="B1088" i="37"/>
  <c r="A1089" i="37"/>
  <c r="B1089" i="37"/>
  <c r="A1090" i="37"/>
  <c r="B1090" i="37"/>
  <c r="A1091" i="37"/>
  <c r="B1091" i="37"/>
  <c r="A1092" i="37"/>
  <c r="B1092" i="37"/>
  <c r="A1093" i="37"/>
  <c r="B1093" i="37"/>
  <c r="A1094" i="37"/>
  <c r="B1094" i="37"/>
  <c r="A1095" i="37"/>
  <c r="B1095" i="37"/>
  <c r="A1096" i="37"/>
  <c r="B1096" i="37"/>
  <c r="A1097" i="37"/>
  <c r="B1097" i="37"/>
  <c r="A1098" i="37"/>
  <c r="B1098" i="37"/>
  <c r="A1099" i="37"/>
  <c r="B1099" i="37"/>
  <c r="A1100" i="37"/>
  <c r="B1100" i="37"/>
  <c r="A1101" i="37"/>
  <c r="B1101" i="37"/>
  <c r="A1102" i="37"/>
  <c r="B1102" i="37"/>
  <c r="A1103" i="37"/>
  <c r="B1103" i="37"/>
  <c r="A1104" i="37"/>
  <c r="B1104" i="37"/>
  <c r="A1105" i="37"/>
  <c r="B1105" i="37"/>
  <c r="A1106" i="37"/>
  <c r="B1106" i="37"/>
  <c r="A1107" i="37"/>
  <c r="B1107" i="37"/>
  <c r="A1108" i="37"/>
  <c r="B1108" i="37"/>
  <c r="A1109" i="37"/>
  <c r="B1109" i="37"/>
  <c r="A1110" i="37"/>
  <c r="B1110" i="37"/>
  <c r="A1111" i="37"/>
  <c r="B1111" i="37"/>
  <c r="A1112" i="37"/>
  <c r="B1112" i="37"/>
  <c r="A1113" i="37"/>
  <c r="B1113" i="37"/>
  <c r="A1114" i="37"/>
  <c r="B1114" i="37"/>
  <c r="A1115" i="37"/>
  <c r="B1115" i="37"/>
  <c r="A1116" i="37"/>
  <c r="B1116" i="37"/>
  <c r="A1117" i="37"/>
  <c r="B1117" i="37"/>
  <c r="A1118" i="37"/>
  <c r="B1118" i="37"/>
  <c r="A1119" i="37"/>
  <c r="B1119" i="37"/>
  <c r="A1120" i="37"/>
  <c r="B1120" i="37"/>
  <c r="A1121" i="37"/>
  <c r="B1121" i="37"/>
  <c r="A1122" i="37"/>
  <c r="B1122" i="37"/>
  <c r="A1123" i="37"/>
  <c r="B1123" i="37"/>
  <c r="A1124" i="37"/>
  <c r="B1124" i="37"/>
  <c r="A1125" i="37"/>
  <c r="B1125" i="37"/>
  <c r="A1126" i="37"/>
  <c r="B1126" i="37"/>
  <c r="A1127" i="37"/>
  <c r="B1127" i="37"/>
  <c r="A1128" i="37"/>
  <c r="B1128" i="37"/>
  <c r="A1129" i="37"/>
  <c r="B1129" i="37"/>
  <c r="A1130" i="37"/>
  <c r="B1130" i="37"/>
  <c r="A1131" i="37"/>
  <c r="B1131" i="37"/>
  <c r="A1132" i="37"/>
  <c r="B1132" i="37"/>
  <c r="A1133" i="37"/>
  <c r="B1133" i="37"/>
  <c r="A1134" i="37"/>
  <c r="B1134" i="37"/>
  <c r="A1135" i="37"/>
  <c r="B1135" i="37"/>
  <c r="A1136" i="37"/>
  <c r="B1136" i="37"/>
  <c r="A1137" i="37"/>
  <c r="B1137" i="37"/>
  <c r="A1138" i="37"/>
  <c r="B1138" i="37"/>
  <c r="A1139" i="37"/>
  <c r="B1139" i="37"/>
  <c r="A1140" i="37"/>
  <c r="B1140" i="37"/>
  <c r="A1141" i="37"/>
  <c r="B1141" i="37"/>
  <c r="A1142" i="37"/>
  <c r="B1142" i="37"/>
  <c r="A1143" i="37"/>
  <c r="B1143" i="37"/>
  <c r="A1144" i="37"/>
  <c r="B1144" i="37"/>
  <c r="A1145" i="37"/>
  <c r="B1145" i="37"/>
  <c r="A1146" i="37"/>
  <c r="B1146" i="37"/>
  <c r="A1147" i="37"/>
  <c r="B1147" i="37"/>
  <c r="A1148" i="37"/>
  <c r="B1148" i="37"/>
  <c r="A1149" i="37"/>
  <c r="B1149" i="37"/>
  <c r="A1150" i="37"/>
  <c r="B1150" i="37"/>
  <c r="A1151" i="37"/>
  <c r="B1151" i="37"/>
  <c r="A1152" i="37"/>
  <c r="B1152" i="37"/>
  <c r="A1153" i="37"/>
  <c r="B1153" i="37"/>
  <c r="A1154" i="37"/>
  <c r="B1154" i="37"/>
  <c r="A1155" i="37"/>
  <c r="B1155" i="37"/>
  <c r="A1156" i="37"/>
  <c r="B1156" i="37"/>
  <c r="A1157" i="37"/>
  <c r="B1157" i="37"/>
  <c r="A1158" i="37"/>
  <c r="B1158" i="37"/>
  <c r="A1159" i="37"/>
  <c r="B1159" i="37"/>
  <c r="A1160" i="37"/>
  <c r="B1160" i="37"/>
  <c r="A1161" i="37"/>
  <c r="B1161" i="37"/>
  <c r="A1162" i="37"/>
  <c r="B1162" i="37"/>
  <c r="A1163" i="37"/>
  <c r="B1163" i="37"/>
  <c r="A1164" i="37"/>
  <c r="B1164" i="37"/>
  <c r="A1165" i="37"/>
  <c r="B1165" i="37"/>
  <c r="A1166" i="37"/>
  <c r="B1166" i="37"/>
  <c r="A1167" i="37"/>
  <c r="B1167" i="37"/>
  <c r="A1168" i="37"/>
  <c r="B1168" i="37"/>
  <c r="A1169" i="37"/>
  <c r="B1169" i="37"/>
  <c r="A1170" i="37"/>
  <c r="B1170" i="37"/>
  <c r="A1171" i="37"/>
  <c r="B1171" i="37"/>
  <c r="A1172" i="37"/>
  <c r="B1172" i="37"/>
  <c r="A1173" i="37"/>
  <c r="B1173" i="37"/>
  <c r="A1174" i="37"/>
  <c r="B1174" i="37"/>
  <c r="A1175" i="37"/>
  <c r="B1175" i="37"/>
  <c r="A1176" i="37"/>
  <c r="B1176" i="37"/>
  <c r="A1177" i="37"/>
  <c r="B1177" i="37"/>
  <c r="A1178" i="37"/>
  <c r="B1178" i="37"/>
  <c r="A1179" i="37"/>
  <c r="B1179" i="37"/>
  <c r="A1180" i="37"/>
  <c r="B1180" i="37"/>
  <c r="A1181" i="37"/>
  <c r="B1181" i="37"/>
  <c r="A1182" i="37"/>
  <c r="B1182" i="37"/>
  <c r="A1183" i="37"/>
  <c r="B1183" i="37"/>
  <c r="A1184" i="37"/>
  <c r="B1184" i="37"/>
  <c r="A1185" i="37"/>
  <c r="B1185" i="37"/>
  <c r="A1186" i="37"/>
  <c r="B1186" i="37"/>
  <c r="A1187" i="37"/>
  <c r="B1187" i="37"/>
  <c r="A1188" i="37"/>
  <c r="B1188" i="37"/>
  <c r="A1189" i="37"/>
  <c r="B1189" i="37"/>
  <c r="A1190" i="37"/>
  <c r="B1190" i="37"/>
  <c r="A1191" i="37"/>
  <c r="B1191" i="37"/>
  <c r="A1192" i="37"/>
  <c r="B1192" i="37"/>
  <c r="A1193" i="37"/>
  <c r="B1193" i="37"/>
  <c r="A1194" i="37"/>
  <c r="B1194" i="37"/>
  <c r="A1195" i="37"/>
  <c r="B1195" i="37"/>
  <c r="A1196" i="37"/>
  <c r="B1196" i="37"/>
  <c r="A1197" i="37"/>
  <c r="B1197" i="37"/>
  <c r="A1198" i="37"/>
  <c r="B1198" i="37"/>
  <c r="A1199" i="37"/>
  <c r="B1199" i="37"/>
  <c r="A1200" i="37"/>
  <c r="B1200" i="37"/>
  <c r="A1201" i="37"/>
  <c r="B1201" i="37"/>
  <c r="A1202" i="37"/>
  <c r="B1202" i="37"/>
  <c r="A1203" i="37"/>
  <c r="B1203" i="37"/>
  <c r="A1204" i="37"/>
  <c r="B1204" i="37"/>
  <c r="A1205" i="37"/>
  <c r="B1205" i="37"/>
  <c r="A1206" i="37"/>
  <c r="B1206" i="37"/>
  <c r="A1207" i="37"/>
  <c r="B1207" i="37"/>
  <c r="A1208" i="37"/>
  <c r="B1208" i="37"/>
  <c r="A1209" i="37"/>
  <c r="B1209" i="37"/>
  <c r="A1210" i="37"/>
  <c r="B1210" i="37"/>
  <c r="A1211" i="37"/>
  <c r="B1211" i="37"/>
  <c r="A1212" i="37"/>
  <c r="B1212" i="37"/>
  <c r="A1213" i="37"/>
  <c r="B1213" i="37"/>
  <c r="A1214" i="37"/>
  <c r="B1214" i="37"/>
  <c r="A1215" i="37"/>
  <c r="B1215" i="37"/>
  <c r="A1216" i="37"/>
  <c r="B1216" i="37"/>
  <c r="A1217" i="37"/>
  <c r="B1217" i="37"/>
  <c r="A1218" i="37"/>
  <c r="B1218" i="37"/>
  <c r="A1219" i="37"/>
  <c r="B1219" i="37"/>
  <c r="A1220" i="37"/>
  <c r="B1220" i="37"/>
  <c r="A1221" i="37"/>
  <c r="B1221" i="37"/>
  <c r="A1222" i="37"/>
  <c r="B1222" i="37"/>
  <c r="A1223" i="37"/>
  <c r="B1223" i="37"/>
  <c r="A1224" i="37"/>
  <c r="B1224" i="37"/>
  <c r="A1225" i="37"/>
  <c r="B1225" i="37"/>
  <c r="A1226" i="37"/>
  <c r="B1226" i="37"/>
  <c r="A1227" i="37"/>
  <c r="B1227" i="37"/>
  <c r="A1228" i="37"/>
  <c r="B1228" i="37"/>
  <c r="A1229" i="37"/>
  <c r="B1229" i="37"/>
  <c r="A1230" i="37"/>
  <c r="B1230" i="37"/>
  <c r="A1231" i="37"/>
  <c r="B1231" i="37"/>
  <c r="A1232" i="37"/>
  <c r="B1232" i="37"/>
  <c r="A1233" i="37"/>
  <c r="B1233" i="37"/>
  <c r="A1234" i="37"/>
  <c r="B1234" i="37"/>
  <c r="A1235" i="37"/>
  <c r="B1235" i="37"/>
  <c r="A1236" i="37"/>
  <c r="B1236" i="37"/>
  <c r="A1237" i="37"/>
  <c r="B1237" i="37"/>
  <c r="A1238" i="37"/>
  <c r="B1238" i="37"/>
  <c r="A1239" i="37"/>
  <c r="B1239" i="37"/>
  <c r="A1240" i="37"/>
  <c r="B1240" i="37"/>
  <c r="A1241" i="37"/>
  <c r="B1241" i="37"/>
  <c r="A1242" i="37"/>
  <c r="B1242" i="37"/>
  <c r="A1243" i="37"/>
  <c r="B1243" i="37"/>
  <c r="A1244" i="37"/>
  <c r="B1244" i="37"/>
  <c r="A1245" i="37"/>
  <c r="B1245" i="37"/>
  <c r="A1246" i="37"/>
  <c r="B1246" i="37"/>
  <c r="A1247" i="37"/>
  <c r="B1247" i="37"/>
  <c r="A1248" i="37"/>
  <c r="B1248" i="37"/>
  <c r="A1249" i="37"/>
  <c r="B1249" i="37"/>
  <c r="A1250" i="37"/>
  <c r="B1250" i="37"/>
  <c r="A1251" i="37"/>
  <c r="B1251" i="37"/>
  <c r="A1252" i="37"/>
  <c r="B1252" i="37"/>
  <c r="A1253" i="37"/>
  <c r="B1253" i="37"/>
  <c r="A1254" i="37"/>
  <c r="B1254" i="37"/>
  <c r="A1255" i="37"/>
  <c r="B1255" i="37"/>
  <c r="A1256" i="37"/>
  <c r="B1256" i="37"/>
  <c r="A1257" i="37"/>
  <c r="B1257" i="37"/>
  <c r="A1258" i="37"/>
  <c r="B1258" i="37"/>
  <c r="A1259" i="37"/>
  <c r="B1259" i="37"/>
  <c r="A1260" i="37"/>
  <c r="B1260" i="37"/>
  <c r="A1261" i="37"/>
  <c r="B1261" i="37"/>
  <c r="A1262" i="37"/>
  <c r="B1262" i="37"/>
  <c r="A1263" i="37"/>
  <c r="B1263" i="37"/>
  <c r="A1264" i="37"/>
  <c r="B1264" i="37"/>
  <c r="A1265" i="37"/>
  <c r="B1265" i="37"/>
  <c r="A1266" i="37"/>
  <c r="B1266" i="37"/>
  <c r="A1267" i="37"/>
  <c r="B1267" i="37"/>
  <c r="A1268" i="37"/>
  <c r="B1268" i="37"/>
  <c r="A1269" i="37"/>
  <c r="B1269" i="37"/>
  <c r="A1270" i="37"/>
  <c r="B1270" i="37"/>
  <c r="A1271" i="37"/>
  <c r="B1271" i="37"/>
  <c r="A1272" i="37"/>
  <c r="B1272" i="37"/>
  <c r="A1273" i="37"/>
  <c r="B1273" i="37"/>
  <c r="A1274" i="37"/>
  <c r="B1274" i="37"/>
  <c r="A1275" i="37"/>
  <c r="B1275" i="37"/>
  <c r="A1276" i="37"/>
  <c r="B1276" i="37"/>
  <c r="A1277" i="37"/>
  <c r="B1277" i="37"/>
  <c r="A1278" i="37"/>
  <c r="B1278" i="37"/>
  <c r="A1279" i="37"/>
  <c r="B1279" i="37"/>
  <c r="A1280" i="37"/>
  <c r="B1280" i="37"/>
  <c r="A1281" i="37"/>
  <c r="B1281" i="37"/>
  <c r="A1282" i="37"/>
  <c r="B1282" i="37"/>
  <c r="A1283" i="37"/>
  <c r="B1283" i="37"/>
  <c r="A1284" i="37"/>
  <c r="B1284" i="37"/>
  <c r="A1285" i="37"/>
  <c r="B1285" i="37"/>
  <c r="A1286" i="37"/>
  <c r="B1286" i="37"/>
  <c r="A1287" i="37"/>
  <c r="B1287" i="37"/>
  <c r="A1288" i="37"/>
  <c r="B1288" i="37"/>
  <c r="A1289" i="37"/>
  <c r="B1289" i="37"/>
  <c r="A1290" i="37"/>
  <c r="B1290" i="37"/>
  <c r="A1291" i="37"/>
  <c r="B1291" i="37"/>
  <c r="A1292" i="37"/>
  <c r="B1292" i="37"/>
  <c r="A1293" i="37"/>
  <c r="B1293" i="37"/>
  <c r="A1294" i="37"/>
  <c r="B1294" i="37"/>
  <c r="A1295" i="37"/>
  <c r="B1295" i="37"/>
  <c r="A1296" i="37"/>
  <c r="B1296" i="37"/>
  <c r="A1297" i="37"/>
  <c r="B1297" i="37"/>
  <c r="A1298" i="37"/>
  <c r="B1298" i="37"/>
  <c r="A1299" i="37"/>
  <c r="B1299" i="37"/>
  <c r="A1300" i="37"/>
  <c r="B1300" i="37"/>
  <c r="A1301" i="37"/>
  <c r="B1301" i="37"/>
  <c r="A1302" i="37"/>
  <c r="B1302" i="37"/>
  <c r="A1303" i="37"/>
  <c r="B1303" i="37"/>
  <c r="A1304" i="37"/>
  <c r="B1304" i="37"/>
  <c r="A1305" i="37"/>
  <c r="B1305" i="37"/>
  <c r="A1306" i="37"/>
  <c r="B1306" i="37"/>
  <c r="A1307" i="37"/>
  <c r="B1307" i="37"/>
  <c r="A1308" i="37"/>
  <c r="B1308" i="37"/>
  <c r="A1309" i="37"/>
  <c r="B1309" i="37"/>
  <c r="A1310" i="37"/>
  <c r="B1310" i="37"/>
  <c r="A1311" i="37"/>
  <c r="B1311" i="37"/>
  <c r="A1312" i="37"/>
  <c r="B1312" i="37"/>
  <c r="A1313" i="37"/>
  <c r="B1313" i="37"/>
  <c r="A1314" i="37"/>
  <c r="B1314" i="37"/>
  <c r="A1315" i="37"/>
  <c r="B1315" i="37"/>
  <c r="A1316" i="37"/>
  <c r="B1316" i="37"/>
  <c r="A1317" i="37"/>
  <c r="B1317" i="37"/>
  <c r="A1318" i="37"/>
  <c r="B1318" i="37"/>
  <c r="A1319" i="37"/>
  <c r="B1319" i="37"/>
  <c r="A1320" i="37"/>
  <c r="B1320" i="37"/>
  <c r="A1321" i="37"/>
  <c r="B1321" i="37"/>
  <c r="A1322" i="37"/>
  <c r="B1322" i="37"/>
  <c r="A1323" i="37"/>
  <c r="B1323" i="37"/>
  <c r="A1324" i="37"/>
  <c r="B1324" i="37"/>
  <c r="A1325" i="37"/>
  <c r="B1325" i="37"/>
  <c r="A1326" i="37"/>
  <c r="B1326" i="37"/>
  <c r="A1327" i="37"/>
  <c r="B1327" i="37"/>
  <c r="A1328" i="37"/>
  <c r="B1328" i="37"/>
  <c r="A1329" i="37"/>
  <c r="B1329" i="37"/>
  <c r="A1330" i="37"/>
  <c r="B1330" i="37"/>
  <c r="A1331" i="37"/>
  <c r="B1331" i="37"/>
  <c r="A1332" i="37"/>
  <c r="B1332" i="37"/>
  <c r="A1333" i="37"/>
  <c r="B1333" i="37"/>
  <c r="A1334" i="37"/>
  <c r="B1334" i="37"/>
  <c r="A1335" i="37"/>
  <c r="B1335" i="37"/>
  <c r="A1336" i="37"/>
  <c r="B1336" i="37"/>
  <c r="A1337" i="37"/>
  <c r="B1337" i="37"/>
  <c r="A1338" i="37"/>
  <c r="B1338" i="37"/>
  <c r="A1339" i="37"/>
  <c r="B1339" i="37"/>
  <c r="A1340" i="37"/>
  <c r="B1340" i="37"/>
  <c r="A1341" i="37"/>
  <c r="B1341" i="37"/>
  <c r="A1342" i="37"/>
  <c r="B1342" i="37"/>
  <c r="A1343" i="37"/>
  <c r="B1343" i="37"/>
  <c r="A1344" i="37"/>
  <c r="B1344" i="37"/>
  <c r="A1345" i="37"/>
  <c r="B1345" i="37"/>
  <c r="A1346" i="37"/>
  <c r="B1346" i="37"/>
  <c r="A1347" i="37"/>
  <c r="B1347" i="37"/>
  <c r="A1348" i="37"/>
  <c r="B1348" i="37"/>
  <c r="A1349" i="37"/>
  <c r="B1349" i="37"/>
  <c r="A1350" i="37"/>
  <c r="B1350" i="37"/>
  <c r="A1351" i="37"/>
  <c r="B1351" i="37"/>
  <c r="A1352" i="37"/>
  <c r="B1352" i="37"/>
  <c r="A1353" i="37"/>
  <c r="B1353" i="37"/>
  <c r="A1354" i="37"/>
  <c r="B1354" i="37"/>
  <c r="A1355" i="37"/>
  <c r="B1355" i="37"/>
  <c r="A1356" i="37"/>
  <c r="B1356" i="37"/>
  <c r="A1357" i="37"/>
  <c r="B1357" i="37"/>
  <c r="A1358" i="37"/>
  <c r="B1358" i="37"/>
  <c r="A1359" i="37"/>
  <c r="B1359" i="37"/>
  <c r="A1360" i="37"/>
  <c r="B1360" i="37"/>
  <c r="A1361" i="37"/>
  <c r="B1361" i="37"/>
  <c r="A1362" i="37"/>
  <c r="B1362" i="37"/>
  <c r="A1363" i="37"/>
  <c r="B1363" i="37"/>
  <c r="A1364" i="37"/>
  <c r="B1364" i="37"/>
  <c r="A1365" i="37"/>
  <c r="B1365" i="37"/>
  <c r="A1366" i="37"/>
  <c r="B1366" i="37"/>
  <c r="A1367" i="37"/>
  <c r="B1367" i="37"/>
  <c r="A1368" i="37"/>
  <c r="B1368" i="37"/>
  <c r="A1369" i="37"/>
  <c r="B1369" i="37"/>
  <c r="A1370" i="37"/>
  <c r="B1370" i="37"/>
  <c r="A1371" i="37"/>
  <c r="B1371" i="37"/>
  <c r="A1372" i="37"/>
  <c r="B1372" i="37"/>
  <c r="A1373" i="37"/>
  <c r="B1373" i="37"/>
  <c r="A1374" i="37"/>
  <c r="B1374" i="37"/>
  <c r="A1375" i="37"/>
  <c r="B1375" i="37"/>
  <c r="A1376" i="37"/>
  <c r="B1376" i="37"/>
  <c r="A1377" i="37"/>
  <c r="B1377" i="37"/>
  <c r="A1378" i="37"/>
  <c r="B1378" i="37"/>
  <c r="A1379" i="37"/>
  <c r="B1379" i="37"/>
  <c r="A1380" i="37"/>
  <c r="B1380" i="37"/>
  <c r="A1381" i="37"/>
  <c r="B1381" i="37"/>
  <c r="A1382" i="37"/>
  <c r="B1382" i="37"/>
  <c r="A1383" i="37"/>
  <c r="B1383" i="37"/>
  <c r="A1384" i="37"/>
  <c r="B1384" i="37"/>
  <c r="A1385" i="37"/>
  <c r="B1385" i="37"/>
  <c r="A1386" i="37"/>
  <c r="B1386" i="37"/>
  <c r="A1387" i="37"/>
  <c r="B1387" i="37"/>
  <c r="A1388" i="37"/>
  <c r="B1388" i="37"/>
  <c r="A1389" i="37"/>
  <c r="B1389" i="37"/>
  <c r="A1390" i="37"/>
  <c r="B1390" i="37"/>
  <c r="A1391" i="37"/>
  <c r="B1391" i="37"/>
  <c r="A1392" i="37"/>
  <c r="B1392" i="37"/>
  <c r="A1393" i="37"/>
  <c r="B1393" i="37"/>
  <c r="A1394" i="37"/>
  <c r="B1394" i="37"/>
  <c r="A1395" i="37"/>
  <c r="B1395" i="37"/>
  <c r="A1396" i="37"/>
  <c r="B1396" i="37"/>
  <c r="A1397" i="37"/>
  <c r="B1397" i="37"/>
  <c r="A1398" i="37"/>
  <c r="B1398" i="37"/>
  <c r="A1399" i="37"/>
  <c r="B1399" i="37"/>
  <c r="A1400" i="37"/>
  <c r="B1400" i="37"/>
  <c r="A1401" i="37"/>
  <c r="B1401" i="37"/>
  <c r="A1402" i="37"/>
  <c r="B1402" i="37"/>
  <c r="A1403" i="37"/>
  <c r="B1403" i="37"/>
  <c r="A1404" i="37"/>
  <c r="B1404" i="37"/>
  <c r="A1405" i="37"/>
  <c r="B1405" i="37"/>
  <c r="A1406" i="37"/>
  <c r="B1406" i="37"/>
  <c r="A1407" i="37"/>
  <c r="B1407" i="37"/>
  <c r="A1408" i="37"/>
  <c r="B1408" i="37"/>
  <c r="A1409" i="37"/>
  <c r="B1409" i="37"/>
  <c r="A1410" i="37"/>
  <c r="B1410" i="37"/>
  <c r="A1411" i="37"/>
  <c r="B1411" i="37"/>
  <c r="A1412" i="37"/>
  <c r="B1412" i="37"/>
  <c r="A1413" i="37"/>
  <c r="B1413" i="37"/>
  <c r="A1414" i="37"/>
  <c r="B1414" i="37"/>
  <c r="A1415" i="37"/>
  <c r="B1415" i="37"/>
  <c r="A1416" i="37"/>
  <c r="B1416" i="37"/>
  <c r="A1417" i="37"/>
  <c r="B1417" i="37"/>
  <c r="A1418" i="37"/>
  <c r="B1418" i="37"/>
  <c r="A1419" i="37"/>
  <c r="B1419" i="37"/>
  <c r="A1420" i="37"/>
  <c r="B1420" i="37"/>
  <c r="A1421" i="37"/>
  <c r="B1421" i="37"/>
  <c r="A1422" i="37"/>
  <c r="B1422" i="37"/>
  <c r="A1423" i="37"/>
  <c r="B1423" i="37"/>
  <c r="A1424" i="37"/>
  <c r="B1424" i="37"/>
  <c r="A1425" i="37"/>
  <c r="B1425" i="37"/>
  <c r="A1426" i="37"/>
  <c r="B1426" i="37"/>
  <c r="A1427" i="37"/>
  <c r="B1427" i="37"/>
  <c r="A1428" i="37"/>
  <c r="B1428" i="37"/>
  <c r="A1429" i="37"/>
  <c r="B1429" i="37"/>
  <c r="A1430" i="37"/>
  <c r="B1430" i="37"/>
  <c r="A1431" i="37"/>
  <c r="B1431" i="37"/>
  <c r="A1432" i="37"/>
  <c r="B1432" i="37"/>
  <c r="A1433" i="37"/>
  <c r="B1433" i="37"/>
  <c r="A1434" i="37"/>
  <c r="B1434" i="37"/>
  <c r="A1435" i="37"/>
  <c r="B1435" i="37"/>
  <c r="A1436" i="37"/>
  <c r="B1436" i="37"/>
  <c r="A1437" i="37"/>
  <c r="B1437" i="37"/>
  <c r="A1438" i="37"/>
  <c r="B1438" i="37"/>
  <c r="A1439" i="37"/>
  <c r="B1439" i="37"/>
  <c r="A1440" i="37"/>
  <c r="B1440" i="37"/>
  <c r="A1441" i="37"/>
  <c r="B1441" i="37"/>
  <c r="A1442" i="37"/>
  <c r="B1442" i="37"/>
  <c r="A1443" i="37"/>
  <c r="B1443" i="37"/>
  <c r="A1444" i="37"/>
  <c r="B1444" i="37"/>
  <c r="A1445" i="37"/>
  <c r="B1445" i="37"/>
  <c r="A1446" i="37"/>
  <c r="B1446" i="37"/>
  <c r="A1447" i="37"/>
  <c r="B1447" i="37"/>
  <c r="A1448" i="37"/>
  <c r="B1448" i="37"/>
  <c r="A1449" i="37"/>
  <c r="B1449" i="37"/>
  <c r="A1450" i="37"/>
  <c r="B1450" i="37"/>
  <c r="A1451" i="37"/>
  <c r="B1451" i="37"/>
  <c r="A1452" i="37"/>
  <c r="B1452" i="37"/>
  <c r="A1453" i="37"/>
  <c r="B1453" i="37"/>
  <c r="A1454" i="37"/>
  <c r="B1454" i="37"/>
  <c r="A1455" i="37"/>
  <c r="B1455" i="37"/>
  <c r="A1456" i="37"/>
  <c r="B1456" i="37"/>
  <c r="A1457" i="37"/>
  <c r="B1457" i="37"/>
  <c r="A1458" i="37"/>
  <c r="B1458" i="37"/>
  <c r="A1459" i="37"/>
  <c r="B1459" i="37"/>
  <c r="A1460" i="37"/>
  <c r="B1460" i="37"/>
  <c r="A1461" i="37"/>
  <c r="B1461" i="37"/>
  <c r="A1462" i="37"/>
  <c r="B1462" i="37"/>
  <c r="A1463" i="37"/>
  <c r="B1463" i="37"/>
  <c r="A1464" i="37"/>
  <c r="B1464" i="37"/>
  <c r="A1465" i="37"/>
  <c r="B1465" i="37"/>
  <c r="A1466" i="37"/>
  <c r="B1466" i="37"/>
  <c r="A1467" i="37"/>
  <c r="B1467" i="37"/>
  <c r="A1468" i="37"/>
  <c r="B1468" i="37"/>
  <c r="A1469" i="37"/>
  <c r="B1469" i="37"/>
  <c r="A1470" i="37"/>
  <c r="B1470" i="37"/>
  <c r="A1471" i="37"/>
  <c r="B1471" i="37"/>
  <c r="A1472" i="37"/>
  <c r="B1472" i="37"/>
  <c r="A1473" i="37"/>
  <c r="B1473" i="37"/>
  <c r="A1474" i="37"/>
  <c r="B1474" i="37"/>
  <c r="A1475" i="37"/>
  <c r="B1475" i="37"/>
  <c r="A1476" i="37"/>
  <c r="B1476" i="37"/>
  <c r="A1477" i="37"/>
  <c r="B1477" i="37"/>
  <c r="A1478" i="37"/>
  <c r="B1478" i="37"/>
  <c r="A1479" i="37"/>
  <c r="B1479" i="37"/>
  <c r="A1480" i="37"/>
  <c r="B1480" i="37"/>
  <c r="A1481" i="37"/>
  <c r="B1481" i="37"/>
  <c r="A1482" i="37"/>
  <c r="B1482" i="37"/>
  <c r="A1483" i="37"/>
  <c r="B1483" i="37"/>
  <c r="A1484" i="37"/>
  <c r="B1484" i="37"/>
  <c r="A1485" i="37"/>
  <c r="B1485" i="37"/>
  <c r="A1486" i="37"/>
  <c r="B1486" i="37"/>
  <c r="A1487" i="37"/>
  <c r="B1487" i="37"/>
  <c r="A1488" i="37"/>
  <c r="B1488" i="37"/>
  <c r="A1489" i="37"/>
  <c r="B1489" i="37"/>
  <c r="A1490" i="37"/>
  <c r="B1490" i="37"/>
  <c r="A1491" i="37"/>
  <c r="B1491" i="37"/>
  <c r="A1492" i="37"/>
  <c r="B1492" i="37"/>
  <c r="A1493" i="37"/>
  <c r="B1493" i="37"/>
  <c r="A1494" i="37"/>
  <c r="B1494" i="37"/>
  <c r="A1495" i="37"/>
  <c r="B1495" i="37"/>
  <c r="A1496" i="37"/>
  <c r="B1496" i="37"/>
  <c r="A1497" i="37"/>
  <c r="B1497" i="37"/>
  <c r="A1498" i="37"/>
  <c r="B1498" i="37"/>
  <c r="A1499" i="37"/>
  <c r="B1499" i="37"/>
  <c r="A1500" i="37"/>
  <c r="B1500" i="37"/>
  <c r="A1501" i="37"/>
  <c r="B1501" i="37"/>
  <c r="A1502" i="37"/>
  <c r="B1502" i="37"/>
  <c r="A1503" i="37"/>
  <c r="B1503" i="37"/>
  <c r="A1504" i="37"/>
  <c r="B1504" i="37"/>
  <c r="A1505" i="37"/>
  <c r="B1505" i="37"/>
  <c r="A1506" i="37"/>
  <c r="B1506" i="37"/>
  <c r="A1507" i="37"/>
  <c r="B1507" i="37"/>
  <c r="A1508" i="37"/>
  <c r="B1508" i="37"/>
  <c r="A1509" i="37"/>
  <c r="B1509" i="37"/>
  <c r="A1510" i="37"/>
  <c r="B1510" i="37"/>
  <c r="A1511" i="37"/>
  <c r="B1511" i="37"/>
  <c r="A1512" i="37"/>
  <c r="B1512" i="37"/>
  <c r="A1513" i="37"/>
  <c r="B1513" i="37"/>
  <c r="A1514" i="37"/>
  <c r="B1514" i="37"/>
  <c r="A1515" i="37"/>
  <c r="B1515" i="37"/>
  <c r="A1516" i="37"/>
  <c r="B1516" i="37"/>
  <c r="A1517" i="37"/>
  <c r="B1517" i="37"/>
  <c r="A1518" i="37"/>
  <c r="B1518" i="37"/>
  <c r="A1519" i="37"/>
  <c r="B1519" i="37"/>
  <c r="A1520" i="37"/>
  <c r="B1520" i="37"/>
  <c r="A1521" i="37"/>
  <c r="B1521" i="37"/>
  <c r="A1522" i="37"/>
  <c r="B1522" i="37"/>
  <c r="A1523" i="37"/>
  <c r="B1523" i="37"/>
  <c r="A1524" i="37"/>
  <c r="B1524" i="37"/>
  <c r="A1525" i="37"/>
  <c r="B1525" i="37"/>
  <c r="A1526" i="37"/>
  <c r="B1526" i="37"/>
  <c r="A1527" i="37"/>
  <c r="B1527" i="37"/>
  <c r="A1528" i="37"/>
  <c r="B1528" i="37"/>
  <c r="A1529" i="37"/>
  <c r="B1529" i="37"/>
  <c r="A1530" i="37"/>
  <c r="B1530" i="37"/>
  <c r="A1531" i="37"/>
  <c r="B1531" i="37"/>
  <c r="A1532" i="37"/>
  <c r="B1532" i="37"/>
  <c r="A1533" i="37"/>
  <c r="B1533" i="37"/>
  <c r="A1534" i="37"/>
  <c r="B1534" i="37"/>
  <c r="A1535" i="37"/>
  <c r="B1535" i="37"/>
  <c r="A1536" i="37"/>
  <c r="B1536" i="37"/>
  <c r="A1537" i="37"/>
  <c r="B1537" i="37"/>
  <c r="A1538" i="37"/>
  <c r="B1538" i="37"/>
  <c r="A1539" i="37"/>
  <c r="B1539" i="37"/>
  <c r="A1540" i="37"/>
  <c r="B1540" i="37"/>
  <c r="A1541" i="37"/>
  <c r="B1541" i="37"/>
  <c r="A1542" i="37"/>
  <c r="B1542" i="37"/>
  <c r="A1543" i="37"/>
  <c r="B1543" i="37"/>
  <c r="A1544" i="37"/>
  <c r="B1544" i="37"/>
  <c r="A1545" i="37"/>
  <c r="B1545" i="37"/>
  <c r="A1546" i="37"/>
  <c r="B1546" i="37"/>
  <c r="A1547" i="37"/>
  <c r="B1547" i="37"/>
  <c r="A1548" i="37"/>
  <c r="B1548" i="37"/>
  <c r="A1549" i="37"/>
  <c r="B1549" i="37"/>
  <c r="A1550" i="37"/>
  <c r="B1550" i="37"/>
  <c r="A1551" i="37"/>
  <c r="B1551" i="37"/>
  <c r="A1552" i="37"/>
  <c r="B1552" i="37"/>
  <c r="A1553" i="37"/>
  <c r="B1553" i="37"/>
  <c r="A1554" i="37"/>
  <c r="B1554" i="37"/>
  <c r="A1555" i="37"/>
  <c r="B1555" i="37"/>
  <c r="A1556" i="37"/>
  <c r="B1556" i="37"/>
  <c r="A1557" i="37"/>
  <c r="B1557" i="37"/>
  <c r="A1558" i="37"/>
  <c r="B1558" i="37"/>
  <c r="A1559" i="37"/>
  <c r="B1559" i="37"/>
  <c r="A1560" i="37"/>
  <c r="B1560" i="37"/>
  <c r="A1561" i="37"/>
  <c r="B1561" i="37"/>
  <c r="A1562" i="37"/>
  <c r="B1562" i="37"/>
  <c r="A1563" i="37"/>
  <c r="B1563" i="37"/>
  <c r="A1564" i="37"/>
  <c r="B1564" i="37"/>
  <c r="A1565" i="37"/>
  <c r="B1565" i="37"/>
  <c r="A1566" i="37"/>
  <c r="B1566" i="37"/>
  <c r="A1567" i="37"/>
  <c r="B1567" i="37"/>
  <c r="A1568" i="37"/>
  <c r="B1568" i="37"/>
  <c r="A1569" i="37"/>
  <c r="B1569" i="37"/>
  <c r="A1570" i="37"/>
  <c r="B1570" i="37"/>
  <c r="A1571" i="37"/>
  <c r="B1571" i="37"/>
  <c r="A1572" i="37"/>
  <c r="B1572" i="37"/>
  <c r="A1573" i="37"/>
  <c r="B1573" i="37"/>
  <c r="A1574" i="37"/>
  <c r="B1574" i="37"/>
  <c r="A1575" i="37"/>
  <c r="B1575" i="37"/>
  <c r="A1576" i="37"/>
  <c r="B1576" i="37"/>
  <c r="A1577" i="37"/>
  <c r="B1577" i="37"/>
  <c r="A1578" i="37"/>
  <c r="B1578" i="37"/>
  <c r="A1579" i="37"/>
  <c r="B1579" i="37"/>
  <c r="A1580" i="37"/>
  <c r="B1580" i="37"/>
  <c r="A1581" i="37"/>
  <c r="B1581" i="37"/>
  <c r="A1582" i="37"/>
  <c r="B1582" i="37"/>
  <c r="A1583" i="37"/>
  <c r="B1583" i="37"/>
  <c r="A1584" i="37"/>
  <c r="B1584" i="37"/>
  <c r="A1585" i="37"/>
  <c r="B1585" i="37"/>
  <c r="A1586" i="37"/>
  <c r="B1586" i="37"/>
  <c r="A1587" i="37"/>
  <c r="B1587" i="37"/>
  <c r="A1588" i="37"/>
  <c r="B1588" i="37"/>
  <c r="A1589" i="37"/>
  <c r="B1589" i="37"/>
  <c r="A1590" i="37"/>
  <c r="B1590" i="37"/>
  <c r="A1591" i="37"/>
  <c r="B1591" i="37"/>
  <c r="A1592" i="37"/>
  <c r="B1592" i="37"/>
  <c r="A1593" i="37"/>
  <c r="B1593" i="37"/>
  <c r="A1594" i="37"/>
  <c r="B1594" i="37"/>
  <c r="A1595" i="37"/>
  <c r="B1595" i="37"/>
  <c r="A1596" i="37"/>
  <c r="B1596" i="37"/>
  <c r="A1597" i="37"/>
  <c r="B1597" i="37"/>
  <c r="A1598" i="37"/>
  <c r="B1598" i="37"/>
  <c r="A1599" i="37"/>
  <c r="B1599" i="37"/>
  <c r="A1600" i="37"/>
  <c r="B1600" i="37"/>
  <c r="A1601" i="37"/>
  <c r="B1601" i="37"/>
  <c r="A1602" i="37"/>
  <c r="B1602" i="37"/>
  <c r="A1603" i="37"/>
  <c r="B1603" i="37"/>
  <c r="A1604" i="37"/>
  <c r="B1604" i="37"/>
  <c r="A1605" i="37"/>
  <c r="B1605" i="37"/>
  <c r="A1606" i="37"/>
  <c r="B1606" i="37"/>
  <c r="A1607" i="37"/>
  <c r="B1607" i="37"/>
  <c r="A1608" i="37"/>
  <c r="B1608" i="37"/>
  <c r="A1609" i="37"/>
  <c r="B1609" i="37"/>
  <c r="A1610" i="37"/>
  <c r="B1610" i="37"/>
  <c r="A1611" i="37"/>
  <c r="B1611" i="37"/>
  <c r="A1612" i="37"/>
  <c r="B1612" i="37"/>
  <c r="A1613" i="37"/>
  <c r="B1613" i="37"/>
  <c r="A1614" i="37"/>
  <c r="B1614" i="37"/>
  <c r="A1615" i="37"/>
  <c r="B1615" i="37"/>
  <c r="A1616" i="37"/>
  <c r="B1616" i="37"/>
  <c r="A1617" i="37"/>
  <c r="B1617" i="37"/>
  <c r="A1618" i="37"/>
  <c r="B1618" i="37"/>
  <c r="A1619" i="37"/>
  <c r="B1619" i="37"/>
  <c r="A1620" i="37"/>
  <c r="B1620" i="37"/>
  <c r="A1621" i="37"/>
  <c r="B1621" i="37"/>
  <c r="A1622" i="37"/>
  <c r="B1622" i="37"/>
  <c r="A1623" i="37"/>
  <c r="B1623" i="37"/>
  <c r="A1624" i="37"/>
  <c r="B1624" i="37"/>
  <c r="A1625" i="37"/>
  <c r="B1625" i="37"/>
  <c r="A1626" i="37"/>
  <c r="B1626" i="37"/>
  <c r="A1627" i="37"/>
  <c r="B1627" i="37"/>
  <c r="A1628" i="37"/>
  <c r="B1628" i="37"/>
  <c r="A1629" i="37"/>
  <c r="B1629" i="37"/>
  <c r="A1630" i="37"/>
  <c r="B1630" i="37"/>
  <c r="A1631" i="37"/>
  <c r="B1631" i="37"/>
  <c r="A1632" i="37"/>
  <c r="B1632" i="37"/>
  <c r="A1633" i="37"/>
  <c r="B1633" i="37"/>
  <c r="A1634" i="37"/>
  <c r="B1634" i="37"/>
  <c r="A1635" i="37"/>
  <c r="B1635" i="37"/>
  <c r="A1636" i="37"/>
  <c r="B1636" i="37"/>
  <c r="A1637" i="37"/>
  <c r="B1637" i="37"/>
  <c r="A1638" i="37"/>
  <c r="B1638" i="37"/>
  <c r="A1639" i="37"/>
  <c r="B1639" i="37"/>
  <c r="A1640" i="37"/>
  <c r="B1640" i="37"/>
  <c r="A1641" i="37"/>
  <c r="B1641" i="37"/>
  <c r="A1642" i="37"/>
  <c r="B1642" i="37"/>
  <c r="A1643" i="37"/>
  <c r="B1643" i="37"/>
  <c r="A1644" i="37"/>
  <c r="B1644" i="37"/>
  <c r="A1645" i="37"/>
  <c r="B1645" i="37"/>
  <c r="A1646" i="37"/>
  <c r="B1646" i="37"/>
  <c r="A1647" i="37"/>
  <c r="B1647" i="37"/>
  <c r="A1648" i="37"/>
  <c r="B1648" i="37"/>
  <c r="A1649" i="37"/>
  <c r="B1649" i="37"/>
  <c r="A1650" i="37"/>
  <c r="B1650" i="37"/>
  <c r="A1651" i="37"/>
  <c r="B1651" i="37"/>
  <c r="A1652" i="37"/>
  <c r="B1652" i="37"/>
  <c r="A1653" i="37"/>
  <c r="B1653" i="37"/>
  <c r="A1654" i="37"/>
  <c r="B1654" i="37"/>
  <c r="A1655" i="37"/>
  <c r="B1655" i="37"/>
  <c r="A1656" i="37"/>
  <c r="B1656" i="37"/>
  <c r="A1657" i="37"/>
  <c r="B1657" i="37"/>
  <c r="A1658" i="37"/>
  <c r="B1658" i="37"/>
  <c r="A1659" i="37"/>
  <c r="B1659" i="37"/>
  <c r="A1660" i="37"/>
  <c r="B1660" i="37"/>
  <c r="A1661" i="37"/>
  <c r="B1661" i="37"/>
  <c r="A1662" i="37"/>
  <c r="B1662" i="37"/>
  <c r="A1663" i="37"/>
  <c r="B1663" i="37"/>
  <c r="A1664" i="37"/>
  <c r="B1664" i="37"/>
  <c r="A1665" i="37"/>
  <c r="B1665" i="37"/>
  <c r="A1666" i="37"/>
  <c r="B1666" i="37"/>
  <c r="A1667" i="37"/>
  <c r="B1667" i="37"/>
  <c r="A1668" i="37"/>
  <c r="B1668" i="37"/>
  <c r="A1669" i="37"/>
  <c r="B1669" i="37"/>
  <c r="A1670" i="37"/>
  <c r="B1670" i="37"/>
  <c r="A1671" i="37"/>
  <c r="B1671" i="37"/>
  <c r="A1672" i="37"/>
  <c r="B1672" i="37"/>
  <c r="A1673" i="37"/>
  <c r="B1673" i="37"/>
  <c r="A1674" i="37"/>
  <c r="B1674" i="37"/>
  <c r="A1675" i="37"/>
  <c r="B1675" i="37"/>
  <c r="A1676" i="37"/>
  <c r="B1676" i="37"/>
  <c r="A1677" i="37"/>
  <c r="B1677" i="37"/>
  <c r="A1678" i="37"/>
  <c r="B1678" i="37"/>
  <c r="A1679" i="37"/>
  <c r="B1679" i="37"/>
  <c r="A1680" i="37"/>
  <c r="B1680" i="37"/>
  <c r="A1681" i="37"/>
  <c r="B1681" i="37"/>
  <c r="A1682" i="37"/>
  <c r="B1682" i="37"/>
  <c r="A1683" i="37"/>
  <c r="B1683" i="37"/>
  <c r="A1684" i="37"/>
  <c r="B1684" i="37"/>
  <c r="A1685" i="37"/>
  <c r="B1685" i="37"/>
  <c r="A1686" i="37"/>
  <c r="B1686" i="37"/>
  <c r="A1687" i="37"/>
  <c r="B1687" i="37"/>
  <c r="A1688" i="37"/>
  <c r="B1688" i="37"/>
  <c r="A1689" i="37"/>
  <c r="B1689" i="37"/>
  <c r="A1690" i="37"/>
  <c r="B1690" i="37"/>
  <c r="A1691" i="37"/>
  <c r="B1691" i="37"/>
  <c r="A1692" i="37"/>
  <c r="B1692" i="37"/>
  <c r="A1693" i="37"/>
  <c r="B1693" i="37"/>
  <c r="A1694" i="37"/>
  <c r="B1694" i="37"/>
  <c r="A1695" i="37"/>
  <c r="B1695" i="37"/>
  <c r="A1696" i="37"/>
  <c r="B1696" i="37"/>
  <c r="A1697" i="37"/>
  <c r="B1697" i="37"/>
  <c r="A1698" i="37"/>
  <c r="B1698" i="37"/>
  <c r="A1699" i="37"/>
  <c r="B1699" i="37"/>
  <c r="A1700" i="37"/>
  <c r="B1700" i="37"/>
  <c r="A1701" i="37"/>
  <c r="B1701" i="37"/>
  <c r="A1702" i="37"/>
  <c r="B1702" i="37"/>
  <c r="A1703" i="37"/>
  <c r="B1703" i="37"/>
  <c r="A1704" i="37"/>
  <c r="B1704" i="37"/>
  <c r="A1705" i="37"/>
  <c r="B1705" i="37"/>
  <c r="A1706" i="37"/>
  <c r="B1706" i="37"/>
  <c r="A1707" i="37"/>
  <c r="B1707" i="37"/>
  <c r="A1708" i="37"/>
  <c r="B1708" i="37"/>
  <c r="A1709" i="37"/>
  <c r="B1709" i="37"/>
  <c r="A1710" i="37"/>
  <c r="B1710" i="37"/>
  <c r="A1711" i="37"/>
  <c r="B1711" i="37"/>
  <c r="B1011" i="36"/>
  <c r="B1012" i="36"/>
  <c r="B1013" i="36"/>
  <c r="B1014" i="36"/>
  <c r="B1015" i="36"/>
  <c r="B1016" i="36"/>
  <c r="B1017" i="36"/>
  <c r="B1018" i="36"/>
  <c r="B1019" i="36"/>
  <c r="B1020" i="36"/>
  <c r="B1021" i="36"/>
  <c r="B1022" i="36"/>
  <c r="B1023" i="36"/>
  <c r="B1024" i="36"/>
  <c r="B1025" i="36"/>
  <c r="B1026" i="36"/>
  <c r="B1027" i="36"/>
  <c r="B1028" i="36"/>
  <c r="B1029" i="36"/>
  <c r="B1030" i="36"/>
  <c r="B1031" i="36"/>
  <c r="B1032" i="36"/>
  <c r="B1033" i="36"/>
  <c r="B1034" i="36"/>
  <c r="B1035" i="36"/>
  <c r="B1036" i="36"/>
  <c r="B1037" i="36"/>
  <c r="B1038" i="36"/>
  <c r="B1039" i="36"/>
  <c r="B1040" i="36"/>
  <c r="B1041" i="36"/>
  <c r="B1042" i="36"/>
  <c r="B1043" i="36"/>
  <c r="B1044" i="36"/>
  <c r="B1045" i="36"/>
  <c r="B1046" i="36"/>
  <c r="B1047" i="36"/>
  <c r="B1048" i="36"/>
  <c r="B1049" i="36"/>
  <c r="B1050" i="36"/>
  <c r="B1051" i="36"/>
  <c r="B1052" i="36"/>
  <c r="B1053" i="36"/>
  <c r="B1054" i="36"/>
  <c r="B1055" i="36"/>
  <c r="B1056" i="36"/>
  <c r="B1057" i="36"/>
  <c r="B1058" i="36"/>
  <c r="B1059" i="36"/>
  <c r="B1060" i="36"/>
  <c r="B1061" i="36"/>
  <c r="B1062" i="36"/>
  <c r="B1063" i="36"/>
  <c r="B1064" i="36"/>
  <c r="B1065" i="36"/>
  <c r="B1066" i="36"/>
  <c r="B1067" i="36"/>
  <c r="B1068" i="36"/>
  <c r="B1069" i="36"/>
  <c r="B1070" i="36"/>
  <c r="B1071" i="36"/>
  <c r="B1072" i="36"/>
  <c r="B1073" i="36"/>
  <c r="B1074" i="36"/>
  <c r="B1075" i="36"/>
  <c r="B1076" i="36"/>
  <c r="B1077" i="36"/>
  <c r="B1078" i="36"/>
  <c r="B1079" i="36"/>
  <c r="B1080" i="36"/>
  <c r="B1081" i="36"/>
  <c r="B1082" i="36"/>
  <c r="B1083" i="36"/>
  <c r="B1084" i="36"/>
  <c r="B1085" i="36"/>
  <c r="B1086" i="36"/>
  <c r="B1087" i="36"/>
  <c r="B1088" i="36"/>
  <c r="B1089" i="36"/>
  <c r="B1090" i="36"/>
  <c r="B1091" i="36"/>
  <c r="B1092" i="36"/>
  <c r="B1093" i="36"/>
  <c r="B1094" i="36"/>
  <c r="B1095" i="36"/>
  <c r="B1096" i="36"/>
  <c r="B1097" i="36"/>
  <c r="B1098" i="36"/>
  <c r="B1099" i="36"/>
  <c r="B1100" i="36"/>
  <c r="B1101" i="36"/>
  <c r="B1102" i="36"/>
  <c r="B1103" i="36"/>
  <c r="B1104" i="36"/>
  <c r="B1105" i="36"/>
  <c r="B1106" i="36"/>
  <c r="B1107" i="36"/>
  <c r="B1108" i="36"/>
  <c r="B1109" i="36"/>
  <c r="B1110" i="36"/>
  <c r="B1111" i="36"/>
  <c r="B1112" i="36"/>
  <c r="B1113" i="36"/>
  <c r="B1114" i="36"/>
  <c r="B1115" i="36"/>
  <c r="B1116" i="36"/>
  <c r="B1117" i="36"/>
  <c r="B1118" i="36"/>
  <c r="B1119" i="36"/>
  <c r="B1120" i="36"/>
  <c r="B1121" i="36"/>
  <c r="B1122" i="36"/>
  <c r="B1123" i="36"/>
  <c r="B1124" i="36"/>
  <c r="B1125" i="36"/>
  <c r="B1126" i="36"/>
  <c r="B1127" i="36"/>
  <c r="B1128" i="36"/>
  <c r="B1129" i="36"/>
  <c r="B1130" i="36"/>
  <c r="B1131" i="36"/>
  <c r="B1132" i="36"/>
  <c r="B1133" i="36"/>
  <c r="B1134" i="36"/>
  <c r="B1135" i="36"/>
  <c r="B1136" i="36"/>
  <c r="B1137" i="36"/>
  <c r="B1138" i="36"/>
  <c r="B1139" i="36"/>
  <c r="B1140" i="36"/>
  <c r="B1141" i="36"/>
  <c r="B1142" i="36"/>
  <c r="B1143" i="36"/>
  <c r="B1144" i="36"/>
  <c r="B1145" i="36"/>
  <c r="B1146" i="36"/>
  <c r="B1147" i="36"/>
  <c r="B1148" i="36"/>
  <c r="B1149" i="36"/>
  <c r="B1150" i="36"/>
  <c r="B1151" i="36"/>
  <c r="B1152" i="36"/>
  <c r="B1153" i="36"/>
  <c r="B1154" i="36"/>
  <c r="B1155" i="36"/>
  <c r="B1156" i="36"/>
  <c r="B1157" i="36"/>
  <c r="B1158" i="36"/>
  <c r="B1159" i="36"/>
  <c r="B1160" i="36"/>
  <c r="B1161" i="36"/>
  <c r="B1162" i="36"/>
  <c r="B1163" i="36"/>
  <c r="B1164" i="36"/>
  <c r="B1165" i="36"/>
  <c r="B1166" i="36"/>
  <c r="B1167" i="36"/>
  <c r="B1168" i="36"/>
  <c r="B1169" i="36"/>
  <c r="B1170" i="36"/>
  <c r="B1171" i="36"/>
  <c r="B1172" i="36"/>
  <c r="B1173" i="36"/>
  <c r="B1174" i="36"/>
  <c r="B1175" i="36"/>
  <c r="B1176" i="36"/>
  <c r="B1177" i="36"/>
  <c r="B1178" i="36"/>
  <c r="B1179" i="36"/>
  <c r="B1180" i="36"/>
  <c r="B1181" i="36"/>
  <c r="B1182" i="36"/>
  <c r="B1183" i="36"/>
  <c r="B1184" i="36"/>
  <c r="B1185" i="36"/>
  <c r="B1186" i="36"/>
  <c r="B1187" i="36"/>
  <c r="B1188" i="36"/>
  <c r="B1189" i="36"/>
  <c r="B1190" i="36"/>
  <c r="B1191" i="36"/>
  <c r="B1192" i="36"/>
  <c r="B1193" i="36"/>
  <c r="B1194" i="36"/>
  <c r="B1195" i="36"/>
  <c r="B1196" i="36"/>
  <c r="B1197" i="36"/>
  <c r="B1198" i="36"/>
  <c r="B1199" i="36"/>
  <c r="B1200" i="36"/>
  <c r="B1201" i="36"/>
  <c r="B1202" i="36"/>
  <c r="B1203" i="36"/>
  <c r="B1204" i="36"/>
  <c r="B1205" i="36"/>
  <c r="B1206" i="36"/>
  <c r="B1207" i="36"/>
  <c r="B1208" i="36"/>
  <c r="B1209" i="36"/>
  <c r="B1210" i="36"/>
  <c r="B1211" i="36"/>
  <c r="B1212" i="36"/>
  <c r="B1213" i="36"/>
  <c r="B1214" i="36"/>
  <c r="B1215" i="36"/>
  <c r="B1216" i="36"/>
  <c r="B1217" i="36"/>
  <c r="B1218" i="36"/>
  <c r="B1219" i="36"/>
  <c r="B1220" i="36"/>
  <c r="B1221" i="36"/>
  <c r="B1222" i="36"/>
  <c r="B1223" i="36"/>
  <c r="B1224" i="36"/>
  <c r="B1225" i="36"/>
  <c r="B1226" i="36"/>
  <c r="B1227" i="36"/>
  <c r="B1228" i="36"/>
  <c r="B1229" i="36"/>
  <c r="B1230" i="36"/>
  <c r="B1231" i="36"/>
  <c r="B1232" i="36"/>
  <c r="B1233" i="36"/>
  <c r="B1234" i="36"/>
  <c r="B1235" i="36"/>
  <c r="B1236" i="36"/>
  <c r="B1237" i="36"/>
  <c r="B1238" i="36"/>
  <c r="B1239" i="36"/>
  <c r="B1240" i="36"/>
  <c r="B1241" i="36"/>
  <c r="B1242" i="36"/>
  <c r="B1243" i="36"/>
  <c r="B1244" i="36"/>
  <c r="B1245" i="36"/>
  <c r="B1246" i="36"/>
  <c r="B1247" i="36"/>
  <c r="B1248" i="36"/>
  <c r="B1249" i="36"/>
  <c r="B1250" i="36"/>
  <c r="B1251" i="36"/>
  <c r="B1252" i="36"/>
  <c r="B1253" i="36"/>
  <c r="B1254" i="36"/>
  <c r="B1255" i="36"/>
  <c r="B1256" i="36"/>
  <c r="B1257" i="36"/>
  <c r="B1258" i="36"/>
  <c r="B1259" i="36"/>
  <c r="B1260" i="36"/>
  <c r="B1261" i="36"/>
  <c r="B1262" i="36"/>
  <c r="B1263" i="36"/>
  <c r="B1264" i="36"/>
  <c r="B1265" i="36"/>
  <c r="B1266" i="36"/>
  <c r="B1267" i="36"/>
  <c r="B1268" i="36"/>
  <c r="B1269" i="36"/>
  <c r="B1270" i="36"/>
  <c r="B1271" i="36"/>
  <c r="B1272" i="36"/>
  <c r="B1273" i="36"/>
  <c r="B1274" i="36"/>
  <c r="B1275" i="36"/>
  <c r="B1276" i="36"/>
  <c r="B1277" i="36"/>
  <c r="B1278" i="36"/>
  <c r="B1279" i="36"/>
  <c r="B1280" i="36"/>
  <c r="B1281" i="36"/>
  <c r="B1282" i="36"/>
  <c r="B1283" i="36"/>
  <c r="B1284" i="36"/>
  <c r="B1285" i="36"/>
  <c r="B1286" i="36"/>
  <c r="B1287" i="36"/>
  <c r="B1288" i="36"/>
  <c r="B1289" i="36"/>
  <c r="B1290" i="36"/>
  <c r="B1291" i="36"/>
  <c r="B1292" i="36"/>
  <c r="B1293" i="36"/>
  <c r="B1294" i="36"/>
  <c r="B1295" i="36"/>
  <c r="B1296" i="36"/>
  <c r="B1297" i="36"/>
  <c r="B1298" i="36"/>
  <c r="B1299" i="36"/>
  <c r="B1300" i="36"/>
  <c r="B1301" i="36"/>
  <c r="B1302" i="36"/>
  <c r="B1303" i="36"/>
  <c r="B1304" i="36"/>
  <c r="B1305" i="36"/>
  <c r="B1306" i="36"/>
  <c r="B1307" i="36"/>
  <c r="B1308" i="36"/>
  <c r="B1309" i="36"/>
  <c r="B1310" i="36"/>
  <c r="B1311" i="36"/>
  <c r="B1312" i="36"/>
  <c r="B1313" i="36"/>
  <c r="B1314" i="36"/>
  <c r="B1315" i="36"/>
  <c r="B1316" i="36"/>
  <c r="B1317" i="36"/>
  <c r="B1318" i="36"/>
  <c r="B1319" i="36"/>
  <c r="B1320" i="36"/>
  <c r="B1321" i="36"/>
  <c r="B1322" i="36"/>
  <c r="B1323" i="36"/>
  <c r="B1324" i="36"/>
  <c r="B1325" i="36"/>
  <c r="B1326" i="36"/>
  <c r="B1327" i="36"/>
  <c r="B1328" i="36"/>
  <c r="B1329" i="36"/>
  <c r="B1330" i="36"/>
  <c r="B1331" i="36"/>
  <c r="B1332" i="36"/>
  <c r="B1333" i="36"/>
  <c r="B1334" i="36"/>
  <c r="B1335" i="36"/>
  <c r="B1336" i="36"/>
  <c r="B1337" i="36"/>
  <c r="B1338" i="36"/>
  <c r="B1339" i="36"/>
  <c r="B1340" i="36"/>
  <c r="B1341" i="36"/>
  <c r="B1342" i="36"/>
  <c r="B1343" i="36"/>
  <c r="B1344" i="36"/>
  <c r="B1345" i="36"/>
  <c r="B1346" i="36"/>
  <c r="B1347" i="36"/>
  <c r="B1348" i="36"/>
  <c r="B1349" i="36"/>
  <c r="B1350" i="36"/>
  <c r="B1351" i="36"/>
  <c r="B1352" i="36"/>
  <c r="B1353" i="36"/>
  <c r="B1354" i="36"/>
  <c r="B1355" i="36"/>
  <c r="B1356" i="36"/>
  <c r="B1357" i="36"/>
  <c r="B1358" i="36"/>
  <c r="B1359" i="36"/>
  <c r="B1360" i="36"/>
  <c r="B1361" i="36"/>
  <c r="B1362" i="36"/>
  <c r="B1363" i="36"/>
  <c r="B1364" i="36"/>
  <c r="B1365" i="36"/>
  <c r="B1366" i="36"/>
  <c r="B1367" i="36"/>
  <c r="B1368" i="36"/>
  <c r="B1369" i="36"/>
  <c r="B1370" i="36"/>
  <c r="B1371" i="36"/>
  <c r="B1372" i="36"/>
  <c r="B1373" i="36"/>
  <c r="B1374" i="36"/>
  <c r="B1375" i="36"/>
  <c r="B1376" i="36"/>
  <c r="B1377" i="36"/>
  <c r="B1378" i="36"/>
  <c r="B1379" i="36"/>
  <c r="B1380" i="36"/>
  <c r="B1381" i="36"/>
  <c r="B1382" i="36"/>
  <c r="B1383" i="36"/>
  <c r="B1384" i="36"/>
  <c r="B1385" i="36"/>
  <c r="B1386" i="36"/>
  <c r="B1387" i="36"/>
  <c r="B1388" i="36"/>
  <c r="B1389" i="36"/>
  <c r="B1390" i="36"/>
  <c r="B1391" i="36"/>
  <c r="B1392" i="36"/>
  <c r="B1393" i="36"/>
  <c r="B1394" i="36"/>
  <c r="B1395" i="36"/>
  <c r="B1396" i="36"/>
  <c r="B1397" i="36"/>
  <c r="B1398" i="36"/>
  <c r="B1399" i="36"/>
  <c r="B1400" i="36"/>
  <c r="B1401" i="36"/>
  <c r="B1402" i="36"/>
  <c r="B1403" i="36"/>
  <c r="B1404" i="36"/>
  <c r="B1405" i="36"/>
  <c r="B1406" i="36"/>
  <c r="B1407" i="36"/>
  <c r="B1408" i="36"/>
  <c r="B1409" i="36"/>
  <c r="B1410" i="36"/>
  <c r="B1411" i="36"/>
  <c r="B1412" i="36"/>
  <c r="B1413" i="36"/>
  <c r="B1414" i="36"/>
  <c r="B1415" i="36"/>
  <c r="B1416" i="36"/>
  <c r="B1417" i="36"/>
  <c r="B1418" i="36"/>
  <c r="B1419" i="36"/>
  <c r="B1420" i="36"/>
  <c r="B1421" i="36"/>
  <c r="B1422" i="36"/>
  <c r="B1423" i="36"/>
  <c r="B1424" i="36"/>
  <c r="B1425" i="36"/>
  <c r="B1426" i="36"/>
  <c r="B1427" i="36"/>
  <c r="B1428" i="36"/>
  <c r="B1429" i="36"/>
  <c r="B1430" i="36"/>
  <c r="B1431" i="36"/>
  <c r="B1432" i="36"/>
  <c r="B1433" i="36"/>
  <c r="B1434" i="36"/>
  <c r="B1435" i="36"/>
  <c r="B1436" i="36"/>
  <c r="B1437" i="36"/>
  <c r="B1438" i="36"/>
  <c r="B1439" i="36"/>
  <c r="B1440" i="36"/>
  <c r="B1441" i="36"/>
  <c r="B1442" i="36"/>
  <c r="B1443" i="36"/>
  <c r="B1444" i="36"/>
  <c r="B1445" i="36"/>
  <c r="B1446" i="36"/>
  <c r="B1447" i="36"/>
  <c r="B1448" i="36"/>
  <c r="B1449" i="36"/>
  <c r="B1450" i="36"/>
  <c r="B1451" i="36"/>
  <c r="B1452" i="36"/>
  <c r="B1453" i="36"/>
  <c r="B1454" i="36"/>
  <c r="B1455" i="36"/>
  <c r="B1456" i="36"/>
  <c r="B1457" i="36"/>
  <c r="B1458" i="36"/>
  <c r="B1459" i="36"/>
  <c r="B1460" i="36"/>
  <c r="B1461" i="36"/>
  <c r="B1462" i="36"/>
  <c r="B1463" i="36"/>
  <c r="B1464" i="36"/>
  <c r="B1465" i="36"/>
  <c r="B1466" i="36"/>
  <c r="B1467" i="36"/>
  <c r="B1468" i="36"/>
  <c r="B1469" i="36"/>
  <c r="B1470" i="36"/>
  <c r="B1471" i="36"/>
  <c r="B1472" i="36"/>
  <c r="B1473" i="36"/>
  <c r="B1474" i="36"/>
  <c r="B1475" i="36"/>
  <c r="B1476" i="36"/>
  <c r="B1477" i="36"/>
  <c r="B1478" i="36"/>
  <c r="B1479" i="36"/>
  <c r="B1480" i="36"/>
  <c r="B1481" i="36"/>
  <c r="B1482" i="36"/>
  <c r="B1483" i="36"/>
  <c r="B1484" i="36"/>
  <c r="B1485" i="36"/>
  <c r="B1486" i="36"/>
  <c r="B1487" i="36"/>
  <c r="B1488" i="36"/>
  <c r="B1489" i="36"/>
  <c r="B1490" i="36"/>
  <c r="B1491" i="36"/>
  <c r="B1492" i="36"/>
  <c r="B1493" i="36"/>
  <c r="B1494" i="36"/>
  <c r="B1495" i="36"/>
  <c r="B1496" i="36"/>
  <c r="B1497" i="36"/>
  <c r="B1498" i="36"/>
  <c r="B1499" i="36"/>
  <c r="B1500" i="36"/>
  <c r="B1501" i="36"/>
  <c r="B1502" i="36"/>
  <c r="B1503" i="36"/>
  <c r="B1504" i="36"/>
  <c r="B1505" i="36"/>
  <c r="B1506" i="36"/>
  <c r="B1507" i="36"/>
  <c r="B1508" i="36"/>
  <c r="B1509" i="36"/>
  <c r="B1510" i="36"/>
  <c r="B1511" i="36"/>
  <c r="B1512" i="36"/>
  <c r="B1513" i="36"/>
  <c r="B1514" i="36"/>
  <c r="B1515" i="36"/>
  <c r="B1516" i="36"/>
  <c r="B1517" i="36"/>
  <c r="B1518" i="36"/>
  <c r="B1519" i="36"/>
  <c r="B1520" i="36"/>
  <c r="B1521" i="36"/>
  <c r="B1522" i="36"/>
  <c r="B1523" i="36"/>
  <c r="B1524" i="36"/>
  <c r="B1525" i="36"/>
  <c r="B1526" i="36"/>
  <c r="B1527" i="36"/>
  <c r="B1528" i="36"/>
  <c r="B1529" i="36"/>
  <c r="B1530" i="36"/>
  <c r="B1531" i="36"/>
  <c r="A1011" i="36"/>
  <c r="A1012" i="36"/>
  <c r="A1013" i="36"/>
  <c r="A1014" i="36"/>
  <c r="A1015" i="36"/>
  <c r="A1016" i="36"/>
  <c r="A1017" i="36"/>
  <c r="A1018" i="36"/>
  <c r="A1019" i="36"/>
  <c r="A1020" i="36"/>
  <c r="A1021" i="36"/>
  <c r="A1022" i="36"/>
  <c r="A1023" i="36"/>
  <c r="A1024" i="36"/>
  <c r="A1025" i="36"/>
  <c r="A1026" i="36"/>
  <c r="A1027" i="36"/>
  <c r="A1028" i="36"/>
  <c r="A1029" i="36"/>
  <c r="A1030" i="36"/>
  <c r="A1031" i="36"/>
  <c r="A1032" i="36"/>
  <c r="A1033" i="36"/>
  <c r="A1034" i="36"/>
  <c r="A1035" i="36"/>
  <c r="A1036" i="36"/>
  <c r="A1037" i="36"/>
  <c r="A1038" i="36"/>
  <c r="A1039" i="36"/>
  <c r="A1040" i="36"/>
  <c r="A1041" i="36"/>
  <c r="A1042" i="36"/>
  <c r="A1043" i="36"/>
  <c r="A1044" i="36"/>
  <c r="A1045" i="36"/>
  <c r="A1046" i="36"/>
  <c r="A1047" i="36"/>
  <c r="A1048" i="36"/>
  <c r="A1049" i="36"/>
  <c r="A1050" i="36"/>
  <c r="A1051" i="36"/>
  <c r="A1052" i="36"/>
  <c r="A1053" i="36"/>
  <c r="A1054" i="36"/>
  <c r="A1055" i="36"/>
  <c r="A1056" i="36"/>
  <c r="A1057" i="36"/>
  <c r="A1058" i="36"/>
  <c r="A1059" i="36"/>
  <c r="A1060" i="36"/>
  <c r="A1061" i="36"/>
  <c r="A1062" i="36"/>
  <c r="A1063" i="36"/>
  <c r="A1064" i="36"/>
  <c r="A1065" i="36"/>
  <c r="A1066" i="36"/>
  <c r="A1067" i="36"/>
  <c r="A1068" i="36"/>
  <c r="A1069" i="36"/>
  <c r="A1070" i="36"/>
  <c r="A1071" i="36"/>
  <c r="A1072" i="36"/>
  <c r="A1073" i="36"/>
  <c r="A1074" i="36"/>
  <c r="A1075" i="36"/>
  <c r="A1076" i="36"/>
  <c r="A1077" i="36"/>
  <c r="A1078" i="36"/>
  <c r="A1079" i="36"/>
  <c r="A1080" i="36"/>
  <c r="A1081" i="36"/>
  <c r="A1082" i="36"/>
  <c r="A1083" i="36"/>
  <c r="A1084" i="36"/>
  <c r="A1085" i="36"/>
  <c r="A1086" i="36"/>
  <c r="A1087" i="36"/>
  <c r="A1088" i="36"/>
  <c r="A1089" i="36"/>
  <c r="A1090" i="36"/>
  <c r="A1091" i="36"/>
  <c r="A1092" i="36"/>
  <c r="A1093" i="36"/>
  <c r="A1094" i="36"/>
  <c r="A1095" i="36"/>
  <c r="A1096" i="36"/>
  <c r="A1097" i="36"/>
  <c r="A1098" i="36"/>
  <c r="A1099" i="36"/>
  <c r="A1100" i="36"/>
  <c r="A1101" i="36"/>
  <c r="A1102" i="36"/>
  <c r="A1103" i="36"/>
  <c r="A1104" i="36"/>
  <c r="A1105" i="36"/>
  <c r="A1106" i="36"/>
  <c r="A1107" i="36"/>
  <c r="A1108" i="36"/>
  <c r="A1109" i="36"/>
  <c r="A1110" i="36"/>
  <c r="A1111" i="36"/>
  <c r="A1112" i="36"/>
  <c r="A1113" i="36"/>
  <c r="A1114" i="36"/>
  <c r="A1115" i="36"/>
  <c r="A1116" i="36"/>
  <c r="A1117" i="36"/>
  <c r="A1118" i="36"/>
  <c r="A1119" i="36"/>
  <c r="A1120" i="36"/>
  <c r="A1121" i="36"/>
  <c r="A1122" i="36"/>
  <c r="A1123" i="36"/>
  <c r="A1124" i="36"/>
  <c r="A1125" i="36"/>
  <c r="A1126" i="36"/>
  <c r="A1127" i="36"/>
  <c r="A1128" i="36"/>
  <c r="A1129" i="36"/>
  <c r="A1130" i="36"/>
  <c r="A1131" i="36"/>
  <c r="A1132" i="36"/>
  <c r="A1133" i="36"/>
  <c r="A1134" i="36"/>
  <c r="A1135" i="36"/>
  <c r="A1136" i="36"/>
  <c r="A1137" i="36"/>
  <c r="A1138" i="36"/>
  <c r="A1139" i="36"/>
  <c r="A1140" i="36"/>
  <c r="A1141" i="36"/>
  <c r="A1142" i="36"/>
  <c r="A1143" i="36"/>
  <c r="A1144" i="36"/>
  <c r="A1145" i="36"/>
  <c r="A1146" i="36"/>
  <c r="A1147" i="36"/>
  <c r="A1148" i="36"/>
  <c r="A1149" i="36"/>
  <c r="A1150" i="36"/>
  <c r="A1151" i="36"/>
  <c r="A1152" i="36"/>
  <c r="A1153" i="36"/>
  <c r="A1154" i="36"/>
  <c r="A1155" i="36"/>
  <c r="A1156" i="36"/>
  <c r="A1157" i="36"/>
  <c r="A1158" i="36"/>
  <c r="A1159" i="36"/>
  <c r="A1160" i="36"/>
  <c r="A1161" i="36"/>
  <c r="A1162" i="36"/>
  <c r="A1163" i="36"/>
  <c r="A1164" i="36"/>
  <c r="A1165" i="36"/>
  <c r="A1166" i="36"/>
  <c r="A1167" i="36"/>
  <c r="A1168" i="36"/>
  <c r="A1169" i="36"/>
  <c r="A1170" i="36"/>
  <c r="A1171" i="36"/>
  <c r="A1172" i="36"/>
  <c r="A1173" i="36"/>
  <c r="A1174" i="36"/>
  <c r="A1175" i="36"/>
  <c r="A1176" i="36"/>
  <c r="A1177" i="36"/>
  <c r="A1178" i="36"/>
  <c r="A1179" i="36"/>
  <c r="A1180" i="36"/>
  <c r="A1181" i="36"/>
  <c r="A1182" i="36"/>
  <c r="A1183" i="36"/>
  <c r="A1184" i="36"/>
  <c r="A1185" i="36"/>
  <c r="A1186" i="36"/>
  <c r="A1187" i="36"/>
  <c r="A1188" i="36"/>
  <c r="A1189" i="36"/>
  <c r="A1190" i="36"/>
  <c r="A1191" i="36"/>
  <c r="A1192" i="36"/>
  <c r="A1193" i="36"/>
  <c r="A1194" i="36"/>
  <c r="A1195" i="36"/>
  <c r="A1196" i="36"/>
  <c r="A1197" i="36"/>
  <c r="A1198" i="36"/>
  <c r="A1199" i="36"/>
  <c r="A1200" i="36"/>
  <c r="A1201" i="36"/>
  <c r="A1202" i="36"/>
  <c r="A1203" i="36"/>
  <c r="A1204" i="36"/>
  <c r="A1205" i="36"/>
  <c r="A1206" i="36"/>
  <c r="A1207" i="36"/>
  <c r="A1208" i="36"/>
  <c r="A1209" i="36"/>
  <c r="A1210" i="36"/>
  <c r="A1211" i="36"/>
  <c r="A1212" i="36"/>
  <c r="A1213" i="36"/>
  <c r="A1214" i="36"/>
  <c r="A1215" i="36"/>
  <c r="A1216" i="36"/>
  <c r="A1217" i="36"/>
  <c r="A1218" i="36"/>
  <c r="A1219" i="36"/>
  <c r="A1220" i="36"/>
  <c r="A1221" i="36"/>
  <c r="A1222" i="36"/>
  <c r="A1223" i="36"/>
  <c r="A1224" i="36"/>
  <c r="A1225" i="36"/>
  <c r="A1226" i="36"/>
  <c r="A1227" i="36"/>
  <c r="A1228" i="36"/>
  <c r="A1229" i="36"/>
  <c r="A1230" i="36"/>
  <c r="A1231" i="36"/>
  <c r="A1232" i="36"/>
  <c r="A1233" i="36"/>
  <c r="A1234" i="36"/>
  <c r="A1235" i="36"/>
  <c r="A1236" i="36"/>
  <c r="A1237" i="36"/>
  <c r="A1238" i="36"/>
  <c r="A1239" i="36"/>
  <c r="A1240" i="36"/>
  <c r="A1241" i="36"/>
  <c r="A1242" i="36"/>
  <c r="A1243" i="36"/>
  <c r="A1244" i="36"/>
  <c r="A1245" i="36"/>
  <c r="A1246" i="36"/>
  <c r="A1247" i="36"/>
  <c r="A1248" i="36"/>
  <c r="A1249" i="36"/>
  <c r="A1250" i="36"/>
  <c r="A1251" i="36"/>
  <c r="A1252" i="36"/>
  <c r="A1253" i="36"/>
  <c r="A1254" i="36"/>
  <c r="A1255" i="36"/>
  <c r="A1256" i="36"/>
  <c r="A1257" i="36"/>
  <c r="A1258" i="36"/>
  <c r="A1259" i="36"/>
  <c r="A1260" i="36"/>
  <c r="A1261" i="36"/>
  <c r="A1262" i="36"/>
  <c r="A1263" i="36"/>
  <c r="A1264" i="36"/>
  <c r="A1265" i="36"/>
  <c r="A1266" i="36"/>
  <c r="A1267" i="36"/>
  <c r="A1268" i="36"/>
  <c r="A1269" i="36"/>
  <c r="A1270" i="36"/>
  <c r="A1271" i="36"/>
  <c r="A1272" i="36"/>
  <c r="A1273" i="36"/>
  <c r="A1274" i="36"/>
  <c r="A1275" i="36"/>
  <c r="A1276" i="36"/>
  <c r="A1277" i="36"/>
  <c r="A1278" i="36"/>
  <c r="A1279" i="36"/>
  <c r="A1280" i="36"/>
  <c r="A1281" i="36"/>
  <c r="A1282" i="36"/>
  <c r="A1283" i="36"/>
  <c r="A1284" i="36"/>
  <c r="A1285" i="36"/>
  <c r="A1286" i="36"/>
  <c r="A1287" i="36"/>
  <c r="A1288" i="36"/>
  <c r="A1289" i="36"/>
  <c r="A1290" i="36"/>
  <c r="A1291" i="36"/>
  <c r="A1292" i="36"/>
  <c r="A1293" i="36"/>
  <c r="A1294" i="36"/>
  <c r="A1295" i="36"/>
  <c r="A1296" i="36"/>
  <c r="A1297" i="36"/>
  <c r="A1298" i="36"/>
  <c r="A1299" i="36"/>
  <c r="A1300" i="36"/>
  <c r="A1301" i="36"/>
  <c r="A1302" i="36"/>
  <c r="A1303" i="36"/>
  <c r="A1304" i="36"/>
  <c r="A1305" i="36"/>
  <c r="A1306" i="36"/>
  <c r="A1307" i="36"/>
  <c r="A1308" i="36"/>
  <c r="A1309" i="36"/>
  <c r="A1310" i="36"/>
  <c r="A1311" i="36"/>
  <c r="A1312" i="36"/>
  <c r="A1313" i="36"/>
  <c r="A1314" i="36"/>
  <c r="A1315" i="36"/>
  <c r="A1316" i="36"/>
  <c r="A1317" i="36"/>
  <c r="A1318" i="36"/>
  <c r="A1319" i="36"/>
  <c r="A1320" i="36"/>
  <c r="A1321" i="36"/>
  <c r="A1322" i="36"/>
  <c r="A1323" i="36"/>
  <c r="A1324" i="36"/>
  <c r="A1325" i="36"/>
  <c r="A1326" i="36"/>
  <c r="A1327" i="36"/>
  <c r="A1328" i="36"/>
  <c r="A1329" i="36"/>
  <c r="A1330" i="36"/>
  <c r="A1331" i="36"/>
  <c r="A1332" i="36"/>
  <c r="A1333" i="36"/>
  <c r="A1334" i="36"/>
  <c r="A1335" i="36"/>
  <c r="A1336" i="36"/>
  <c r="A1337" i="36"/>
  <c r="A1338" i="36"/>
  <c r="A1339" i="36"/>
  <c r="A1340" i="36"/>
  <c r="A1341" i="36"/>
  <c r="A1342" i="36"/>
  <c r="A1343" i="36"/>
  <c r="A1344" i="36"/>
  <c r="A1345" i="36"/>
  <c r="A1346" i="36"/>
  <c r="A1347" i="36"/>
  <c r="A1348" i="36"/>
  <c r="A1349" i="36"/>
  <c r="A1350" i="36"/>
  <c r="A1351" i="36"/>
  <c r="A1352" i="36"/>
  <c r="A1353" i="36"/>
  <c r="A1354" i="36"/>
  <c r="A1355" i="36"/>
  <c r="A1356" i="36"/>
  <c r="A1357" i="36"/>
  <c r="A1358" i="36"/>
  <c r="A1359" i="36"/>
  <c r="A1360" i="36"/>
  <c r="A1361" i="36"/>
  <c r="A1362" i="36"/>
  <c r="A1363" i="36"/>
  <c r="A1364" i="36"/>
  <c r="A1365" i="36"/>
  <c r="A1366" i="36"/>
  <c r="A1367" i="36"/>
  <c r="A1368" i="36"/>
  <c r="A1369" i="36"/>
  <c r="A1370" i="36"/>
  <c r="A1371" i="36"/>
  <c r="A1372" i="36"/>
  <c r="A1373" i="36"/>
  <c r="A1374" i="36"/>
  <c r="A1375" i="36"/>
  <c r="A1376" i="36"/>
  <c r="A1377" i="36"/>
  <c r="A1378" i="36"/>
  <c r="A1379" i="36"/>
  <c r="A1380" i="36"/>
  <c r="A1381" i="36"/>
  <c r="A1382" i="36"/>
  <c r="A1383" i="36"/>
  <c r="A1384" i="36"/>
  <c r="A1385" i="36"/>
  <c r="A1386" i="36"/>
  <c r="A1387" i="36"/>
  <c r="A1388" i="36"/>
  <c r="A1389" i="36"/>
  <c r="A1390" i="36"/>
  <c r="A1391" i="36"/>
  <c r="A1392" i="36"/>
  <c r="A1393" i="36"/>
  <c r="A1394" i="36"/>
  <c r="A1395" i="36"/>
  <c r="A1396" i="36"/>
  <c r="A1397" i="36"/>
  <c r="A1398" i="36"/>
  <c r="A1399" i="36"/>
  <c r="A1400" i="36"/>
  <c r="A1401" i="36"/>
  <c r="A1402" i="36"/>
  <c r="A1403" i="36"/>
  <c r="A1404" i="36"/>
  <c r="A1405" i="36"/>
  <c r="A1406" i="36"/>
  <c r="A1407" i="36"/>
  <c r="A1408" i="36"/>
  <c r="A1409" i="36"/>
  <c r="A1410" i="36"/>
  <c r="A1411" i="36"/>
  <c r="A1412" i="36"/>
  <c r="A1413" i="36"/>
  <c r="A1414" i="36"/>
  <c r="A1415" i="36"/>
  <c r="A1416" i="36"/>
  <c r="A1417" i="36"/>
  <c r="A1418" i="36"/>
  <c r="A1419" i="36"/>
  <c r="A1420" i="36"/>
  <c r="A1421" i="36"/>
  <c r="A1422" i="36"/>
  <c r="A1423" i="36"/>
  <c r="A1424" i="36"/>
  <c r="A1425" i="36"/>
  <c r="A1426" i="36"/>
  <c r="A1427" i="36"/>
  <c r="A1428" i="36"/>
  <c r="A1429" i="36"/>
  <c r="A1430" i="36"/>
  <c r="A1431" i="36"/>
  <c r="A1432" i="36"/>
  <c r="A1433" i="36"/>
  <c r="A1434" i="36"/>
  <c r="A1435" i="36"/>
  <c r="A1436" i="36"/>
  <c r="A1437" i="36"/>
  <c r="A1438" i="36"/>
  <c r="A1439" i="36"/>
  <c r="A1440" i="36"/>
  <c r="A1441" i="36"/>
  <c r="A1442" i="36"/>
  <c r="A1443" i="36"/>
  <c r="A1444" i="36"/>
  <c r="A1445" i="36"/>
  <c r="A1446" i="36"/>
  <c r="A1447" i="36"/>
  <c r="A1448" i="36"/>
  <c r="A1449" i="36"/>
  <c r="A1450" i="36"/>
  <c r="A1451" i="36"/>
  <c r="A1452" i="36"/>
  <c r="A1453" i="36"/>
  <c r="A1454" i="36"/>
  <c r="A1455" i="36"/>
  <c r="A1456" i="36"/>
  <c r="A1457" i="36"/>
  <c r="A1458" i="36"/>
  <c r="A1459" i="36"/>
  <c r="A1460" i="36"/>
  <c r="A1461" i="36"/>
  <c r="A1462" i="36"/>
  <c r="A1463" i="36"/>
  <c r="A1464" i="36"/>
  <c r="A1465" i="36"/>
  <c r="A1466" i="36"/>
  <c r="A1467" i="36"/>
  <c r="A1468" i="36"/>
  <c r="A1469" i="36"/>
  <c r="A1470" i="36"/>
  <c r="A1471" i="36"/>
  <c r="A1472" i="36"/>
  <c r="A1473" i="36"/>
  <c r="A1474" i="36"/>
  <c r="A1475" i="36"/>
  <c r="A1476" i="36"/>
  <c r="A1477" i="36"/>
  <c r="A1478" i="36"/>
  <c r="A1479" i="36"/>
  <c r="A1480" i="36"/>
  <c r="A1481" i="36"/>
  <c r="A1482" i="36"/>
  <c r="A1483" i="36"/>
  <c r="A1484" i="36"/>
  <c r="A1485" i="36"/>
  <c r="A1486" i="36"/>
  <c r="A1487" i="36"/>
  <c r="A1488" i="36"/>
  <c r="A1489" i="36"/>
  <c r="A1490" i="36"/>
  <c r="A1491" i="36"/>
  <c r="A1492" i="36"/>
  <c r="A1493" i="36"/>
  <c r="A1494" i="36"/>
  <c r="A1495" i="36"/>
  <c r="A1496" i="36"/>
  <c r="A1497" i="36"/>
  <c r="A1498" i="36"/>
  <c r="A1499" i="36"/>
  <c r="A1500" i="36"/>
  <c r="A1501" i="36"/>
  <c r="A1502" i="36"/>
  <c r="A1503" i="36"/>
  <c r="A1504" i="36"/>
  <c r="A1505" i="36"/>
  <c r="A1506" i="36"/>
  <c r="A1507" i="36"/>
  <c r="A1508" i="36"/>
  <c r="A1509" i="36"/>
  <c r="A1510" i="36"/>
  <c r="A1511" i="36"/>
  <c r="A1512" i="36"/>
  <c r="A1513" i="36"/>
  <c r="A1514" i="36"/>
  <c r="A1515" i="36"/>
  <c r="A1516" i="36"/>
  <c r="A1517" i="36"/>
  <c r="A1518" i="36"/>
  <c r="A1519" i="36"/>
  <c r="A1520" i="36"/>
  <c r="A1521" i="36"/>
  <c r="A1522" i="36"/>
  <c r="A1523" i="36"/>
  <c r="A1524" i="36"/>
  <c r="A1525" i="36"/>
  <c r="A1526" i="36"/>
  <c r="A1527" i="36"/>
  <c r="A1528" i="36"/>
  <c r="A1529" i="36"/>
  <c r="A1530" i="36"/>
  <c r="A1531" i="36"/>
  <c r="A3" i="36"/>
  <c r="A4" i="36"/>
  <c r="A5" i="36"/>
  <c r="A6" i="36"/>
  <c r="A7" i="36"/>
  <c r="A8" i="36"/>
  <c r="A9" i="36"/>
  <c r="A10" i="36"/>
  <c r="A11" i="36"/>
  <c r="A12" i="36"/>
  <c r="A13" i="36"/>
  <c r="A14" i="36"/>
  <c r="A15" i="36"/>
  <c r="A16" i="36"/>
  <c r="A17" i="36"/>
  <c r="A18" i="36"/>
  <c r="A19" i="36"/>
  <c r="A20" i="36"/>
  <c r="A21" i="36"/>
  <c r="A22" i="36"/>
  <c r="A23" i="36"/>
  <c r="A24" i="36"/>
  <c r="A25" i="36"/>
  <c r="A26" i="36"/>
  <c r="A27" i="36"/>
  <c r="A28" i="36"/>
  <c r="A29" i="36"/>
  <c r="A30" i="36"/>
  <c r="A31" i="36"/>
  <c r="A32" i="36"/>
  <c r="A33" i="36"/>
  <c r="A34" i="36"/>
  <c r="A35" i="36"/>
  <c r="A36" i="36"/>
  <c r="A37" i="36"/>
  <c r="A38" i="36"/>
  <c r="A39" i="36"/>
  <c r="A40" i="36"/>
  <c r="A41" i="36"/>
  <c r="A42" i="36"/>
  <c r="A43" i="36"/>
  <c r="A44" i="36"/>
  <c r="A45" i="36"/>
  <c r="A46" i="36"/>
  <c r="A47" i="36"/>
  <c r="A48" i="36"/>
  <c r="A49" i="36"/>
  <c r="A50" i="36"/>
  <c r="A51" i="36"/>
  <c r="A52" i="36"/>
  <c r="A53" i="36"/>
  <c r="A54" i="36"/>
  <c r="A55" i="36"/>
  <c r="A56" i="36"/>
  <c r="A57" i="36"/>
  <c r="A58" i="36"/>
  <c r="A59" i="36"/>
  <c r="A60" i="36"/>
  <c r="A61" i="36"/>
  <c r="A62" i="36"/>
  <c r="A63" i="36"/>
  <c r="A64" i="36"/>
  <c r="A65" i="36"/>
  <c r="A66" i="36"/>
  <c r="A67" i="36"/>
  <c r="A68" i="36"/>
  <c r="A69" i="36"/>
  <c r="A70" i="36"/>
  <c r="A71" i="36"/>
  <c r="A72" i="36"/>
  <c r="A73" i="36"/>
  <c r="A74" i="36"/>
  <c r="A75" i="36"/>
  <c r="A76" i="36"/>
  <c r="A77" i="36"/>
  <c r="A78" i="36"/>
  <c r="A79" i="36"/>
  <c r="A80" i="36"/>
  <c r="A81" i="36"/>
  <c r="A82" i="36"/>
  <c r="A83" i="36"/>
  <c r="A84" i="36"/>
  <c r="A85" i="36"/>
  <c r="A86" i="36"/>
  <c r="A87" i="36"/>
  <c r="A88" i="36"/>
  <c r="A89" i="36"/>
  <c r="A90" i="36"/>
  <c r="A91" i="36"/>
  <c r="A92" i="36"/>
  <c r="A93" i="36"/>
  <c r="A94" i="36"/>
  <c r="A95" i="36"/>
  <c r="A96" i="36"/>
  <c r="A97" i="36"/>
  <c r="A98" i="36"/>
  <c r="A99" i="36"/>
  <c r="A100" i="36"/>
  <c r="A101" i="36"/>
  <c r="A102" i="36"/>
  <c r="A103" i="36"/>
  <c r="A104" i="36"/>
  <c r="A105" i="36"/>
  <c r="A106" i="36"/>
  <c r="A107" i="36"/>
  <c r="A108" i="36"/>
  <c r="A109" i="36"/>
  <c r="A110" i="36"/>
  <c r="A111" i="36"/>
  <c r="A112" i="36"/>
  <c r="A113" i="36"/>
  <c r="A114" i="36"/>
  <c r="A115" i="36"/>
  <c r="A116" i="36"/>
  <c r="A117" i="36"/>
  <c r="A118" i="36"/>
  <c r="A119" i="36"/>
  <c r="A120" i="36"/>
  <c r="A121" i="36"/>
  <c r="A122" i="36"/>
  <c r="A123" i="36"/>
  <c r="A124" i="36"/>
  <c r="A125" i="36"/>
  <c r="A126" i="36"/>
  <c r="A127" i="36"/>
  <c r="A128" i="36"/>
  <c r="A129" i="36"/>
  <c r="A130" i="36"/>
  <c r="A131" i="36"/>
  <c r="A132" i="36"/>
  <c r="A133" i="36"/>
  <c r="A134" i="36"/>
  <c r="A135" i="36"/>
  <c r="A136" i="36"/>
  <c r="A137" i="36"/>
  <c r="A138" i="36"/>
  <c r="A139" i="36"/>
  <c r="A140" i="36"/>
  <c r="A141" i="36"/>
  <c r="A142" i="36"/>
  <c r="A143" i="36"/>
  <c r="A144" i="36"/>
  <c r="A145" i="36"/>
  <c r="A146" i="36"/>
  <c r="A147" i="36"/>
  <c r="A148" i="36"/>
  <c r="A149" i="36"/>
  <c r="A150" i="36"/>
  <c r="A151" i="36"/>
  <c r="A152" i="36"/>
  <c r="A153" i="36"/>
  <c r="A154" i="36"/>
  <c r="A155" i="36"/>
  <c r="A156" i="36"/>
  <c r="A157" i="36"/>
  <c r="A158" i="36"/>
  <c r="A159" i="36"/>
  <c r="A160" i="36"/>
  <c r="A161" i="36"/>
  <c r="A162" i="36"/>
  <c r="A163" i="36"/>
  <c r="A164" i="36"/>
  <c r="A165" i="36"/>
  <c r="A166" i="36"/>
  <c r="A167" i="36"/>
  <c r="A168" i="36"/>
  <c r="A169" i="36"/>
  <c r="A170" i="36"/>
  <c r="A171" i="36"/>
  <c r="A172" i="36"/>
  <c r="A173" i="36"/>
  <c r="A174" i="36"/>
  <c r="A175" i="36"/>
  <c r="A176" i="36"/>
  <c r="A177" i="36"/>
  <c r="A178" i="36"/>
  <c r="A179" i="36"/>
  <c r="A180" i="36"/>
  <c r="A181" i="36"/>
  <c r="A182" i="36"/>
  <c r="A183" i="36"/>
  <c r="A184" i="36"/>
  <c r="A185" i="36"/>
  <c r="A186" i="36"/>
  <c r="A187" i="36"/>
  <c r="A188" i="36"/>
  <c r="A189" i="36"/>
  <c r="A190" i="36"/>
  <c r="A191" i="36"/>
  <c r="A192" i="36"/>
  <c r="A193" i="36"/>
  <c r="A194" i="36"/>
  <c r="A195" i="36"/>
  <c r="A196" i="36"/>
  <c r="A197" i="36"/>
  <c r="A198" i="36"/>
  <c r="A199" i="36"/>
  <c r="A200" i="36"/>
  <c r="A201" i="36"/>
  <c r="A202" i="36"/>
  <c r="A203" i="36"/>
  <c r="A204" i="36"/>
  <c r="A205" i="36"/>
  <c r="A206" i="36"/>
  <c r="A207" i="36"/>
  <c r="A208" i="36"/>
  <c r="A209" i="36"/>
  <c r="A210" i="36"/>
  <c r="A211" i="36"/>
  <c r="A212" i="36"/>
  <c r="A213" i="36"/>
  <c r="A214" i="36"/>
  <c r="A215" i="36"/>
  <c r="A216" i="36"/>
  <c r="A217" i="36"/>
  <c r="A218" i="36"/>
  <c r="A219" i="36"/>
  <c r="A220" i="36"/>
  <c r="A221" i="36"/>
  <c r="A222" i="36"/>
  <c r="A223" i="36"/>
  <c r="A224" i="36"/>
  <c r="A225" i="36"/>
  <c r="A226" i="36"/>
  <c r="A227" i="36"/>
  <c r="A228" i="36"/>
  <c r="A229" i="36"/>
  <c r="A230" i="36"/>
  <c r="A231" i="36"/>
  <c r="A232" i="36"/>
  <c r="A233" i="36"/>
  <c r="A234" i="36"/>
  <c r="A235" i="36"/>
  <c r="A236" i="36"/>
  <c r="A237" i="36"/>
  <c r="A238" i="36"/>
  <c r="A239" i="36"/>
  <c r="A240" i="36"/>
  <c r="A241" i="36"/>
  <c r="A242" i="36"/>
  <c r="A243" i="36"/>
  <c r="A244" i="36"/>
  <c r="A245" i="36"/>
  <c r="A246" i="36"/>
  <c r="A247" i="36"/>
  <c r="A248" i="36"/>
  <c r="A249" i="36"/>
  <c r="A250" i="36"/>
  <c r="A251" i="36"/>
  <c r="A252" i="36"/>
  <c r="A253" i="36"/>
  <c r="A254" i="36"/>
  <c r="A255" i="36"/>
  <c r="A256" i="36"/>
  <c r="A257" i="36"/>
  <c r="A258" i="36"/>
  <c r="A259" i="36"/>
  <c r="A260" i="36"/>
  <c r="A261" i="36"/>
  <c r="A262" i="36"/>
  <c r="A263" i="36"/>
  <c r="A264" i="36"/>
  <c r="A265" i="36"/>
  <c r="A266" i="36"/>
  <c r="A267" i="36"/>
  <c r="A268" i="36"/>
  <c r="A269" i="36"/>
  <c r="A270" i="36"/>
  <c r="A271" i="36"/>
  <c r="A272" i="36"/>
  <c r="A273" i="36"/>
  <c r="A274" i="36"/>
  <c r="A275" i="36"/>
  <c r="A276" i="36"/>
  <c r="A277" i="36"/>
  <c r="A278" i="36"/>
  <c r="A279" i="36"/>
  <c r="A280" i="36"/>
  <c r="A281" i="36"/>
  <c r="A282" i="36"/>
  <c r="A283" i="36"/>
  <c r="A284" i="36"/>
  <c r="A285" i="36"/>
  <c r="A286" i="36"/>
  <c r="A287" i="36"/>
  <c r="A288" i="36"/>
  <c r="A289" i="36"/>
  <c r="A290" i="36"/>
  <c r="A291" i="36"/>
  <c r="A292" i="36"/>
  <c r="A293" i="36"/>
  <c r="A294" i="36"/>
  <c r="A295" i="36"/>
  <c r="A296" i="36"/>
  <c r="A297" i="36"/>
  <c r="A298" i="36"/>
  <c r="A299" i="36"/>
  <c r="A300" i="36"/>
  <c r="A301" i="36"/>
  <c r="A302" i="36"/>
  <c r="A303" i="36"/>
  <c r="A304" i="36"/>
  <c r="A305" i="36"/>
  <c r="A306" i="36"/>
  <c r="A307" i="36"/>
  <c r="A308" i="36"/>
  <c r="A309" i="36"/>
  <c r="A310" i="36"/>
  <c r="A311" i="36"/>
  <c r="A312" i="36"/>
  <c r="A313" i="36"/>
  <c r="A314" i="36"/>
  <c r="A315" i="36"/>
  <c r="A316" i="36"/>
  <c r="A317" i="36"/>
  <c r="A318" i="36"/>
  <c r="A319" i="36"/>
  <c r="A320" i="36"/>
  <c r="A321" i="36"/>
  <c r="A322" i="36"/>
  <c r="A323" i="36"/>
  <c r="A324" i="36"/>
  <c r="A325" i="36"/>
  <c r="A326" i="36"/>
  <c r="A327" i="36"/>
  <c r="A328" i="36"/>
  <c r="A329" i="36"/>
  <c r="A330" i="36"/>
  <c r="A331" i="36"/>
  <c r="A332" i="36"/>
  <c r="A333" i="36"/>
  <c r="A334" i="36"/>
  <c r="A335" i="36"/>
  <c r="A336" i="36"/>
  <c r="A337" i="36"/>
  <c r="A338" i="36"/>
  <c r="A339" i="36"/>
  <c r="A340" i="36"/>
  <c r="A341" i="36"/>
  <c r="A342" i="36"/>
  <c r="A343" i="36"/>
  <c r="A344" i="36"/>
  <c r="A345" i="36"/>
  <c r="A346" i="36"/>
  <c r="A347" i="36"/>
  <c r="A348" i="36"/>
  <c r="A349" i="36"/>
  <c r="A350" i="36"/>
  <c r="A351" i="36"/>
  <c r="A352" i="36"/>
  <c r="A353" i="36"/>
  <c r="A354" i="36"/>
  <c r="A355" i="36"/>
  <c r="A356" i="36"/>
  <c r="A357" i="36"/>
  <c r="A358" i="36"/>
  <c r="A359" i="36"/>
  <c r="A360" i="36"/>
  <c r="A361" i="36"/>
  <c r="A362" i="36"/>
  <c r="A363" i="36"/>
  <c r="A364" i="36"/>
  <c r="A365" i="36"/>
  <c r="A366" i="36"/>
  <c r="A367" i="36"/>
  <c r="A368" i="36"/>
  <c r="A369" i="36"/>
  <c r="A370" i="36"/>
  <c r="A371" i="36"/>
  <c r="A372" i="36"/>
  <c r="A373" i="36"/>
  <c r="A374" i="36"/>
  <c r="A375" i="36"/>
  <c r="A376" i="36"/>
  <c r="A377" i="36"/>
  <c r="A378" i="36"/>
  <c r="A379" i="36"/>
  <c r="A380" i="36"/>
  <c r="A381" i="36"/>
  <c r="A382" i="36"/>
  <c r="A383" i="36"/>
  <c r="A384" i="36"/>
  <c r="A385" i="36"/>
  <c r="A386" i="36"/>
  <c r="A387" i="36"/>
  <c r="A388" i="36"/>
  <c r="A389" i="36"/>
  <c r="A390" i="36"/>
  <c r="A391" i="36"/>
  <c r="A392" i="36"/>
  <c r="A393" i="36"/>
  <c r="A394" i="36"/>
  <c r="A395" i="36"/>
  <c r="A396" i="36"/>
  <c r="A397" i="36"/>
  <c r="A398" i="36"/>
  <c r="A399" i="36"/>
  <c r="A400" i="36"/>
  <c r="A401" i="36"/>
  <c r="A402" i="36"/>
  <c r="A403" i="36"/>
  <c r="A404" i="36"/>
  <c r="A405" i="36"/>
  <c r="A406" i="36"/>
  <c r="A407" i="36"/>
  <c r="A408" i="36"/>
  <c r="A409" i="36"/>
  <c r="A410" i="36"/>
  <c r="A411" i="36"/>
  <c r="A412" i="36"/>
  <c r="A413" i="36"/>
  <c r="A414" i="36"/>
  <c r="A415" i="36"/>
  <c r="A416" i="36"/>
  <c r="A417" i="36"/>
  <c r="A418" i="36"/>
  <c r="A419" i="36"/>
  <c r="A420" i="36"/>
  <c r="A421" i="36"/>
  <c r="A422" i="36"/>
  <c r="A423" i="36"/>
  <c r="A424" i="36"/>
  <c r="A425" i="36"/>
  <c r="A426" i="36"/>
  <c r="A427" i="36"/>
  <c r="A428" i="36"/>
  <c r="A429" i="36"/>
  <c r="A430" i="36"/>
  <c r="A431" i="36"/>
  <c r="A432" i="36"/>
  <c r="A433" i="36"/>
  <c r="A434" i="36"/>
  <c r="A435" i="36"/>
  <c r="A436" i="36"/>
  <c r="A437" i="36"/>
  <c r="A438" i="36"/>
  <c r="A439" i="36"/>
  <c r="A440" i="36"/>
  <c r="A441" i="36"/>
  <c r="A442" i="36"/>
  <c r="A443" i="36"/>
  <c r="A444" i="36"/>
  <c r="A445" i="36"/>
  <c r="A446" i="36"/>
  <c r="A447" i="36"/>
  <c r="A448" i="36"/>
  <c r="A449" i="36"/>
  <c r="A450" i="36"/>
  <c r="A451" i="36"/>
  <c r="A452" i="36"/>
  <c r="A453" i="36"/>
  <c r="A454" i="36"/>
  <c r="A455" i="36"/>
  <c r="A456" i="36"/>
  <c r="A457" i="36"/>
  <c r="A458" i="36"/>
  <c r="A459" i="36"/>
  <c r="A460" i="36"/>
  <c r="A461" i="36"/>
  <c r="A462" i="36"/>
  <c r="A463" i="36"/>
  <c r="A464" i="36"/>
  <c r="A465" i="36"/>
  <c r="A466" i="36"/>
  <c r="A467" i="36"/>
  <c r="A468" i="36"/>
  <c r="A469" i="36"/>
  <c r="A470" i="36"/>
  <c r="A471" i="36"/>
  <c r="A472" i="36"/>
  <c r="A473" i="36"/>
  <c r="A474" i="36"/>
  <c r="A475" i="36"/>
  <c r="A476" i="36"/>
  <c r="A477" i="36"/>
  <c r="A478" i="36"/>
  <c r="A479" i="36"/>
  <c r="A480" i="36"/>
  <c r="A481" i="36"/>
  <c r="A482" i="36"/>
  <c r="A483" i="36"/>
  <c r="A484" i="36"/>
  <c r="A485" i="36"/>
  <c r="A486" i="36"/>
  <c r="A487" i="36"/>
  <c r="A488" i="36"/>
  <c r="A489" i="36"/>
  <c r="A490" i="36"/>
  <c r="A491" i="36"/>
  <c r="A492" i="36"/>
  <c r="A493" i="36"/>
  <c r="A494" i="36"/>
  <c r="A495" i="36"/>
  <c r="A496" i="36"/>
  <c r="A497" i="36"/>
  <c r="A498" i="36"/>
  <c r="A499" i="36"/>
  <c r="A500" i="36"/>
  <c r="A501" i="36"/>
  <c r="A502" i="36"/>
  <c r="A503" i="36"/>
  <c r="A504" i="36"/>
  <c r="A505" i="36"/>
  <c r="A506" i="36"/>
  <c r="A507" i="36"/>
  <c r="A508" i="36"/>
  <c r="A509" i="36"/>
  <c r="A510" i="36"/>
  <c r="A511" i="36"/>
  <c r="A512" i="36"/>
  <c r="A513" i="36"/>
  <c r="A514" i="36"/>
  <c r="A515" i="36"/>
  <c r="A516" i="36"/>
  <c r="A517" i="36"/>
  <c r="A518" i="36"/>
  <c r="A519" i="36"/>
  <c r="A520" i="36"/>
  <c r="A521" i="36"/>
  <c r="A522" i="36"/>
  <c r="A523" i="36"/>
  <c r="A524" i="36"/>
  <c r="A525" i="36"/>
  <c r="A526" i="36"/>
  <c r="A527" i="36"/>
  <c r="A528" i="36"/>
  <c r="A529" i="36"/>
  <c r="A530" i="36"/>
  <c r="A531" i="36"/>
  <c r="A532" i="36"/>
  <c r="A533" i="36"/>
  <c r="A534" i="36"/>
  <c r="A535" i="36"/>
  <c r="A536" i="36"/>
  <c r="A537" i="36"/>
  <c r="A538" i="36"/>
  <c r="A539" i="36"/>
  <c r="A540" i="36"/>
  <c r="A541" i="36"/>
  <c r="A542" i="36"/>
  <c r="A543" i="36"/>
  <c r="A544" i="36"/>
  <c r="A545" i="36"/>
  <c r="A546" i="36"/>
  <c r="A547" i="36"/>
  <c r="A548" i="36"/>
  <c r="A549" i="36"/>
  <c r="A550" i="36"/>
  <c r="A551" i="36"/>
  <c r="A552" i="36"/>
  <c r="A553" i="36"/>
  <c r="A554" i="36"/>
  <c r="A555" i="36"/>
  <c r="A556" i="36"/>
  <c r="A557" i="36"/>
  <c r="A558" i="36"/>
  <c r="A559" i="36"/>
  <c r="A560" i="36"/>
  <c r="A561" i="36"/>
  <c r="A562" i="36"/>
  <c r="A563" i="36"/>
  <c r="A564" i="36"/>
  <c r="A565" i="36"/>
  <c r="A566" i="36"/>
  <c r="A567" i="36"/>
  <c r="A568" i="36"/>
  <c r="A569" i="36"/>
  <c r="A570" i="36"/>
  <c r="A571" i="36"/>
  <c r="A572" i="36"/>
  <c r="A573" i="36"/>
  <c r="A574" i="36"/>
  <c r="A575" i="36"/>
  <c r="A576" i="36"/>
  <c r="A577" i="36"/>
  <c r="A578" i="36"/>
  <c r="A579" i="36"/>
  <c r="A580" i="36"/>
  <c r="A581" i="36"/>
  <c r="A582" i="36"/>
  <c r="A583" i="36"/>
  <c r="A584" i="36"/>
  <c r="A585" i="36"/>
  <c r="A586" i="36"/>
  <c r="A587" i="36"/>
  <c r="A588" i="36"/>
  <c r="A589" i="36"/>
  <c r="A590" i="36"/>
  <c r="A591" i="36"/>
  <c r="A592" i="36"/>
  <c r="A593" i="36"/>
  <c r="A594" i="36"/>
  <c r="A595" i="36"/>
  <c r="A596" i="36"/>
  <c r="A597" i="36"/>
  <c r="A598" i="36"/>
  <c r="A599" i="36"/>
  <c r="A600" i="36"/>
  <c r="A601" i="36"/>
  <c r="A602" i="36"/>
  <c r="A603" i="36"/>
  <c r="A604" i="36"/>
  <c r="A605" i="36"/>
  <c r="A606" i="36"/>
  <c r="A607" i="36"/>
  <c r="A608" i="36"/>
  <c r="A609" i="36"/>
  <c r="A610" i="36"/>
  <c r="A611" i="36"/>
  <c r="A612" i="36"/>
  <c r="A613" i="36"/>
  <c r="A614" i="36"/>
  <c r="A615" i="36"/>
  <c r="A616" i="36"/>
  <c r="A617" i="36"/>
  <c r="A618" i="36"/>
  <c r="A619" i="36"/>
  <c r="A620" i="36"/>
  <c r="A621" i="36"/>
  <c r="A622" i="36"/>
  <c r="A623" i="36"/>
  <c r="A624" i="36"/>
  <c r="A625" i="36"/>
  <c r="A626" i="36"/>
  <c r="A627" i="36"/>
  <c r="A628" i="36"/>
  <c r="A629" i="36"/>
  <c r="A630" i="36"/>
  <c r="A631" i="36"/>
  <c r="A632" i="36"/>
  <c r="A633" i="36"/>
  <c r="A634" i="36"/>
  <c r="A635" i="36"/>
  <c r="A636" i="36"/>
  <c r="A637" i="36"/>
  <c r="A638" i="36"/>
  <c r="A639" i="36"/>
  <c r="A640" i="36"/>
  <c r="A641" i="36"/>
  <c r="A642" i="36"/>
  <c r="A643" i="36"/>
  <c r="A644" i="36"/>
  <c r="A645" i="36"/>
  <c r="A646" i="36"/>
  <c r="A647" i="36"/>
  <c r="A648" i="36"/>
  <c r="A649" i="36"/>
  <c r="A650" i="36"/>
  <c r="A651" i="36"/>
  <c r="A652" i="36"/>
  <c r="A653" i="36"/>
  <c r="A654" i="36"/>
  <c r="A655" i="36"/>
  <c r="A656" i="36"/>
  <c r="A657" i="36"/>
  <c r="A658" i="36"/>
  <c r="A659" i="36"/>
  <c r="A660" i="36"/>
  <c r="A661" i="36"/>
  <c r="A662" i="36"/>
  <c r="A663" i="36"/>
  <c r="A664" i="36"/>
  <c r="A665" i="36"/>
  <c r="A666" i="36"/>
  <c r="A667" i="36"/>
  <c r="A668" i="36"/>
  <c r="A669" i="36"/>
  <c r="A670" i="36"/>
  <c r="A671" i="36"/>
  <c r="A672" i="36"/>
  <c r="A673" i="36"/>
  <c r="A674" i="36"/>
  <c r="A675" i="36"/>
  <c r="A676" i="36"/>
  <c r="A677" i="36"/>
  <c r="A678" i="36"/>
  <c r="A679" i="36"/>
  <c r="A680" i="36"/>
  <c r="A681" i="36"/>
  <c r="A682" i="36"/>
  <c r="A683" i="36"/>
  <c r="A684" i="36"/>
  <c r="A685" i="36"/>
  <c r="A686" i="36"/>
  <c r="A687" i="36"/>
  <c r="A688" i="36"/>
  <c r="A689" i="36"/>
  <c r="A690" i="36"/>
  <c r="A691" i="36"/>
  <c r="A692" i="36"/>
  <c r="A693" i="36"/>
  <c r="A694" i="36"/>
  <c r="A695" i="36"/>
  <c r="A696" i="36"/>
  <c r="A697" i="36"/>
  <c r="A698" i="36"/>
  <c r="A699" i="36"/>
  <c r="A700" i="36"/>
  <c r="A701" i="36"/>
  <c r="A702" i="36"/>
  <c r="A703" i="36"/>
  <c r="A704" i="36"/>
  <c r="A705" i="36"/>
  <c r="A706" i="36"/>
  <c r="A707" i="36"/>
  <c r="A708" i="36"/>
  <c r="A709" i="36"/>
  <c r="A710" i="36"/>
  <c r="A711" i="36"/>
  <c r="A712" i="36"/>
  <c r="A713" i="36"/>
  <c r="A714" i="36"/>
  <c r="A715" i="36"/>
  <c r="A716" i="36"/>
  <c r="A717" i="36"/>
  <c r="A718" i="36"/>
  <c r="A719" i="36"/>
  <c r="A720" i="36"/>
  <c r="A721" i="36"/>
  <c r="A722" i="36"/>
  <c r="A723" i="36"/>
  <c r="A724" i="36"/>
  <c r="A725" i="36"/>
  <c r="A726" i="36"/>
  <c r="A727" i="36"/>
  <c r="A728" i="36"/>
  <c r="A729" i="36"/>
  <c r="A730" i="36"/>
  <c r="A731" i="36"/>
  <c r="A732" i="36"/>
  <c r="A733" i="36"/>
  <c r="A734" i="36"/>
  <c r="A735" i="36"/>
  <c r="A736" i="36"/>
  <c r="A737" i="36"/>
  <c r="A738" i="36"/>
  <c r="A739" i="36"/>
  <c r="A740" i="36"/>
  <c r="A741" i="36"/>
  <c r="A742" i="36"/>
  <c r="A743" i="36"/>
  <c r="A744" i="36"/>
  <c r="A745" i="36"/>
  <c r="A746" i="36"/>
  <c r="A747" i="36"/>
  <c r="A748" i="36"/>
  <c r="A749" i="36"/>
  <c r="A750" i="36"/>
  <c r="A751" i="36"/>
  <c r="A752" i="36"/>
  <c r="A753" i="36"/>
  <c r="A754" i="36"/>
  <c r="A755" i="36"/>
  <c r="A756" i="36"/>
  <c r="A757" i="36"/>
  <c r="A758" i="36"/>
  <c r="A759" i="36"/>
  <c r="A760" i="36"/>
  <c r="A761" i="36"/>
  <c r="A762" i="36"/>
  <c r="A763" i="36"/>
  <c r="A764" i="36"/>
  <c r="A765" i="36"/>
  <c r="A766" i="36"/>
  <c r="A767" i="36"/>
  <c r="A768" i="36"/>
  <c r="A769" i="36"/>
  <c r="A770" i="36"/>
  <c r="A771" i="36"/>
  <c r="A772" i="36"/>
  <c r="A773" i="36"/>
  <c r="A774" i="36"/>
  <c r="A775" i="36"/>
  <c r="A776" i="36"/>
  <c r="A777" i="36"/>
  <c r="A778" i="36"/>
  <c r="A779" i="36"/>
  <c r="A780" i="36"/>
  <c r="A781" i="36"/>
  <c r="A782" i="36"/>
  <c r="A783" i="36"/>
  <c r="A784" i="36"/>
  <c r="A785" i="36"/>
  <c r="A786" i="36"/>
  <c r="A787" i="36"/>
  <c r="A788" i="36"/>
  <c r="A789" i="36"/>
  <c r="A790" i="36"/>
  <c r="A791" i="36"/>
  <c r="A792" i="36"/>
  <c r="A793" i="36"/>
  <c r="A794" i="36"/>
  <c r="A795" i="36"/>
  <c r="A796" i="36"/>
  <c r="A797" i="36"/>
  <c r="A798" i="36"/>
  <c r="A799" i="36"/>
  <c r="A800" i="36"/>
  <c r="A801" i="36"/>
  <c r="A802" i="36"/>
  <c r="A803" i="36"/>
  <c r="A804" i="36"/>
  <c r="A805" i="36"/>
  <c r="A806" i="36"/>
  <c r="A807" i="36"/>
  <c r="A808" i="36"/>
  <c r="A809" i="36"/>
  <c r="A810" i="36"/>
  <c r="A811" i="36"/>
  <c r="A812" i="36"/>
  <c r="A813" i="36"/>
  <c r="A814" i="36"/>
  <c r="A815" i="36"/>
  <c r="A816" i="36"/>
  <c r="A817" i="36"/>
  <c r="A818" i="36"/>
  <c r="A819" i="36"/>
  <c r="A820" i="36"/>
  <c r="A821" i="36"/>
  <c r="A822" i="36"/>
  <c r="A823" i="36"/>
  <c r="A824" i="36"/>
  <c r="A825" i="36"/>
  <c r="A826" i="36"/>
  <c r="A827" i="36"/>
  <c r="A828" i="36"/>
  <c r="A829" i="36"/>
  <c r="A830" i="36"/>
  <c r="A831" i="36"/>
  <c r="A832" i="36"/>
  <c r="A833" i="36"/>
  <c r="A834" i="36"/>
  <c r="A835" i="36"/>
  <c r="A836" i="36"/>
  <c r="A837" i="36"/>
  <c r="A838" i="36"/>
  <c r="A839" i="36"/>
  <c r="A840" i="36"/>
  <c r="A841" i="36"/>
  <c r="A842" i="36"/>
  <c r="A843" i="36"/>
  <c r="A844" i="36"/>
  <c r="A845" i="36"/>
  <c r="A846" i="36"/>
  <c r="A847" i="36"/>
  <c r="A848" i="36"/>
  <c r="A849" i="36"/>
  <c r="A850" i="36"/>
  <c r="A851" i="36"/>
  <c r="A852" i="36"/>
  <c r="A853" i="36"/>
  <c r="A854" i="36"/>
  <c r="A855" i="36"/>
  <c r="A856" i="36"/>
  <c r="A857" i="36"/>
  <c r="A858" i="36"/>
  <c r="A859" i="36"/>
  <c r="A860" i="36"/>
  <c r="A861" i="36"/>
  <c r="A862" i="36"/>
  <c r="A863" i="36"/>
  <c r="A864" i="36"/>
  <c r="A865" i="36"/>
  <c r="A866" i="36"/>
  <c r="A867" i="36"/>
  <c r="A868" i="36"/>
  <c r="A869" i="36"/>
  <c r="A870" i="36"/>
  <c r="A871" i="36"/>
  <c r="A872" i="36"/>
  <c r="A873" i="36"/>
  <c r="A874" i="36"/>
  <c r="A875" i="36"/>
  <c r="A876" i="36"/>
  <c r="A877" i="36"/>
  <c r="A878" i="36"/>
  <c r="A879" i="36"/>
  <c r="A880" i="36"/>
  <c r="A881" i="36"/>
  <c r="A882" i="36"/>
  <c r="A883" i="36"/>
  <c r="A884" i="36"/>
  <c r="A885" i="36"/>
  <c r="A886" i="36"/>
  <c r="A887" i="36"/>
  <c r="A888" i="36"/>
  <c r="A889" i="36"/>
  <c r="A890" i="36"/>
  <c r="A891" i="36"/>
  <c r="A892" i="36"/>
  <c r="A893" i="36"/>
  <c r="A894" i="36"/>
  <c r="A895" i="36"/>
  <c r="A896" i="36"/>
  <c r="A897" i="36"/>
  <c r="A898" i="36"/>
  <c r="A899" i="36"/>
  <c r="A900" i="36"/>
  <c r="A901" i="36"/>
  <c r="A902" i="36"/>
  <c r="A903" i="36"/>
  <c r="A904" i="36"/>
  <c r="A905" i="36"/>
  <c r="A906" i="36"/>
  <c r="A907" i="36"/>
  <c r="A908" i="36"/>
  <c r="A909" i="36"/>
  <c r="A910" i="36"/>
  <c r="A911" i="36"/>
  <c r="A912" i="36"/>
  <c r="A913" i="36"/>
  <c r="A914" i="36"/>
  <c r="A915" i="36"/>
  <c r="A916" i="36"/>
  <c r="A917" i="36"/>
  <c r="A918" i="36"/>
  <c r="A919" i="36"/>
  <c r="A920" i="36"/>
  <c r="A921" i="36"/>
  <c r="A922" i="36"/>
  <c r="A923" i="36"/>
  <c r="A924" i="36"/>
  <c r="A925" i="36"/>
  <c r="A926" i="36"/>
  <c r="A927" i="36"/>
  <c r="A928" i="36"/>
  <c r="A929" i="36"/>
  <c r="A930" i="36"/>
  <c r="A931" i="36"/>
  <c r="A932" i="36"/>
  <c r="A933" i="36"/>
  <c r="A934" i="36"/>
  <c r="A935" i="36"/>
  <c r="A936" i="36"/>
  <c r="A937" i="36"/>
  <c r="A938" i="36"/>
  <c r="A939" i="36"/>
  <c r="A940" i="36"/>
  <c r="A941" i="36"/>
  <c r="A942" i="36"/>
  <c r="A943" i="36"/>
  <c r="A944" i="36"/>
  <c r="A945" i="36"/>
  <c r="A946" i="36"/>
  <c r="A947" i="36"/>
  <c r="A948" i="36"/>
  <c r="A949" i="36"/>
  <c r="A950" i="36"/>
  <c r="A951" i="36"/>
  <c r="A952" i="36"/>
  <c r="A953" i="36"/>
  <c r="A954" i="36"/>
  <c r="A955" i="36"/>
  <c r="A956" i="36"/>
  <c r="A957" i="36"/>
  <c r="A958" i="36"/>
  <c r="A959" i="36"/>
  <c r="A960" i="36"/>
  <c r="A961" i="36"/>
  <c r="A962" i="36"/>
  <c r="A963" i="36"/>
  <c r="A964" i="36"/>
  <c r="A965" i="36"/>
  <c r="A966" i="36"/>
  <c r="A967" i="36"/>
  <c r="A968" i="36"/>
  <c r="A969" i="36"/>
  <c r="A970" i="36"/>
  <c r="A971" i="36"/>
  <c r="A972" i="36"/>
  <c r="A973" i="36"/>
  <c r="A974" i="36"/>
  <c r="A975" i="36"/>
  <c r="A976" i="36"/>
  <c r="A977" i="36"/>
  <c r="A978" i="36"/>
  <c r="A979" i="36"/>
  <c r="A980" i="36"/>
  <c r="A981" i="36"/>
  <c r="A982" i="36"/>
  <c r="A983" i="36"/>
  <c r="A984" i="36"/>
  <c r="A985" i="36"/>
  <c r="A986" i="36"/>
  <c r="A987" i="36"/>
  <c r="A988" i="36"/>
  <c r="A989" i="36"/>
  <c r="A990" i="36"/>
  <c r="A991" i="36"/>
  <c r="A992" i="36"/>
  <c r="A993" i="36"/>
  <c r="A994" i="36"/>
  <c r="A995" i="36"/>
  <c r="A996" i="36"/>
  <c r="A997" i="36"/>
  <c r="A998" i="36"/>
  <c r="A999" i="36"/>
  <c r="A1000" i="36"/>
  <c r="A1001" i="36"/>
  <c r="A1002" i="36"/>
  <c r="A1003" i="36"/>
  <c r="A1004" i="36"/>
  <c r="A1005" i="36"/>
  <c r="A1006" i="36"/>
  <c r="A1007" i="36"/>
  <c r="A1008" i="36"/>
  <c r="A1009" i="36"/>
  <c r="A1010" i="36"/>
  <c r="A3" i="35"/>
  <c r="A4" i="35"/>
  <c r="A5" i="35"/>
  <c r="A6" i="35"/>
  <c r="A7" i="35"/>
  <c r="A8" i="35"/>
  <c r="A9" i="35"/>
  <c r="A10" i="35"/>
  <c r="A11" i="35"/>
  <c r="A12" i="35"/>
  <c r="A13" i="35"/>
  <c r="A14" i="35"/>
  <c r="A15" i="35"/>
  <c r="A16" i="35"/>
  <c r="A17" i="35"/>
  <c r="A18" i="35"/>
  <c r="A19" i="35"/>
  <c r="A20" i="35"/>
  <c r="A21" i="35"/>
  <c r="A22" i="35"/>
  <c r="A23" i="35"/>
  <c r="A24" i="35"/>
  <c r="A25" i="35"/>
  <c r="A26" i="35"/>
  <c r="A27" i="35"/>
  <c r="A28" i="35"/>
  <c r="A29" i="35"/>
  <c r="A30" i="35"/>
  <c r="A31" i="35"/>
  <c r="A32" i="35"/>
  <c r="A33" i="35"/>
  <c r="A34" i="35"/>
  <c r="A35" i="35"/>
  <c r="A36" i="35"/>
  <c r="A37" i="35"/>
  <c r="A38" i="35"/>
  <c r="A39" i="35"/>
  <c r="A40" i="35"/>
  <c r="A41" i="35"/>
  <c r="A42" i="35"/>
  <c r="A43" i="35"/>
  <c r="A44" i="35"/>
  <c r="A45" i="35"/>
  <c r="A46" i="35"/>
  <c r="A47" i="35"/>
  <c r="A48" i="35"/>
  <c r="A49" i="35"/>
  <c r="A50" i="35"/>
  <c r="A51" i="35"/>
  <c r="A52" i="35"/>
  <c r="A53" i="35"/>
  <c r="A54" i="35"/>
  <c r="A55" i="35"/>
  <c r="A56" i="35"/>
  <c r="A57" i="35"/>
  <c r="A58" i="35"/>
  <c r="A59" i="35"/>
  <c r="A60" i="35"/>
  <c r="A61" i="35"/>
  <c r="A62" i="35"/>
  <c r="A63" i="35"/>
  <c r="A64" i="35"/>
  <c r="A65" i="35"/>
  <c r="A66" i="35"/>
  <c r="A67" i="35"/>
  <c r="A68" i="35"/>
  <c r="A69" i="35"/>
  <c r="A70" i="35"/>
  <c r="A71" i="35"/>
  <c r="A72" i="35"/>
  <c r="A73" i="35"/>
  <c r="A74" i="35"/>
  <c r="A75" i="35"/>
  <c r="A76" i="35"/>
  <c r="A77" i="35"/>
  <c r="A78" i="35"/>
  <c r="A79" i="35"/>
  <c r="A80" i="35"/>
  <c r="A81" i="35"/>
  <c r="A82" i="35"/>
  <c r="A83" i="35"/>
  <c r="A84" i="35"/>
  <c r="A85" i="35"/>
  <c r="A86" i="35"/>
  <c r="A87" i="35"/>
  <c r="A88" i="35"/>
  <c r="A89" i="35"/>
  <c r="A90" i="35"/>
  <c r="A91" i="35"/>
  <c r="A92" i="35"/>
  <c r="A93" i="35"/>
  <c r="A94" i="35"/>
  <c r="A95" i="35"/>
  <c r="A96" i="35"/>
  <c r="A97" i="35"/>
  <c r="A98" i="35"/>
  <c r="A99" i="35"/>
  <c r="A100" i="35"/>
  <c r="A101" i="35"/>
  <c r="A102" i="35"/>
  <c r="A103" i="35"/>
  <c r="A104" i="35"/>
  <c r="A105" i="35"/>
  <c r="A106" i="35"/>
  <c r="A107" i="35"/>
  <c r="A108" i="35"/>
  <c r="A109" i="35"/>
  <c r="A110" i="35"/>
  <c r="A111" i="35"/>
  <c r="A112" i="35"/>
  <c r="A113" i="35"/>
  <c r="A114" i="35"/>
  <c r="A115" i="35"/>
  <c r="A116" i="35"/>
  <c r="A117" i="35"/>
  <c r="A118" i="35"/>
  <c r="A119" i="35"/>
  <c r="A120" i="35"/>
  <c r="A121" i="35"/>
  <c r="A122" i="35"/>
  <c r="A123" i="35"/>
  <c r="A124" i="35"/>
  <c r="A125" i="35"/>
  <c r="A126" i="35"/>
  <c r="A127" i="35"/>
  <c r="A128" i="35"/>
  <c r="A129" i="35"/>
  <c r="A130" i="35"/>
  <c r="A131" i="35"/>
  <c r="A132" i="35"/>
  <c r="A133" i="35"/>
  <c r="A134" i="35"/>
  <c r="A135" i="35"/>
  <c r="A136" i="35"/>
  <c r="A137" i="35"/>
  <c r="A138" i="35"/>
  <c r="A139" i="35"/>
  <c r="A140" i="35"/>
  <c r="A141" i="35"/>
  <c r="A142" i="35"/>
  <c r="A143" i="35"/>
  <c r="A144" i="35"/>
  <c r="A145" i="35"/>
  <c r="A146" i="35"/>
  <c r="A147" i="35"/>
  <c r="A148" i="35"/>
  <c r="A149" i="35"/>
  <c r="A150" i="35"/>
  <c r="A151" i="35"/>
  <c r="A152" i="35"/>
  <c r="A153" i="35"/>
  <c r="A154" i="35"/>
  <c r="A155" i="35"/>
  <c r="A156" i="35"/>
  <c r="A157" i="35"/>
  <c r="A158" i="35"/>
  <c r="A159" i="35"/>
  <c r="A160" i="35"/>
  <c r="A161" i="35"/>
  <c r="A162" i="35"/>
  <c r="A163" i="35"/>
  <c r="A164" i="35"/>
  <c r="A165" i="35"/>
  <c r="A166" i="35"/>
  <c r="A167" i="35"/>
  <c r="A168" i="35"/>
  <c r="A169" i="35"/>
  <c r="A170" i="35"/>
  <c r="A171" i="35"/>
  <c r="A172" i="35"/>
  <c r="A173" i="35"/>
  <c r="A174" i="35"/>
  <c r="A175" i="35"/>
  <c r="A176" i="35"/>
  <c r="A177" i="35"/>
  <c r="A178" i="35"/>
  <c r="A179" i="35"/>
  <c r="A180" i="35"/>
  <c r="A181" i="35"/>
  <c r="A182" i="35"/>
  <c r="A183" i="35"/>
  <c r="A184" i="35"/>
  <c r="A185" i="35"/>
  <c r="A186" i="35"/>
  <c r="A187" i="35"/>
  <c r="A188" i="35"/>
  <c r="A189" i="35"/>
  <c r="A190" i="35"/>
  <c r="A191" i="35"/>
  <c r="A192" i="35"/>
  <c r="A193" i="35"/>
  <c r="A194" i="35"/>
  <c r="A195" i="35"/>
  <c r="A196" i="35"/>
  <c r="A197" i="35"/>
  <c r="A198" i="35"/>
  <c r="A199" i="35"/>
  <c r="A200" i="35"/>
  <c r="A201" i="35"/>
  <c r="A202" i="35"/>
  <c r="A203" i="35"/>
  <c r="A204" i="35"/>
  <c r="A205" i="35"/>
  <c r="A206" i="35"/>
  <c r="A207" i="35"/>
  <c r="A208" i="35"/>
  <c r="A209" i="35"/>
  <c r="A210" i="35"/>
  <c r="A211" i="35"/>
  <c r="A212" i="35"/>
  <c r="A213" i="35"/>
  <c r="A214" i="35"/>
  <c r="A215" i="35"/>
  <c r="A216" i="35"/>
  <c r="A217" i="35"/>
  <c r="A218" i="35"/>
  <c r="A219" i="35"/>
  <c r="A220" i="35"/>
  <c r="A221" i="35"/>
  <c r="A222" i="35"/>
  <c r="A223" i="35"/>
  <c r="A224" i="35"/>
  <c r="A225" i="35"/>
  <c r="A226" i="35"/>
  <c r="A227" i="35"/>
  <c r="A228" i="35"/>
  <c r="A229" i="35"/>
  <c r="A230" i="35"/>
  <c r="A231" i="35"/>
  <c r="A232" i="35"/>
  <c r="A233" i="35"/>
  <c r="A234" i="35"/>
  <c r="A235" i="35"/>
  <c r="A236" i="35"/>
  <c r="A237" i="35"/>
  <c r="A238" i="35"/>
  <c r="A239" i="35"/>
  <c r="A240" i="35"/>
  <c r="A241" i="35"/>
  <c r="A242" i="35"/>
  <c r="A243" i="35"/>
  <c r="A244" i="35"/>
  <c r="A245" i="35"/>
  <c r="A246" i="35"/>
  <c r="A247" i="35"/>
  <c r="A248" i="35"/>
  <c r="A249" i="35"/>
  <c r="A250" i="35"/>
  <c r="A251" i="35"/>
  <c r="A252" i="35"/>
  <c r="A253" i="35"/>
  <c r="A254" i="35"/>
  <c r="A255" i="35"/>
  <c r="A256" i="35"/>
  <c r="A257" i="35"/>
  <c r="A258" i="35"/>
  <c r="A259" i="35"/>
  <c r="A260" i="35"/>
  <c r="A261" i="35"/>
  <c r="A262" i="35"/>
  <c r="A263" i="35"/>
  <c r="A264" i="35"/>
  <c r="A265" i="35"/>
  <c r="A266" i="35"/>
  <c r="A267" i="35"/>
  <c r="A268" i="35"/>
  <c r="A269" i="35"/>
  <c r="A270" i="35"/>
  <c r="A271" i="35"/>
  <c r="A272" i="35"/>
  <c r="A273" i="35"/>
  <c r="A274" i="35"/>
  <c r="A275" i="35"/>
  <c r="A276" i="35"/>
  <c r="A277" i="35"/>
  <c r="A278" i="35"/>
  <c r="A279" i="35"/>
  <c r="A280" i="35"/>
  <c r="A281" i="35"/>
  <c r="A282" i="35"/>
  <c r="A283" i="35"/>
  <c r="A284" i="35"/>
  <c r="A285" i="35"/>
  <c r="A286" i="35"/>
  <c r="A287" i="35"/>
  <c r="A288" i="35"/>
  <c r="A289" i="35"/>
  <c r="A290" i="35"/>
  <c r="A291" i="35"/>
  <c r="A292" i="35"/>
  <c r="A293" i="35"/>
  <c r="A294" i="35"/>
  <c r="A295" i="35"/>
  <c r="A296" i="35"/>
  <c r="A297" i="35"/>
  <c r="A298" i="35"/>
  <c r="A299" i="35"/>
  <c r="A300" i="35"/>
  <c r="A301" i="35"/>
  <c r="A302" i="35"/>
  <c r="A303" i="35"/>
  <c r="A304" i="35"/>
  <c r="A305" i="35"/>
  <c r="A306" i="35"/>
  <c r="A307" i="35"/>
  <c r="A308" i="35"/>
  <c r="A309" i="35"/>
  <c r="A310" i="35"/>
  <c r="A311" i="35"/>
  <c r="A312" i="35"/>
  <c r="A313" i="35"/>
  <c r="A314" i="35"/>
  <c r="A315" i="35"/>
  <c r="A316" i="35"/>
  <c r="A317" i="35"/>
  <c r="A318" i="35"/>
  <c r="A319" i="35"/>
  <c r="A320" i="35"/>
  <c r="A321" i="35"/>
  <c r="A322" i="35"/>
  <c r="A323" i="35"/>
  <c r="A324" i="35"/>
  <c r="A325" i="35"/>
  <c r="A326" i="35"/>
  <c r="A327" i="35"/>
  <c r="A328" i="35"/>
  <c r="A329" i="35"/>
  <c r="A330" i="35"/>
  <c r="A331" i="35"/>
  <c r="A332" i="35"/>
  <c r="A333" i="35"/>
  <c r="A334" i="35"/>
  <c r="A335" i="35"/>
  <c r="A336" i="35"/>
  <c r="A337" i="35"/>
  <c r="A338" i="35"/>
  <c r="A339" i="35"/>
  <c r="A340" i="35"/>
  <c r="A341" i="35"/>
  <c r="A342" i="35"/>
  <c r="A343" i="35"/>
  <c r="A344" i="35"/>
  <c r="A345" i="35"/>
  <c r="A346" i="35"/>
  <c r="A347" i="35"/>
  <c r="A348" i="35"/>
  <c r="A349" i="35"/>
  <c r="A350" i="35"/>
  <c r="A351" i="35"/>
  <c r="A352" i="35"/>
  <c r="A353" i="35"/>
  <c r="A354" i="35"/>
  <c r="A355" i="35"/>
  <c r="A356" i="35"/>
  <c r="A357" i="35"/>
  <c r="A358" i="35"/>
  <c r="A359" i="35"/>
  <c r="A360" i="35"/>
  <c r="A361" i="35"/>
  <c r="A362" i="35"/>
  <c r="A363" i="35"/>
  <c r="A364" i="35"/>
  <c r="A365" i="35"/>
  <c r="A366" i="35"/>
  <c r="A367" i="35"/>
  <c r="A368" i="35"/>
  <c r="A369" i="35"/>
  <c r="A370" i="35"/>
  <c r="A371" i="35"/>
  <c r="A372" i="35"/>
  <c r="A373" i="35"/>
  <c r="A374" i="35"/>
  <c r="A375" i="35"/>
  <c r="A376" i="35"/>
  <c r="A377" i="35"/>
  <c r="A378" i="35"/>
  <c r="A379" i="35"/>
  <c r="A380" i="35"/>
  <c r="A381" i="35"/>
  <c r="A382" i="35"/>
  <c r="A383" i="35"/>
  <c r="A384" i="35"/>
  <c r="A385" i="35"/>
  <c r="A386" i="35"/>
  <c r="A387" i="35"/>
  <c r="A388" i="35"/>
  <c r="A389" i="35"/>
  <c r="A390" i="35"/>
  <c r="A391" i="35"/>
  <c r="A392" i="35"/>
  <c r="A393" i="35"/>
  <c r="A394" i="35"/>
  <c r="A395" i="35"/>
  <c r="A396" i="35"/>
  <c r="A397" i="35"/>
  <c r="A398" i="35"/>
  <c r="A399" i="35"/>
  <c r="A400" i="35"/>
  <c r="A401" i="35"/>
  <c r="A402" i="35"/>
  <c r="A403" i="35"/>
  <c r="A404" i="35"/>
  <c r="A405" i="35"/>
  <c r="A406" i="35"/>
  <c r="A407" i="35"/>
  <c r="A408" i="35"/>
  <c r="A409" i="35"/>
  <c r="A410" i="35"/>
  <c r="A411" i="35"/>
  <c r="A412" i="35"/>
  <c r="A413" i="35"/>
  <c r="A414" i="35"/>
  <c r="A415" i="35"/>
  <c r="A416" i="35"/>
  <c r="A417" i="35"/>
  <c r="A418" i="35"/>
  <c r="A419" i="35"/>
  <c r="A420" i="35"/>
  <c r="A421" i="35"/>
  <c r="A422" i="35"/>
  <c r="A423" i="35"/>
  <c r="A424" i="35"/>
  <c r="A425" i="35"/>
  <c r="A426" i="35"/>
  <c r="A427" i="35"/>
  <c r="A428" i="35"/>
  <c r="A429" i="35"/>
  <c r="A430" i="35"/>
  <c r="A431" i="35"/>
  <c r="A432" i="35"/>
  <c r="A433" i="35"/>
  <c r="A434" i="35"/>
  <c r="A435" i="35"/>
  <c r="A436" i="35"/>
  <c r="A437" i="35"/>
  <c r="A438" i="35"/>
  <c r="A439" i="35"/>
  <c r="A440" i="35"/>
  <c r="A441" i="35"/>
  <c r="A442" i="35"/>
  <c r="A443" i="35"/>
  <c r="A444" i="35"/>
  <c r="A445" i="35"/>
  <c r="A446" i="35"/>
  <c r="A447" i="35"/>
  <c r="A448" i="35"/>
  <c r="A449" i="35"/>
  <c r="A450" i="35"/>
  <c r="A451" i="35"/>
  <c r="A452" i="35"/>
  <c r="A453" i="35"/>
  <c r="A454" i="35"/>
  <c r="A455" i="35"/>
  <c r="A456" i="35"/>
  <c r="A457" i="35"/>
  <c r="A458" i="35"/>
  <c r="A459" i="35"/>
  <c r="A460" i="35"/>
  <c r="A461" i="35"/>
  <c r="A462" i="35"/>
  <c r="A463" i="35"/>
  <c r="A464" i="35"/>
  <c r="A465" i="35"/>
  <c r="A466" i="35"/>
  <c r="A467" i="35"/>
  <c r="A468" i="35"/>
  <c r="A469" i="35"/>
  <c r="A470" i="35"/>
  <c r="A471" i="35"/>
  <c r="A472" i="35"/>
  <c r="A473" i="35"/>
  <c r="A474" i="35"/>
  <c r="A475" i="35"/>
  <c r="A476" i="35"/>
  <c r="A477" i="35"/>
  <c r="A478" i="35"/>
  <c r="A479" i="35"/>
  <c r="A480" i="35"/>
  <c r="A481" i="35"/>
  <c r="A482" i="35"/>
  <c r="A483" i="35"/>
  <c r="A484" i="35"/>
  <c r="A485" i="35"/>
  <c r="A486" i="35"/>
  <c r="A487" i="35"/>
  <c r="A488" i="35"/>
  <c r="A489" i="35"/>
  <c r="A490" i="35"/>
  <c r="A491" i="35"/>
  <c r="A492" i="35"/>
  <c r="A493" i="35"/>
  <c r="A494" i="35"/>
  <c r="A495" i="35"/>
  <c r="A496" i="35"/>
  <c r="A497" i="35"/>
  <c r="A498" i="35"/>
  <c r="A499" i="35"/>
  <c r="A500" i="35"/>
  <c r="A501" i="35"/>
  <c r="A502" i="35"/>
  <c r="A503" i="35"/>
  <c r="A504" i="35"/>
  <c r="A505" i="35"/>
  <c r="A506" i="35"/>
  <c r="A507" i="35"/>
  <c r="A508" i="35"/>
  <c r="A509" i="35"/>
  <c r="A510" i="35"/>
  <c r="A511" i="35"/>
  <c r="A512" i="35"/>
  <c r="A513" i="35"/>
  <c r="A514" i="35"/>
  <c r="A515" i="35"/>
  <c r="A516" i="35"/>
  <c r="A517" i="35"/>
  <c r="A518" i="35"/>
  <c r="A519" i="35"/>
  <c r="A520" i="35"/>
  <c r="A521" i="35"/>
  <c r="A522" i="35"/>
  <c r="A523" i="35"/>
  <c r="A524" i="35"/>
  <c r="A525" i="35"/>
  <c r="A526" i="35"/>
  <c r="A527" i="35"/>
  <c r="A528" i="35"/>
  <c r="A529" i="35"/>
  <c r="A530" i="35"/>
  <c r="A531" i="35"/>
  <c r="A532" i="35"/>
  <c r="A533" i="35"/>
  <c r="A534" i="35"/>
  <c r="A535" i="35"/>
  <c r="A536" i="35"/>
  <c r="A537" i="35"/>
  <c r="A538" i="35"/>
  <c r="A539" i="35"/>
  <c r="A540" i="35"/>
  <c r="A541" i="35"/>
  <c r="A542" i="35"/>
  <c r="A543" i="35"/>
  <c r="A544" i="35"/>
  <c r="A545" i="35"/>
  <c r="A546" i="35"/>
  <c r="A547" i="35"/>
  <c r="A548" i="35"/>
  <c r="A549" i="35"/>
  <c r="A550" i="35"/>
  <c r="A551" i="35"/>
  <c r="A552" i="35"/>
  <c r="A553" i="35"/>
  <c r="A554" i="35"/>
  <c r="A555" i="35"/>
  <c r="A556" i="35"/>
  <c r="A557" i="35"/>
  <c r="A558" i="35"/>
  <c r="A559" i="35"/>
  <c r="A560" i="35"/>
  <c r="A561" i="35"/>
  <c r="A562" i="35"/>
  <c r="A563" i="35"/>
  <c r="A564" i="35"/>
  <c r="A565" i="35"/>
  <c r="A566" i="35"/>
  <c r="A567" i="35"/>
  <c r="A568" i="35"/>
  <c r="A569" i="35"/>
  <c r="A570" i="35"/>
  <c r="A571" i="35"/>
  <c r="A572" i="35"/>
  <c r="A573" i="35"/>
  <c r="A574" i="35"/>
  <c r="A575" i="35"/>
  <c r="A576" i="35"/>
  <c r="A577" i="35"/>
  <c r="A578" i="35"/>
  <c r="A579" i="35"/>
  <c r="A580" i="35"/>
  <c r="A581" i="35"/>
  <c r="A582" i="35"/>
  <c r="A583" i="35"/>
  <c r="A584" i="35"/>
  <c r="A585" i="35"/>
  <c r="A586" i="35"/>
  <c r="A587" i="35"/>
  <c r="A588" i="35"/>
  <c r="A589" i="35"/>
  <c r="A590" i="35"/>
  <c r="A591" i="35"/>
  <c r="A592" i="35"/>
  <c r="A593" i="35"/>
  <c r="A594" i="35"/>
  <c r="A595" i="35"/>
  <c r="A596" i="35"/>
  <c r="A597" i="35"/>
  <c r="A598" i="35"/>
  <c r="A599" i="35"/>
  <c r="A600" i="35"/>
  <c r="A601" i="35"/>
  <c r="A602" i="35"/>
  <c r="A603" i="35"/>
  <c r="A604" i="35"/>
  <c r="A605" i="35"/>
  <c r="A606" i="35"/>
  <c r="A607" i="35"/>
  <c r="A608" i="35"/>
  <c r="A609" i="35"/>
  <c r="A610" i="35"/>
  <c r="A611" i="35"/>
  <c r="A612" i="35"/>
  <c r="A613" i="35"/>
  <c r="A614" i="35"/>
  <c r="A615" i="35"/>
  <c r="A616" i="35"/>
  <c r="A617" i="35"/>
  <c r="A618" i="35"/>
  <c r="A619" i="35"/>
  <c r="A620" i="35"/>
  <c r="A621" i="35"/>
  <c r="A622" i="35"/>
  <c r="A623" i="35"/>
  <c r="A624" i="35"/>
  <c r="A625" i="35"/>
  <c r="A626" i="35"/>
  <c r="A627" i="35"/>
  <c r="A628" i="35"/>
  <c r="A629" i="35"/>
  <c r="A630" i="35"/>
  <c r="A631" i="35"/>
  <c r="A632" i="35"/>
  <c r="A633" i="35"/>
  <c r="A634" i="35"/>
  <c r="A635" i="35"/>
  <c r="A636" i="35"/>
  <c r="A637" i="35"/>
  <c r="A638" i="35"/>
  <c r="A639" i="35"/>
  <c r="A640" i="35"/>
  <c r="A641" i="35"/>
  <c r="A642" i="35"/>
  <c r="A643" i="35"/>
  <c r="A644" i="35"/>
  <c r="A645" i="35"/>
  <c r="A646" i="35"/>
  <c r="A647" i="35"/>
  <c r="A648" i="35"/>
  <c r="A649" i="35"/>
  <c r="A650" i="35"/>
  <c r="A651" i="35"/>
  <c r="A652" i="35"/>
  <c r="A653" i="35"/>
  <c r="A654" i="35"/>
  <c r="A655" i="35"/>
  <c r="A656" i="35"/>
  <c r="A657" i="35"/>
  <c r="A658" i="35"/>
  <c r="A659" i="35"/>
  <c r="A660" i="35"/>
  <c r="A661" i="35"/>
  <c r="A662" i="35"/>
  <c r="A663" i="35"/>
  <c r="A664" i="35"/>
  <c r="A665" i="35"/>
  <c r="A666" i="35"/>
  <c r="A667" i="35"/>
  <c r="A668" i="35"/>
  <c r="A669" i="35"/>
  <c r="A670" i="35"/>
  <c r="A671" i="35"/>
  <c r="A672" i="35"/>
  <c r="A673" i="35"/>
  <c r="A674" i="35"/>
  <c r="A675" i="35"/>
  <c r="A676" i="35"/>
  <c r="A677" i="35"/>
  <c r="A678" i="35"/>
  <c r="A679" i="35"/>
  <c r="A680" i="35"/>
  <c r="A681" i="35"/>
  <c r="A682" i="35"/>
  <c r="A683" i="35"/>
  <c r="A684" i="35"/>
  <c r="A685" i="35"/>
  <c r="A686" i="35"/>
  <c r="A687" i="35"/>
  <c r="A688" i="35"/>
  <c r="A689" i="35"/>
  <c r="A690" i="35"/>
  <c r="A691" i="35"/>
  <c r="A692" i="35"/>
  <c r="A693" i="35"/>
  <c r="A694" i="35"/>
  <c r="A695" i="35"/>
  <c r="A696" i="35"/>
  <c r="A697" i="35"/>
  <c r="A698" i="35"/>
  <c r="A699" i="35"/>
  <c r="A700" i="35"/>
  <c r="A701" i="35"/>
  <c r="A702" i="35"/>
  <c r="A703" i="35"/>
  <c r="A704" i="35"/>
  <c r="A705" i="35"/>
  <c r="A706" i="35"/>
  <c r="A707" i="35"/>
  <c r="A708" i="35"/>
  <c r="A709" i="35"/>
  <c r="A710" i="35"/>
  <c r="A711" i="35"/>
  <c r="A712" i="35"/>
  <c r="A713" i="35"/>
  <c r="A714" i="35"/>
  <c r="A715" i="35"/>
  <c r="A716" i="35"/>
  <c r="A717" i="35"/>
  <c r="A718" i="35"/>
  <c r="A719" i="35"/>
  <c r="A720" i="35"/>
  <c r="A721" i="35"/>
  <c r="A722" i="35"/>
  <c r="A723" i="35"/>
  <c r="A724" i="35"/>
  <c r="A725" i="35"/>
  <c r="A726" i="35"/>
  <c r="A727" i="35"/>
  <c r="A728" i="35"/>
  <c r="A729" i="35"/>
  <c r="A730" i="35"/>
  <c r="A731" i="35"/>
  <c r="A732" i="35"/>
  <c r="A733" i="35"/>
  <c r="A734" i="35"/>
  <c r="A735" i="35"/>
  <c r="A736" i="35"/>
  <c r="A737" i="35"/>
  <c r="A738" i="35"/>
  <c r="A739" i="35"/>
  <c r="A740" i="35"/>
  <c r="A741" i="35"/>
  <c r="A742" i="35"/>
  <c r="A743" i="35"/>
  <c r="A744" i="35"/>
  <c r="A745" i="35"/>
  <c r="A746" i="35"/>
  <c r="A747" i="35"/>
  <c r="A748" i="35"/>
  <c r="A749" i="35"/>
  <c r="A750" i="35"/>
  <c r="A751" i="35"/>
  <c r="A752" i="35"/>
  <c r="A753" i="35"/>
  <c r="A754" i="35"/>
  <c r="A755" i="35"/>
  <c r="A756" i="35"/>
  <c r="A757" i="35"/>
  <c r="A758" i="35"/>
  <c r="A759" i="35"/>
  <c r="A760" i="35"/>
  <c r="A761" i="35"/>
  <c r="A762" i="35"/>
  <c r="A763" i="35"/>
  <c r="A764" i="35"/>
  <c r="A765" i="35"/>
  <c r="A766" i="35"/>
  <c r="A767" i="35"/>
  <c r="A768" i="35"/>
  <c r="A769" i="35"/>
  <c r="A770" i="35"/>
  <c r="A771" i="35"/>
  <c r="A772" i="35"/>
  <c r="A773" i="35"/>
  <c r="A774" i="35"/>
  <c r="A775" i="35"/>
  <c r="A776" i="35"/>
  <c r="A777" i="35"/>
  <c r="A778" i="35"/>
  <c r="A779" i="35"/>
  <c r="A780" i="35"/>
  <c r="A781" i="35"/>
  <c r="A782" i="35"/>
  <c r="A783" i="35"/>
  <c r="A784" i="35"/>
  <c r="A785" i="35"/>
  <c r="A786" i="35"/>
  <c r="A787" i="35"/>
  <c r="A788" i="35"/>
  <c r="A789" i="35"/>
  <c r="A790" i="35"/>
  <c r="A791" i="35"/>
  <c r="A792" i="35"/>
  <c r="A793" i="35"/>
  <c r="A794" i="35"/>
  <c r="A795" i="35"/>
  <c r="A796" i="35"/>
  <c r="A797" i="35"/>
  <c r="A798" i="35"/>
  <c r="A799" i="35"/>
  <c r="A800" i="35"/>
  <c r="A801" i="35"/>
  <c r="A802" i="35"/>
  <c r="A803" i="35"/>
  <c r="A804" i="35"/>
  <c r="A805" i="35"/>
  <c r="A806" i="35"/>
  <c r="A807" i="35"/>
  <c r="A808" i="35"/>
  <c r="A809" i="35"/>
  <c r="A810" i="35"/>
  <c r="A811" i="35"/>
  <c r="A812" i="35"/>
  <c r="A813" i="35"/>
  <c r="A814" i="35"/>
  <c r="A815" i="35"/>
  <c r="A816" i="35"/>
  <c r="A817" i="35"/>
  <c r="A818" i="35"/>
  <c r="A819" i="35"/>
  <c r="A820" i="35"/>
  <c r="A821" i="35"/>
  <c r="A822" i="35"/>
  <c r="A823" i="35"/>
  <c r="A824" i="35"/>
  <c r="A825" i="35"/>
  <c r="A826" i="35"/>
  <c r="A827" i="35"/>
  <c r="A828" i="35"/>
  <c r="A829" i="35"/>
  <c r="A830" i="35"/>
  <c r="A831" i="35"/>
  <c r="A832" i="35"/>
  <c r="A833" i="35"/>
  <c r="A834" i="35"/>
  <c r="A835" i="35"/>
  <c r="A836" i="35"/>
  <c r="A837" i="35"/>
  <c r="A838" i="35"/>
  <c r="A839" i="35"/>
  <c r="A840" i="35"/>
  <c r="A841" i="35"/>
  <c r="A842" i="35"/>
  <c r="A843" i="35"/>
  <c r="A844" i="35"/>
  <c r="A845" i="35"/>
  <c r="A846" i="35"/>
  <c r="A847" i="35"/>
  <c r="A848" i="35"/>
  <c r="A849" i="35"/>
  <c r="A850" i="35"/>
  <c r="A851" i="35"/>
  <c r="A852" i="35"/>
  <c r="A853" i="35"/>
  <c r="A854" i="35"/>
  <c r="A855" i="35"/>
  <c r="A856" i="35"/>
  <c r="A857" i="35"/>
  <c r="A858" i="35"/>
  <c r="A859" i="35"/>
  <c r="A860" i="35"/>
  <c r="A861" i="35"/>
  <c r="A862" i="35"/>
  <c r="A863" i="35"/>
  <c r="A864" i="35"/>
  <c r="A865" i="35"/>
  <c r="A866" i="35"/>
  <c r="A867" i="35"/>
  <c r="A868" i="35"/>
  <c r="A869" i="35"/>
  <c r="A870" i="35"/>
  <c r="A871" i="35"/>
  <c r="A872" i="35"/>
  <c r="A873" i="35"/>
  <c r="A874" i="35"/>
  <c r="A875" i="35"/>
  <c r="A876" i="35"/>
  <c r="A877" i="35"/>
  <c r="A878" i="35"/>
  <c r="A879" i="35"/>
  <c r="A880" i="35"/>
  <c r="A881" i="35"/>
  <c r="A882" i="35"/>
  <c r="A883" i="35"/>
  <c r="A884" i="35"/>
  <c r="A885" i="35"/>
  <c r="A886" i="35"/>
  <c r="A887" i="35"/>
  <c r="A888" i="35"/>
  <c r="A889" i="35"/>
  <c r="A890" i="35"/>
  <c r="A891" i="35"/>
  <c r="A892" i="35"/>
  <c r="A893" i="35"/>
  <c r="A894" i="35"/>
  <c r="A895" i="35"/>
  <c r="A896" i="35"/>
  <c r="A897" i="35"/>
  <c r="A898" i="35"/>
  <c r="A899" i="35"/>
  <c r="A900" i="35"/>
  <c r="A901" i="35"/>
  <c r="A902" i="35"/>
  <c r="A903" i="35"/>
  <c r="A904" i="35"/>
  <c r="A905" i="35"/>
  <c r="A906" i="35"/>
  <c r="A907" i="35"/>
  <c r="A908" i="35"/>
  <c r="A909" i="35"/>
  <c r="A910" i="35"/>
  <c r="A911" i="35"/>
  <c r="A912" i="35"/>
  <c r="A913" i="35"/>
  <c r="A914" i="35"/>
  <c r="A915" i="35"/>
  <c r="A916" i="35"/>
  <c r="A917" i="35"/>
  <c r="A918" i="35"/>
  <c r="A919" i="35"/>
  <c r="A920" i="35"/>
  <c r="A921" i="35"/>
  <c r="A922" i="35"/>
  <c r="A923" i="35"/>
  <c r="A924" i="35"/>
  <c r="A925" i="35"/>
  <c r="A926" i="35"/>
  <c r="A927" i="35"/>
  <c r="A928" i="35"/>
  <c r="A929" i="35"/>
  <c r="A930" i="35"/>
  <c r="A931" i="35"/>
  <c r="A932" i="35"/>
  <c r="A933" i="35"/>
  <c r="A934" i="35"/>
  <c r="A935" i="35"/>
  <c r="A936" i="35"/>
  <c r="A937" i="35"/>
  <c r="A938" i="35"/>
  <c r="A939" i="35"/>
  <c r="A940" i="35"/>
  <c r="A941" i="35"/>
  <c r="A942" i="35"/>
  <c r="A943" i="35"/>
  <c r="A944" i="35"/>
  <c r="A945" i="35"/>
  <c r="A946" i="35"/>
  <c r="A947" i="35"/>
  <c r="A948" i="35"/>
  <c r="A949" i="35"/>
  <c r="A950" i="35"/>
  <c r="A951" i="35"/>
  <c r="A952" i="35"/>
  <c r="A953" i="35"/>
  <c r="A954" i="35"/>
  <c r="A955" i="35"/>
  <c r="A956" i="35"/>
  <c r="A957" i="35"/>
  <c r="A958" i="35"/>
  <c r="A959" i="35"/>
  <c r="A960" i="35"/>
  <c r="A961" i="35"/>
  <c r="A962" i="35"/>
  <c r="A963" i="35"/>
  <c r="A964" i="35"/>
  <c r="A965" i="35"/>
  <c r="A966" i="35"/>
  <c r="A967" i="35"/>
  <c r="A968" i="35"/>
  <c r="A969" i="35"/>
  <c r="A970" i="35"/>
  <c r="A971" i="35"/>
  <c r="A972" i="35"/>
  <c r="A973" i="35"/>
  <c r="A974" i="35"/>
  <c r="A975" i="35"/>
  <c r="A976" i="35"/>
  <c r="A977" i="35"/>
  <c r="A978" i="35"/>
  <c r="A979" i="35"/>
  <c r="A980" i="35"/>
  <c r="A981" i="35"/>
  <c r="A982" i="35"/>
  <c r="A983" i="35"/>
  <c r="A984" i="35"/>
  <c r="A985" i="35"/>
  <c r="A986" i="35"/>
  <c r="A987" i="35"/>
  <c r="A988" i="35"/>
  <c r="A989" i="35"/>
  <c r="A990" i="35"/>
  <c r="A991" i="35"/>
  <c r="A992" i="35"/>
  <c r="A993" i="35"/>
  <c r="A994" i="35"/>
  <c r="A995" i="35"/>
  <c r="A996" i="35"/>
  <c r="A997" i="35"/>
  <c r="A998" i="35"/>
  <c r="A999" i="35"/>
  <c r="A1000" i="35"/>
  <c r="A1001" i="35"/>
  <c r="A1002" i="35"/>
  <c r="A1003" i="35"/>
  <c r="A1004" i="35"/>
  <c r="A1005" i="35"/>
  <c r="A1006" i="35"/>
  <c r="A1007" i="35"/>
  <c r="A1008" i="35"/>
  <c r="A1009" i="35"/>
  <c r="A1010" i="35"/>
  <c r="A1011" i="35"/>
  <c r="A1012" i="35"/>
  <c r="A1013" i="35"/>
  <c r="A1014" i="35"/>
  <c r="A1015" i="35"/>
  <c r="A1016" i="35"/>
  <c r="A1017" i="35"/>
  <c r="A1018" i="35"/>
  <c r="A1019" i="35"/>
  <c r="A1020" i="35"/>
  <c r="A1021" i="35"/>
  <c r="A1022" i="35"/>
  <c r="A1023" i="35"/>
  <c r="A1024" i="35"/>
  <c r="A1025" i="35"/>
  <c r="A1026" i="35"/>
  <c r="A1027" i="35"/>
  <c r="A1028" i="35"/>
  <c r="A1029" i="35"/>
  <c r="A1030" i="35"/>
  <c r="A1031" i="35"/>
  <c r="A1032" i="35"/>
  <c r="A1033" i="35"/>
  <c r="A1034" i="35"/>
  <c r="A1035" i="35"/>
  <c r="A1036" i="35"/>
  <c r="A1037" i="35"/>
  <c r="A1038" i="35"/>
  <c r="A1039" i="35"/>
  <c r="A1040" i="35"/>
  <c r="A1041" i="35"/>
  <c r="A1042" i="35"/>
  <c r="A1043" i="35"/>
  <c r="A1044" i="35"/>
  <c r="A1045" i="35"/>
  <c r="A1046" i="35"/>
  <c r="A1047" i="35"/>
  <c r="A1048" i="35"/>
  <c r="A1049" i="35"/>
  <c r="A1050" i="35"/>
  <c r="A1051" i="35"/>
  <c r="A1052" i="35"/>
  <c r="A1053" i="35"/>
  <c r="A1054" i="35"/>
  <c r="A1055" i="35"/>
  <c r="A1056" i="35"/>
  <c r="A1057" i="35"/>
  <c r="A1058" i="35"/>
  <c r="A1059" i="35"/>
  <c r="A1060" i="35"/>
  <c r="A1061" i="35"/>
  <c r="A1062" i="35"/>
  <c r="A1063" i="35"/>
  <c r="A1064" i="35"/>
  <c r="A1065" i="35"/>
  <c r="A1066" i="35"/>
  <c r="A1067" i="35"/>
  <c r="A1068" i="35"/>
  <c r="A1069" i="35"/>
  <c r="A1070" i="35"/>
  <c r="A1071" i="35"/>
  <c r="A1072" i="35"/>
  <c r="A1073" i="35"/>
  <c r="A1074" i="35"/>
  <c r="A1075" i="35"/>
  <c r="A1076" i="35"/>
  <c r="A1077" i="35"/>
  <c r="A1078" i="35"/>
  <c r="A1079" i="35"/>
  <c r="A1080" i="35"/>
  <c r="A1081" i="35"/>
  <c r="A1082" i="35"/>
  <c r="A1083" i="35"/>
  <c r="A1084" i="35"/>
  <c r="A1085" i="35"/>
  <c r="A1086" i="35"/>
  <c r="A1087" i="35"/>
  <c r="A1088" i="35"/>
  <c r="A1089" i="35"/>
  <c r="A1090" i="35"/>
  <c r="A1091" i="35"/>
  <c r="A1092" i="35"/>
  <c r="A1093" i="35"/>
  <c r="A1094" i="35"/>
  <c r="A1095" i="35"/>
  <c r="A1096" i="35"/>
  <c r="A1097" i="35"/>
  <c r="A1098" i="35"/>
  <c r="A1099" i="35"/>
  <c r="A1100" i="35"/>
  <c r="A1101" i="35"/>
  <c r="A1102" i="35"/>
  <c r="A1103" i="35"/>
  <c r="A1104" i="35"/>
  <c r="A1105" i="35"/>
  <c r="A1106" i="35"/>
  <c r="A1107" i="35"/>
  <c r="A1108" i="35"/>
  <c r="A1109" i="35"/>
  <c r="A1110" i="35"/>
  <c r="A1111" i="35"/>
  <c r="A1112" i="35"/>
  <c r="A1113" i="35"/>
  <c r="A1114" i="35"/>
  <c r="A1115" i="35"/>
  <c r="A1116" i="35"/>
  <c r="A1117" i="35"/>
  <c r="A1118" i="35"/>
  <c r="A1119" i="35"/>
  <c r="A1120" i="35"/>
  <c r="A1121" i="35"/>
  <c r="A1122" i="35"/>
  <c r="A1123" i="35"/>
  <c r="A1124" i="35"/>
  <c r="A1125" i="35"/>
  <c r="A1126" i="35"/>
  <c r="A1127" i="35"/>
  <c r="A1128" i="35"/>
  <c r="A1129" i="35"/>
  <c r="A1130" i="35"/>
  <c r="A1131" i="35"/>
  <c r="A1132" i="35"/>
  <c r="A1133" i="35"/>
  <c r="A1134" i="35"/>
  <c r="A1135" i="35"/>
  <c r="A1136" i="35"/>
  <c r="A1137" i="35"/>
  <c r="A1138" i="35"/>
  <c r="A1139" i="35"/>
  <c r="A1140" i="35"/>
  <c r="A1141" i="35"/>
  <c r="A1142" i="35"/>
  <c r="A1143" i="35"/>
  <c r="A1144" i="35"/>
  <c r="A1145" i="35"/>
  <c r="A1146" i="35"/>
  <c r="A1147" i="35"/>
  <c r="A1148" i="35"/>
  <c r="A1149" i="35"/>
  <c r="A1150" i="35"/>
  <c r="A1151" i="35"/>
  <c r="A1152" i="35"/>
  <c r="A1153" i="35"/>
  <c r="A1154" i="35"/>
  <c r="A1155" i="35"/>
  <c r="A1156" i="35"/>
  <c r="A1157" i="35"/>
  <c r="A1158" i="35"/>
  <c r="A1159" i="35"/>
  <c r="A1160" i="35"/>
  <c r="A1161" i="35"/>
  <c r="A1162" i="35"/>
  <c r="A1163" i="35"/>
  <c r="A1164" i="35"/>
  <c r="A1165" i="35"/>
  <c r="A1166" i="35"/>
  <c r="A1167" i="35"/>
  <c r="A1168" i="35"/>
  <c r="A1169" i="35"/>
  <c r="A1170" i="35"/>
  <c r="A1171" i="35"/>
  <c r="A1172" i="35"/>
  <c r="A1173" i="35"/>
  <c r="A1174" i="35"/>
  <c r="A1175" i="35"/>
  <c r="A1176" i="35"/>
  <c r="A1177" i="35"/>
  <c r="A1178" i="35"/>
  <c r="A1179" i="35"/>
  <c r="A1180" i="35"/>
  <c r="A1181" i="35"/>
  <c r="A1182" i="35"/>
  <c r="A1183" i="35"/>
  <c r="A1184" i="35"/>
  <c r="A1185" i="35"/>
  <c r="A1186" i="35"/>
  <c r="A1187" i="35"/>
  <c r="A1188" i="35"/>
  <c r="A1189" i="35"/>
  <c r="A1190" i="35"/>
  <c r="A1191" i="35"/>
  <c r="A1192" i="35"/>
  <c r="A1193" i="35"/>
  <c r="A1194" i="35"/>
  <c r="A1195" i="35"/>
  <c r="A1196" i="35"/>
  <c r="A1197" i="35"/>
  <c r="A1198" i="35"/>
  <c r="A1199" i="35"/>
  <c r="A1200" i="35"/>
  <c r="A1201" i="35"/>
  <c r="A1202" i="35"/>
  <c r="A1203" i="35"/>
  <c r="A1204" i="35"/>
  <c r="A1205" i="35"/>
  <c r="A1206" i="35"/>
  <c r="A1207" i="35"/>
  <c r="A1208" i="35"/>
  <c r="A1209" i="35"/>
  <c r="A1210" i="35"/>
  <c r="A1211" i="35"/>
  <c r="A1212" i="35"/>
  <c r="A1213" i="35"/>
  <c r="A1214" i="35"/>
  <c r="A1215" i="35"/>
  <c r="A1216" i="35"/>
  <c r="A1217" i="35"/>
  <c r="A1218" i="35"/>
  <c r="A1219" i="35"/>
  <c r="A1220" i="35"/>
  <c r="A1221" i="35"/>
  <c r="A1222" i="35"/>
  <c r="A1223" i="35"/>
  <c r="A1224" i="35"/>
  <c r="A1225" i="35"/>
  <c r="A1226" i="35"/>
  <c r="A1227" i="35"/>
  <c r="A1228" i="35"/>
  <c r="A1229" i="35"/>
  <c r="A1230" i="35"/>
  <c r="A1231" i="35"/>
  <c r="A1232" i="35"/>
  <c r="A1233" i="35"/>
  <c r="A1234" i="35"/>
  <c r="A1235" i="35"/>
  <c r="A1236" i="35"/>
  <c r="A1237" i="35"/>
  <c r="A1238" i="35"/>
  <c r="A1239" i="35"/>
  <c r="A1240" i="35"/>
  <c r="A1241" i="35"/>
  <c r="A1242" i="35"/>
  <c r="A1243" i="35"/>
  <c r="A1244" i="35"/>
  <c r="A1245" i="35"/>
  <c r="A1246" i="35"/>
  <c r="A1247" i="35"/>
  <c r="A1248" i="35"/>
  <c r="A1249" i="35"/>
  <c r="A1250" i="35"/>
  <c r="A1251" i="35"/>
  <c r="A1252" i="35"/>
  <c r="A1253" i="35"/>
  <c r="A1254" i="35"/>
  <c r="A1255" i="35"/>
  <c r="A1256" i="35"/>
  <c r="A1257" i="35"/>
  <c r="A1258" i="35"/>
  <c r="A1259" i="35"/>
  <c r="A1260" i="35"/>
  <c r="A1261" i="35"/>
  <c r="A1262" i="35"/>
  <c r="A1263" i="35"/>
  <c r="A1264" i="35"/>
  <c r="A1265" i="35"/>
  <c r="A1266" i="35"/>
  <c r="A1267" i="35"/>
  <c r="A1268" i="35"/>
  <c r="A1269" i="35"/>
  <c r="A1270" i="35"/>
  <c r="A1271" i="35"/>
  <c r="A1272" i="35"/>
  <c r="A1273" i="35"/>
  <c r="A1274" i="35"/>
  <c r="A1275" i="35"/>
  <c r="A1276" i="35"/>
  <c r="A1277" i="35"/>
  <c r="A1278" i="35"/>
  <c r="A1279" i="35"/>
  <c r="A1280" i="35"/>
  <c r="A1281" i="35"/>
  <c r="A1282" i="35"/>
  <c r="A1283" i="35"/>
  <c r="A1284" i="35"/>
  <c r="A1285" i="35"/>
  <c r="A1286" i="35"/>
  <c r="A1287" i="35"/>
  <c r="A1288" i="35"/>
  <c r="A1289" i="35"/>
  <c r="A1290" i="35"/>
  <c r="A1291" i="35"/>
  <c r="A1292" i="35"/>
  <c r="A1293" i="35"/>
  <c r="A1294" i="35"/>
  <c r="A1295" i="35"/>
  <c r="A1296" i="35"/>
  <c r="A1297" i="35"/>
  <c r="A1298" i="35"/>
  <c r="A1299" i="35"/>
  <c r="A1300" i="35"/>
  <c r="A1301" i="35"/>
  <c r="A1302" i="35"/>
  <c r="A1303" i="35"/>
  <c r="A1304" i="35"/>
  <c r="A1305" i="35"/>
  <c r="A1306" i="35"/>
  <c r="A1307" i="35"/>
  <c r="A1308" i="35"/>
  <c r="A1309" i="35"/>
  <c r="A1310" i="35"/>
  <c r="A1311" i="35"/>
  <c r="A1312" i="35"/>
  <c r="A1313" i="35"/>
  <c r="A1314" i="35"/>
  <c r="A1315" i="35"/>
  <c r="A1316" i="35"/>
  <c r="A1317" i="35"/>
  <c r="A1318" i="35"/>
  <c r="A1319" i="35"/>
  <c r="A1320" i="35"/>
  <c r="A1321" i="35"/>
  <c r="A1322" i="35"/>
  <c r="A1323" i="35"/>
  <c r="A1324" i="35"/>
  <c r="A1325" i="35"/>
  <c r="A1326" i="35"/>
  <c r="A1327" i="35"/>
  <c r="A1328" i="35"/>
  <c r="A1329" i="35"/>
  <c r="A1330" i="35"/>
  <c r="A1331" i="35"/>
  <c r="A1332" i="35"/>
  <c r="A1333" i="35"/>
  <c r="A1334" i="35"/>
  <c r="A1335" i="35"/>
  <c r="A1336" i="35"/>
  <c r="A1337" i="35"/>
  <c r="A1338" i="35"/>
  <c r="A1339" i="35"/>
  <c r="A1340" i="35"/>
  <c r="A1341" i="35"/>
  <c r="A1342" i="35"/>
  <c r="A1343" i="35"/>
  <c r="A1344" i="35"/>
  <c r="A1345" i="35"/>
  <c r="A1346" i="35"/>
  <c r="A1347" i="35"/>
  <c r="A1348" i="35"/>
  <c r="A1349" i="35"/>
  <c r="A1350" i="35"/>
  <c r="A1351" i="35"/>
  <c r="A1352" i="35"/>
  <c r="A1353" i="35"/>
  <c r="A1354" i="35"/>
  <c r="A1355" i="35"/>
  <c r="A1356" i="35"/>
  <c r="A1357" i="35"/>
  <c r="A1358" i="35"/>
  <c r="A1359" i="35"/>
  <c r="A1360" i="35"/>
  <c r="A1361" i="35"/>
  <c r="A1362" i="35"/>
  <c r="A1363" i="35"/>
  <c r="A1364" i="35"/>
  <c r="A1365" i="35"/>
  <c r="A1366" i="35"/>
  <c r="A1367" i="35"/>
  <c r="A1368" i="35"/>
  <c r="A1369" i="35"/>
  <c r="A1370" i="35"/>
  <c r="A1371" i="35"/>
  <c r="A1372" i="35"/>
  <c r="A1373" i="35"/>
  <c r="A1374" i="35"/>
  <c r="A1375" i="35"/>
  <c r="A1376" i="35"/>
  <c r="A1377" i="35"/>
  <c r="A1378" i="35"/>
  <c r="A1379" i="35"/>
  <c r="A1380" i="35"/>
  <c r="A1381" i="35"/>
  <c r="A1382" i="35"/>
  <c r="A1383" i="35"/>
  <c r="A1384" i="35"/>
  <c r="A1385" i="35"/>
  <c r="A1386" i="35"/>
  <c r="A1387" i="35"/>
  <c r="A1388" i="35"/>
  <c r="A1389" i="35"/>
  <c r="A1390" i="35"/>
  <c r="A1391" i="35"/>
  <c r="A1392" i="35"/>
  <c r="A1393" i="35"/>
  <c r="A1394" i="35"/>
  <c r="A1395" i="35"/>
  <c r="A1396" i="35"/>
  <c r="A1397" i="35"/>
  <c r="A1398" i="35"/>
  <c r="A1399" i="35"/>
  <c r="A1400" i="35"/>
  <c r="A1401" i="35"/>
  <c r="A1402" i="35"/>
  <c r="A1403" i="35"/>
  <c r="A1404" i="35"/>
  <c r="A1405" i="35"/>
  <c r="A1406" i="35"/>
  <c r="A1407" i="35"/>
  <c r="A1408" i="35"/>
  <c r="A1409" i="35"/>
  <c r="A1410" i="35"/>
  <c r="A1411" i="35"/>
  <c r="A1412" i="35"/>
  <c r="A1413" i="35"/>
  <c r="A1414" i="35"/>
  <c r="A1415" i="35"/>
  <c r="A1416" i="35"/>
  <c r="A1417" i="35"/>
  <c r="A1418" i="35"/>
  <c r="A1419" i="35"/>
  <c r="A1420" i="35"/>
  <c r="A1421" i="35"/>
  <c r="A1422" i="35"/>
  <c r="A1423" i="35"/>
  <c r="A1424" i="35"/>
  <c r="A1425" i="35"/>
  <c r="A1426" i="35"/>
  <c r="A1427" i="35"/>
  <c r="A1428" i="35"/>
  <c r="A1429" i="35"/>
  <c r="A1430" i="35"/>
  <c r="A1431" i="35"/>
  <c r="A1432" i="35"/>
  <c r="A1433" i="35"/>
  <c r="A1434" i="35"/>
  <c r="A1435" i="35"/>
  <c r="A1436" i="35"/>
  <c r="A1437" i="35"/>
  <c r="A1438" i="35"/>
  <c r="A1439" i="35"/>
  <c r="A1440" i="35"/>
  <c r="A1441" i="35"/>
  <c r="A1442" i="35"/>
  <c r="A1443" i="35"/>
  <c r="A1444" i="35"/>
  <c r="A1445" i="35"/>
  <c r="A1446" i="35"/>
  <c r="A1447" i="35"/>
  <c r="A1448" i="35"/>
  <c r="A1449" i="35"/>
  <c r="A1450" i="35"/>
  <c r="A1451" i="35"/>
  <c r="A1452" i="35"/>
  <c r="A1453" i="35"/>
  <c r="A1454" i="35"/>
  <c r="A1455" i="35"/>
  <c r="A1456" i="35"/>
  <c r="A1457" i="35"/>
  <c r="A1458" i="35"/>
  <c r="A1459" i="35"/>
  <c r="A1460" i="35"/>
  <c r="A1461" i="35"/>
  <c r="A1462" i="35"/>
  <c r="A1463" i="35"/>
  <c r="A1464" i="35"/>
  <c r="A1465" i="35"/>
  <c r="A1466" i="35"/>
  <c r="A1467" i="35"/>
  <c r="A1468" i="35"/>
  <c r="A1469" i="35"/>
  <c r="A1470" i="35"/>
  <c r="A1471" i="35"/>
  <c r="A1472" i="35"/>
  <c r="A1473" i="35"/>
  <c r="A1474" i="35"/>
  <c r="A1475" i="35"/>
  <c r="A1476" i="35"/>
  <c r="A1477" i="35"/>
  <c r="A1478" i="35"/>
  <c r="A1479" i="35"/>
  <c r="A1480" i="35"/>
  <c r="A1481" i="35"/>
  <c r="A1482" i="35"/>
  <c r="A1483" i="35"/>
  <c r="A1484" i="35"/>
  <c r="A1485" i="35"/>
  <c r="A1486" i="35"/>
  <c r="A1487" i="35"/>
  <c r="A1488" i="35"/>
  <c r="A1489" i="35"/>
  <c r="A1490" i="35"/>
  <c r="A1491" i="35"/>
  <c r="A1492" i="35"/>
  <c r="A1493" i="35"/>
  <c r="A1494" i="35"/>
  <c r="A1495" i="35"/>
  <c r="A1496" i="35"/>
  <c r="A1497" i="35"/>
  <c r="A1498" i="35"/>
  <c r="A1499" i="35"/>
  <c r="A1500" i="35"/>
  <c r="A1501" i="35"/>
  <c r="A1502" i="35"/>
  <c r="A1503" i="35"/>
  <c r="A1504" i="35"/>
  <c r="A1505" i="35"/>
  <c r="A1506" i="35"/>
  <c r="A1507" i="35"/>
  <c r="A1508" i="35"/>
  <c r="A1509" i="35"/>
  <c r="A1510" i="35"/>
  <c r="A1511" i="35"/>
  <c r="A1512" i="35"/>
  <c r="A1513" i="35"/>
  <c r="A1514" i="35"/>
  <c r="A1515" i="35"/>
  <c r="A1516" i="35"/>
  <c r="A1517" i="35"/>
  <c r="A1518" i="35"/>
  <c r="A1519" i="35"/>
  <c r="A1520" i="35"/>
  <c r="A1521" i="35"/>
  <c r="A1522" i="35"/>
  <c r="A1523" i="35"/>
  <c r="A1524" i="35"/>
  <c r="A1525" i="35"/>
  <c r="A1526" i="35"/>
  <c r="A1527" i="35"/>
  <c r="A1528" i="35"/>
  <c r="A1529" i="35"/>
  <c r="A1530" i="35"/>
  <c r="A1531" i="35"/>
  <c r="A1532" i="35"/>
  <c r="A1533" i="35"/>
  <c r="A1534" i="35"/>
  <c r="A1535" i="35"/>
  <c r="A1536" i="35"/>
  <c r="A1537" i="35"/>
  <c r="A1538" i="35"/>
  <c r="A1539" i="35"/>
  <c r="A1540" i="35"/>
  <c r="A1541" i="35"/>
  <c r="A1542" i="35"/>
  <c r="A1543" i="35"/>
  <c r="A1544" i="35"/>
  <c r="A1545" i="35"/>
  <c r="A1546" i="35"/>
  <c r="A1547" i="35"/>
  <c r="A1548" i="35"/>
  <c r="A1549" i="35"/>
  <c r="A1550" i="35"/>
  <c r="A1551" i="35"/>
  <c r="A1552" i="35"/>
  <c r="A1553" i="35"/>
  <c r="A1554" i="35"/>
  <c r="A1555" i="35"/>
  <c r="A1556" i="35"/>
  <c r="A1557" i="35"/>
  <c r="B40" i="10" l="1"/>
  <c r="C40" i="10"/>
  <c r="D40" i="10"/>
  <c r="E40" i="10"/>
  <c r="B41" i="10"/>
  <c r="C41" i="10"/>
  <c r="D41" i="10"/>
  <c r="E41" i="10"/>
  <c r="B42" i="10"/>
  <c r="C42" i="10"/>
  <c r="D42" i="10"/>
  <c r="E42" i="10"/>
  <c r="B43" i="10"/>
  <c r="C43" i="10"/>
  <c r="D43" i="10"/>
  <c r="E43" i="10"/>
  <c r="B44" i="10"/>
  <c r="C44" i="10"/>
  <c r="D44" i="10"/>
  <c r="E44" i="10"/>
  <c r="B45" i="10"/>
  <c r="C45" i="10"/>
  <c r="D45" i="10"/>
  <c r="E45" i="10"/>
  <c r="B46" i="10"/>
  <c r="C46" i="10"/>
  <c r="D46" i="10"/>
  <c r="E46" i="10"/>
  <c r="B47" i="10"/>
  <c r="C47" i="10"/>
  <c r="D47" i="10"/>
  <c r="E47" i="10"/>
  <c r="B48" i="10"/>
  <c r="C48" i="10"/>
  <c r="D48" i="10"/>
  <c r="E48" i="10"/>
  <c r="B49" i="10"/>
  <c r="C49" i="10"/>
  <c r="D49" i="10"/>
  <c r="E49" i="10"/>
  <c r="B50" i="10"/>
  <c r="C50" i="10"/>
  <c r="D50" i="10"/>
  <c r="E50" i="10"/>
  <c r="B51" i="10"/>
  <c r="C51" i="10"/>
  <c r="D51" i="10"/>
  <c r="E51" i="10"/>
  <c r="B52" i="10"/>
  <c r="C52" i="10"/>
  <c r="D52" i="10"/>
  <c r="E52" i="10"/>
  <c r="B53" i="10"/>
  <c r="C53" i="10"/>
  <c r="D53" i="10"/>
  <c r="E53" i="10"/>
  <c r="B54" i="10"/>
  <c r="C54" i="10"/>
  <c r="D54" i="10"/>
  <c r="E54" i="10"/>
  <c r="B55" i="10"/>
  <c r="C55" i="10"/>
  <c r="D55" i="10"/>
  <c r="E55" i="10"/>
  <c r="B56" i="10"/>
  <c r="C56" i="10"/>
  <c r="D56" i="10"/>
  <c r="E56" i="10"/>
  <c r="B57" i="10"/>
  <c r="C57" i="10"/>
  <c r="D57" i="10"/>
  <c r="E57" i="10"/>
  <c r="B58" i="10"/>
  <c r="C58" i="10"/>
  <c r="D58" i="10"/>
  <c r="E58" i="10"/>
  <c r="C39" i="10"/>
  <c r="D39" i="10"/>
  <c r="E39" i="10"/>
  <c r="B39" i="10"/>
  <c r="A7" i="10" l="1"/>
  <c r="A8" i="10"/>
  <c r="A9" i="10"/>
  <c r="A10" i="10"/>
  <c r="A11" i="10"/>
  <c r="A12" i="10"/>
  <c r="A13" i="10"/>
  <c r="A14" i="10"/>
  <c r="A15" i="10"/>
  <c r="A16" i="10"/>
  <c r="A17" i="10"/>
  <c r="A18" i="10"/>
  <c r="A19" i="10"/>
  <c r="A20" i="10"/>
  <c r="A12" i="22" s="1"/>
  <c r="A21" i="10"/>
  <c r="A13" i="22" s="1"/>
  <c r="A22" i="10"/>
  <c r="A14" i="22" s="1"/>
  <c r="A23" i="10"/>
  <c r="A15" i="22" s="1"/>
  <c r="A24" i="10"/>
  <c r="A16" i="22" s="1"/>
  <c r="A25" i="10"/>
  <c r="A17" i="22" s="1"/>
  <c r="A26" i="10"/>
  <c r="A18" i="22" s="1"/>
  <c r="A27" i="10"/>
  <c r="A19" i="22" s="1"/>
  <c r="A28" i="10"/>
  <c r="A20" i="22" s="1"/>
  <c r="A29" i="10"/>
  <c r="A21" i="22" s="1"/>
  <c r="A30" i="10"/>
  <c r="A22" i="22" s="1"/>
  <c r="A31" i="10"/>
  <c r="A23" i="22" s="1"/>
  <c r="A32" i="10"/>
  <c r="A24" i="22" s="1"/>
  <c r="A33" i="10"/>
  <c r="A25" i="22" s="1"/>
  <c r="A34" i="10"/>
  <c r="A26" i="22" s="1"/>
  <c r="A35" i="10"/>
  <c r="A36" i="10"/>
  <c r="A37" i="10"/>
  <c r="A38" i="10"/>
  <c r="A39" i="10"/>
  <c r="R4" i="1" s="1"/>
  <c r="A40" i="10"/>
  <c r="S4" i="1" s="1"/>
  <c r="A41" i="10"/>
  <c r="T4" i="1" s="1"/>
  <c r="A42" i="10"/>
  <c r="U4" i="1" s="1"/>
  <c r="A43" i="10"/>
  <c r="V4" i="1" s="1"/>
  <c r="A44" i="10"/>
  <c r="A45" i="10"/>
  <c r="A46" i="10"/>
  <c r="A47" i="10"/>
  <c r="A48" i="10"/>
  <c r="A49" i="10"/>
  <c r="A50" i="10"/>
  <c r="A51" i="10"/>
  <c r="A52" i="10"/>
  <c r="A53" i="10"/>
  <c r="A54" i="10"/>
  <c r="A55" i="10"/>
  <c r="A56" i="10"/>
  <c r="A57" i="10"/>
  <c r="A58" i="10"/>
  <c r="V27" i="1" l="1"/>
  <c r="V52" i="1" s="1"/>
  <c r="V22" i="1"/>
  <c r="V45" i="1"/>
  <c r="A11" i="22"/>
  <c r="M4" i="1"/>
  <c r="U22" i="1"/>
  <c r="U27" i="1"/>
  <c r="U52" i="1" s="1"/>
  <c r="U45" i="1"/>
  <c r="A10" i="22"/>
  <c r="L4" i="1"/>
  <c r="T22" i="1"/>
  <c r="T45" i="1"/>
  <c r="T27" i="1"/>
  <c r="T52" i="1" s="1"/>
  <c r="A9" i="22"/>
  <c r="K4" i="1"/>
  <c r="S22" i="1"/>
  <c r="S27" i="1"/>
  <c r="S52" i="1" s="1"/>
  <c r="S45" i="1"/>
  <c r="A8" i="22"/>
  <c r="J4" i="1"/>
  <c r="R22" i="1"/>
  <c r="R45" i="1"/>
  <c r="R27" i="1"/>
  <c r="R52" i="1" s="1"/>
  <c r="A7" i="22"/>
  <c r="I4" i="1"/>
  <c r="B2" i="37"/>
  <c r="B3" i="37"/>
  <c r="B4" i="37"/>
  <c r="B5" i="37"/>
  <c r="B6" i="37"/>
  <c r="B7" i="37"/>
  <c r="B8" i="37"/>
  <c r="B9" i="37"/>
  <c r="B10" i="37"/>
  <c r="B11" i="37"/>
  <c r="B12" i="37"/>
  <c r="B13" i="37"/>
  <c r="B14" i="37"/>
  <c r="B15" i="37"/>
  <c r="B16" i="37"/>
  <c r="B17" i="37"/>
  <c r="B18" i="37"/>
  <c r="B19" i="37"/>
  <c r="B20" i="37"/>
  <c r="B21" i="37"/>
  <c r="B22" i="37"/>
  <c r="B23" i="37"/>
  <c r="B24" i="37"/>
  <c r="B25" i="37"/>
  <c r="B26" i="37"/>
  <c r="B27" i="37"/>
  <c r="B28" i="37"/>
  <c r="B29" i="37"/>
  <c r="B30" i="37"/>
  <c r="B31" i="37"/>
  <c r="B32" i="37"/>
  <c r="B33" i="37"/>
  <c r="B34" i="37"/>
  <c r="B35" i="37"/>
  <c r="B36" i="37"/>
  <c r="B37" i="37"/>
  <c r="B38" i="37"/>
  <c r="B39" i="37"/>
  <c r="B40" i="37"/>
  <c r="B41" i="37"/>
  <c r="B42" i="37"/>
  <c r="B43" i="37"/>
  <c r="B44" i="37"/>
  <c r="B45" i="37"/>
  <c r="B46" i="37"/>
  <c r="B47" i="37"/>
  <c r="B48" i="37"/>
  <c r="B49" i="37"/>
  <c r="B50" i="37"/>
  <c r="B51" i="37"/>
  <c r="B52" i="37"/>
  <c r="B53" i="37"/>
  <c r="B54" i="37"/>
  <c r="B55" i="37"/>
  <c r="B56" i="37"/>
  <c r="B57" i="37"/>
  <c r="B58" i="37"/>
  <c r="B59" i="37"/>
  <c r="B60" i="37"/>
  <c r="B61" i="37"/>
  <c r="B62" i="37"/>
  <c r="B63" i="37"/>
  <c r="B64" i="37"/>
  <c r="B65" i="37"/>
  <c r="B66" i="37"/>
  <c r="B67" i="37"/>
  <c r="B68" i="37"/>
  <c r="B69" i="37"/>
  <c r="B70" i="37"/>
  <c r="B71" i="37"/>
  <c r="B72" i="37"/>
  <c r="B73" i="37"/>
  <c r="B74" i="37"/>
  <c r="B75" i="37"/>
  <c r="B76" i="37"/>
  <c r="B77" i="37"/>
  <c r="B78" i="37"/>
  <c r="B79" i="37"/>
  <c r="B80" i="37"/>
  <c r="B81" i="37"/>
  <c r="B82" i="37"/>
  <c r="B83" i="37"/>
  <c r="B84" i="37"/>
  <c r="B85" i="37"/>
  <c r="B86" i="37"/>
  <c r="B87" i="37"/>
  <c r="B88" i="37"/>
  <c r="B89" i="37"/>
  <c r="B90" i="37"/>
  <c r="B91" i="37"/>
  <c r="B92" i="37"/>
  <c r="B93" i="37"/>
  <c r="B94" i="37"/>
  <c r="B95" i="37"/>
  <c r="B96" i="37"/>
  <c r="B97" i="37"/>
  <c r="B98" i="37"/>
  <c r="B99" i="37"/>
  <c r="B100" i="37"/>
  <c r="B101" i="37"/>
  <c r="B102" i="37"/>
  <c r="B103" i="37"/>
  <c r="B104" i="37"/>
  <c r="B105" i="37"/>
  <c r="B106" i="37"/>
  <c r="B107" i="37"/>
  <c r="B108" i="37"/>
  <c r="B109" i="37"/>
  <c r="B110" i="37"/>
  <c r="B111" i="37"/>
  <c r="B112" i="37"/>
  <c r="B113" i="37"/>
  <c r="B114" i="37"/>
  <c r="B115" i="37"/>
  <c r="B116" i="37"/>
  <c r="B117" i="37"/>
  <c r="B118" i="37"/>
  <c r="B119" i="37"/>
  <c r="B120" i="37"/>
  <c r="B121" i="37"/>
  <c r="B122" i="37"/>
  <c r="B123" i="37"/>
  <c r="B124" i="37"/>
  <c r="B125" i="37"/>
  <c r="B126" i="37"/>
  <c r="B127" i="37"/>
  <c r="B128" i="37"/>
  <c r="B129" i="37"/>
  <c r="B130" i="37"/>
  <c r="B131" i="37"/>
  <c r="B132" i="37"/>
  <c r="B133" i="37"/>
  <c r="B134" i="37"/>
  <c r="B135" i="37"/>
  <c r="B136" i="37"/>
  <c r="B137" i="37"/>
  <c r="B138" i="37"/>
  <c r="B139" i="37"/>
  <c r="B140" i="37"/>
  <c r="B141" i="37"/>
  <c r="B142" i="37"/>
  <c r="B143" i="37"/>
  <c r="B144" i="37"/>
  <c r="B145" i="37"/>
  <c r="B146" i="37"/>
  <c r="B147" i="37"/>
  <c r="B148" i="37"/>
  <c r="B149" i="37"/>
  <c r="B150" i="37"/>
  <c r="B151" i="37"/>
  <c r="B152" i="37"/>
  <c r="B153" i="37"/>
  <c r="B154" i="37"/>
  <c r="B155" i="37"/>
  <c r="B156" i="37"/>
  <c r="B157" i="37"/>
  <c r="B158" i="37"/>
  <c r="B159" i="37"/>
  <c r="B160" i="37"/>
  <c r="B161" i="37"/>
  <c r="B162" i="37"/>
  <c r="B163" i="37"/>
  <c r="B164" i="37"/>
  <c r="B165" i="37"/>
  <c r="B166" i="37"/>
  <c r="B167" i="37"/>
  <c r="B168" i="37"/>
  <c r="B169" i="37"/>
  <c r="B170" i="37"/>
  <c r="B171" i="37"/>
  <c r="B172" i="37"/>
  <c r="B173" i="37"/>
  <c r="B174" i="37"/>
  <c r="B175" i="37"/>
  <c r="B176" i="37"/>
  <c r="B177" i="37"/>
  <c r="B178" i="37"/>
  <c r="B179" i="37"/>
  <c r="B180" i="37"/>
  <c r="B181" i="37"/>
  <c r="B182" i="37"/>
  <c r="B183" i="37"/>
  <c r="B184" i="37"/>
  <c r="B185" i="37"/>
  <c r="B186" i="37"/>
  <c r="B187" i="37"/>
  <c r="B188" i="37"/>
  <c r="B189" i="37"/>
  <c r="B190" i="37"/>
  <c r="B191" i="37"/>
  <c r="B192" i="37"/>
  <c r="B193" i="37"/>
  <c r="B194" i="37"/>
  <c r="B195" i="37"/>
  <c r="B196" i="37"/>
  <c r="B197" i="37"/>
  <c r="B198" i="37"/>
  <c r="B199" i="37"/>
  <c r="B200" i="37"/>
  <c r="B201" i="37"/>
  <c r="B202" i="37"/>
  <c r="B203" i="37"/>
  <c r="B204" i="37"/>
  <c r="B205" i="37"/>
  <c r="B206" i="37"/>
  <c r="B207" i="37"/>
  <c r="B208" i="37"/>
  <c r="B209" i="37"/>
  <c r="B210" i="37"/>
  <c r="B211" i="37"/>
  <c r="B212" i="37"/>
  <c r="B213" i="37"/>
  <c r="B214" i="37"/>
  <c r="B215" i="37"/>
  <c r="B216" i="37"/>
  <c r="B217" i="37"/>
  <c r="B218" i="37"/>
  <c r="B219" i="37"/>
  <c r="B220" i="37"/>
  <c r="B221" i="37"/>
  <c r="B222" i="37"/>
  <c r="B223" i="37"/>
  <c r="B224" i="37"/>
  <c r="B225" i="37"/>
  <c r="B226" i="37"/>
  <c r="B227" i="37"/>
  <c r="B228" i="37"/>
  <c r="B229" i="37"/>
  <c r="B230" i="37"/>
  <c r="B231" i="37"/>
  <c r="B232" i="37"/>
  <c r="B233" i="37"/>
  <c r="B234" i="37"/>
  <c r="B235" i="37"/>
  <c r="B236" i="37"/>
  <c r="B237" i="37"/>
  <c r="B238" i="37"/>
  <c r="B239" i="37"/>
  <c r="B240" i="37"/>
  <c r="B241" i="37"/>
  <c r="B242" i="37"/>
  <c r="B243" i="37"/>
  <c r="B244" i="37"/>
  <c r="B245" i="37"/>
  <c r="B246" i="37"/>
  <c r="B247" i="37"/>
  <c r="B248" i="37"/>
  <c r="B249" i="37"/>
  <c r="B250" i="37"/>
  <c r="B251" i="37"/>
  <c r="B252" i="37"/>
  <c r="B253" i="37"/>
  <c r="B254" i="37"/>
  <c r="B255" i="37"/>
  <c r="B256" i="37"/>
  <c r="B257" i="37"/>
  <c r="B258" i="37"/>
  <c r="B259" i="37"/>
  <c r="B260" i="37"/>
  <c r="B261" i="37"/>
  <c r="B262" i="37"/>
  <c r="B263" i="37"/>
  <c r="B264" i="37"/>
  <c r="B265" i="37"/>
  <c r="B266" i="37"/>
  <c r="B267" i="37"/>
  <c r="B268" i="37"/>
  <c r="B269" i="37"/>
  <c r="B270" i="37"/>
  <c r="B271" i="37"/>
  <c r="B272" i="37"/>
  <c r="B273" i="37"/>
  <c r="B274" i="37"/>
  <c r="B275" i="37"/>
  <c r="B276" i="37"/>
  <c r="B277" i="37"/>
  <c r="B278" i="37"/>
  <c r="B279" i="37"/>
  <c r="B280" i="37"/>
  <c r="B281" i="37"/>
  <c r="B282" i="37"/>
  <c r="B283" i="37"/>
  <c r="B284" i="37"/>
  <c r="B285" i="37"/>
  <c r="B286" i="37"/>
  <c r="B287" i="37"/>
  <c r="B288" i="37"/>
  <c r="B289" i="37"/>
  <c r="B290" i="37"/>
  <c r="B291" i="37"/>
  <c r="B292" i="37"/>
  <c r="B293" i="37"/>
  <c r="B294" i="37"/>
  <c r="B295" i="37"/>
  <c r="B296" i="37"/>
  <c r="B297" i="37"/>
  <c r="B298" i="37"/>
  <c r="B299" i="37"/>
  <c r="B300" i="37"/>
  <c r="B301" i="37"/>
  <c r="B302" i="37"/>
  <c r="B303" i="37"/>
  <c r="B304" i="37"/>
  <c r="B305" i="37"/>
  <c r="B306" i="37"/>
  <c r="B307" i="37"/>
  <c r="B308" i="37"/>
  <c r="B309" i="37"/>
  <c r="B310" i="37"/>
  <c r="B311" i="37"/>
  <c r="B312" i="37"/>
  <c r="B313" i="37"/>
  <c r="B314" i="37"/>
  <c r="B315" i="37"/>
  <c r="B316" i="37"/>
  <c r="B317" i="37"/>
  <c r="B318" i="37"/>
  <c r="B319" i="37"/>
  <c r="B320" i="37"/>
  <c r="B321" i="37"/>
  <c r="B322" i="37"/>
  <c r="B323" i="37"/>
  <c r="B324" i="37"/>
  <c r="B325" i="37"/>
  <c r="B326" i="37"/>
  <c r="B327" i="37"/>
  <c r="B328" i="37"/>
  <c r="B329" i="37"/>
  <c r="B330" i="37"/>
  <c r="B331" i="37"/>
  <c r="B332" i="37"/>
  <c r="B333" i="37"/>
  <c r="B334" i="37"/>
  <c r="B335" i="37"/>
  <c r="B336" i="37"/>
  <c r="B337" i="37"/>
  <c r="B338" i="37"/>
  <c r="B339" i="37"/>
  <c r="B340" i="37"/>
  <c r="B341" i="37"/>
  <c r="B342" i="37"/>
  <c r="B343" i="37"/>
  <c r="B344" i="37"/>
  <c r="B345" i="37"/>
  <c r="B346" i="37"/>
  <c r="B347" i="37"/>
  <c r="B348" i="37"/>
  <c r="B349" i="37"/>
  <c r="B350" i="37"/>
  <c r="B351" i="37"/>
  <c r="B352" i="37"/>
  <c r="B353" i="37"/>
  <c r="B354" i="37"/>
  <c r="B355" i="37"/>
  <c r="B356" i="37"/>
  <c r="B357" i="37"/>
  <c r="B358" i="37"/>
  <c r="B359" i="37"/>
  <c r="B360" i="37"/>
  <c r="B361" i="37"/>
  <c r="B362" i="37"/>
  <c r="B363" i="37"/>
  <c r="B364" i="37"/>
  <c r="B365" i="37"/>
  <c r="B366" i="37"/>
  <c r="B367" i="37"/>
  <c r="B368" i="37"/>
  <c r="B369" i="37"/>
  <c r="B370" i="37"/>
  <c r="B371" i="37"/>
  <c r="B372" i="37"/>
  <c r="B373" i="37"/>
  <c r="B374" i="37"/>
  <c r="B375" i="37"/>
  <c r="B376" i="37"/>
  <c r="B377" i="37"/>
  <c r="B378" i="37"/>
  <c r="B379" i="37"/>
  <c r="B380" i="37"/>
  <c r="B381" i="37"/>
  <c r="B382" i="37"/>
  <c r="B383" i="37"/>
  <c r="B384" i="37"/>
  <c r="B385" i="37"/>
  <c r="B386" i="37"/>
  <c r="B387" i="37"/>
  <c r="B388" i="37"/>
  <c r="B389" i="37"/>
  <c r="B390" i="37"/>
  <c r="B391" i="37"/>
  <c r="B392" i="37"/>
  <c r="B393" i="37"/>
  <c r="B394" i="37"/>
  <c r="B395" i="37"/>
  <c r="B396" i="37"/>
  <c r="B397" i="37"/>
  <c r="B398" i="37"/>
  <c r="B399" i="37"/>
  <c r="B400" i="37"/>
  <c r="B401" i="37"/>
  <c r="B402" i="37"/>
  <c r="B403" i="37"/>
  <c r="B404" i="37"/>
  <c r="B405" i="37"/>
  <c r="B406" i="37"/>
  <c r="B407" i="37"/>
  <c r="B408" i="37"/>
  <c r="B409" i="37"/>
  <c r="B410" i="37"/>
  <c r="B411" i="37"/>
  <c r="B412" i="37"/>
  <c r="B413" i="37"/>
  <c r="B414" i="37"/>
  <c r="B415" i="37"/>
  <c r="B416" i="37"/>
  <c r="B417" i="37"/>
  <c r="B418" i="37"/>
  <c r="B419" i="37"/>
  <c r="B420" i="37"/>
  <c r="B421" i="37"/>
  <c r="B422" i="37"/>
  <c r="B423" i="37"/>
  <c r="B424" i="37"/>
  <c r="B425" i="37"/>
  <c r="B426" i="37"/>
  <c r="B427" i="37"/>
  <c r="B428" i="37"/>
  <c r="B429" i="37"/>
  <c r="B430" i="37"/>
  <c r="B431" i="37"/>
  <c r="B432" i="37"/>
  <c r="B433" i="37"/>
  <c r="B434" i="37"/>
  <c r="B435" i="37"/>
  <c r="B436" i="37"/>
  <c r="B437" i="37"/>
  <c r="B438" i="37"/>
  <c r="B439" i="37"/>
  <c r="B440" i="37"/>
  <c r="B441" i="37"/>
  <c r="B442" i="37"/>
  <c r="B443" i="37"/>
  <c r="B444" i="37"/>
  <c r="B445" i="37"/>
  <c r="B446" i="37"/>
  <c r="B447" i="37"/>
  <c r="B448" i="37"/>
  <c r="B449" i="37"/>
  <c r="B450" i="37"/>
  <c r="B451" i="37"/>
  <c r="B452" i="37"/>
  <c r="B453" i="37"/>
  <c r="B454" i="37"/>
  <c r="B455" i="37"/>
  <c r="B456" i="37"/>
  <c r="B457" i="37"/>
  <c r="B458" i="37"/>
  <c r="B459" i="37"/>
  <c r="B460" i="37"/>
  <c r="B461" i="37"/>
  <c r="B462" i="37"/>
  <c r="B463" i="37"/>
  <c r="B464" i="37"/>
  <c r="B465" i="37"/>
  <c r="B466" i="37"/>
  <c r="B467" i="37"/>
  <c r="B468" i="37"/>
  <c r="B469" i="37"/>
  <c r="B470" i="37"/>
  <c r="B471" i="37"/>
  <c r="B472" i="37"/>
  <c r="B473" i="37"/>
  <c r="B474" i="37"/>
  <c r="B475" i="37"/>
  <c r="B476" i="37"/>
  <c r="B477" i="37"/>
  <c r="B478" i="37"/>
  <c r="B479" i="37"/>
  <c r="B480" i="37"/>
  <c r="B481" i="37"/>
  <c r="B482" i="37"/>
  <c r="B483" i="37"/>
  <c r="B484" i="37"/>
  <c r="B485" i="37"/>
  <c r="B486" i="37"/>
  <c r="B487" i="37"/>
  <c r="B488" i="37"/>
  <c r="B489" i="37"/>
  <c r="B490" i="37"/>
  <c r="B491" i="37"/>
  <c r="B492" i="37"/>
  <c r="B493" i="37"/>
  <c r="B494" i="37"/>
  <c r="B495" i="37"/>
  <c r="B496" i="37"/>
  <c r="B497" i="37"/>
  <c r="B498" i="37"/>
  <c r="B499" i="37"/>
  <c r="B500" i="37"/>
  <c r="B501" i="37"/>
  <c r="B502" i="37"/>
  <c r="B503" i="37"/>
  <c r="B504" i="37"/>
  <c r="B505" i="37"/>
  <c r="B506" i="37"/>
  <c r="B507" i="37"/>
  <c r="B508" i="37"/>
  <c r="B509" i="37"/>
  <c r="B510" i="37"/>
  <c r="B511" i="37"/>
  <c r="B512" i="37"/>
  <c r="B513" i="37"/>
  <c r="B514" i="37"/>
  <c r="B515" i="37"/>
  <c r="B516" i="37"/>
  <c r="B517" i="37"/>
  <c r="B518" i="37"/>
  <c r="B519" i="37"/>
  <c r="B520" i="37"/>
  <c r="B521" i="37"/>
  <c r="B522" i="37"/>
  <c r="B523" i="37"/>
  <c r="B524" i="37"/>
  <c r="B525" i="37"/>
  <c r="B526" i="37"/>
  <c r="B527" i="37"/>
  <c r="B528" i="37"/>
  <c r="B529" i="37"/>
  <c r="B530" i="37"/>
  <c r="B531" i="37"/>
  <c r="B532" i="37"/>
  <c r="B533" i="37"/>
  <c r="B534" i="37"/>
  <c r="B535" i="37"/>
  <c r="B536" i="37"/>
  <c r="B537" i="37"/>
  <c r="B538" i="37"/>
  <c r="B539" i="37"/>
  <c r="B540" i="37"/>
  <c r="B541" i="37"/>
  <c r="B542" i="37"/>
  <c r="B543" i="37"/>
  <c r="B544" i="37"/>
  <c r="B545" i="37"/>
  <c r="B546" i="37"/>
  <c r="B547" i="37"/>
  <c r="B548" i="37"/>
  <c r="B549" i="37"/>
  <c r="B550" i="37"/>
  <c r="B551" i="37"/>
  <c r="B552" i="37"/>
  <c r="B553" i="37"/>
  <c r="B554" i="37"/>
  <c r="B555" i="37"/>
  <c r="B556" i="37"/>
  <c r="B557" i="37"/>
  <c r="B558" i="37"/>
  <c r="B559" i="37"/>
  <c r="B560" i="37"/>
  <c r="B561" i="37"/>
  <c r="B562" i="37"/>
  <c r="B563" i="37"/>
  <c r="B564" i="37"/>
  <c r="B565" i="37"/>
  <c r="B566" i="37"/>
  <c r="B567" i="37"/>
  <c r="B568" i="37"/>
  <c r="B569" i="37"/>
  <c r="B570" i="37"/>
  <c r="B571" i="37"/>
  <c r="B572" i="37"/>
  <c r="B573" i="37"/>
  <c r="B574" i="37"/>
  <c r="B575" i="37"/>
  <c r="B576" i="37"/>
  <c r="B577" i="37"/>
  <c r="B578" i="37"/>
  <c r="B579" i="37"/>
  <c r="B580" i="37"/>
  <c r="B581" i="37"/>
  <c r="B582" i="37"/>
  <c r="B583" i="37"/>
  <c r="B584" i="37"/>
  <c r="B585" i="37"/>
  <c r="B586" i="37"/>
  <c r="B587" i="37"/>
  <c r="B588" i="37"/>
  <c r="B589" i="37"/>
  <c r="B590" i="37"/>
  <c r="B591" i="37"/>
  <c r="B592" i="37"/>
  <c r="B593" i="37"/>
  <c r="B594" i="37"/>
  <c r="B595" i="37"/>
  <c r="B596" i="37"/>
  <c r="B597" i="37"/>
  <c r="B598" i="37"/>
  <c r="B599" i="37"/>
  <c r="B600" i="37"/>
  <c r="B601" i="37"/>
  <c r="B602" i="37"/>
  <c r="B603" i="37"/>
  <c r="B604" i="37"/>
  <c r="B605" i="37"/>
  <c r="B606" i="37"/>
  <c r="B607" i="37"/>
  <c r="B608" i="37"/>
  <c r="B609" i="37"/>
  <c r="B610" i="37"/>
  <c r="B611" i="37"/>
  <c r="B612" i="37"/>
  <c r="B613" i="37"/>
  <c r="B614" i="37"/>
  <c r="B615" i="37"/>
  <c r="B616" i="37"/>
  <c r="B617" i="37"/>
  <c r="B618" i="37"/>
  <c r="B619" i="37"/>
  <c r="B620" i="37"/>
  <c r="B621" i="37"/>
  <c r="B622" i="37"/>
  <c r="B623" i="37"/>
  <c r="B624" i="37"/>
  <c r="B625" i="37"/>
  <c r="B626" i="37"/>
  <c r="B627" i="37"/>
  <c r="B628" i="37"/>
  <c r="B629" i="37"/>
  <c r="B630" i="37"/>
  <c r="B631" i="37"/>
  <c r="B632" i="37"/>
  <c r="B633" i="37"/>
  <c r="B634" i="37"/>
  <c r="B635" i="37"/>
  <c r="B636" i="37"/>
  <c r="B637" i="37"/>
  <c r="B638" i="37"/>
  <c r="B639" i="37"/>
  <c r="B640" i="37"/>
  <c r="B641" i="37"/>
  <c r="B642" i="37"/>
  <c r="B643" i="37"/>
  <c r="B644" i="37"/>
  <c r="B645" i="37"/>
  <c r="B646" i="37"/>
  <c r="B647" i="37"/>
  <c r="B648" i="37"/>
  <c r="B649" i="37"/>
  <c r="B650" i="37"/>
  <c r="B651" i="37"/>
  <c r="B652" i="37"/>
  <c r="B653" i="37"/>
  <c r="B654" i="37"/>
  <c r="B655" i="37"/>
  <c r="B656" i="37"/>
  <c r="B657" i="37"/>
  <c r="B658" i="37"/>
  <c r="B659" i="37"/>
  <c r="B660" i="37"/>
  <c r="B661" i="37"/>
  <c r="B662" i="37"/>
  <c r="B663" i="37"/>
  <c r="B664" i="37"/>
  <c r="B665" i="37"/>
  <c r="B666" i="37"/>
  <c r="B667" i="37"/>
  <c r="B668" i="37"/>
  <c r="B669" i="37"/>
  <c r="B670" i="37"/>
  <c r="B671" i="37"/>
  <c r="B672" i="37"/>
  <c r="B673" i="37"/>
  <c r="B674" i="37"/>
  <c r="B675" i="37"/>
  <c r="B676" i="37"/>
  <c r="B677" i="37"/>
  <c r="B678" i="37"/>
  <c r="B679" i="37"/>
  <c r="B680" i="37"/>
  <c r="B681" i="37"/>
  <c r="B682" i="37"/>
  <c r="B683" i="37"/>
  <c r="B684" i="37"/>
  <c r="B685" i="37"/>
  <c r="B686" i="37"/>
  <c r="B687" i="37"/>
  <c r="B688" i="37"/>
  <c r="B689" i="37"/>
  <c r="B690" i="37"/>
  <c r="B691" i="37"/>
  <c r="B692" i="37"/>
  <c r="B693" i="37"/>
  <c r="B694" i="37"/>
  <c r="B695" i="37"/>
  <c r="B696" i="37"/>
  <c r="B697" i="37"/>
  <c r="B698" i="37"/>
  <c r="B699" i="37"/>
  <c r="B700" i="37"/>
  <c r="B701" i="37"/>
  <c r="B702" i="37"/>
  <c r="B703" i="37"/>
  <c r="B704" i="37"/>
  <c r="B705" i="37"/>
  <c r="B706" i="37"/>
  <c r="B707" i="37"/>
  <c r="B708" i="37"/>
  <c r="B709" i="37"/>
  <c r="B710" i="37"/>
  <c r="B711" i="37"/>
  <c r="B712" i="37"/>
  <c r="B713" i="37"/>
  <c r="B714" i="37"/>
  <c r="B715" i="37"/>
  <c r="B716" i="37"/>
  <c r="B717" i="37"/>
  <c r="B718" i="37"/>
  <c r="B719" i="37"/>
  <c r="B720" i="37"/>
  <c r="B721" i="37"/>
  <c r="B722" i="37"/>
  <c r="B723" i="37"/>
  <c r="B724" i="37"/>
  <c r="B725" i="37"/>
  <c r="B726" i="37"/>
  <c r="B727" i="37"/>
  <c r="B728" i="37"/>
  <c r="B729" i="37"/>
  <c r="B730" i="37"/>
  <c r="B731" i="37"/>
  <c r="B732" i="37"/>
  <c r="B733" i="37"/>
  <c r="B734" i="37"/>
  <c r="B735" i="37"/>
  <c r="B736" i="37"/>
  <c r="B737" i="37"/>
  <c r="B738" i="37"/>
  <c r="B739" i="37"/>
  <c r="B740" i="37"/>
  <c r="B741" i="37"/>
  <c r="B742" i="37"/>
  <c r="B743" i="37"/>
  <c r="B744" i="37"/>
  <c r="B745" i="37"/>
  <c r="B746" i="37"/>
  <c r="B747" i="37"/>
  <c r="B748" i="37"/>
  <c r="B749" i="37"/>
  <c r="B750" i="37"/>
  <c r="B751" i="37"/>
  <c r="B752" i="37"/>
  <c r="B753" i="37"/>
  <c r="B754" i="37"/>
  <c r="B755" i="37"/>
  <c r="B756" i="37"/>
  <c r="B757" i="37"/>
  <c r="B758" i="37"/>
  <c r="B759" i="37"/>
  <c r="B760" i="37"/>
  <c r="B761" i="37"/>
  <c r="B762" i="37"/>
  <c r="B763" i="37"/>
  <c r="B764" i="37"/>
  <c r="B765" i="37"/>
  <c r="B766" i="37"/>
  <c r="B767" i="37"/>
  <c r="B768" i="37"/>
  <c r="B769" i="37"/>
  <c r="B770" i="37"/>
  <c r="B771" i="37"/>
  <c r="B772" i="37"/>
  <c r="B773" i="37"/>
  <c r="B774" i="37"/>
  <c r="B775" i="37"/>
  <c r="B776" i="37"/>
  <c r="B777" i="37"/>
  <c r="B778" i="37"/>
  <c r="B779" i="37"/>
  <c r="B780" i="37"/>
  <c r="B781" i="37"/>
  <c r="B782" i="37"/>
  <c r="B783" i="37"/>
  <c r="B784" i="37"/>
  <c r="B785" i="37"/>
  <c r="B786" i="37"/>
  <c r="B787" i="37"/>
  <c r="B788" i="37"/>
  <c r="B789" i="37"/>
  <c r="B790" i="37"/>
  <c r="B791" i="37"/>
  <c r="B792" i="37"/>
  <c r="B793" i="37"/>
  <c r="B794" i="37"/>
  <c r="B795" i="37"/>
  <c r="B796" i="37"/>
  <c r="B797" i="37"/>
  <c r="B798" i="37"/>
  <c r="B799" i="37"/>
  <c r="B800" i="37"/>
  <c r="B801" i="37"/>
  <c r="B802" i="37"/>
  <c r="B803" i="37"/>
  <c r="B804" i="37"/>
  <c r="B805" i="37"/>
  <c r="B806" i="37"/>
  <c r="B807" i="37"/>
  <c r="B808" i="37"/>
  <c r="B809" i="37"/>
  <c r="B810" i="37"/>
  <c r="B811" i="37"/>
  <c r="B812" i="37"/>
  <c r="B813" i="37"/>
  <c r="B814" i="37"/>
  <c r="B815" i="37"/>
  <c r="B816" i="37"/>
  <c r="B817" i="37"/>
  <c r="B818" i="37"/>
  <c r="B819" i="37"/>
  <c r="B820" i="37"/>
  <c r="B821" i="37"/>
  <c r="B822" i="37"/>
  <c r="B823" i="37"/>
  <c r="B824" i="37"/>
  <c r="B825" i="37"/>
  <c r="B826" i="37"/>
  <c r="B827" i="37"/>
  <c r="B828" i="37"/>
  <c r="B829" i="37"/>
  <c r="B830" i="37"/>
  <c r="B831" i="37"/>
  <c r="B832" i="37"/>
  <c r="B833" i="37"/>
  <c r="B834" i="37"/>
  <c r="B835" i="37"/>
  <c r="B836" i="37"/>
  <c r="B837" i="37"/>
  <c r="B838" i="37"/>
  <c r="B839" i="37"/>
  <c r="B840" i="37"/>
  <c r="B841" i="37"/>
  <c r="B842" i="37"/>
  <c r="B843" i="37"/>
  <c r="B844" i="37"/>
  <c r="B845" i="37"/>
  <c r="B846" i="37"/>
  <c r="B847" i="37"/>
  <c r="B848" i="37"/>
  <c r="B849" i="37"/>
  <c r="B850" i="37"/>
  <c r="B851" i="37"/>
  <c r="B852" i="37"/>
  <c r="B853" i="37"/>
  <c r="B854" i="37"/>
  <c r="B855" i="37"/>
  <c r="B856" i="37"/>
  <c r="B857" i="37"/>
  <c r="B858" i="37"/>
  <c r="B859" i="37"/>
  <c r="B860" i="37"/>
  <c r="B861" i="37"/>
  <c r="B862" i="37"/>
  <c r="B863" i="37"/>
  <c r="B864" i="37"/>
  <c r="B865" i="37"/>
  <c r="B866" i="37"/>
  <c r="B867" i="37"/>
  <c r="B868" i="37"/>
  <c r="B869" i="37"/>
  <c r="B870" i="37"/>
  <c r="B871" i="37"/>
  <c r="B872" i="37"/>
  <c r="B873" i="37"/>
  <c r="B874" i="37"/>
  <c r="B875" i="37"/>
  <c r="B876" i="37"/>
  <c r="B877" i="37"/>
  <c r="B878" i="37"/>
  <c r="B879" i="37"/>
  <c r="B880" i="37"/>
  <c r="B881" i="37"/>
  <c r="B882" i="37"/>
  <c r="B883" i="37"/>
  <c r="B884" i="37"/>
  <c r="B885" i="37"/>
  <c r="B886" i="37"/>
  <c r="B887" i="37"/>
  <c r="B888" i="37"/>
  <c r="B889" i="37"/>
  <c r="B890" i="37"/>
  <c r="B891" i="37"/>
  <c r="B892" i="37"/>
  <c r="B893" i="37"/>
  <c r="B894" i="37"/>
  <c r="B895" i="37"/>
  <c r="B896" i="37"/>
  <c r="B897" i="37"/>
  <c r="B898" i="37"/>
  <c r="B899" i="37"/>
  <c r="B900" i="37"/>
  <c r="B901" i="37"/>
  <c r="B902" i="37"/>
  <c r="B903" i="37"/>
  <c r="B904" i="37"/>
  <c r="B905" i="37"/>
  <c r="B906" i="37"/>
  <c r="B907" i="37"/>
  <c r="B908" i="37"/>
  <c r="B909" i="37"/>
  <c r="B910" i="37"/>
  <c r="B911" i="37"/>
  <c r="B912" i="37"/>
  <c r="B913" i="37"/>
  <c r="B914" i="37"/>
  <c r="B915" i="37"/>
  <c r="B916" i="37"/>
  <c r="B917" i="37"/>
  <c r="B918" i="37"/>
  <c r="B919" i="37"/>
  <c r="B920" i="37"/>
  <c r="B921" i="37"/>
  <c r="B922" i="37"/>
  <c r="B923" i="37"/>
  <c r="B924" i="37"/>
  <c r="B925" i="37"/>
  <c r="B926" i="37"/>
  <c r="B927" i="37"/>
  <c r="B928" i="37"/>
  <c r="B929" i="37"/>
  <c r="B930" i="37"/>
  <c r="B931" i="37"/>
  <c r="B932" i="37"/>
  <c r="B933" i="37"/>
  <c r="B934" i="37"/>
  <c r="B935" i="37"/>
  <c r="B936" i="37"/>
  <c r="B937" i="37"/>
  <c r="B938" i="37"/>
  <c r="B939" i="37"/>
  <c r="B940" i="37"/>
  <c r="B941" i="37"/>
  <c r="B942" i="37"/>
  <c r="B943" i="37"/>
  <c r="B944" i="37"/>
  <c r="B945" i="37"/>
  <c r="B946" i="37"/>
  <c r="B947" i="37"/>
  <c r="B948" i="37"/>
  <c r="B949" i="37"/>
  <c r="B950" i="37"/>
  <c r="B951" i="37"/>
  <c r="B952" i="37"/>
  <c r="B953" i="37"/>
  <c r="B954" i="37"/>
  <c r="B955" i="37"/>
  <c r="B956" i="37"/>
  <c r="B957" i="37"/>
  <c r="B958" i="37"/>
  <c r="B959" i="37"/>
  <c r="B960" i="37"/>
  <c r="B961" i="37"/>
  <c r="B962" i="37"/>
  <c r="B963" i="37"/>
  <c r="B964" i="37"/>
  <c r="B965" i="37"/>
  <c r="B966" i="37"/>
  <c r="B967" i="37"/>
  <c r="B968" i="37"/>
  <c r="B969" i="37"/>
  <c r="B970" i="37"/>
  <c r="B971" i="37"/>
  <c r="B972" i="37"/>
  <c r="B973" i="37"/>
  <c r="B974" i="37"/>
  <c r="B975" i="37"/>
  <c r="B976" i="37"/>
  <c r="B977" i="37"/>
  <c r="B978" i="37"/>
  <c r="B979" i="37"/>
  <c r="B980" i="37"/>
  <c r="B981" i="37"/>
  <c r="B982" i="37"/>
  <c r="B983" i="37"/>
  <c r="B984" i="37"/>
  <c r="B985" i="37"/>
  <c r="B986" i="37"/>
  <c r="B987" i="37"/>
  <c r="B988" i="37"/>
  <c r="B989" i="37"/>
  <c r="B990" i="37"/>
  <c r="B991" i="37"/>
  <c r="B992" i="37"/>
  <c r="B993" i="37"/>
  <c r="B994" i="37"/>
  <c r="B995" i="37"/>
  <c r="B996" i="37"/>
  <c r="B997" i="37"/>
  <c r="B998" i="37"/>
  <c r="B999" i="37"/>
  <c r="B1000" i="37"/>
  <c r="B1001" i="37"/>
  <c r="B1002" i="37"/>
  <c r="B1003" i="37"/>
  <c r="B1004" i="37"/>
  <c r="B1005" i="37"/>
  <c r="B1006" i="37"/>
  <c r="B1007" i="37"/>
  <c r="B1008" i="37"/>
  <c r="B1009" i="37"/>
  <c r="B1010" i="37"/>
  <c r="B2" i="36"/>
  <c r="B3" i="36"/>
  <c r="B4" i="36"/>
  <c r="B5" i="36"/>
  <c r="B6" i="36"/>
  <c r="B7" i="36"/>
  <c r="B8" i="36"/>
  <c r="B9" i="36"/>
  <c r="B10" i="36"/>
  <c r="B11" i="36"/>
  <c r="B12" i="36"/>
  <c r="B13" i="36"/>
  <c r="B14" i="36"/>
  <c r="B15" i="36"/>
  <c r="B16" i="36"/>
  <c r="B17" i="36"/>
  <c r="B18" i="36"/>
  <c r="B19" i="36"/>
  <c r="B20" i="36"/>
  <c r="B21" i="36"/>
  <c r="B22" i="36"/>
  <c r="B23" i="36"/>
  <c r="B24" i="36"/>
  <c r="B25" i="36"/>
  <c r="B26" i="36"/>
  <c r="B27" i="36"/>
  <c r="B28" i="36"/>
  <c r="B29" i="36"/>
  <c r="B30" i="36"/>
  <c r="B31" i="36"/>
  <c r="B32" i="36"/>
  <c r="B33" i="36"/>
  <c r="B34" i="36"/>
  <c r="B35" i="36"/>
  <c r="B36" i="36"/>
  <c r="B37" i="36"/>
  <c r="B38" i="36"/>
  <c r="B39" i="36"/>
  <c r="B40" i="36"/>
  <c r="B41" i="36"/>
  <c r="B42" i="36"/>
  <c r="B43" i="36"/>
  <c r="B44" i="36"/>
  <c r="B45" i="36"/>
  <c r="B46" i="36"/>
  <c r="B47" i="36"/>
  <c r="B48" i="36"/>
  <c r="B49" i="36"/>
  <c r="B50" i="36"/>
  <c r="B51" i="36"/>
  <c r="B52" i="36"/>
  <c r="B53" i="36"/>
  <c r="B54" i="36"/>
  <c r="B55" i="36"/>
  <c r="B56" i="36"/>
  <c r="B57" i="36"/>
  <c r="B58" i="36"/>
  <c r="B59" i="36"/>
  <c r="B60" i="36"/>
  <c r="B61" i="36"/>
  <c r="B62" i="36"/>
  <c r="B63" i="36"/>
  <c r="B64" i="36"/>
  <c r="B65" i="36"/>
  <c r="B66" i="36"/>
  <c r="B67" i="36"/>
  <c r="B68" i="36"/>
  <c r="B69" i="36"/>
  <c r="B70" i="36"/>
  <c r="B71" i="36"/>
  <c r="B72" i="36"/>
  <c r="B73" i="36"/>
  <c r="B74" i="36"/>
  <c r="B75" i="36"/>
  <c r="B76" i="36"/>
  <c r="B77" i="36"/>
  <c r="B78" i="36"/>
  <c r="B79" i="36"/>
  <c r="B80" i="36"/>
  <c r="B81" i="36"/>
  <c r="B82" i="36"/>
  <c r="B83" i="36"/>
  <c r="B84" i="36"/>
  <c r="B85" i="36"/>
  <c r="B86" i="36"/>
  <c r="B87" i="36"/>
  <c r="B88" i="36"/>
  <c r="B89" i="36"/>
  <c r="B90" i="36"/>
  <c r="B91" i="36"/>
  <c r="B92" i="36"/>
  <c r="B93" i="36"/>
  <c r="B94" i="36"/>
  <c r="B95" i="36"/>
  <c r="B96" i="36"/>
  <c r="B97" i="36"/>
  <c r="B98" i="36"/>
  <c r="B99" i="36"/>
  <c r="B100" i="36"/>
  <c r="B101" i="36"/>
  <c r="B102" i="36"/>
  <c r="B103" i="36"/>
  <c r="B104" i="36"/>
  <c r="B105" i="36"/>
  <c r="B106" i="36"/>
  <c r="B107" i="36"/>
  <c r="B108" i="36"/>
  <c r="B109" i="36"/>
  <c r="B110" i="36"/>
  <c r="B111" i="36"/>
  <c r="B112" i="36"/>
  <c r="B113" i="36"/>
  <c r="B114" i="36"/>
  <c r="B115" i="36"/>
  <c r="B116" i="36"/>
  <c r="B117" i="36"/>
  <c r="B118" i="36"/>
  <c r="B119" i="36"/>
  <c r="B120" i="36"/>
  <c r="B121" i="36"/>
  <c r="B122" i="36"/>
  <c r="B123" i="36"/>
  <c r="B124" i="36"/>
  <c r="B125" i="36"/>
  <c r="B126" i="36"/>
  <c r="B127" i="36"/>
  <c r="B128" i="36"/>
  <c r="B129" i="36"/>
  <c r="B130" i="36"/>
  <c r="B131" i="36"/>
  <c r="B132" i="36"/>
  <c r="B133" i="36"/>
  <c r="B134" i="36"/>
  <c r="B135" i="36"/>
  <c r="B136" i="36"/>
  <c r="B137" i="36"/>
  <c r="B138" i="36"/>
  <c r="B139" i="36"/>
  <c r="B140" i="36"/>
  <c r="B141" i="36"/>
  <c r="B142" i="36"/>
  <c r="B143" i="36"/>
  <c r="B144" i="36"/>
  <c r="B145" i="36"/>
  <c r="B146" i="36"/>
  <c r="B147" i="36"/>
  <c r="B148" i="36"/>
  <c r="B149" i="36"/>
  <c r="B150" i="36"/>
  <c r="B151" i="36"/>
  <c r="B152" i="36"/>
  <c r="B153" i="36"/>
  <c r="B154" i="36"/>
  <c r="B155" i="36"/>
  <c r="B156" i="36"/>
  <c r="B157" i="36"/>
  <c r="B158" i="36"/>
  <c r="B159" i="36"/>
  <c r="B160" i="36"/>
  <c r="B161" i="36"/>
  <c r="B162" i="36"/>
  <c r="B163" i="36"/>
  <c r="B164" i="36"/>
  <c r="B165" i="36"/>
  <c r="B166" i="36"/>
  <c r="B167" i="36"/>
  <c r="B168" i="36"/>
  <c r="B169" i="36"/>
  <c r="B170" i="36"/>
  <c r="B171" i="36"/>
  <c r="B172" i="36"/>
  <c r="B173" i="36"/>
  <c r="B174" i="36"/>
  <c r="B175" i="36"/>
  <c r="B176" i="36"/>
  <c r="B177" i="36"/>
  <c r="B178" i="36"/>
  <c r="B179" i="36"/>
  <c r="B180" i="36"/>
  <c r="B181" i="36"/>
  <c r="B182" i="36"/>
  <c r="B183" i="36"/>
  <c r="B184" i="36"/>
  <c r="B185" i="36"/>
  <c r="B186" i="36"/>
  <c r="B187" i="36"/>
  <c r="B188" i="36"/>
  <c r="B189" i="36"/>
  <c r="B190" i="36"/>
  <c r="B191" i="36"/>
  <c r="B192" i="36"/>
  <c r="B193" i="36"/>
  <c r="B194" i="36"/>
  <c r="B195" i="36"/>
  <c r="B196" i="36"/>
  <c r="B197" i="36"/>
  <c r="B198" i="36"/>
  <c r="B199" i="36"/>
  <c r="B200" i="36"/>
  <c r="B201" i="36"/>
  <c r="B202" i="36"/>
  <c r="B203" i="36"/>
  <c r="B204" i="36"/>
  <c r="B205" i="36"/>
  <c r="B206" i="36"/>
  <c r="B207" i="36"/>
  <c r="B208" i="36"/>
  <c r="B209" i="36"/>
  <c r="B210" i="36"/>
  <c r="B211" i="36"/>
  <c r="B212" i="36"/>
  <c r="B213" i="36"/>
  <c r="B214" i="36"/>
  <c r="B215" i="36"/>
  <c r="B216" i="36"/>
  <c r="B217" i="36"/>
  <c r="B218" i="36"/>
  <c r="B219" i="36"/>
  <c r="B220" i="36"/>
  <c r="B221" i="36"/>
  <c r="B222" i="36"/>
  <c r="B223" i="36"/>
  <c r="B224" i="36"/>
  <c r="B225" i="36"/>
  <c r="B226" i="36"/>
  <c r="B227" i="36"/>
  <c r="B228" i="36"/>
  <c r="B229" i="36"/>
  <c r="B230" i="36"/>
  <c r="B231" i="36"/>
  <c r="B232" i="36"/>
  <c r="B233" i="36"/>
  <c r="B234" i="36"/>
  <c r="B235" i="36"/>
  <c r="B236" i="36"/>
  <c r="B237" i="36"/>
  <c r="B238" i="36"/>
  <c r="B239" i="36"/>
  <c r="B240" i="36"/>
  <c r="B241" i="36"/>
  <c r="B242" i="36"/>
  <c r="B243" i="36"/>
  <c r="B244" i="36"/>
  <c r="B245" i="36"/>
  <c r="B246" i="36"/>
  <c r="B247" i="36"/>
  <c r="B248" i="36"/>
  <c r="B249" i="36"/>
  <c r="B250" i="36"/>
  <c r="B251" i="36"/>
  <c r="B252" i="36"/>
  <c r="B253" i="36"/>
  <c r="B254" i="36"/>
  <c r="B255" i="36"/>
  <c r="B256" i="36"/>
  <c r="B257" i="36"/>
  <c r="B258" i="36"/>
  <c r="B259" i="36"/>
  <c r="B260" i="36"/>
  <c r="B261" i="36"/>
  <c r="B262" i="36"/>
  <c r="B263" i="36"/>
  <c r="B264" i="36"/>
  <c r="B265" i="36"/>
  <c r="B266" i="36"/>
  <c r="B267" i="36"/>
  <c r="B268" i="36"/>
  <c r="B269" i="36"/>
  <c r="B270" i="36"/>
  <c r="B271" i="36"/>
  <c r="B272" i="36"/>
  <c r="B273" i="36"/>
  <c r="B274" i="36"/>
  <c r="B275" i="36"/>
  <c r="B276" i="36"/>
  <c r="B277" i="36"/>
  <c r="B278" i="36"/>
  <c r="B279" i="36"/>
  <c r="B280" i="36"/>
  <c r="B281" i="36"/>
  <c r="B282" i="36"/>
  <c r="B283" i="36"/>
  <c r="B284" i="36"/>
  <c r="B285" i="36"/>
  <c r="B286" i="36"/>
  <c r="B287" i="36"/>
  <c r="B288" i="36"/>
  <c r="B289" i="36"/>
  <c r="B290" i="36"/>
  <c r="B291" i="36"/>
  <c r="B292" i="36"/>
  <c r="B293" i="36"/>
  <c r="B294" i="36"/>
  <c r="B295" i="36"/>
  <c r="B296" i="36"/>
  <c r="B297" i="36"/>
  <c r="B298" i="36"/>
  <c r="B299" i="36"/>
  <c r="B300" i="36"/>
  <c r="B301" i="36"/>
  <c r="B302" i="36"/>
  <c r="B303" i="36"/>
  <c r="B304" i="36"/>
  <c r="B305" i="36"/>
  <c r="B306" i="36"/>
  <c r="B307" i="36"/>
  <c r="B308" i="36"/>
  <c r="B309" i="36"/>
  <c r="B310" i="36"/>
  <c r="B311" i="36"/>
  <c r="B312" i="36"/>
  <c r="B313" i="36"/>
  <c r="B314" i="36"/>
  <c r="B315" i="36"/>
  <c r="B316" i="36"/>
  <c r="B317" i="36"/>
  <c r="B318" i="36"/>
  <c r="B319" i="36"/>
  <c r="B320" i="36"/>
  <c r="B321" i="36"/>
  <c r="B322" i="36"/>
  <c r="B323" i="36"/>
  <c r="B324" i="36"/>
  <c r="B325" i="36"/>
  <c r="B326" i="36"/>
  <c r="B327" i="36"/>
  <c r="B328" i="36"/>
  <c r="B329" i="36"/>
  <c r="B330" i="36"/>
  <c r="B331" i="36"/>
  <c r="B332" i="36"/>
  <c r="B333" i="36"/>
  <c r="B334" i="36"/>
  <c r="B335" i="36"/>
  <c r="B336" i="36"/>
  <c r="B337" i="36"/>
  <c r="B338" i="36"/>
  <c r="B339" i="36"/>
  <c r="B340" i="36"/>
  <c r="B341" i="36"/>
  <c r="B342" i="36"/>
  <c r="B343" i="36"/>
  <c r="B344" i="36"/>
  <c r="B345" i="36"/>
  <c r="B346" i="36"/>
  <c r="B347" i="36"/>
  <c r="B348" i="36"/>
  <c r="B349" i="36"/>
  <c r="B350" i="36"/>
  <c r="B351" i="36"/>
  <c r="B352" i="36"/>
  <c r="B353" i="36"/>
  <c r="B354" i="36"/>
  <c r="B355" i="36"/>
  <c r="B356" i="36"/>
  <c r="B357" i="36"/>
  <c r="B358" i="36"/>
  <c r="B359" i="36"/>
  <c r="B360" i="36"/>
  <c r="B361" i="36"/>
  <c r="B362" i="36"/>
  <c r="B363" i="36"/>
  <c r="B364" i="36"/>
  <c r="B365" i="36"/>
  <c r="B366" i="36"/>
  <c r="B367" i="36"/>
  <c r="B368" i="36"/>
  <c r="B369" i="36"/>
  <c r="B370" i="36"/>
  <c r="B371" i="36"/>
  <c r="B372" i="36"/>
  <c r="B373" i="36"/>
  <c r="B374" i="36"/>
  <c r="B375" i="36"/>
  <c r="B376" i="36"/>
  <c r="B377" i="36"/>
  <c r="B378" i="36"/>
  <c r="B379" i="36"/>
  <c r="B380" i="36"/>
  <c r="B381" i="36"/>
  <c r="B382" i="36"/>
  <c r="B383" i="36"/>
  <c r="B384" i="36"/>
  <c r="B385" i="36"/>
  <c r="B386" i="36"/>
  <c r="B387" i="36"/>
  <c r="B388" i="36"/>
  <c r="B389" i="36"/>
  <c r="B390" i="36"/>
  <c r="B391" i="36"/>
  <c r="B392" i="36"/>
  <c r="B393" i="36"/>
  <c r="B394" i="36"/>
  <c r="B395" i="36"/>
  <c r="B396" i="36"/>
  <c r="B397" i="36"/>
  <c r="B398" i="36"/>
  <c r="B399" i="36"/>
  <c r="B400" i="36"/>
  <c r="B401" i="36"/>
  <c r="B402" i="36"/>
  <c r="B403" i="36"/>
  <c r="B404" i="36"/>
  <c r="B405" i="36"/>
  <c r="B406" i="36"/>
  <c r="B407" i="36"/>
  <c r="B408" i="36"/>
  <c r="B409" i="36"/>
  <c r="B410" i="36"/>
  <c r="B411" i="36"/>
  <c r="B412" i="36"/>
  <c r="B413" i="36"/>
  <c r="B414" i="36"/>
  <c r="B415" i="36"/>
  <c r="B416" i="36"/>
  <c r="B417" i="36"/>
  <c r="B418" i="36"/>
  <c r="B419" i="36"/>
  <c r="B420" i="36"/>
  <c r="B421" i="36"/>
  <c r="B422" i="36"/>
  <c r="B423" i="36"/>
  <c r="B424" i="36"/>
  <c r="B425" i="36"/>
  <c r="B426" i="36"/>
  <c r="B427" i="36"/>
  <c r="B428" i="36"/>
  <c r="B429" i="36"/>
  <c r="B430" i="36"/>
  <c r="B431" i="36"/>
  <c r="B432" i="36"/>
  <c r="B433" i="36"/>
  <c r="B434" i="36"/>
  <c r="B435" i="36"/>
  <c r="B436" i="36"/>
  <c r="B437" i="36"/>
  <c r="B438" i="36"/>
  <c r="B439" i="36"/>
  <c r="B440" i="36"/>
  <c r="B441" i="36"/>
  <c r="B442" i="36"/>
  <c r="B443" i="36"/>
  <c r="B444" i="36"/>
  <c r="B445" i="36"/>
  <c r="B446" i="36"/>
  <c r="B447" i="36"/>
  <c r="B448" i="36"/>
  <c r="B449" i="36"/>
  <c r="B450" i="36"/>
  <c r="B451" i="36"/>
  <c r="B452" i="36"/>
  <c r="B453" i="36"/>
  <c r="B454" i="36"/>
  <c r="B455" i="36"/>
  <c r="B456" i="36"/>
  <c r="B457" i="36"/>
  <c r="B458" i="36"/>
  <c r="B459" i="36"/>
  <c r="B460" i="36"/>
  <c r="B461" i="36"/>
  <c r="B462" i="36"/>
  <c r="B463" i="36"/>
  <c r="B464" i="36"/>
  <c r="B465" i="36"/>
  <c r="B466" i="36"/>
  <c r="B467" i="36"/>
  <c r="B468" i="36"/>
  <c r="B469" i="36"/>
  <c r="B470" i="36"/>
  <c r="B471" i="36"/>
  <c r="B472" i="36"/>
  <c r="B473" i="36"/>
  <c r="B474" i="36"/>
  <c r="B475" i="36"/>
  <c r="B476" i="36"/>
  <c r="B477" i="36"/>
  <c r="B478" i="36"/>
  <c r="B479" i="36"/>
  <c r="B480" i="36"/>
  <c r="B481" i="36"/>
  <c r="B482" i="36"/>
  <c r="B483" i="36"/>
  <c r="B484" i="36"/>
  <c r="B485" i="36"/>
  <c r="B486" i="36"/>
  <c r="B487" i="36"/>
  <c r="B488" i="36"/>
  <c r="B489" i="36"/>
  <c r="B490" i="36"/>
  <c r="B491" i="36"/>
  <c r="B492" i="36"/>
  <c r="B493" i="36"/>
  <c r="B494" i="36"/>
  <c r="B495" i="36"/>
  <c r="B496" i="36"/>
  <c r="B497" i="36"/>
  <c r="B498" i="36"/>
  <c r="B499" i="36"/>
  <c r="B500" i="36"/>
  <c r="B501" i="36"/>
  <c r="B502" i="36"/>
  <c r="B503" i="36"/>
  <c r="B504" i="36"/>
  <c r="B505" i="36"/>
  <c r="B506" i="36"/>
  <c r="B507" i="36"/>
  <c r="B508" i="36"/>
  <c r="B509" i="36"/>
  <c r="B510" i="36"/>
  <c r="B511" i="36"/>
  <c r="B512" i="36"/>
  <c r="B513" i="36"/>
  <c r="B514" i="36"/>
  <c r="B515" i="36"/>
  <c r="B516" i="36"/>
  <c r="B517" i="36"/>
  <c r="B518" i="36"/>
  <c r="B519" i="36"/>
  <c r="B520" i="36"/>
  <c r="B521" i="36"/>
  <c r="B522" i="36"/>
  <c r="B523" i="36"/>
  <c r="B524" i="36"/>
  <c r="B525" i="36"/>
  <c r="B526" i="36"/>
  <c r="B527" i="36"/>
  <c r="B528" i="36"/>
  <c r="B529" i="36"/>
  <c r="B530" i="36"/>
  <c r="B531" i="36"/>
  <c r="B532" i="36"/>
  <c r="B533" i="36"/>
  <c r="B534" i="36"/>
  <c r="B535" i="36"/>
  <c r="B536" i="36"/>
  <c r="B537" i="36"/>
  <c r="B538" i="36"/>
  <c r="B539" i="36"/>
  <c r="B540" i="36"/>
  <c r="B541" i="36"/>
  <c r="B542" i="36"/>
  <c r="B543" i="36"/>
  <c r="B544" i="36"/>
  <c r="B545" i="36"/>
  <c r="B546" i="36"/>
  <c r="B547" i="36"/>
  <c r="B548" i="36"/>
  <c r="B549" i="36"/>
  <c r="B550" i="36"/>
  <c r="B551" i="36"/>
  <c r="B552" i="36"/>
  <c r="B553" i="36"/>
  <c r="B554" i="36"/>
  <c r="B555" i="36"/>
  <c r="B556" i="36"/>
  <c r="B557" i="36"/>
  <c r="B558" i="36"/>
  <c r="B559" i="36"/>
  <c r="B560" i="36"/>
  <c r="B561" i="36"/>
  <c r="B562" i="36"/>
  <c r="B563" i="36"/>
  <c r="B564" i="36"/>
  <c r="B565" i="36"/>
  <c r="B566" i="36"/>
  <c r="B567" i="36"/>
  <c r="B568" i="36"/>
  <c r="B569" i="36"/>
  <c r="B570" i="36"/>
  <c r="B571" i="36"/>
  <c r="B572" i="36"/>
  <c r="B573" i="36"/>
  <c r="B574" i="36"/>
  <c r="B575" i="36"/>
  <c r="B576" i="36"/>
  <c r="B577" i="36"/>
  <c r="B578" i="36"/>
  <c r="B579" i="36"/>
  <c r="B580" i="36"/>
  <c r="B581" i="36"/>
  <c r="B582" i="36"/>
  <c r="B583" i="36"/>
  <c r="B584" i="36"/>
  <c r="B585" i="36"/>
  <c r="B586" i="36"/>
  <c r="B587" i="36"/>
  <c r="B588" i="36"/>
  <c r="B589" i="36"/>
  <c r="B590" i="36"/>
  <c r="B591" i="36"/>
  <c r="B592" i="36"/>
  <c r="B593" i="36"/>
  <c r="B594" i="36"/>
  <c r="B595" i="36"/>
  <c r="B596" i="36"/>
  <c r="B597" i="36"/>
  <c r="B598" i="36"/>
  <c r="B599" i="36"/>
  <c r="B600" i="36"/>
  <c r="B601" i="36"/>
  <c r="B602" i="36"/>
  <c r="B603" i="36"/>
  <c r="B604" i="36"/>
  <c r="B605" i="36"/>
  <c r="B606" i="36"/>
  <c r="B607" i="36"/>
  <c r="B608" i="36"/>
  <c r="B609" i="36"/>
  <c r="B610" i="36"/>
  <c r="B611" i="36"/>
  <c r="B612" i="36"/>
  <c r="B613" i="36"/>
  <c r="B614" i="36"/>
  <c r="B615" i="36"/>
  <c r="B616" i="36"/>
  <c r="B617" i="36"/>
  <c r="B618" i="36"/>
  <c r="B619" i="36"/>
  <c r="B620" i="36"/>
  <c r="B621" i="36"/>
  <c r="B622" i="36"/>
  <c r="B623" i="36"/>
  <c r="B624" i="36"/>
  <c r="B625" i="36"/>
  <c r="B626" i="36"/>
  <c r="B627" i="36"/>
  <c r="B628" i="36"/>
  <c r="B629" i="36"/>
  <c r="B630" i="36"/>
  <c r="B631" i="36"/>
  <c r="B632" i="36"/>
  <c r="B633" i="36"/>
  <c r="B634" i="36"/>
  <c r="B635" i="36"/>
  <c r="B636" i="36"/>
  <c r="B637" i="36"/>
  <c r="B638" i="36"/>
  <c r="B639" i="36"/>
  <c r="B640" i="36"/>
  <c r="B641" i="36"/>
  <c r="B642" i="36"/>
  <c r="B643" i="36"/>
  <c r="B644" i="36"/>
  <c r="B645" i="36"/>
  <c r="B646" i="36"/>
  <c r="B647" i="36"/>
  <c r="B648" i="36"/>
  <c r="B649" i="36"/>
  <c r="B650" i="36"/>
  <c r="B651" i="36"/>
  <c r="B652" i="36"/>
  <c r="B653" i="36"/>
  <c r="B654" i="36"/>
  <c r="B655" i="36"/>
  <c r="B656" i="36"/>
  <c r="B657" i="36"/>
  <c r="B658" i="36"/>
  <c r="B659" i="36"/>
  <c r="B660" i="36"/>
  <c r="B661" i="36"/>
  <c r="B662" i="36"/>
  <c r="B663" i="36"/>
  <c r="B664" i="36"/>
  <c r="B665" i="36"/>
  <c r="B666" i="36"/>
  <c r="B667" i="36"/>
  <c r="B668" i="36"/>
  <c r="B669" i="36"/>
  <c r="B670" i="36"/>
  <c r="B671" i="36"/>
  <c r="B672" i="36"/>
  <c r="B673" i="36"/>
  <c r="B674" i="36"/>
  <c r="B675" i="36"/>
  <c r="B676" i="36"/>
  <c r="B677" i="36"/>
  <c r="B678" i="36"/>
  <c r="B679" i="36"/>
  <c r="B680" i="36"/>
  <c r="B681" i="36"/>
  <c r="B682" i="36"/>
  <c r="B683" i="36"/>
  <c r="B684" i="36"/>
  <c r="B685" i="36"/>
  <c r="B686" i="36"/>
  <c r="B687" i="36"/>
  <c r="B688" i="36"/>
  <c r="B689" i="36"/>
  <c r="B690" i="36"/>
  <c r="B691" i="36"/>
  <c r="B692" i="36"/>
  <c r="B693" i="36"/>
  <c r="B694" i="36"/>
  <c r="B695" i="36"/>
  <c r="B696" i="36"/>
  <c r="B697" i="36"/>
  <c r="B698" i="36"/>
  <c r="B699" i="36"/>
  <c r="B700" i="36"/>
  <c r="B701" i="36"/>
  <c r="B702" i="36"/>
  <c r="B703" i="36"/>
  <c r="B704" i="36"/>
  <c r="B705" i="36"/>
  <c r="B706" i="36"/>
  <c r="B707" i="36"/>
  <c r="B708" i="36"/>
  <c r="B709" i="36"/>
  <c r="B710" i="36"/>
  <c r="B711" i="36"/>
  <c r="B712" i="36"/>
  <c r="B713" i="36"/>
  <c r="B714" i="36"/>
  <c r="B715" i="36"/>
  <c r="B716" i="36"/>
  <c r="B717" i="36"/>
  <c r="B718" i="36"/>
  <c r="B719" i="36"/>
  <c r="B720" i="36"/>
  <c r="B721" i="36"/>
  <c r="B722" i="36"/>
  <c r="B723" i="36"/>
  <c r="B724" i="36"/>
  <c r="B725" i="36"/>
  <c r="B726" i="36"/>
  <c r="B727" i="36"/>
  <c r="B728" i="36"/>
  <c r="B729" i="36"/>
  <c r="B730" i="36"/>
  <c r="B731" i="36"/>
  <c r="B732" i="36"/>
  <c r="B733" i="36"/>
  <c r="B734" i="36"/>
  <c r="B735" i="36"/>
  <c r="B736" i="36"/>
  <c r="B737" i="36"/>
  <c r="B738" i="36"/>
  <c r="B739" i="36"/>
  <c r="B740" i="36"/>
  <c r="B741" i="36"/>
  <c r="B742" i="36"/>
  <c r="B743" i="36"/>
  <c r="B744" i="36"/>
  <c r="B745" i="36"/>
  <c r="B746" i="36"/>
  <c r="B747" i="36"/>
  <c r="B748" i="36"/>
  <c r="B749" i="36"/>
  <c r="B750" i="36"/>
  <c r="B751" i="36"/>
  <c r="B752" i="36"/>
  <c r="B753" i="36"/>
  <c r="B754" i="36"/>
  <c r="B755" i="36"/>
  <c r="B756" i="36"/>
  <c r="B757" i="36"/>
  <c r="B758" i="36"/>
  <c r="B759" i="36"/>
  <c r="B760" i="36"/>
  <c r="B761" i="36"/>
  <c r="B762" i="36"/>
  <c r="B763" i="36"/>
  <c r="B764" i="36"/>
  <c r="B765" i="36"/>
  <c r="B766" i="36"/>
  <c r="B767" i="36"/>
  <c r="B768" i="36"/>
  <c r="B769" i="36"/>
  <c r="B770" i="36"/>
  <c r="B771" i="36"/>
  <c r="B772" i="36"/>
  <c r="B773" i="36"/>
  <c r="B774" i="36"/>
  <c r="B775" i="36"/>
  <c r="B776" i="36"/>
  <c r="B777" i="36"/>
  <c r="B778" i="36"/>
  <c r="B779" i="36"/>
  <c r="B780" i="36"/>
  <c r="B781" i="36"/>
  <c r="B782" i="36"/>
  <c r="B783" i="36"/>
  <c r="B784" i="36"/>
  <c r="B785" i="36"/>
  <c r="B786" i="36"/>
  <c r="B787" i="36"/>
  <c r="B788" i="36"/>
  <c r="B789" i="36"/>
  <c r="B790" i="36"/>
  <c r="B791" i="36"/>
  <c r="B792" i="36"/>
  <c r="B793" i="36"/>
  <c r="B794" i="36"/>
  <c r="B795" i="36"/>
  <c r="B796" i="36"/>
  <c r="B797" i="36"/>
  <c r="B798" i="36"/>
  <c r="B799" i="36"/>
  <c r="B800" i="36"/>
  <c r="B801" i="36"/>
  <c r="B802" i="36"/>
  <c r="B803" i="36"/>
  <c r="B804" i="36"/>
  <c r="B805" i="36"/>
  <c r="B806" i="36"/>
  <c r="B807" i="36"/>
  <c r="B808" i="36"/>
  <c r="B809" i="36"/>
  <c r="B810" i="36"/>
  <c r="B811" i="36"/>
  <c r="B812" i="36"/>
  <c r="B813" i="36"/>
  <c r="B814" i="36"/>
  <c r="B815" i="36"/>
  <c r="B816" i="36"/>
  <c r="B817" i="36"/>
  <c r="B818" i="36"/>
  <c r="B819" i="36"/>
  <c r="B820" i="36"/>
  <c r="B821" i="36"/>
  <c r="B822" i="36"/>
  <c r="B823" i="36"/>
  <c r="B824" i="36"/>
  <c r="B825" i="36"/>
  <c r="B826" i="36"/>
  <c r="B827" i="36"/>
  <c r="B828" i="36"/>
  <c r="B829" i="36"/>
  <c r="B830" i="36"/>
  <c r="B831" i="36"/>
  <c r="B832" i="36"/>
  <c r="B833" i="36"/>
  <c r="B834" i="36"/>
  <c r="B835" i="36"/>
  <c r="B836" i="36"/>
  <c r="B837" i="36"/>
  <c r="B838" i="36"/>
  <c r="B839" i="36"/>
  <c r="B840" i="36"/>
  <c r="B841" i="36"/>
  <c r="B842" i="36"/>
  <c r="B843" i="36"/>
  <c r="B844" i="36"/>
  <c r="B845" i="36"/>
  <c r="B846" i="36"/>
  <c r="B847" i="36"/>
  <c r="B848" i="36"/>
  <c r="B849" i="36"/>
  <c r="B850" i="36"/>
  <c r="B851" i="36"/>
  <c r="B852" i="36"/>
  <c r="B853" i="36"/>
  <c r="B854" i="36"/>
  <c r="B855" i="36"/>
  <c r="B856" i="36"/>
  <c r="B857" i="36"/>
  <c r="B858" i="36"/>
  <c r="B859" i="36"/>
  <c r="B860" i="36"/>
  <c r="B861" i="36"/>
  <c r="B862" i="36"/>
  <c r="B863" i="36"/>
  <c r="B864" i="36"/>
  <c r="B865" i="36"/>
  <c r="B866" i="36"/>
  <c r="B867" i="36"/>
  <c r="B868" i="36"/>
  <c r="B869" i="36"/>
  <c r="B870" i="36"/>
  <c r="B871" i="36"/>
  <c r="B872" i="36"/>
  <c r="B873" i="36"/>
  <c r="B874" i="36"/>
  <c r="B875" i="36"/>
  <c r="B876" i="36"/>
  <c r="B877" i="36"/>
  <c r="B878" i="36"/>
  <c r="B879" i="36"/>
  <c r="B880" i="36"/>
  <c r="B881" i="36"/>
  <c r="B882" i="36"/>
  <c r="B883" i="36"/>
  <c r="B884" i="36"/>
  <c r="B885" i="36"/>
  <c r="B886" i="36"/>
  <c r="B887" i="36"/>
  <c r="B888" i="36"/>
  <c r="B889" i="36"/>
  <c r="B890" i="36"/>
  <c r="B891" i="36"/>
  <c r="B892" i="36"/>
  <c r="B893" i="36"/>
  <c r="B894" i="36"/>
  <c r="B895" i="36"/>
  <c r="B896" i="36"/>
  <c r="B897" i="36"/>
  <c r="B898" i="36"/>
  <c r="B899" i="36"/>
  <c r="B900" i="36"/>
  <c r="B901" i="36"/>
  <c r="B902" i="36"/>
  <c r="B903" i="36"/>
  <c r="B904" i="36"/>
  <c r="B905" i="36"/>
  <c r="B906" i="36"/>
  <c r="B907" i="36"/>
  <c r="B908" i="36"/>
  <c r="B909" i="36"/>
  <c r="B910" i="36"/>
  <c r="B911" i="36"/>
  <c r="B912" i="36"/>
  <c r="B913" i="36"/>
  <c r="B914" i="36"/>
  <c r="B915" i="36"/>
  <c r="B916" i="36"/>
  <c r="B917" i="36"/>
  <c r="B918" i="36"/>
  <c r="B919" i="36"/>
  <c r="B920" i="36"/>
  <c r="B921" i="36"/>
  <c r="B922" i="36"/>
  <c r="B923" i="36"/>
  <c r="B924" i="36"/>
  <c r="B925" i="36"/>
  <c r="B926" i="36"/>
  <c r="B927" i="36"/>
  <c r="B928" i="36"/>
  <c r="B929" i="36"/>
  <c r="B930" i="36"/>
  <c r="B931" i="36"/>
  <c r="B932" i="36"/>
  <c r="B933" i="36"/>
  <c r="B934" i="36"/>
  <c r="B935" i="36"/>
  <c r="B936" i="36"/>
  <c r="B937" i="36"/>
  <c r="B938" i="36"/>
  <c r="B939" i="36"/>
  <c r="B940" i="36"/>
  <c r="B941" i="36"/>
  <c r="B942" i="36"/>
  <c r="B943" i="36"/>
  <c r="B944" i="36"/>
  <c r="B945" i="36"/>
  <c r="B946" i="36"/>
  <c r="B947" i="36"/>
  <c r="B948" i="36"/>
  <c r="B949" i="36"/>
  <c r="B950" i="36"/>
  <c r="B951" i="36"/>
  <c r="B952" i="36"/>
  <c r="B953" i="36"/>
  <c r="B954" i="36"/>
  <c r="B955" i="36"/>
  <c r="B956" i="36"/>
  <c r="B957" i="36"/>
  <c r="B958" i="36"/>
  <c r="B959" i="36"/>
  <c r="B960" i="36"/>
  <c r="B961" i="36"/>
  <c r="B962" i="36"/>
  <c r="B963" i="36"/>
  <c r="B964" i="36"/>
  <c r="B965" i="36"/>
  <c r="B966" i="36"/>
  <c r="B967" i="36"/>
  <c r="B968" i="36"/>
  <c r="B969" i="36"/>
  <c r="B970" i="36"/>
  <c r="B971" i="36"/>
  <c r="B972" i="36"/>
  <c r="B973" i="36"/>
  <c r="B974" i="36"/>
  <c r="B975" i="36"/>
  <c r="B976" i="36"/>
  <c r="B977" i="36"/>
  <c r="B978" i="36"/>
  <c r="B979" i="36"/>
  <c r="B980" i="36"/>
  <c r="B981" i="36"/>
  <c r="B982" i="36"/>
  <c r="B983" i="36"/>
  <c r="B984" i="36"/>
  <c r="B985" i="36"/>
  <c r="B986" i="36"/>
  <c r="B987" i="36"/>
  <c r="B988" i="36"/>
  <c r="B989" i="36"/>
  <c r="B990" i="36"/>
  <c r="B991" i="36"/>
  <c r="B992" i="36"/>
  <c r="B993" i="36"/>
  <c r="B994" i="36"/>
  <c r="B995" i="36"/>
  <c r="B996" i="36"/>
  <c r="B997" i="36"/>
  <c r="B998" i="36"/>
  <c r="B999" i="36"/>
  <c r="B1000" i="36"/>
  <c r="B1001" i="36"/>
  <c r="B1002" i="36"/>
  <c r="B1003" i="36"/>
  <c r="B1004" i="36"/>
  <c r="B1005" i="36"/>
  <c r="B1006" i="36"/>
  <c r="B1007" i="36"/>
  <c r="B1008" i="36"/>
  <c r="B1009" i="36"/>
  <c r="B1010" i="36"/>
  <c r="M22" i="1" l="1"/>
  <c r="M27" i="1"/>
  <c r="M52" i="1" s="1"/>
  <c r="M45" i="1"/>
  <c r="L22" i="1"/>
  <c r="L27" i="1"/>
  <c r="L52" i="1" s="1"/>
  <c r="L45" i="1"/>
  <c r="K27" i="1"/>
  <c r="K52" i="1" s="1"/>
  <c r="K45" i="1"/>
  <c r="K22" i="1"/>
  <c r="J22" i="1"/>
  <c r="J52" i="1"/>
  <c r="J27" i="1"/>
  <c r="J45" i="1"/>
  <c r="I22" i="1"/>
  <c r="I45" i="1"/>
  <c r="I52" i="1"/>
  <c r="I27" i="1"/>
  <c r="B2" i="35"/>
  <c r="B3" i="35"/>
  <c r="B4" i="35"/>
  <c r="B5" i="35"/>
  <c r="B6" i="35"/>
  <c r="B7" i="35"/>
  <c r="B8" i="35"/>
  <c r="B9" i="35"/>
  <c r="B10" i="35"/>
  <c r="B11" i="35"/>
  <c r="B12" i="35"/>
  <c r="B13" i="35"/>
  <c r="B14" i="35"/>
  <c r="B15" i="35"/>
  <c r="B16" i="35"/>
  <c r="B17" i="35"/>
  <c r="B18" i="35"/>
  <c r="B19" i="35"/>
  <c r="B20" i="35"/>
  <c r="B21" i="35"/>
  <c r="B22" i="35"/>
  <c r="B23" i="35"/>
  <c r="B24" i="35"/>
  <c r="B25" i="35"/>
  <c r="B26" i="35"/>
  <c r="B27" i="35"/>
  <c r="B28" i="35"/>
  <c r="B29" i="35"/>
  <c r="B30" i="35"/>
  <c r="B31" i="35"/>
  <c r="B32" i="35"/>
  <c r="B33" i="35"/>
  <c r="B34" i="35"/>
  <c r="B35" i="35"/>
  <c r="B36" i="35"/>
  <c r="B37" i="35"/>
  <c r="B38" i="35"/>
  <c r="B39" i="35"/>
  <c r="B40" i="35"/>
  <c r="B41" i="35"/>
  <c r="B42" i="35"/>
  <c r="B43" i="35"/>
  <c r="B44" i="35"/>
  <c r="B45" i="35"/>
  <c r="B46" i="35"/>
  <c r="B47" i="35"/>
  <c r="B48" i="35"/>
  <c r="B49" i="35"/>
  <c r="B50" i="35"/>
  <c r="B51" i="35"/>
  <c r="B52" i="35"/>
  <c r="B53" i="35"/>
  <c r="B54" i="35"/>
  <c r="B55" i="35"/>
  <c r="B56" i="35"/>
  <c r="B57" i="35"/>
  <c r="B58" i="35"/>
  <c r="B59" i="35"/>
  <c r="B60" i="35"/>
  <c r="B61" i="35"/>
  <c r="B62" i="35"/>
  <c r="B63" i="35"/>
  <c r="B64" i="35"/>
  <c r="B65" i="35"/>
  <c r="B66" i="35"/>
  <c r="B67" i="35"/>
  <c r="B68" i="35"/>
  <c r="B69" i="35"/>
  <c r="B70" i="35"/>
  <c r="B71" i="35"/>
  <c r="B72" i="35"/>
  <c r="B73" i="35"/>
  <c r="B74" i="35"/>
  <c r="B75" i="35"/>
  <c r="B76" i="35"/>
  <c r="B77" i="35"/>
  <c r="B78" i="35"/>
  <c r="B79" i="35"/>
  <c r="B80" i="35"/>
  <c r="B81" i="35"/>
  <c r="B82" i="35"/>
  <c r="B83" i="35"/>
  <c r="B84" i="35"/>
  <c r="B85" i="35"/>
  <c r="B86" i="35"/>
  <c r="B87" i="35"/>
  <c r="B88" i="35"/>
  <c r="B89" i="35"/>
  <c r="B90" i="35"/>
  <c r="B91" i="35"/>
  <c r="B92" i="35"/>
  <c r="B93" i="35"/>
  <c r="B94" i="35"/>
  <c r="B95" i="35"/>
  <c r="B96" i="35"/>
  <c r="B97" i="35"/>
  <c r="B98" i="35"/>
  <c r="B99" i="35"/>
  <c r="B100" i="35"/>
  <c r="B101" i="35"/>
  <c r="B102" i="35"/>
  <c r="B103" i="35"/>
  <c r="B104" i="35"/>
  <c r="B105" i="35"/>
  <c r="B106" i="35"/>
  <c r="B107" i="35"/>
  <c r="B108" i="35"/>
  <c r="B109" i="35"/>
  <c r="B110" i="35"/>
  <c r="B111" i="35"/>
  <c r="B112" i="35"/>
  <c r="B113" i="35"/>
  <c r="B114" i="35"/>
  <c r="B115" i="35"/>
  <c r="B116" i="35"/>
  <c r="B117" i="35"/>
  <c r="B118" i="35"/>
  <c r="B119" i="35"/>
  <c r="B120" i="35"/>
  <c r="B121" i="35"/>
  <c r="B122" i="35"/>
  <c r="B123" i="35"/>
  <c r="B124" i="35"/>
  <c r="B125" i="35"/>
  <c r="B126" i="35"/>
  <c r="B127" i="35"/>
  <c r="B128" i="35"/>
  <c r="B129" i="35"/>
  <c r="B130" i="35"/>
  <c r="B131" i="35"/>
  <c r="B132" i="35"/>
  <c r="B133" i="35"/>
  <c r="B134" i="35"/>
  <c r="B135" i="35"/>
  <c r="B136" i="35"/>
  <c r="B137" i="35"/>
  <c r="B138" i="35"/>
  <c r="B139" i="35"/>
  <c r="B140" i="35"/>
  <c r="B141" i="35"/>
  <c r="B142" i="35"/>
  <c r="B143" i="35"/>
  <c r="B144" i="35"/>
  <c r="B145" i="35"/>
  <c r="B146" i="35"/>
  <c r="B147" i="35"/>
  <c r="B148" i="35"/>
  <c r="B149" i="35"/>
  <c r="B150" i="35"/>
  <c r="B151" i="35"/>
  <c r="B152" i="35"/>
  <c r="B153" i="35"/>
  <c r="B154" i="35"/>
  <c r="B155" i="35"/>
  <c r="B156" i="35"/>
  <c r="B157" i="35"/>
  <c r="B158" i="35"/>
  <c r="B159" i="35"/>
  <c r="B160" i="35"/>
  <c r="B161" i="35"/>
  <c r="B162" i="35"/>
  <c r="B163" i="35"/>
  <c r="B164" i="35"/>
  <c r="B165" i="35"/>
  <c r="B166" i="35"/>
  <c r="B167" i="35"/>
  <c r="B168" i="35"/>
  <c r="B169" i="35"/>
  <c r="B170" i="35"/>
  <c r="B171" i="35"/>
  <c r="B172" i="35"/>
  <c r="B173" i="35"/>
  <c r="B174" i="35"/>
  <c r="B175" i="35"/>
  <c r="B176" i="35"/>
  <c r="B177" i="35"/>
  <c r="B178" i="35"/>
  <c r="B179" i="35"/>
  <c r="B180" i="35"/>
  <c r="B181" i="35"/>
  <c r="B182" i="35"/>
  <c r="B183" i="35"/>
  <c r="B184" i="35"/>
  <c r="B185" i="35"/>
  <c r="B186" i="35"/>
  <c r="B187" i="35"/>
  <c r="B188" i="35"/>
  <c r="B189" i="35"/>
  <c r="B190" i="35"/>
  <c r="B191" i="35"/>
  <c r="B192" i="35"/>
  <c r="B193" i="35"/>
  <c r="B194" i="35"/>
  <c r="B195" i="35"/>
  <c r="B196" i="35"/>
  <c r="B197" i="35"/>
  <c r="B198" i="35"/>
  <c r="B199" i="35"/>
  <c r="B200" i="35"/>
  <c r="B201" i="35"/>
  <c r="B202" i="35"/>
  <c r="B203" i="35"/>
  <c r="B204" i="35"/>
  <c r="B205" i="35"/>
  <c r="B206" i="35"/>
  <c r="B207" i="35"/>
  <c r="B208" i="35"/>
  <c r="B209" i="35"/>
  <c r="B210" i="35"/>
  <c r="B211" i="35"/>
  <c r="B212" i="35"/>
  <c r="B213" i="35"/>
  <c r="B214" i="35"/>
  <c r="B215" i="35"/>
  <c r="B216" i="35"/>
  <c r="B217" i="35"/>
  <c r="B218" i="35"/>
  <c r="B219" i="35"/>
  <c r="B220" i="35"/>
  <c r="B221" i="35"/>
  <c r="B222" i="35"/>
  <c r="B223" i="35"/>
  <c r="B224" i="35"/>
  <c r="B225" i="35"/>
  <c r="B226" i="35"/>
  <c r="B227" i="35"/>
  <c r="B228" i="35"/>
  <c r="B229" i="35"/>
  <c r="B230" i="35"/>
  <c r="B231" i="35"/>
  <c r="B232" i="35"/>
  <c r="B233" i="35"/>
  <c r="B234" i="35"/>
  <c r="B235" i="35"/>
  <c r="B236" i="35"/>
  <c r="B237" i="35"/>
  <c r="B238" i="35"/>
  <c r="B239" i="35"/>
  <c r="B240" i="35"/>
  <c r="B241" i="35"/>
  <c r="B242" i="35"/>
  <c r="B243" i="35"/>
  <c r="B244" i="35"/>
  <c r="B245" i="35"/>
  <c r="B246" i="35"/>
  <c r="B247" i="35"/>
  <c r="B248" i="35"/>
  <c r="B249" i="35"/>
  <c r="B250" i="35"/>
  <c r="B251" i="35"/>
  <c r="B252" i="35"/>
  <c r="B253" i="35"/>
  <c r="B254" i="35"/>
  <c r="B255" i="35"/>
  <c r="B256" i="35"/>
  <c r="B257" i="35"/>
  <c r="B258" i="35"/>
  <c r="B259" i="35"/>
  <c r="B260" i="35"/>
  <c r="B261" i="35"/>
  <c r="B262" i="35"/>
  <c r="B263" i="35"/>
  <c r="B264" i="35"/>
  <c r="B265" i="35"/>
  <c r="B266" i="35"/>
  <c r="B267" i="35"/>
  <c r="B268" i="35"/>
  <c r="B269" i="35"/>
  <c r="B270" i="35"/>
  <c r="B271" i="35"/>
  <c r="B272" i="35"/>
  <c r="B273" i="35"/>
  <c r="B274" i="35"/>
  <c r="B275" i="35"/>
  <c r="B276" i="35"/>
  <c r="B277" i="35"/>
  <c r="B278" i="35"/>
  <c r="B279" i="35"/>
  <c r="B280" i="35"/>
  <c r="B281" i="35"/>
  <c r="B282" i="35"/>
  <c r="B283" i="35"/>
  <c r="B284" i="35"/>
  <c r="B285" i="35"/>
  <c r="B286" i="35"/>
  <c r="B287" i="35"/>
  <c r="B288" i="35"/>
  <c r="B289" i="35"/>
  <c r="B290" i="35"/>
  <c r="B291" i="35"/>
  <c r="B292" i="35"/>
  <c r="B293" i="35"/>
  <c r="B294" i="35"/>
  <c r="B295" i="35"/>
  <c r="B296" i="35"/>
  <c r="B297" i="35"/>
  <c r="B298" i="35"/>
  <c r="B299" i="35"/>
  <c r="B300" i="35"/>
  <c r="B301" i="35"/>
  <c r="B302" i="35"/>
  <c r="B303" i="35"/>
  <c r="B304" i="35"/>
  <c r="B305" i="35"/>
  <c r="B306" i="35"/>
  <c r="B307" i="35"/>
  <c r="B308" i="35"/>
  <c r="B309" i="35"/>
  <c r="B310" i="35"/>
  <c r="B311" i="35"/>
  <c r="B312" i="35"/>
  <c r="B313" i="35"/>
  <c r="B314" i="35"/>
  <c r="B315" i="35"/>
  <c r="B316" i="35"/>
  <c r="B317" i="35"/>
  <c r="B318" i="35"/>
  <c r="B319" i="35"/>
  <c r="B320" i="35"/>
  <c r="B321" i="35"/>
  <c r="B322" i="35"/>
  <c r="B323" i="35"/>
  <c r="B324" i="35"/>
  <c r="B325" i="35"/>
  <c r="B326" i="35"/>
  <c r="B327" i="35"/>
  <c r="B328" i="35"/>
  <c r="B329" i="35"/>
  <c r="B330" i="35"/>
  <c r="B331" i="35"/>
  <c r="B332" i="35"/>
  <c r="B333" i="35"/>
  <c r="B334" i="35"/>
  <c r="B335" i="35"/>
  <c r="B336" i="35"/>
  <c r="B337" i="35"/>
  <c r="B338" i="35"/>
  <c r="B339" i="35"/>
  <c r="B340" i="35"/>
  <c r="B341" i="35"/>
  <c r="B342" i="35"/>
  <c r="B343" i="35"/>
  <c r="B344" i="35"/>
  <c r="B345" i="35"/>
  <c r="B346" i="35"/>
  <c r="B347" i="35"/>
  <c r="B348" i="35"/>
  <c r="B349" i="35"/>
  <c r="B350" i="35"/>
  <c r="B351" i="35"/>
  <c r="B352" i="35"/>
  <c r="B353" i="35"/>
  <c r="B354" i="35"/>
  <c r="B355" i="35"/>
  <c r="B356" i="35"/>
  <c r="B357" i="35"/>
  <c r="B358" i="35"/>
  <c r="B359" i="35"/>
  <c r="B360" i="35"/>
  <c r="B361" i="35"/>
  <c r="B362" i="35"/>
  <c r="B363" i="35"/>
  <c r="B364" i="35"/>
  <c r="B365" i="35"/>
  <c r="B366" i="35"/>
  <c r="B367" i="35"/>
  <c r="B368" i="35"/>
  <c r="B369" i="35"/>
  <c r="B370" i="35"/>
  <c r="B371" i="35"/>
  <c r="B372" i="35"/>
  <c r="B373" i="35"/>
  <c r="B374" i="35"/>
  <c r="B375" i="35"/>
  <c r="B376" i="35"/>
  <c r="B377" i="35"/>
  <c r="B378" i="35"/>
  <c r="B379" i="35"/>
  <c r="B380" i="35"/>
  <c r="B381" i="35"/>
  <c r="B382" i="35"/>
  <c r="B383" i="35"/>
  <c r="B384" i="35"/>
  <c r="B385" i="35"/>
  <c r="B386" i="35"/>
  <c r="B387" i="35"/>
  <c r="B388" i="35"/>
  <c r="B389" i="35"/>
  <c r="B390" i="35"/>
  <c r="B391" i="35"/>
  <c r="B392" i="35"/>
  <c r="B393" i="35"/>
  <c r="B394" i="35"/>
  <c r="B395" i="35"/>
  <c r="B396" i="35"/>
  <c r="B397" i="35"/>
  <c r="B398" i="35"/>
  <c r="B399" i="35"/>
  <c r="B400" i="35"/>
  <c r="B401" i="35"/>
  <c r="B402" i="35"/>
  <c r="B403" i="35"/>
  <c r="B404" i="35"/>
  <c r="B405" i="35"/>
  <c r="B406" i="35"/>
  <c r="B407" i="35"/>
  <c r="B408" i="35"/>
  <c r="B409" i="35"/>
  <c r="B410" i="35"/>
  <c r="B411" i="35"/>
  <c r="B412" i="35"/>
  <c r="B413" i="35"/>
  <c r="B414" i="35"/>
  <c r="B415" i="35"/>
  <c r="B416" i="35"/>
  <c r="B417" i="35"/>
  <c r="B418" i="35"/>
  <c r="B419" i="35"/>
  <c r="B420" i="35"/>
  <c r="B421" i="35"/>
  <c r="B422" i="35"/>
  <c r="B423" i="35"/>
  <c r="B424" i="35"/>
  <c r="B425" i="35"/>
  <c r="B426" i="35"/>
  <c r="B427" i="35"/>
  <c r="B428" i="35"/>
  <c r="B429" i="35"/>
  <c r="B430" i="35"/>
  <c r="B431" i="35"/>
  <c r="B432" i="35"/>
  <c r="B433" i="35"/>
  <c r="B434" i="35"/>
  <c r="B435" i="35"/>
  <c r="B436" i="35"/>
  <c r="B437" i="35"/>
  <c r="B438" i="35"/>
  <c r="B439" i="35"/>
  <c r="B440" i="35"/>
  <c r="B441" i="35"/>
  <c r="B442" i="35"/>
  <c r="B443" i="35"/>
  <c r="B444" i="35"/>
  <c r="B445" i="35"/>
  <c r="B446" i="35"/>
  <c r="B447" i="35"/>
  <c r="B448" i="35"/>
  <c r="B449" i="35"/>
  <c r="B450" i="35"/>
  <c r="B451" i="35"/>
  <c r="B452" i="35"/>
  <c r="B453" i="35"/>
  <c r="B454" i="35"/>
  <c r="B455" i="35"/>
  <c r="B456" i="35"/>
  <c r="B457" i="35"/>
  <c r="B458" i="35"/>
  <c r="B459" i="35"/>
  <c r="B460" i="35"/>
  <c r="B461" i="35"/>
  <c r="B462" i="35"/>
  <c r="B463" i="35"/>
  <c r="B464" i="35"/>
  <c r="B465" i="35"/>
  <c r="B466" i="35"/>
  <c r="B467" i="35"/>
  <c r="B468" i="35"/>
  <c r="B469" i="35"/>
  <c r="B470" i="35"/>
  <c r="B471" i="35"/>
  <c r="B472" i="35"/>
  <c r="B473" i="35"/>
  <c r="B474" i="35"/>
  <c r="B475" i="35"/>
  <c r="B476" i="35"/>
  <c r="B477" i="35"/>
  <c r="B478" i="35"/>
  <c r="B479" i="35"/>
  <c r="B480" i="35"/>
  <c r="B481" i="35"/>
  <c r="B482" i="35"/>
  <c r="B483" i="35"/>
  <c r="B484" i="35"/>
  <c r="B485" i="35"/>
  <c r="B486" i="35"/>
  <c r="B487" i="35"/>
  <c r="B488" i="35"/>
  <c r="B489" i="35"/>
  <c r="B490" i="35"/>
  <c r="B491" i="35"/>
  <c r="B492" i="35"/>
  <c r="B493" i="35"/>
  <c r="B494" i="35"/>
  <c r="B495" i="35"/>
  <c r="B496" i="35"/>
  <c r="B497" i="35"/>
  <c r="B498" i="35"/>
  <c r="B499" i="35"/>
  <c r="B500" i="35"/>
  <c r="B501" i="35"/>
  <c r="B502" i="35"/>
  <c r="B503" i="35"/>
  <c r="B504" i="35"/>
  <c r="B505" i="35"/>
  <c r="B506" i="35"/>
  <c r="B507" i="35"/>
  <c r="B508" i="35"/>
  <c r="B509" i="35"/>
  <c r="B510" i="35"/>
  <c r="B511" i="35"/>
  <c r="B512" i="35"/>
  <c r="B513" i="35"/>
  <c r="B514" i="35"/>
  <c r="B515" i="35"/>
  <c r="B516" i="35"/>
  <c r="B517" i="35"/>
  <c r="B518" i="35"/>
  <c r="B519" i="35"/>
  <c r="B520" i="35"/>
  <c r="B521" i="35"/>
  <c r="B522" i="35"/>
  <c r="B523" i="35"/>
  <c r="B524" i="35"/>
  <c r="B525" i="35"/>
  <c r="B526" i="35"/>
  <c r="B527" i="35"/>
  <c r="B528" i="35"/>
  <c r="B529" i="35"/>
  <c r="B530" i="35"/>
  <c r="B531" i="35"/>
  <c r="B532" i="35"/>
  <c r="B533" i="35"/>
  <c r="B534" i="35"/>
  <c r="B535" i="35"/>
  <c r="B536" i="35"/>
  <c r="B537" i="35"/>
  <c r="B538" i="35"/>
  <c r="B539" i="35"/>
  <c r="B540" i="35"/>
  <c r="B541" i="35"/>
  <c r="B542" i="35"/>
  <c r="B543" i="35"/>
  <c r="B544" i="35"/>
  <c r="B545" i="35"/>
  <c r="B546" i="35"/>
  <c r="B547" i="35"/>
  <c r="B548" i="35"/>
  <c r="B549" i="35"/>
  <c r="B550" i="35"/>
  <c r="B551" i="35"/>
  <c r="B552" i="35"/>
  <c r="B553" i="35"/>
  <c r="B554" i="35"/>
  <c r="B555" i="35"/>
  <c r="B556" i="35"/>
  <c r="B557" i="35"/>
  <c r="B558" i="35"/>
  <c r="B559" i="35"/>
  <c r="B560" i="35"/>
  <c r="B561" i="35"/>
  <c r="B562" i="35"/>
  <c r="B563" i="35"/>
  <c r="B564" i="35"/>
  <c r="B565" i="35"/>
  <c r="B566" i="35"/>
  <c r="B567" i="35"/>
  <c r="B568" i="35"/>
  <c r="B569" i="35"/>
  <c r="B570" i="35"/>
  <c r="B571" i="35"/>
  <c r="B572" i="35"/>
  <c r="B573" i="35"/>
  <c r="B574" i="35"/>
  <c r="B575" i="35"/>
  <c r="B576" i="35"/>
  <c r="B577" i="35"/>
  <c r="B578" i="35"/>
  <c r="B579" i="35"/>
  <c r="B580" i="35"/>
  <c r="B581" i="35"/>
  <c r="B582" i="35"/>
  <c r="B583" i="35"/>
  <c r="B584" i="35"/>
  <c r="B585" i="35"/>
  <c r="B586" i="35"/>
  <c r="B587" i="35"/>
  <c r="B588" i="35"/>
  <c r="B589" i="35"/>
  <c r="B590" i="35"/>
  <c r="B591" i="35"/>
  <c r="B592" i="35"/>
  <c r="B593" i="35"/>
  <c r="B594" i="35"/>
  <c r="B595" i="35"/>
  <c r="B596" i="35"/>
  <c r="B597" i="35"/>
  <c r="B598" i="35"/>
  <c r="B599" i="35"/>
  <c r="B600" i="35"/>
  <c r="B601" i="35"/>
  <c r="B602" i="35"/>
  <c r="B603" i="35"/>
  <c r="B604" i="35"/>
  <c r="B605" i="35"/>
  <c r="B606" i="35"/>
  <c r="B607" i="35"/>
  <c r="B608" i="35"/>
  <c r="B609" i="35"/>
  <c r="B610" i="35"/>
  <c r="B611" i="35"/>
  <c r="B612" i="35"/>
  <c r="B613" i="35"/>
  <c r="B614" i="35"/>
  <c r="B615" i="35"/>
  <c r="B616" i="35"/>
  <c r="B617" i="35"/>
  <c r="B618" i="35"/>
  <c r="B619" i="35"/>
  <c r="B620" i="35"/>
  <c r="B621" i="35"/>
  <c r="B622" i="35"/>
  <c r="B623" i="35"/>
  <c r="B624" i="35"/>
  <c r="B625" i="35"/>
  <c r="B626" i="35"/>
  <c r="B627" i="35"/>
  <c r="B628" i="35"/>
  <c r="B629" i="35"/>
  <c r="B630" i="35"/>
  <c r="B631" i="35"/>
  <c r="B632" i="35"/>
  <c r="B633" i="35"/>
  <c r="B634" i="35"/>
  <c r="B635" i="35"/>
  <c r="B636" i="35"/>
  <c r="B637" i="35"/>
  <c r="B638" i="35"/>
  <c r="B639" i="35"/>
  <c r="B640" i="35"/>
  <c r="B641" i="35"/>
  <c r="B642" i="35"/>
  <c r="B643" i="35"/>
  <c r="B644" i="35"/>
  <c r="B645" i="35"/>
  <c r="B646" i="35"/>
  <c r="B647" i="35"/>
  <c r="B648" i="35"/>
  <c r="B649" i="35"/>
  <c r="B650" i="35"/>
  <c r="B651" i="35"/>
  <c r="B652" i="35"/>
  <c r="B653" i="35"/>
  <c r="B654" i="35"/>
  <c r="B655" i="35"/>
  <c r="B656" i="35"/>
  <c r="B657" i="35"/>
  <c r="B658" i="35"/>
  <c r="B659" i="35"/>
  <c r="B660" i="35"/>
  <c r="B661" i="35"/>
  <c r="B662" i="35"/>
  <c r="B663" i="35"/>
  <c r="B664" i="35"/>
  <c r="B665" i="35"/>
  <c r="B666" i="35"/>
  <c r="B667" i="35"/>
  <c r="B668" i="35"/>
  <c r="B669" i="35"/>
  <c r="B670" i="35"/>
  <c r="B671" i="35"/>
  <c r="B672" i="35"/>
  <c r="B673" i="35"/>
  <c r="B674" i="35"/>
  <c r="B675" i="35"/>
  <c r="B676" i="35"/>
  <c r="B677" i="35"/>
  <c r="B678" i="35"/>
  <c r="B679" i="35"/>
  <c r="B680" i="35"/>
  <c r="B681" i="35"/>
  <c r="B682" i="35"/>
  <c r="B683" i="35"/>
  <c r="B684" i="35"/>
  <c r="B685" i="35"/>
  <c r="B686" i="35"/>
  <c r="B687" i="35"/>
  <c r="B688" i="35"/>
  <c r="B689" i="35"/>
  <c r="B690" i="35"/>
  <c r="B691" i="35"/>
  <c r="B692" i="35"/>
  <c r="B693" i="35"/>
  <c r="B694" i="35"/>
  <c r="B695" i="35"/>
  <c r="B696" i="35"/>
  <c r="B697" i="35"/>
  <c r="B698" i="35"/>
  <c r="B699" i="35"/>
  <c r="B700" i="35"/>
  <c r="B701" i="35"/>
  <c r="B702" i="35"/>
  <c r="B703" i="35"/>
  <c r="B704" i="35"/>
  <c r="B705" i="35"/>
  <c r="B706" i="35"/>
  <c r="B707" i="35"/>
  <c r="B708" i="35"/>
  <c r="B709" i="35"/>
  <c r="B710" i="35"/>
  <c r="B711" i="35"/>
  <c r="B712" i="35"/>
  <c r="B713" i="35"/>
  <c r="B714" i="35"/>
  <c r="B715" i="35"/>
  <c r="B716" i="35"/>
  <c r="B717" i="35"/>
  <c r="B718" i="35"/>
  <c r="B719" i="35"/>
  <c r="B720" i="35"/>
  <c r="B721" i="35"/>
  <c r="B722" i="35"/>
  <c r="B723" i="35"/>
  <c r="B724" i="35"/>
  <c r="B725" i="35"/>
  <c r="B726" i="35"/>
  <c r="B727" i="35"/>
  <c r="B728" i="35"/>
  <c r="B729" i="35"/>
  <c r="B730" i="35"/>
  <c r="B731" i="35"/>
  <c r="B732" i="35"/>
  <c r="B733" i="35"/>
  <c r="B734" i="35"/>
  <c r="B735" i="35"/>
  <c r="B736" i="35"/>
  <c r="B737" i="35"/>
  <c r="B738" i="35"/>
  <c r="B739" i="35"/>
  <c r="B740" i="35"/>
  <c r="B741" i="35"/>
  <c r="B742" i="35"/>
  <c r="B743" i="35"/>
  <c r="B744" i="35"/>
  <c r="B745" i="35"/>
  <c r="B746" i="35"/>
  <c r="B747" i="35"/>
  <c r="B748" i="35"/>
  <c r="B749" i="35"/>
  <c r="B750" i="35"/>
  <c r="B751" i="35"/>
  <c r="B752" i="35"/>
  <c r="B753" i="35"/>
  <c r="B754" i="35"/>
  <c r="B755" i="35"/>
  <c r="B756" i="35"/>
  <c r="B757" i="35"/>
  <c r="B758" i="35"/>
  <c r="B759" i="35"/>
  <c r="B760" i="35"/>
  <c r="B761" i="35"/>
  <c r="B762" i="35"/>
  <c r="B763" i="35"/>
  <c r="B764" i="35"/>
  <c r="B765" i="35"/>
  <c r="B766" i="35"/>
  <c r="B767" i="35"/>
  <c r="B768" i="35"/>
  <c r="B769" i="35"/>
  <c r="B770" i="35"/>
  <c r="B771" i="35"/>
  <c r="B772" i="35"/>
  <c r="B773" i="35"/>
  <c r="B774" i="35"/>
  <c r="B775" i="35"/>
  <c r="B776" i="35"/>
  <c r="B777" i="35"/>
  <c r="B778" i="35"/>
  <c r="B779" i="35"/>
  <c r="B780" i="35"/>
  <c r="B781" i="35"/>
  <c r="B782" i="35"/>
  <c r="B783" i="35"/>
  <c r="B784" i="35"/>
  <c r="B785" i="35"/>
  <c r="B786" i="35"/>
  <c r="B787" i="35"/>
  <c r="B788" i="35"/>
  <c r="B789" i="35"/>
  <c r="B790" i="35"/>
  <c r="B791" i="35"/>
  <c r="B792" i="35"/>
  <c r="B793" i="35"/>
  <c r="B794" i="35"/>
  <c r="B795" i="35"/>
  <c r="B796" i="35"/>
  <c r="B797" i="35"/>
  <c r="B798" i="35"/>
  <c r="B799" i="35"/>
  <c r="B800" i="35"/>
  <c r="B801" i="35"/>
  <c r="B802" i="35"/>
  <c r="B803" i="35"/>
  <c r="B804" i="35"/>
  <c r="B805" i="35"/>
  <c r="B806" i="35"/>
  <c r="B807" i="35"/>
  <c r="B808" i="35"/>
  <c r="B809" i="35"/>
  <c r="B810" i="35"/>
  <c r="B811" i="35"/>
  <c r="B812" i="35"/>
  <c r="B813" i="35"/>
  <c r="B814" i="35"/>
  <c r="B815" i="35"/>
  <c r="B816" i="35"/>
  <c r="B817" i="35"/>
  <c r="B818" i="35"/>
  <c r="B819" i="35"/>
  <c r="B820" i="35"/>
  <c r="B821" i="35"/>
  <c r="B822" i="35"/>
  <c r="B823" i="35"/>
  <c r="B824" i="35"/>
  <c r="B825" i="35"/>
  <c r="B826" i="35"/>
  <c r="B827" i="35"/>
  <c r="B828" i="35"/>
  <c r="B829" i="35"/>
  <c r="B830" i="35"/>
  <c r="B831" i="35"/>
  <c r="B832" i="35"/>
  <c r="B833" i="35"/>
  <c r="B834" i="35"/>
  <c r="B835" i="35"/>
  <c r="B836" i="35"/>
  <c r="B837" i="35"/>
  <c r="B838" i="35"/>
  <c r="B839" i="35"/>
  <c r="B840" i="35"/>
  <c r="B841" i="35"/>
  <c r="B842" i="35"/>
  <c r="B843" i="35"/>
  <c r="B844" i="35"/>
  <c r="B845" i="35"/>
  <c r="B846" i="35"/>
  <c r="B847" i="35"/>
  <c r="B848" i="35"/>
  <c r="B849" i="35"/>
  <c r="B850" i="35"/>
  <c r="B851" i="35"/>
  <c r="B852" i="35"/>
  <c r="B853" i="35"/>
  <c r="B854" i="35"/>
  <c r="B855" i="35"/>
  <c r="B856" i="35"/>
  <c r="B857" i="35"/>
  <c r="B858" i="35"/>
  <c r="B859" i="35"/>
  <c r="B860" i="35"/>
  <c r="B861" i="35"/>
  <c r="B862" i="35"/>
  <c r="B863" i="35"/>
  <c r="B864" i="35"/>
  <c r="B865" i="35"/>
  <c r="B866" i="35"/>
  <c r="B867" i="35"/>
  <c r="B868" i="35"/>
  <c r="B869" i="35"/>
  <c r="B870" i="35"/>
  <c r="B871" i="35"/>
  <c r="B872" i="35"/>
  <c r="B873" i="35"/>
  <c r="B874" i="35"/>
  <c r="B875" i="35"/>
  <c r="B876" i="35"/>
  <c r="B877" i="35"/>
  <c r="B878" i="35"/>
  <c r="B879" i="35"/>
  <c r="B880" i="35"/>
  <c r="B881" i="35"/>
  <c r="B882" i="35"/>
  <c r="B883" i="35"/>
  <c r="B884" i="35"/>
  <c r="B885" i="35"/>
  <c r="B886" i="35"/>
  <c r="B887" i="35"/>
  <c r="B888" i="35"/>
  <c r="B889" i="35"/>
  <c r="B890" i="35"/>
  <c r="B891" i="35"/>
  <c r="B892" i="35"/>
  <c r="B893" i="35"/>
  <c r="B894" i="35"/>
  <c r="B895" i="35"/>
  <c r="B896" i="35"/>
  <c r="B897" i="35"/>
  <c r="B898" i="35"/>
  <c r="B899" i="35"/>
  <c r="B900" i="35"/>
  <c r="B901" i="35"/>
  <c r="B902" i="35"/>
  <c r="B903" i="35"/>
  <c r="B904" i="35"/>
  <c r="B905" i="35"/>
  <c r="B906" i="35"/>
  <c r="B907" i="35"/>
  <c r="B908" i="35"/>
  <c r="B909" i="35"/>
  <c r="B910" i="35"/>
  <c r="B911" i="35"/>
  <c r="B912" i="35"/>
  <c r="B913" i="35"/>
  <c r="B914" i="35"/>
  <c r="B915" i="35"/>
  <c r="B916" i="35"/>
  <c r="B917" i="35"/>
  <c r="B918" i="35"/>
  <c r="B919" i="35"/>
  <c r="B920" i="35"/>
  <c r="B921" i="35"/>
  <c r="B922" i="35"/>
  <c r="B923" i="35"/>
  <c r="B924" i="35"/>
  <c r="B925" i="35"/>
  <c r="B926" i="35"/>
  <c r="B927" i="35"/>
  <c r="B928" i="35"/>
  <c r="B929" i="35"/>
  <c r="B930" i="35"/>
  <c r="B931" i="35"/>
  <c r="B932" i="35"/>
  <c r="B933" i="35"/>
  <c r="B934" i="35"/>
  <c r="B935" i="35"/>
  <c r="B936" i="35"/>
  <c r="B937" i="35"/>
  <c r="B938" i="35"/>
  <c r="B939" i="35"/>
  <c r="B940" i="35"/>
  <c r="B941" i="35"/>
  <c r="B942" i="35"/>
  <c r="B943" i="35"/>
  <c r="B944" i="35"/>
  <c r="B945" i="35"/>
  <c r="B946" i="35"/>
  <c r="B947" i="35"/>
  <c r="B948" i="35"/>
  <c r="B949" i="35"/>
  <c r="B950" i="35"/>
  <c r="B951" i="35"/>
  <c r="B952" i="35"/>
  <c r="B953" i="35"/>
  <c r="B954" i="35"/>
  <c r="B955" i="35"/>
  <c r="B956" i="35"/>
  <c r="B957" i="35"/>
  <c r="B958" i="35"/>
  <c r="B959" i="35"/>
  <c r="B960" i="35"/>
  <c r="B961" i="35"/>
  <c r="B962" i="35"/>
  <c r="B963" i="35"/>
  <c r="B964" i="35"/>
  <c r="B965" i="35"/>
  <c r="B966" i="35"/>
  <c r="B967" i="35"/>
  <c r="B968" i="35"/>
  <c r="B969" i="35"/>
  <c r="B970" i="35"/>
  <c r="B971" i="35"/>
  <c r="B972" i="35"/>
  <c r="B973" i="35"/>
  <c r="B974" i="35"/>
  <c r="B975" i="35"/>
  <c r="B976" i="35"/>
  <c r="B977" i="35"/>
  <c r="B978" i="35"/>
  <c r="B979" i="35"/>
  <c r="B980" i="35"/>
  <c r="B981" i="35"/>
  <c r="B982" i="35"/>
  <c r="B983" i="35"/>
  <c r="B984" i="35"/>
  <c r="B985" i="35"/>
  <c r="B986" i="35"/>
  <c r="B987" i="35"/>
  <c r="B988" i="35"/>
  <c r="B989" i="35"/>
  <c r="B990" i="35"/>
  <c r="B991" i="35"/>
  <c r="B992" i="35"/>
  <c r="B993" i="35"/>
  <c r="B994" i="35"/>
  <c r="B995" i="35"/>
  <c r="B996" i="35"/>
  <c r="B997" i="35"/>
  <c r="B998" i="35"/>
  <c r="B999" i="35"/>
  <c r="B1000" i="35"/>
  <c r="B1001" i="35"/>
  <c r="B1002" i="35"/>
  <c r="B1003" i="35"/>
  <c r="B1004" i="35"/>
  <c r="B1005" i="35"/>
  <c r="B1006" i="35"/>
  <c r="B1007" i="35"/>
  <c r="B1008" i="35"/>
  <c r="B1009" i="35"/>
  <c r="B1010" i="35"/>
  <c r="B1011" i="35"/>
  <c r="B1012" i="35"/>
  <c r="B1013" i="35"/>
  <c r="B1014" i="35"/>
  <c r="B1015" i="35"/>
  <c r="B1016" i="35"/>
  <c r="B1017" i="35"/>
  <c r="B1018" i="35"/>
  <c r="B1019" i="35"/>
  <c r="B1020" i="35"/>
  <c r="B1021" i="35"/>
  <c r="B1022" i="35"/>
  <c r="B1023" i="35"/>
  <c r="B1024" i="35"/>
  <c r="B1025" i="35"/>
  <c r="B1026" i="35"/>
  <c r="B1027" i="35"/>
  <c r="B1028" i="35"/>
  <c r="B1029" i="35"/>
  <c r="B1030" i="35"/>
  <c r="B1031" i="35"/>
  <c r="B1032" i="35"/>
  <c r="B1033" i="35"/>
  <c r="B1034" i="35"/>
  <c r="B1035" i="35"/>
  <c r="B1036" i="35"/>
  <c r="B1037" i="35"/>
  <c r="B1038" i="35"/>
  <c r="B1039" i="35"/>
  <c r="B1040" i="35"/>
  <c r="B1041" i="35"/>
  <c r="B1042" i="35"/>
  <c r="B1043" i="35"/>
  <c r="B1044" i="35"/>
  <c r="B1045" i="35"/>
  <c r="B1046" i="35"/>
  <c r="B1047" i="35"/>
  <c r="B1048" i="35"/>
  <c r="B1049" i="35"/>
  <c r="B1050" i="35"/>
  <c r="B1051" i="35"/>
  <c r="B1052" i="35"/>
  <c r="B1053" i="35"/>
  <c r="B1054" i="35"/>
  <c r="B1055" i="35"/>
  <c r="B1056" i="35"/>
  <c r="B1057" i="35"/>
  <c r="B1058" i="35"/>
  <c r="B1059" i="35"/>
  <c r="B1060" i="35"/>
  <c r="B1061" i="35"/>
  <c r="B1062" i="35"/>
  <c r="B1063" i="35"/>
  <c r="B1064" i="35"/>
  <c r="B1065" i="35"/>
  <c r="B1066" i="35"/>
  <c r="B1067" i="35"/>
  <c r="B1068" i="35"/>
  <c r="B1069" i="35"/>
  <c r="B1070" i="35"/>
  <c r="B1071" i="35"/>
  <c r="B1072" i="35"/>
  <c r="B1073" i="35"/>
  <c r="B1074" i="35"/>
  <c r="B1075" i="35"/>
  <c r="B1076" i="35"/>
  <c r="B1077" i="35"/>
  <c r="B1078" i="35"/>
  <c r="B1079" i="35"/>
  <c r="B1080" i="35"/>
  <c r="B1081" i="35"/>
  <c r="B1082" i="35"/>
  <c r="B1083" i="35"/>
  <c r="B1084" i="35"/>
  <c r="B1085" i="35"/>
  <c r="B1086" i="35"/>
  <c r="B1087" i="35"/>
  <c r="B1088" i="35"/>
  <c r="B1089" i="35"/>
  <c r="B1090" i="35"/>
  <c r="B1091" i="35"/>
  <c r="B1092" i="35"/>
  <c r="B1093" i="35"/>
  <c r="B1094" i="35"/>
  <c r="B1095" i="35"/>
  <c r="B1096" i="35"/>
  <c r="B1097" i="35"/>
  <c r="B1098" i="35"/>
  <c r="B1099" i="35"/>
  <c r="B1100" i="35"/>
  <c r="B1101" i="35"/>
  <c r="B1102" i="35"/>
  <c r="B1103" i="35"/>
  <c r="B1104" i="35"/>
  <c r="B1105" i="35"/>
  <c r="B1106" i="35"/>
  <c r="B1107" i="35"/>
  <c r="B1108" i="35"/>
  <c r="B1109" i="35"/>
  <c r="B1110" i="35"/>
  <c r="B1111" i="35"/>
  <c r="B1112" i="35"/>
  <c r="B1113" i="35"/>
  <c r="B1114" i="35"/>
  <c r="B1115" i="35"/>
  <c r="B1116" i="35"/>
  <c r="B1117" i="35"/>
  <c r="B1118" i="35"/>
  <c r="B1119" i="35"/>
  <c r="B1120" i="35"/>
  <c r="B1121" i="35"/>
  <c r="B1122" i="35"/>
  <c r="B1123" i="35"/>
  <c r="B1124" i="35"/>
  <c r="B1125" i="35"/>
  <c r="B1126" i="35"/>
  <c r="B1127" i="35"/>
  <c r="B1128" i="35"/>
  <c r="B1129" i="35"/>
  <c r="B1130" i="35"/>
  <c r="B1131" i="35"/>
  <c r="B1132" i="35"/>
  <c r="B1133" i="35"/>
  <c r="B1134" i="35"/>
  <c r="B1135" i="35"/>
  <c r="B1136" i="35"/>
  <c r="B1137" i="35"/>
  <c r="B1138" i="35"/>
  <c r="B1139" i="35"/>
  <c r="B1140" i="35"/>
  <c r="B1141" i="35"/>
  <c r="B1142" i="35"/>
  <c r="B1143" i="35"/>
  <c r="B1144" i="35"/>
  <c r="B1145" i="35"/>
  <c r="B1146" i="35"/>
  <c r="B1147" i="35"/>
  <c r="B1148" i="35"/>
  <c r="B1149" i="35"/>
  <c r="B1150" i="35"/>
  <c r="B1151" i="35"/>
  <c r="B1152" i="35"/>
  <c r="B1153" i="35"/>
  <c r="B1154" i="35"/>
  <c r="B1155" i="35"/>
  <c r="B1156" i="35"/>
  <c r="B1157" i="35"/>
  <c r="B1158" i="35"/>
  <c r="B1159" i="35"/>
  <c r="B1160" i="35"/>
  <c r="B1161" i="35"/>
  <c r="B1162" i="35"/>
  <c r="B1163" i="35"/>
  <c r="B1164" i="35"/>
  <c r="B1165" i="35"/>
  <c r="B1166" i="35"/>
  <c r="B1167" i="35"/>
  <c r="B1168" i="35"/>
  <c r="B1169" i="35"/>
  <c r="B1170" i="35"/>
  <c r="B1171" i="35"/>
  <c r="B1172" i="35"/>
  <c r="B1173" i="35"/>
  <c r="B1174" i="35"/>
  <c r="B1175" i="35"/>
  <c r="B1176" i="35"/>
  <c r="B1177" i="35"/>
  <c r="B1178" i="35"/>
  <c r="B1179" i="35"/>
  <c r="B1180" i="35"/>
  <c r="B1181" i="35"/>
  <c r="B1182" i="35"/>
  <c r="B1183" i="35"/>
  <c r="B1184" i="35"/>
  <c r="B1185" i="35"/>
  <c r="B1186" i="35"/>
  <c r="B1187" i="35"/>
  <c r="B1188" i="35"/>
  <c r="B1189" i="35"/>
  <c r="B1190" i="35"/>
  <c r="B1191" i="35"/>
  <c r="B1192" i="35"/>
  <c r="B1193" i="35"/>
  <c r="B1194" i="35"/>
  <c r="B1195" i="35"/>
  <c r="B1196" i="35"/>
  <c r="B1197" i="35"/>
  <c r="B1198" i="35"/>
  <c r="B1199" i="35"/>
  <c r="B1200" i="35"/>
  <c r="B1201" i="35"/>
  <c r="B1202" i="35"/>
  <c r="B1203" i="35"/>
  <c r="B1204" i="35"/>
  <c r="B1205" i="35"/>
  <c r="B1206" i="35"/>
  <c r="B1207" i="35"/>
  <c r="B1208" i="35"/>
  <c r="B1209" i="35"/>
  <c r="B1210" i="35"/>
  <c r="B1211" i="35"/>
  <c r="B1212" i="35"/>
  <c r="B1213" i="35"/>
  <c r="B1214" i="35"/>
  <c r="B1215" i="35"/>
  <c r="B1216" i="35"/>
  <c r="B1217" i="35"/>
  <c r="B1218" i="35"/>
  <c r="B1219" i="35"/>
  <c r="B1220" i="35"/>
  <c r="B1221" i="35"/>
  <c r="B1222" i="35"/>
  <c r="B1223" i="35"/>
  <c r="B1224" i="35"/>
  <c r="B1225" i="35"/>
  <c r="B1226" i="35"/>
  <c r="B1227" i="35"/>
  <c r="B1228" i="35"/>
  <c r="B1229" i="35"/>
  <c r="B1230" i="35"/>
  <c r="B1231" i="35"/>
  <c r="B1232" i="35"/>
  <c r="B1233" i="35"/>
  <c r="B1234" i="35"/>
  <c r="B1235" i="35"/>
  <c r="B1236" i="35"/>
  <c r="B1237" i="35"/>
  <c r="B1238" i="35"/>
  <c r="B1239" i="35"/>
  <c r="B1240" i="35"/>
  <c r="B1241" i="35"/>
  <c r="B1242" i="35"/>
  <c r="B1243" i="35"/>
  <c r="B1244" i="35"/>
  <c r="B1245" i="35"/>
  <c r="B1246" i="35"/>
  <c r="B1247" i="35"/>
  <c r="B1248" i="35"/>
  <c r="B1249" i="35"/>
  <c r="B1250" i="35"/>
  <c r="B1251" i="35"/>
  <c r="B1252" i="35"/>
  <c r="B1253" i="35"/>
  <c r="B1254" i="35"/>
  <c r="B1255" i="35"/>
  <c r="B1256" i="35"/>
  <c r="B1257" i="35"/>
  <c r="B1258" i="35"/>
  <c r="B1259" i="35"/>
  <c r="B1260" i="35"/>
  <c r="B1261" i="35"/>
  <c r="B1262" i="35"/>
  <c r="B1263" i="35"/>
  <c r="B1264" i="35"/>
  <c r="B1265" i="35"/>
  <c r="B1266" i="35"/>
  <c r="B1267" i="35"/>
  <c r="B1268" i="35"/>
  <c r="B1269" i="35"/>
  <c r="B1270" i="35"/>
  <c r="B1271" i="35"/>
  <c r="B1272" i="35"/>
  <c r="B1273" i="35"/>
  <c r="B1274" i="35"/>
  <c r="B1275" i="35"/>
  <c r="B1276" i="35"/>
  <c r="B1277" i="35"/>
  <c r="B1278" i="35"/>
  <c r="B1279" i="35"/>
  <c r="B1280" i="35"/>
  <c r="B1281" i="35"/>
  <c r="B1282" i="35"/>
  <c r="B1283" i="35"/>
  <c r="B1284" i="35"/>
  <c r="B1285" i="35"/>
  <c r="B1286" i="35"/>
  <c r="B1287" i="35"/>
  <c r="B1288" i="35"/>
  <c r="B1289" i="35"/>
  <c r="B1290" i="35"/>
  <c r="B1291" i="35"/>
  <c r="B1292" i="35"/>
  <c r="B1293" i="35"/>
  <c r="B1294" i="35"/>
  <c r="B1295" i="35"/>
  <c r="B1296" i="35"/>
  <c r="B1297" i="35"/>
  <c r="B1298" i="35"/>
  <c r="B1299" i="35"/>
  <c r="B1300" i="35"/>
  <c r="B1301" i="35"/>
  <c r="B1302" i="35"/>
  <c r="B1303" i="35"/>
  <c r="B1304" i="35"/>
  <c r="B1305" i="35"/>
  <c r="B1306" i="35"/>
  <c r="B1307" i="35"/>
  <c r="B1308" i="35"/>
  <c r="B1309" i="35"/>
  <c r="B1310" i="35"/>
  <c r="B1311" i="35"/>
  <c r="B1312" i="35"/>
  <c r="B1313" i="35"/>
  <c r="B1314" i="35"/>
  <c r="B1315" i="35"/>
  <c r="B1316" i="35"/>
  <c r="B1317" i="35"/>
  <c r="B1318" i="35"/>
  <c r="B1319" i="35"/>
  <c r="B1320" i="35"/>
  <c r="B1321" i="35"/>
  <c r="B1322" i="35"/>
  <c r="B1323" i="35"/>
  <c r="B1324" i="35"/>
  <c r="B1325" i="35"/>
  <c r="B1326" i="35"/>
  <c r="B1327" i="35"/>
  <c r="B1328" i="35"/>
  <c r="B1329" i="35"/>
  <c r="B1330" i="35"/>
  <c r="B1331" i="35"/>
  <c r="B1332" i="35"/>
  <c r="B1333" i="35"/>
  <c r="B1334" i="35"/>
  <c r="B1335" i="35"/>
  <c r="B1336" i="35"/>
  <c r="B1337" i="35"/>
  <c r="B1338" i="35"/>
  <c r="B1339" i="35"/>
  <c r="B1340" i="35"/>
  <c r="B1341" i="35"/>
  <c r="B1342" i="35"/>
  <c r="B1343" i="35"/>
  <c r="B1344" i="35"/>
  <c r="B1345" i="35"/>
  <c r="B1346" i="35"/>
  <c r="B1347" i="35"/>
  <c r="B1348" i="35"/>
  <c r="B1349" i="35"/>
  <c r="B1350" i="35"/>
  <c r="B1351" i="35"/>
  <c r="B1352" i="35"/>
  <c r="B1353" i="35"/>
  <c r="B1354" i="35"/>
  <c r="B1355" i="35"/>
  <c r="B1356" i="35"/>
  <c r="B1357" i="35"/>
  <c r="B1358" i="35"/>
  <c r="B1359" i="35"/>
  <c r="B1360" i="35"/>
  <c r="B1361" i="35"/>
  <c r="B1362" i="35"/>
  <c r="B1363" i="35"/>
  <c r="B1364" i="35"/>
  <c r="B1365" i="35"/>
  <c r="B1366" i="35"/>
  <c r="B1367" i="35"/>
  <c r="B1368" i="35"/>
  <c r="B1369" i="35"/>
  <c r="B1370" i="35"/>
  <c r="B1371" i="35"/>
  <c r="B1372" i="35"/>
  <c r="B1373" i="35"/>
  <c r="B1374" i="35"/>
  <c r="B1375" i="35"/>
  <c r="B1376" i="35"/>
  <c r="B1377" i="35"/>
  <c r="B1378" i="35"/>
  <c r="B1379" i="35"/>
  <c r="B1380" i="35"/>
  <c r="B1381" i="35"/>
  <c r="B1382" i="35"/>
  <c r="B1383" i="35"/>
  <c r="B1384" i="35"/>
  <c r="B1385" i="35"/>
  <c r="B1386" i="35"/>
  <c r="B1387" i="35"/>
  <c r="B1388" i="35"/>
  <c r="B1389" i="35"/>
  <c r="B1390" i="35"/>
  <c r="B1391" i="35"/>
  <c r="B1392" i="35"/>
  <c r="B1393" i="35"/>
  <c r="B1394" i="35"/>
  <c r="B1395" i="35"/>
  <c r="B1396" i="35"/>
  <c r="B1397" i="35"/>
  <c r="B1398" i="35"/>
  <c r="B1399" i="35"/>
  <c r="B1400" i="35"/>
  <c r="B1401" i="35"/>
  <c r="B1402" i="35"/>
  <c r="B1403" i="35"/>
  <c r="B1404" i="35"/>
  <c r="B1405" i="35"/>
  <c r="B1406" i="35"/>
  <c r="B1407" i="35"/>
  <c r="B1408" i="35"/>
  <c r="B1409" i="35"/>
  <c r="B1410" i="35"/>
  <c r="B1411" i="35"/>
  <c r="B1412" i="35"/>
  <c r="B1413" i="35"/>
  <c r="B1414" i="35"/>
  <c r="B1415" i="35"/>
  <c r="B1416" i="35"/>
  <c r="B1417" i="35"/>
  <c r="B1418" i="35"/>
  <c r="B1419" i="35"/>
  <c r="B1420" i="35"/>
  <c r="B1421" i="35"/>
  <c r="B1422" i="35"/>
  <c r="B1423" i="35"/>
  <c r="B1424" i="35"/>
  <c r="B1425" i="35"/>
  <c r="B1426" i="35"/>
  <c r="B1427" i="35"/>
  <c r="B1428" i="35"/>
  <c r="B1429" i="35"/>
  <c r="B1430" i="35"/>
  <c r="B1431" i="35"/>
  <c r="B1432" i="35"/>
  <c r="B1433" i="35"/>
  <c r="B1434" i="35"/>
  <c r="B1435" i="35"/>
  <c r="B1436" i="35"/>
  <c r="B1437" i="35"/>
  <c r="B1438" i="35"/>
  <c r="B1439" i="35"/>
  <c r="B1440" i="35"/>
  <c r="B1441" i="35"/>
  <c r="B1442" i="35"/>
  <c r="B1443" i="35"/>
  <c r="B1444" i="35"/>
  <c r="B1445" i="35"/>
  <c r="B1446" i="35"/>
  <c r="B1447" i="35"/>
  <c r="B1448" i="35"/>
  <c r="B1449" i="35"/>
  <c r="B1450" i="35"/>
  <c r="B1451" i="35"/>
  <c r="B1452" i="35"/>
  <c r="B1453" i="35"/>
  <c r="B1454" i="35"/>
  <c r="B1455" i="35"/>
  <c r="B1456" i="35"/>
  <c r="B1457" i="35"/>
  <c r="B1458" i="35"/>
  <c r="B1459" i="35"/>
  <c r="B1460" i="35"/>
  <c r="B1461" i="35"/>
  <c r="B1462" i="35"/>
  <c r="B1463" i="35"/>
  <c r="B1464" i="35"/>
  <c r="B1465" i="35"/>
  <c r="B1466" i="35"/>
  <c r="B1467" i="35"/>
  <c r="B1468" i="35"/>
  <c r="B1469" i="35"/>
  <c r="B1470" i="35"/>
  <c r="B1471" i="35"/>
  <c r="B1472" i="35"/>
  <c r="B1473" i="35"/>
  <c r="B1474" i="35"/>
  <c r="B1475" i="35"/>
  <c r="B1476" i="35"/>
  <c r="B1477" i="35"/>
  <c r="B1478" i="35"/>
  <c r="B1479" i="35"/>
  <c r="B1480" i="35"/>
  <c r="B1481" i="35"/>
  <c r="B1482" i="35"/>
  <c r="B1483" i="35"/>
  <c r="B1484" i="35"/>
  <c r="B1485" i="35"/>
  <c r="B1486" i="35"/>
  <c r="B1487" i="35"/>
  <c r="B1488" i="35"/>
  <c r="B1489" i="35"/>
  <c r="B1490" i="35"/>
  <c r="B1491" i="35"/>
  <c r="B1492" i="35"/>
  <c r="B1493" i="35"/>
  <c r="B1494" i="35"/>
  <c r="B1495" i="35"/>
  <c r="B1496" i="35"/>
  <c r="B1497" i="35"/>
  <c r="B1498" i="35"/>
  <c r="B1499" i="35"/>
  <c r="B1500" i="35"/>
  <c r="B1501" i="35"/>
  <c r="B1502" i="35"/>
  <c r="B1503" i="35"/>
  <c r="B1504" i="35"/>
  <c r="B1505" i="35"/>
  <c r="B1506" i="35"/>
  <c r="B1507" i="35"/>
  <c r="B1508" i="35"/>
  <c r="B1509" i="35"/>
  <c r="B1510" i="35"/>
  <c r="B1511" i="35"/>
  <c r="B1512" i="35"/>
  <c r="B1513" i="35"/>
  <c r="B1514" i="35"/>
  <c r="B1515" i="35"/>
  <c r="B1516" i="35"/>
  <c r="B1517" i="35"/>
  <c r="B1518" i="35"/>
  <c r="B1519" i="35"/>
  <c r="B1520" i="35"/>
  <c r="B1521" i="35"/>
  <c r="B1522" i="35"/>
  <c r="B1523" i="35"/>
  <c r="B1524" i="35"/>
  <c r="B1525" i="35"/>
  <c r="B1526" i="35"/>
  <c r="B1527" i="35"/>
  <c r="B1528" i="35"/>
  <c r="B1529" i="35"/>
  <c r="B1530" i="35"/>
  <c r="B1531" i="35"/>
  <c r="B1532" i="35"/>
  <c r="B1533" i="35"/>
  <c r="B1534" i="35"/>
  <c r="B1535" i="35"/>
  <c r="B1536" i="35"/>
  <c r="B1537" i="35"/>
  <c r="B1538" i="35"/>
  <c r="B1539" i="35"/>
  <c r="B1540" i="35"/>
  <c r="B1541" i="35"/>
  <c r="B1542" i="35"/>
  <c r="B1543" i="35"/>
  <c r="B1544" i="35"/>
  <c r="B1545" i="35"/>
  <c r="B1546" i="35"/>
  <c r="B1547" i="35"/>
  <c r="B1548" i="35"/>
  <c r="B1549" i="35"/>
  <c r="B1550" i="35"/>
  <c r="B1551" i="35"/>
  <c r="B1552" i="35"/>
  <c r="B1553" i="35"/>
  <c r="B1554" i="35"/>
  <c r="B1555" i="35"/>
  <c r="B1556" i="35"/>
  <c r="B1557" i="35"/>
  <c r="B4" i="33" l="1"/>
  <c r="B4" i="23" l="1"/>
  <c r="B4" i="1"/>
  <c r="H4" i="33" l="1"/>
  <c r="H4" i="23"/>
  <c r="H4" i="1"/>
  <c r="G4" i="33"/>
  <c r="G4" i="23"/>
  <c r="G4" i="1"/>
  <c r="C4" i="33"/>
  <c r="C4" i="23"/>
  <c r="C4" i="1"/>
  <c r="D4" i="33"/>
  <c r="D4" i="23"/>
  <c r="D4" i="1"/>
  <c r="F4" i="33" l="1"/>
  <c r="F4" i="23"/>
  <c r="F4" i="1"/>
  <c r="E4" i="33"/>
  <c r="E4" i="23"/>
  <c r="E4" i="1"/>
  <c r="I4" i="33"/>
  <c r="I4" i="23"/>
  <c r="A1010" i="37"/>
  <c r="A1009" i="37"/>
  <c r="A1008" i="37"/>
  <c r="A1007" i="37"/>
  <c r="A1006" i="37"/>
  <c r="A1005" i="37"/>
  <c r="A1004" i="37"/>
  <c r="A1003" i="37"/>
  <c r="A1002" i="37"/>
  <c r="A1001" i="37"/>
  <c r="A1000" i="37"/>
  <c r="A999" i="37"/>
  <c r="A998" i="37"/>
  <c r="A997" i="37"/>
  <c r="A996" i="37"/>
  <c r="A995" i="37"/>
  <c r="A994" i="37"/>
  <c r="A993" i="37"/>
  <c r="A992" i="37"/>
  <c r="A991" i="37"/>
  <c r="A990" i="37"/>
  <c r="A989" i="37"/>
  <c r="A988" i="37"/>
  <c r="A987" i="37"/>
  <c r="A986" i="37"/>
  <c r="A985" i="37"/>
  <c r="A984" i="37"/>
  <c r="A983" i="37"/>
  <c r="A982" i="37"/>
  <c r="A981" i="37"/>
  <c r="A980" i="37"/>
  <c r="A979" i="37"/>
  <c r="A978" i="37"/>
  <c r="A977" i="37"/>
  <c r="A976" i="37"/>
  <c r="A975" i="37"/>
  <c r="A974" i="37"/>
  <c r="A973" i="37"/>
  <c r="A972" i="37"/>
  <c r="A971" i="37"/>
  <c r="A970" i="37"/>
  <c r="A969" i="37"/>
  <c r="A968" i="37"/>
  <c r="A967" i="37"/>
  <c r="A966" i="37"/>
  <c r="A965" i="37"/>
  <c r="A964" i="37"/>
  <c r="A963" i="37"/>
  <c r="A962" i="37"/>
  <c r="A961" i="37"/>
  <c r="A960" i="37"/>
  <c r="A959" i="37"/>
  <c r="A958" i="37"/>
  <c r="A957" i="37"/>
  <c r="A956" i="37"/>
  <c r="A955" i="37"/>
  <c r="A954" i="37"/>
  <c r="A953" i="37"/>
  <c r="A952" i="37"/>
  <c r="A951" i="37"/>
  <c r="A950" i="37"/>
  <c r="A949" i="37"/>
  <c r="A948" i="37"/>
  <c r="A947" i="37"/>
  <c r="A946" i="37"/>
  <c r="A945" i="37"/>
  <c r="A944" i="37"/>
  <c r="A943" i="37"/>
  <c r="A942" i="37"/>
  <c r="A941" i="37"/>
  <c r="A940" i="37"/>
  <c r="A939" i="37"/>
  <c r="A938" i="37"/>
  <c r="A937" i="37"/>
  <c r="A936" i="37"/>
  <c r="A935" i="37"/>
  <c r="A934" i="37"/>
  <c r="A933" i="37"/>
  <c r="A932" i="37"/>
  <c r="A931" i="37"/>
  <c r="A930" i="37"/>
  <c r="A929" i="37"/>
  <c r="A928" i="37"/>
  <c r="A927" i="37"/>
  <c r="A926" i="37"/>
  <c r="A925" i="37"/>
  <c r="A924" i="37"/>
  <c r="A923" i="37"/>
  <c r="A922" i="37"/>
  <c r="A921" i="37"/>
  <c r="A920" i="37"/>
  <c r="A919" i="37"/>
  <c r="A918" i="37"/>
  <c r="A917" i="37"/>
  <c r="A916" i="37"/>
  <c r="A915" i="37"/>
  <c r="A914" i="37"/>
  <c r="A913" i="37"/>
  <c r="A912" i="37"/>
  <c r="A911" i="37"/>
  <c r="A910" i="37"/>
  <c r="A909" i="37"/>
  <c r="A908" i="37"/>
  <c r="A907" i="37"/>
  <c r="A906" i="37"/>
  <c r="A905" i="37"/>
  <c r="A904" i="37"/>
  <c r="A903" i="37"/>
  <c r="A902" i="37"/>
  <c r="A901" i="37"/>
  <c r="A900" i="37"/>
  <c r="A899" i="37"/>
  <c r="A898" i="37"/>
  <c r="A897" i="37"/>
  <c r="A896" i="37"/>
  <c r="A895" i="37"/>
  <c r="A894" i="37"/>
  <c r="A893" i="37"/>
  <c r="A892" i="37"/>
  <c r="A891" i="37"/>
  <c r="A890" i="37"/>
  <c r="A889" i="37"/>
  <c r="A888" i="37"/>
  <c r="A887" i="37"/>
  <c r="A886" i="37"/>
  <c r="A885" i="37"/>
  <c r="A884" i="37"/>
  <c r="A883" i="37"/>
  <c r="A882" i="37"/>
  <c r="A881" i="37"/>
  <c r="A880" i="37"/>
  <c r="A879" i="37"/>
  <c r="A878" i="37"/>
  <c r="A877" i="37"/>
  <c r="A876" i="37"/>
  <c r="A875" i="37"/>
  <c r="A874" i="37"/>
  <c r="A873" i="37"/>
  <c r="A872" i="37"/>
  <c r="A871" i="37"/>
  <c r="A870" i="37"/>
  <c r="A869" i="37"/>
  <c r="A868" i="37"/>
  <c r="A867" i="37"/>
  <c r="A866" i="37"/>
  <c r="A865" i="37"/>
  <c r="A864" i="37"/>
  <c r="A863" i="37"/>
  <c r="A862" i="37"/>
  <c r="A861" i="37"/>
  <c r="A860" i="37"/>
  <c r="A859" i="37"/>
  <c r="A858" i="37"/>
  <c r="A857" i="37"/>
  <c r="A856" i="37"/>
  <c r="A855" i="37"/>
  <c r="A854" i="37"/>
  <c r="A853" i="37"/>
  <c r="A852" i="37"/>
  <c r="A851" i="37"/>
  <c r="A850" i="37"/>
  <c r="A849" i="37"/>
  <c r="A848" i="37"/>
  <c r="A847" i="37"/>
  <c r="A846" i="37"/>
  <c r="A845" i="37"/>
  <c r="A844" i="37"/>
  <c r="A843" i="37"/>
  <c r="A842" i="37"/>
  <c r="A841" i="37"/>
  <c r="A840" i="37"/>
  <c r="A839" i="37"/>
  <c r="A838" i="37"/>
  <c r="A837" i="37"/>
  <c r="A836" i="37"/>
  <c r="A835" i="37"/>
  <c r="A834" i="37"/>
  <c r="A833" i="37"/>
  <c r="A832" i="37"/>
  <c r="A831" i="37"/>
  <c r="A830" i="37"/>
  <c r="A829" i="37"/>
  <c r="A828" i="37"/>
  <c r="A827" i="37"/>
  <c r="A826" i="37"/>
  <c r="A825" i="37"/>
  <c r="A824" i="37"/>
  <c r="A823" i="37"/>
  <c r="A822" i="37"/>
  <c r="A821" i="37"/>
  <c r="A820" i="37"/>
  <c r="A819" i="37"/>
  <c r="A818" i="37"/>
  <c r="A817" i="37"/>
  <c r="A816" i="37"/>
  <c r="A815" i="37"/>
  <c r="A814" i="37"/>
  <c r="A813" i="37"/>
  <c r="A812" i="37"/>
  <c r="A811" i="37"/>
  <c r="A810" i="37"/>
  <c r="A809" i="37"/>
  <c r="A808" i="37"/>
  <c r="A807" i="37"/>
  <c r="A806" i="37"/>
  <c r="A805" i="37"/>
  <c r="A804" i="37"/>
  <c r="A803" i="37"/>
  <c r="A802" i="37"/>
  <c r="A801" i="37"/>
  <c r="A800" i="37"/>
  <c r="A799" i="37"/>
  <c r="A798" i="37"/>
  <c r="A797" i="37"/>
  <c r="A796" i="37"/>
  <c r="A795" i="37"/>
  <c r="A794" i="37"/>
  <c r="A793" i="37"/>
  <c r="A792" i="37"/>
  <c r="A791" i="37"/>
  <c r="A790" i="37"/>
  <c r="A789" i="37"/>
  <c r="A788" i="37"/>
  <c r="A787" i="37"/>
  <c r="A786" i="37"/>
  <c r="A785" i="37"/>
  <c r="A784" i="37"/>
  <c r="A783" i="37"/>
  <c r="A782" i="37"/>
  <c r="A781" i="37"/>
  <c r="A780" i="37"/>
  <c r="A779" i="37"/>
  <c r="A778" i="37"/>
  <c r="A777" i="37"/>
  <c r="A776" i="37"/>
  <c r="A775" i="37"/>
  <c r="A774" i="37"/>
  <c r="A773" i="37"/>
  <c r="A772" i="37"/>
  <c r="A771" i="37"/>
  <c r="A770" i="37"/>
  <c r="A769" i="37"/>
  <c r="A768" i="37"/>
  <c r="A767" i="37"/>
  <c r="A766" i="37"/>
  <c r="A765" i="37"/>
  <c r="A764" i="37"/>
  <c r="A763" i="37"/>
  <c r="A762" i="37"/>
  <c r="A761" i="37"/>
  <c r="A760" i="37"/>
  <c r="A759" i="37"/>
  <c r="A758" i="37"/>
  <c r="A757" i="37"/>
  <c r="A756" i="37"/>
  <c r="A755" i="37"/>
  <c r="A754" i="37"/>
  <c r="A753" i="37"/>
  <c r="A752" i="37"/>
  <c r="A751" i="37"/>
  <c r="A750" i="37"/>
  <c r="A749" i="37"/>
  <c r="A748" i="37"/>
  <c r="A747" i="37"/>
  <c r="A746" i="37"/>
  <c r="A745" i="37"/>
  <c r="A744" i="37"/>
  <c r="A743" i="37"/>
  <c r="A742" i="37"/>
  <c r="A741" i="37"/>
  <c r="A740" i="37"/>
  <c r="A739" i="37"/>
  <c r="A738" i="37"/>
  <c r="A737" i="37"/>
  <c r="A736" i="37"/>
  <c r="A735" i="37"/>
  <c r="A734" i="37"/>
  <c r="A733" i="37"/>
  <c r="A732" i="37"/>
  <c r="A731" i="37"/>
  <c r="A730" i="37"/>
  <c r="A729" i="37"/>
  <c r="A728" i="37"/>
  <c r="A727" i="37"/>
  <c r="A726" i="37"/>
  <c r="A725" i="37"/>
  <c r="A724" i="37"/>
  <c r="A723" i="37"/>
  <c r="A722" i="37"/>
  <c r="A721" i="37"/>
  <c r="A720" i="37"/>
  <c r="A719" i="37"/>
  <c r="A718" i="37"/>
  <c r="A717" i="37"/>
  <c r="A716" i="37"/>
  <c r="A715" i="37"/>
  <c r="A714" i="37"/>
  <c r="A713" i="37"/>
  <c r="A712" i="37"/>
  <c r="A711" i="37"/>
  <c r="A710" i="37"/>
  <c r="A709" i="37"/>
  <c r="A708" i="37"/>
  <c r="A707" i="37"/>
  <c r="A706" i="37"/>
  <c r="A705" i="37"/>
  <c r="A704" i="37"/>
  <c r="A703" i="37"/>
  <c r="A702" i="37"/>
  <c r="A701" i="37"/>
  <c r="A700" i="37"/>
  <c r="A699" i="37"/>
  <c r="A698" i="37"/>
  <c r="A697" i="37"/>
  <c r="A696" i="37"/>
  <c r="A695" i="37"/>
  <c r="A694" i="37"/>
  <c r="A693" i="37"/>
  <c r="A692" i="37"/>
  <c r="A691" i="37"/>
  <c r="A690" i="37"/>
  <c r="A689" i="37"/>
  <c r="A688" i="37"/>
  <c r="A687" i="37"/>
  <c r="A686" i="37"/>
  <c r="A685" i="37"/>
  <c r="A684" i="37"/>
  <c r="A683" i="37"/>
  <c r="A682" i="37"/>
  <c r="A681" i="37"/>
  <c r="A680" i="37"/>
  <c r="A679" i="37"/>
  <c r="A678" i="37"/>
  <c r="A677" i="37"/>
  <c r="A676" i="37"/>
  <c r="A675" i="37"/>
  <c r="A674" i="37"/>
  <c r="A673" i="37"/>
  <c r="A672" i="37"/>
  <c r="A671" i="37"/>
  <c r="A670" i="37"/>
  <c r="A669" i="37"/>
  <c r="A668" i="37"/>
  <c r="A667" i="37"/>
  <c r="A666" i="37"/>
  <c r="A665" i="37"/>
  <c r="A664" i="37"/>
  <c r="A663" i="37"/>
  <c r="A662" i="37"/>
  <c r="A661" i="37"/>
  <c r="A660" i="37"/>
  <c r="A659" i="37"/>
  <c r="A658" i="37"/>
  <c r="A657" i="37"/>
  <c r="A656" i="37"/>
  <c r="A655" i="37"/>
  <c r="A654" i="37"/>
  <c r="A653" i="37"/>
  <c r="A652" i="37"/>
  <c r="A651" i="37"/>
  <c r="A650" i="37"/>
  <c r="A649" i="37"/>
  <c r="A648" i="37"/>
  <c r="A647" i="37"/>
  <c r="A646" i="37"/>
  <c r="A645" i="37"/>
  <c r="A644" i="37"/>
  <c r="A643" i="37"/>
  <c r="A642" i="37"/>
  <c r="A641" i="37"/>
  <c r="A640" i="37"/>
  <c r="A639" i="37"/>
  <c r="A638" i="37"/>
  <c r="A637" i="37"/>
  <c r="A636" i="37"/>
  <c r="A635" i="37"/>
  <c r="A634" i="37"/>
  <c r="A633" i="37"/>
  <c r="A632" i="37"/>
  <c r="A631" i="37"/>
  <c r="A630" i="37"/>
  <c r="A629" i="37"/>
  <c r="A628" i="37"/>
  <c r="A627" i="37"/>
  <c r="A626" i="37"/>
  <c r="A625" i="37"/>
  <c r="A624" i="37"/>
  <c r="A623" i="37"/>
  <c r="A622" i="37"/>
  <c r="A621" i="37"/>
  <c r="A620" i="37"/>
  <c r="A619" i="37"/>
  <c r="A618" i="37"/>
  <c r="A617" i="37"/>
  <c r="A616" i="37"/>
  <c r="A615" i="37"/>
  <c r="A614" i="37"/>
  <c r="A613" i="37"/>
  <c r="A612" i="37"/>
  <c r="A611" i="37"/>
  <c r="A610" i="37"/>
  <c r="A609" i="37"/>
  <c r="A608" i="37"/>
  <c r="A607" i="37"/>
  <c r="A606" i="37"/>
  <c r="A605" i="37"/>
  <c r="A604" i="37"/>
  <c r="A603" i="37"/>
  <c r="A602" i="37"/>
  <c r="A601" i="37"/>
  <c r="A600" i="37"/>
  <c r="A599" i="37"/>
  <c r="A598" i="37"/>
  <c r="A597" i="37"/>
  <c r="A596" i="37"/>
  <c r="A595" i="37"/>
  <c r="A594" i="37"/>
  <c r="A593" i="37"/>
  <c r="A592" i="37"/>
  <c r="A591" i="37"/>
  <c r="A590" i="37"/>
  <c r="A589" i="37"/>
  <c r="A588" i="37"/>
  <c r="A587" i="37"/>
  <c r="A586" i="37"/>
  <c r="A585" i="37"/>
  <c r="A584" i="37"/>
  <c r="A583" i="37"/>
  <c r="A582" i="37"/>
  <c r="A581" i="37"/>
  <c r="A580" i="37"/>
  <c r="A579" i="37"/>
  <c r="A578" i="37"/>
  <c r="A577" i="37"/>
  <c r="A576" i="37"/>
  <c r="A575" i="37"/>
  <c r="A574" i="37"/>
  <c r="A573" i="37"/>
  <c r="A572" i="37"/>
  <c r="A571" i="37"/>
  <c r="A570" i="37"/>
  <c r="A569" i="37"/>
  <c r="A568" i="37"/>
  <c r="A567" i="37"/>
  <c r="A566" i="37"/>
  <c r="A565" i="37"/>
  <c r="A564" i="37"/>
  <c r="A563" i="37"/>
  <c r="A562" i="37"/>
  <c r="A561" i="37"/>
  <c r="A560" i="37"/>
  <c r="A559" i="37"/>
  <c r="A558" i="37"/>
  <c r="A557" i="37"/>
  <c r="A556" i="37"/>
  <c r="A555" i="37"/>
  <c r="A554" i="37"/>
  <c r="A553" i="37"/>
  <c r="A552" i="37"/>
  <c r="A551" i="37"/>
  <c r="A550" i="37"/>
  <c r="A549" i="37"/>
  <c r="A548" i="37"/>
  <c r="A547" i="37"/>
  <c r="A546" i="37"/>
  <c r="A545" i="37"/>
  <c r="A544" i="37"/>
  <c r="A543" i="37"/>
  <c r="A542" i="37"/>
  <c r="A541" i="37"/>
  <c r="A540" i="37"/>
  <c r="A539" i="37"/>
  <c r="A538" i="37"/>
  <c r="A537" i="37"/>
  <c r="A536" i="37"/>
  <c r="A535" i="37"/>
  <c r="A534" i="37"/>
  <c r="A533" i="37"/>
  <c r="A532" i="37"/>
  <c r="A531" i="37"/>
  <c r="A530" i="37"/>
  <c r="A529" i="37"/>
  <c r="A528" i="37"/>
  <c r="A527" i="37"/>
  <c r="A526" i="37"/>
  <c r="A525" i="37"/>
  <c r="A524" i="37"/>
  <c r="A523" i="37"/>
  <c r="A522" i="37"/>
  <c r="A521" i="37"/>
  <c r="A520" i="37"/>
  <c r="A519" i="37"/>
  <c r="A518" i="37"/>
  <c r="A517" i="37"/>
  <c r="A516" i="37"/>
  <c r="A515" i="37"/>
  <c r="A514" i="37"/>
  <c r="A513" i="37"/>
  <c r="A512" i="37"/>
  <c r="A511" i="37"/>
  <c r="A510" i="37"/>
  <c r="A509" i="37"/>
  <c r="A508" i="37"/>
  <c r="A507" i="37"/>
  <c r="A506" i="37"/>
  <c r="A505" i="37"/>
  <c r="A504" i="37"/>
  <c r="A503" i="37"/>
  <c r="A502" i="37"/>
  <c r="A501" i="37"/>
  <c r="A500" i="37"/>
  <c r="A499" i="37"/>
  <c r="A498" i="37"/>
  <c r="A497" i="37"/>
  <c r="A496" i="37"/>
  <c r="A495" i="37"/>
  <c r="A494" i="37"/>
  <c r="A493" i="37"/>
  <c r="A492" i="37"/>
  <c r="A491" i="37"/>
  <c r="A490" i="37"/>
  <c r="A489" i="37"/>
  <c r="A488" i="37"/>
  <c r="A487" i="37"/>
  <c r="A486" i="37"/>
  <c r="A485" i="37"/>
  <c r="A484" i="37"/>
  <c r="A483" i="37"/>
  <c r="A482" i="37"/>
  <c r="A481" i="37"/>
  <c r="A480" i="37"/>
  <c r="A479" i="37"/>
  <c r="A478" i="37"/>
  <c r="A477" i="37"/>
  <c r="A476" i="37"/>
  <c r="A475" i="37"/>
  <c r="A474" i="37"/>
  <c r="A473" i="37"/>
  <c r="A472" i="37"/>
  <c r="A471" i="37"/>
  <c r="A470" i="37"/>
  <c r="A469" i="37"/>
  <c r="A468" i="37"/>
  <c r="A467" i="37"/>
  <c r="A466" i="37"/>
  <c r="A465" i="37"/>
  <c r="A464" i="37"/>
  <c r="A463" i="37"/>
  <c r="A462" i="37"/>
  <c r="A461" i="37"/>
  <c r="A460" i="37"/>
  <c r="A459" i="37"/>
  <c r="A458" i="37"/>
  <c r="A457" i="37"/>
  <c r="A456" i="37"/>
  <c r="A455" i="37"/>
  <c r="A454" i="37"/>
  <c r="A453" i="37"/>
  <c r="A452" i="37"/>
  <c r="A451" i="37"/>
  <c r="A450" i="37"/>
  <c r="A449" i="37"/>
  <c r="A448" i="37"/>
  <c r="A447" i="37"/>
  <c r="A446" i="37"/>
  <c r="A445" i="37"/>
  <c r="A444" i="37"/>
  <c r="A443" i="37"/>
  <c r="A442" i="37"/>
  <c r="A441" i="37"/>
  <c r="A440" i="37"/>
  <c r="A439" i="37"/>
  <c r="A438" i="37"/>
  <c r="A437" i="37"/>
  <c r="A436" i="37"/>
  <c r="A435" i="37"/>
  <c r="A434" i="37"/>
  <c r="A433" i="37"/>
  <c r="A432" i="37"/>
  <c r="A431" i="37"/>
  <c r="A430" i="37"/>
  <c r="A429" i="37"/>
  <c r="A428" i="37"/>
  <c r="A427" i="37"/>
  <c r="A426" i="37"/>
  <c r="A425" i="37"/>
  <c r="A424" i="37"/>
  <c r="A423" i="37"/>
  <c r="A422" i="37"/>
  <c r="A421" i="37"/>
  <c r="A420" i="37"/>
  <c r="A419" i="37"/>
  <c r="A418" i="37"/>
  <c r="A417" i="37"/>
  <c r="A416" i="37"/>
  <c r="A415" i="37"/>
  <c r="A414" i="37"/>
  <c r="A413" i="37"/>
  <c r="A412" i="37"/>
  <c r="A411" i="37"/>
  <c r="A410" i="37"/>
  <c r="A409" i="37"/>
  <c r="A408" i="37"/>
  <c r="A407" i="37"/>
  <c r="A406" i="37"/>
  <c r="A405" i="37"/>
  <c r="A404" i="37"/>
  <c r="A403" i="37"/>
  <c r="A402" i="37"/>
  <c r="A401" i="37"/>
  <c r="A400" i="37"/>
  <c r="A399" i="37"/>
  <c r="A398" i="37"/>
  <c r="A397" i="37"/>
  <c r="A396" i="37"/>
  <c r="A395" i="37"/>
  <c r="A394" i="37"/>
  <c r="A393" i="37"/>
  <c r="A392" i="37"/>
  <c r="A391" i="37"/>
  <c r="A390" i="37"/>
  <c r="A389" i="37"/>
  <c r="A388" i="37"/>
  <c r="A387" i="37"/>
  <c r="A386" i="37"/>
  <c r="A385" i="37"/>
  <c r="A384" i="37"/>
  <c r="A383" i="37"/>
  <c r="A382" i="37"/>
  <c r="A381" i="37"/>
  <c r="A380" i="37"/>
  <c r="A379" i="37"/>
  <c r="A378" i="37"/>
  <c r="A377" i="37"/>
  <c r="A376" i="37"/>
  <c r="A375" i="37"/>
  <c r="A374" i="37"/>
  <c r="A373" i="37"/>
  <c r="A372" i="37"/>
  <c r="A371" i="37"/>
  <c r="A370" i="37"/>
  <c r="A369" i="37"/>
  <c r="A368" i="37"/>
  <c r="A367" i="37"/>
  <c r="A366" i="37"/>
  <c r="A365" i="37"/>
  <c r="A364" i="37"/>
  <c r="A363" i="37"/>
  <c r="A362" i="37"/>
  <c r="A361" i="37"/>
  <c r="A360" i="37"/>
  <c r="A359" i="37"/>
  <c r="A358" i="37"/>
  <c r="A357" i="37"/>
  <c r="A356" i="37"/>
  <c r="A355" i="37"/>
  <c r="A354" i="37"/>
  <c r="A353" i="37"/>
  <c r="A352" i="37"/>
  <c r="A351" i="37"/>
  <c r="A350" i="37"/>
  <c r="A349" i="37"/>
  <c r="A348" i="37"/>
  <c r="A347" i="37"/>
  <c r="A346" i="37"/>
  <c r="A345" i="37"/>
  <c r="A344" i="37"/>
  <c r="A343" i="37"/>
  <c r="A342" i="37"/>
  <c r="A341" i="37"/>
  <c r="A340" i="37"/>
  <c r="A339" i="37"/>
  <c r="A338" i="37"/>
  <c r="A337" i="37"/>
  <c r="A336" i="37"/>
  <c r="A335" i="37"/>
  <c r="A334" i="37"/>
  <c r="A333" i="37"/>
  <c r="A332" i="37"/>
  <c r="A331" i="37"/>
  <c r="A330" i="37"/>
  <c r="A329" i="37"/>
  <c r="A328" i="37"/>
  <c r="A327" i="37"/>
  <c r="A326" i="37"/>
  <c r="A325" i="37"/>
  <c r="A324" i="37"/>
  <c r="A323" i="37"/>
  <c r="A322" i="37"/>
  <c r="A321" i="37"/>
  <c r="A320" i="37"/>
  <c r="A319" i="37"/>
  <c r="A318" i="37"/>
  <c r="A317" i="37"/>
  <c r="A316" i="37"/>
  <c r="A315" i="37"/>
  <c r="A314" i="37"/>
  <c r="A313" i="37"/>
  <c r="A312" i="37"/>
  <c r="A311" i="37"/>
  <c r="A310" i="37"/>
  <c r="A309" i="37"/>
  <c r="A308" i="37"/>
  <c r="A307" i="37"/>
  <c r="A306" i="37"/>
  <c r="A305" i="37"/>
  <c r="A304" i="37"/>
  <c r="A303" i="37"/>
  <c r="A302" i="37"/>
  <c r="A301" i="37"/>
  <c r="A300" i="37"/>
  <c r="A299" i="37"/>
  <c r="A298" i="37"/>
  <c r="A297" i="37"/>
  <c r="A296" i="37"/>
  <c r="A295" i="37"/>
  <c r="A294" i="37"/>
  <c r="A293" i="37"/>
  <c r="A292" i="37"/>
  <c r="A291" i="37"/>
  <c r="A290" i="37"/>
  <c r="A289" i="37"/>
  <c r="A288" i="37"/>
  <c r="A287" i="37"/>
  <c r="A286" i="37"/>
  <c r="A285" i="37"/>
  <c r="A284" i="37"/>
  <c r="A283" i="37"/>
  <c r="A282" i="37"/>
  <c r="A281" i="37"/>
  <c r="A280" i="37"/>
  <c r="A279" i="37"/>
  <c r="A278" i="37"/>
  <c r="A277" i="37"/>
  <c r="A276" i="37"/>
  <c r="A275" i="37"/>
  <c r="A274" i="37"/>
  <c r="A273" i="37"/>
  <c r="A272" i="37"/>
  <c r="A271" i="37"/>
  <c r="A270" i="37"/>
  <c r="A269" i="37"/>
  <c r="A268" i="37"/>
  <c r="A267" i="37"/>
  <c r="A266" i="37"/>
  <c r="A265" i="37"/>
  <c r="A264" i="37"/>
  <c r="A263" i="37"/>
  <c r="A262" i="37"/>
  <c r="A261" i="37"/>
  <c r="A260" i="37"/>
  <c r="A259" i="37"/>
  <c r="A258" i="37"/>
  <c r="A257" i="37"/>
  <c r="A256" i="37"/>
  <c r="A255" i="37"/>
  <c r="A254" i="37"/>
  <c r="A253" i="37"/>
  <c r="A252" i="37"/>
  <c r="A251" i="37"/>
  <c r="A250" i="37"/>
  <c r="A249" i="37"/>
  <c r="A248" i="37"/>
  <c r="A247" i="37"/>
  <c r="A246" i="37"/>
  <c r="A245" i="37"/>
  <c r="A244" i="37"/>
  <c r="A243" i="37"/>
  <c r="A242" i="37"/>
  <c r="A241" i="37"/>
  <c r="A240" i="37"/>
  <c r="A239" i="37"/>
  <c r="A238" i="37"/>
  <c r="A237" i="37"/>
  <c r="A236" i="37"/>
  <c r="A235" i="37"/>
  <c r="A234" i="37"/>
  <c r="A233" i="37"/>
  <c r="A232" i="37"/>
  <c r="A231" i="37"/>
  <c r="A230" i="37"/>
  <c r="A229" i="37"/>
  <c r="A228" i="37"/>
  <c r="A227" i="37"/>
  <c r="A226" i="37"/>
  <c r="A225" i="37"/>
  <c r="A224" i="37"/>
  <c r="A223" i="37"/>
  <c r="A222" i="37"/>
  <c r="A221" i="37"/>
  <c r="A220" i="37"/>
  <c r="A219" i="37"/>
  <c r="A218" i="37"/>
  <c r="A217" i="37"/>
  <c r="A216" i="37"/>
  <c r="A215" i="37"/>
  <c r="A214" i="37"/>
  <c r="A213" i="37"/>
  <c r="A212" i="37"/>
  <c r="A211" i="37"/>
  <c r="A210" i="37"/>
  <c r="A209" i="37"/>
  <c r="A208" i="37"/>
  <c r="A207" i="37"/>
  <c r="A206" i="37"/>
  <c r="A205" i="37"/>
  <c r="A204" i="37"/>
  <c r="A203" i="37"/>
  <c r="A202" i="37"/>
  <c r="A201" i="37"/>
  <c r="A200" i="37"/>
  <c r="A199" i="37"/>
  <c r="A198" i="37"/>
  <c r="A197" i="37"/>
  <c r="A196" i="37"/>
  <c r="A195" i="37"/>
  <c r="A194" i="37"/>
  <c r="A193" i="37"/>
  <c r="A192" i="37"/>
  <c r="A191" i="37"/>
  <c r="A190" i="37"/>
  <c r="A189" i="37"/>
  <c r="A188" i="37"/>
  <c r="A187" i="37"/>
  <c r="A186" i="37"/>
  <c r="A185" i="37"/>
  <c r="A184" i="37"/>
  <c r="A183" i="37"/>
  <c r="A182" i="37"/>
  <c r="A181" i="37"/>
  <c r="A180" i="37"/>
  <c r="A179" i="37"/>
  <c r="A178" i="37"/>
  <c r="A177" i="37"/>
  <c r="A176" i="37"/>
  <c r="A175" i="37"/>
  <c r="A174" i="37"/>
  <c r="A173" i="37"/>
  <c r="A172" i="37"/>
  <c r="A171" i="37"/>
  <c r="A170" i="37"/>
  <c r="A169" i="37"/>
  <c r="A168" i="37"/>
  <c r="A167" i="37"/>
  <c r="A166" i="37"/>
  <c r="A165" i="37"/>
  <c r="A164" i="37"/>
  <c r="A163" i="37"/>
  <c r="A162" i="37"/>
  <c r="A161" i="37"/>
  <c r="A160" i="37"/>
  <c r="A159" i="37"/>
  <c r="A158" i="37"/>
  <c r="A157" i="37"/>
  <c r="A156" i="37"/>
  <c r="A155" i="37"/>
  <c r="A154" i="37"/>
  <c r="A153" i="37"/>
  <c r="A152" i="37"/>
  <c r="A151" i="37"/>
  <c r="A150" i="37"/>
  <c r="A149" i="37"/>
  <c r="A148" i="37"/>
  <c r="A147" i="37"/>
  <c r="A146" i="37"/>
  <c r="A145" i="37"/>
  <c r="A144" i="37"/>
  <c r="A143" i="37"/>
  <c r="A142" i="37"/>
  <c r="A141" i="37"/>
  <c r="A140" i="37"/>
  <c r="A139" i="37"/>
  <c r="A138" i="37"/>
  <c r="A137" i="37"/>
  <c r="A136" i="37"/>
  <c r="A135" i="37"/>
  <c r="A134" i="37"/>
  <c r="A133" i="37"/>
  <c r="A132" i="37"/>
  <c r="A131" i="37"/>
  <c r="A130" i="37"/>
  <c r="A129" i="37"/>
  <c r="A128" i="37"/>
  <c r="A127" i="37"/>
  <c r="A126" i="37"/>
  <c r="A125" i="37"/>
  <c r="A124" i="37"/>
  <c r="A123" i="37"/>
  <c r="A122" i="37"/>
  <c r="A121" i="37"/>
  <c r="A120" i="37"/>
  <c r="A119" i="37"/>
  <c r="A118" i="37"/>
  <c r="A117" i="37"/>
  <c r="A116" i="37"/>
  <c r="A115" i="37"/>
  <c r="A114" i="37"/>
  <c r="A113" i="37"/>
  <c r="A112" i="37"/>
  <c r="A111" i="37"/>
  <c r="A110" i="37"/>
  <c r="A109" i="37"/>
  <c r="A108" i="37"/>
  <c r="A107" i="37"/>
  <c r="A106" i="37"/>
  <c r="A105" i="37"/>
  <c r="A104" i="37"/>
  <c r="A103" i="37"/>
  <c r="A102" i="37"/>
  <c r="A101" i="37"/>
  <c r="A100" i="37"/>
  <c r="A99" i="37"/>
  <c r="A98" i="37"/>
  <c r="A97" i="37"/>
  <c r="A96" i="37"/>
  <c r="A95" i="37"/>
  <c r="A94" i="37"/>
  <c r="A93" i="37"/>
  <c r="A92" i="37"/>
  <c r="A91" i="37"/>
  <c r="A90" i="37"/>
  <c r="A89" i="37"/>
  <c r="A88" i="37"/>
  <c r="A87" i="37"/>
  <c r="A86" i="37"/>
  <c r="A85" i="37"/>
  <c r="A84" i="37"/>
  <c r="A83" i="37"/>
  <c r="A82" i="37"/>
  <c r="A81" i="37"/>
  <c r="A80" i="37"/>
  <c r="A79" i="37"/>
  <c r="A78" i="37"/>
  <c r="A77" i="37"/>
  <c r="A76" i="37"/>
  <c r="A75" i="37"/>
  <c r="A74" i="37"/>
  <c r="A73" i="37"/>
  <c r="A72" i="37"/>
  <c r="A71" i="37"/>
  <c r="A70" i="37"/>
  <c r="A69" i="37"/>
  <c r="A68" i="37"/>
  <c r="A67" i="37"/>
  <c r="A66" i="37"/>
  <c r="A65" i="37"/>
  <c r="A64" i="37"/>
  <c r="A63" i="37"/>
  <c r="A62" i="37"/>
  <c r="A61" i="37"/>
  <c r="A60" i="37"/>
  <c r="A59" i="37"/>
  <c r="A58" i="37"/>
  <c r="A57" i="37"/>
  <c r="A56" i="37"/>
  <c r="A55" i="37"/>
  <c r="A54" i="37"/>
  <c r="A53" i="37"/>
  <c r="A52" i="37"/>
  <c r="A51" i="37"/>
  <c r="A50" i="37"/>
  <c r="A49" i="37"/>
  <c r="A48" i="37"/>
  <c r="A47" i="37"/>
  <c r="A46" i="37"/>
  <c r="A45" i="37"/>
  <c r="A44" i="37"/>
  <c r="A43" i="37"/>
  <c r="A42" i="37"/>
  <c r="A41" i="37"/>
  <c r="A40" i="37"/>
  <c r="A39" i="37"/>
  <c r="A38" i="37"/>
  <c r="A37" i="37"/>
  <c r="A36" i="37"/>
  <c r="A35" i="37"/>
  <c r="A34" i="37"/>
  <c r="A33" i="37"/>
  <c r="A32" i="37"/>
  <c r="A31" i="37"/>
  <c r="A30" i="37"/>
  <c r="A29" i="37"/>
  <c r="A28" i="37"/>
  <c r="A27" i="37"/>
  <c r="A26" i="37"/>
  <c r="A25" i="37"/>
  <c r="A24" i="37"/>
  <c r="A23" i="37"/>
  <c r="A22" i="37"/>
  <c r="A21" i="37"/>
  <c r="A20" i="37"/>
  <c r="A19" i="37"/>
  <c r="A18" i="37"/>
  <c r="A17" i="37"/>
  <c r="A16" i="37"/>
  <c r="A15" i="37"/>
  <c r="A14" i="37"/>
  <c r="A13" i="37"/>
  <c r="A12" i="37"/>
  <c r="A11" i="37"/>
  <c r="A10" i="37"/>
  <c r="A9" i="37"/>
  <c r="A8" i="37"/>
  <c r="A7" i="37"/>
  <c r="A6" i="37"/>
  <c r="A5" i="37"/>
  <c r="A4" i="37"/>
  <c r="A3" i="37"/>
  <c r="A2" i="37"/>
  <c r="A2" i="36"/>
  <c r="A2" i="35"/>
  <c r="A52" i="33" l="1"/>
  <c r="A45" i="33"/>
  <c r="V43" i="33"/>
  <c r="V53" i="4" s="1"/>
  <c r="U43" i="33"/>
  <c r="U53" i="4" s="1"/>
  <c r="T43" i="33"/>
  <c r="T53" i="4" s="1"/>
  <c r="S43" i="33"/>
  <c r="S53" i="4" s="1"/>
  <c r="R43" i="33"/>
  <c r="R53" i="4" s="1"/>
  <c r="Q43" i="33"/>
  <c r="Q53" i="4" s="1"/>
  <c r="P43" i="33"/>
  <c r="P53" i="4" s="1"/>
  <c r="O43" i="33"/>
  <c r="O53" i="4" s="1"/>
  <c r="M43" i="33"/>
  <c r="M53" i="4" s="1"/>
  <c r="L43" i="33"/>
  <c r="L53" i="4" s="1"/>
  <c r="K43" i="33"/>
  <c r="K53" i="4" s="1"/>
  <c r="J43" i="33"/>
  <c r="J53" i="4" s="1"/>
  <c r="I43" i="33"/>
  <c r="I53" i="4" s="1"/>
  <c r="H43" i="33"/>
  <c r="H53" i="4" s="1"/>
  <c r="G43" i="33"/>
  <c r="G53" i="4" s="1"/>
  <c r="F43" i="33"/>
  <c r="F53" i="4" s="1"/>
  <c r="E43" i="33"/>
  <c r="E53" i="4" s="1"/>
  <c r="D43" i="33"/>
  <c r="D53" i="4" s="1"/>
  <c r="C43" i="33"/>
  <c r="C53" i="4" s="1"/>
  <c r="B43" i="33"/>
  <c r="B53" i="4" s="1"/>
  <c r="V42" i="33"/>
  <c r="V52" i="4" s="1"/>
  <c r="U42" i="33"/>
  <c r="U52" i="4" s="1"/>
  <c r="T42" i="33"/>
  <c r="T52" i="4" s="1"/>
  <c r="S42" i="33"/>
  <c r="S52" i="4" s="1"/>
  <c r="R42" i="33"/>
  <c r="R52" i="4" s="1"/>
  <c r="Q42" i="33"/>
  <c r="Q52" i="4" s="1"/>
  <c r="P42" i="33"/>
  <c r="P52" i="4" s="1"/>
  <c r="M42" i="33"/>
  <c r="M52" i="4" s="1"/>
  <c r="L42" i="33"/>
  <c r="L52" i="4" s="1"/>
  <c r="K42" i="33"/>
  <c r="K52" i="4" s="1"/>
  <c r="J42" i="33"/>
  <c r="J52" i="4" s="1"/>
  <c r="I42" i="33"/>
  <c r="I52" i="4" s="1"/>
  <c r="H42" i="33"/>
  <c r="H52" i="4" s="1"/>
  <c r="G42" i="33"/>
  <c r="G52" i="4" s="1"/>
  <c r="F42" i="33"/>
  <c r="F52" i="4" s="1"/>
  <c r="E42" i="33"/>
  <c r="E52" i="4" s="1"/>
  <c r="D42" i="33"/>
  <c r="D52" i="4" s="1"/>
  <c r="C42" i="33"/>
  <c r="C52" i="4" s="1"/>
  <c r="B42" i="33"/>
  <c r="B52" i="4" s="1"/>
  <c r="V41" i="33"/>
  <c r="V51" i="4" s="1"/>
  <c r="U41" i="33"/>
  <c r="U51" i="4" s="1"/>
  <c r="T41" i="33"/>
  <c r="T51" i="4" s="1"/>
  <c r="S41" i="33"/>
  <c r="S51" i="4" s="1"/>
  <c r="R41" i="33"/>
  <c r="R51" i="4" s="1"/>
  <c r="Q41" i="33"/>
  <c r="Q51" i="4" s="1"/>
  <c r="P41" i="33"/>
  <c r="P51" i="4" s="1"/>
  <c r="M41" i="33"/>
  <c r="M51" i="4" s="1"/>
  <c r="L41" i="33"/>
  <c r="L51" i="4" s="1"/>
  <c r="K41" i="33"/>
  <c r="K51" i="4" s="1"/>
  <c r="J41" i="33"/>
  <c r="J51" i="4" s="1"/>
  <c r="I41" i="33"/>
  <c r="I51" i="4" s="1"/>
  <c r="H41" i="33"/>
  <c r="H51" i="4" s="1"/>
  <c r="G41" i="33"/>
  <c r="G51" i="4" s="1"/>
  <c r="F41" i="33"/>
  <c r="F51" i="4" s="1"/>
  <c r="E41" i="33"/>
  <c r="E51" i="4" s="1"/>
  <c r="D41" i="33"/>
  <c r="D51" i="4" s="1"/>
  <c r="C41" i="33"/>
  <c r="C51" i="4" s="1"/>
  <c r="B41" i="33"/>
  <c r="B51" i="4" s="1"/>
  <c r="V40" i="33"/>
  <c r="V50" i="4" s="1"/>
  <c r="U40" i="33"/>
  <c r="U50" i="4" s="1"/>
  <c r="T40" i="33"/>
  <c r="T50" i="4" s="1"/>
  <c r="S40" i="33"/>
  <c r="S50" i="4" s="1"/>
  <c r="R40" i="33"/>
  <c r="R50" i="4" s="1"/>
  <c r="Q40" i="33"/>
  <c r="Q50" i="4" s="1"/>
  <c r="P40" i="33"/>
  <c r="P50" i="4" s="1"/>
  <c r="M40" i="33"/>
  <c r="M50" i="4" s="1"/>
  <c r="L40" i="33"/>
  <c r="L50" i="4" s="1"/>
  <c r="K40" i="33"/>
  <c r="K50" i="4" s="1"/>
  <c r="J40" i="33"/>
  <c r="J50" i="4" s="1"/>
  <c r="I40" i="33"/>
  <c r="I50" i="4" s="1"/>
  <c r="H40" i="33"/>
  <c r="H50" i="4" s="1"/>
  <c r="G40" i="33"/>
  <c r="G50" i="4" s="1"/>
  <c r="F40" i="33"/>
  <c r="F50" i="4" s="1"/>
  <c r="E40" i="33"/>
  <c r="E50" i="4" s="1"/>
  <c r="D40" i="33"/>
  <c r="D50" i="4" s="1"/>
  <c r="C40" i="33"/>
  <c r="C50" i="4" s="1"/>
  <c r="B40" i="33"/>
  <c r="B50" i="4" s="1"/>
  <c r="V39" i="33"/>
  <c r="V49" i="4" s="1"/>
  <c r="U39" i="33"/>
  <c r="U49" i="4" s="1"/>
  <c r="T39" i="33"/>
  <c r="T49" i="4" s="1"/>
  <c r="S39" i="33"/>
  <c r="S49" i="4" s="1"/>
  <c r="R39" i="33"/>
  <c r="R49" i="4" s="1"/>
  <c r="Q39" i="33"/>
  <c r="Q49" i="4" s="1"/>
  <c r="P39" i="33"/>
  <c r="P49" i="4" s="1"/>
  <c r="M39" i="33"/>
  <c r="M49" i="4" s="1"/>
  <c r="L39" i="33"/>
  <c r="L49" i="4" s="1"/>
  <c r="K39" i="33"/>
  <c r="K49" i="4" s="1"/>
  <c r="J39" i="33"/>
  <c r="J49" i="4" s="1"/>
  <c r="I39" i="33"/>
  <c r="I49" i="4" s="1"/>
  <c r="H39" i="33"/>
  <c r="H49" i="4" s="1"/>
  <c r="G39" i="33"/>
  <c r="G49" i="4" s="1"/>
  <c r="F39" i="33"/>
  <c r="F49" i="4" s="1"/>
  <c r="E39" i="33"/>
  <c r="E49" i="4" s="1"/>
  <c r="D39" i="33"/>
  <c r="D49" i="4" s="1"/>
  <c r="C39" i="33"/>
  <c r="C49" i="4" s="1"/>
  <c r="B39" i="33"/>
  <c r="B49" i="4" s="1"/>
  <c r="V38" i="33"/>
  <c r="V48" i="4" s="1"/>
  <c r="U38" i="33"/>
  <c r="U48" i="4" s="1"/>
  <c r="T38" i="33"/>
  <c r="T48" i="4" s="1"/>
  <c r="S38" i="33"/>
  <c r="S48" i="4" s="1"/>
  <c r="R38" i="33"/>
  <c r="R48" i="4" s="1"/>
  <c r="Q38" i="33"/>
  <c r="Q48" i="4" s="1"/>
  <c r="P38" i="33"/>
  <c r="P48" i="4" s="1"/>
  <c r="M38" i="33"/>
  <c r="M48" i="4" s="1"/>
  <c r="L38" i="33"/>
  <c r="L48" i="4" s="1"/>
  <c r="K38" i="33"/>
  <c r="K48" i="4" s="1"/>
  <c r="J38" i="33"/>
  <c r="J48" i="4" s="1"/>
  <c r="I38" i="33"/>
  <c r="I48" i="4" s="1"/>
  <c r="H38" i="33"/>
  <c r="H48" i="4" s="1"/>
  <c r="G38" i="33"/>
  <c r="G48" i="4" s="1"/>
  <c r="F38" i="33"/>
  <c r="F48" i="4" s="1"/>
  <c r="E38" i="33"/>
  <c r="E48" i="4" s="1"/>
  <c r="D38" i="33"/>
  <c r="D48" i="4" s="1"/>
  <c r="C38" i="33"/>
  <c r="C48" i="4" s="1"/>
  <c r="B38" i="33"/>
  <c r="B48" i="4" s="1"/>
  <c r="V37" i="33"/>
  <c r="V47" i="4" s="1"/>
  <c r="U37" i="33"/>
  <c r="U47" i="4" s="1"/>
  <c r="T37" i="33"/>
  <c r="T47" i="4" s="1"/>
  <c r="S37" i="33"/>
  <c r="S47" i="4" s="1"/>
  <c r="R37" i="33"/>
  <c r="R47" i="4" s="1"/>
  <c r="Q37" i="33"/>
  <c r="Q47" i="4" s="1"/>
  <c r="P37" i="33"/>
  <c r="P47" i="4" s="1"/>
  <c r="M37" i="33"/>
  <c r="M47" i="4" s="1"/>
  <c r="L37" i="33"/>
  <c r="L47" i="4" s="1"/>
  <c r="K37" i="33"/>
  <c r="K47" i="4" s="1"/>
  <c r="J37" i="33"/>
  <c r="J47" i="4" s="1"/>
  <c r="I37" i="33"/>
  <c r="I47" i="4" s="1"/>
  <c r="H37" i="33"/>
  <c r="H47" i="4" s="1"/>
  <c r="G37" i="33"/>
  <c r="G47" i="4" s="1"/>
  <c r="F37" i="33"/>
  <c r="F47" i="4" s="1"/>
  <c r="E37" i="33"/>
  <c r="E47" i="4" s="1"/>
  <c r="D37" i="33"/>
  <c r="D47" i="4" s="1"/>
  <c r="C37" i="33"/>
  <c r="C47" i="4" s="1"/>
  <c r="B37" i="33"/>
  <c r="B47" i="4" s="1"/>
  <c r="V36" i="33"/>
  <c r="V46" i="4" s="1"/>
  <c r="U36" i="33"/>
  <c r="U46" i="4" s="1"/>
  <c r="T36" i="33"/>
  <c r="T46" i="4" s="1"/>
  <c r="S36" i="33"/>
  <c r="S46" i="4" s="1"/>
  <c r="R36" i="33"/>
  <c r="R46" i="4" s="1"/>
  <c r="Q36" i="33"/>
  <c r="Q46" i="4" s="1"/>
  <c r="P36" i="33"/>
  <c r="P46" i="4" s="1"/>
  <c r="M36" i="33"/>
  <c r="M46" i="4" s="1"/>
  <c r="L36" i="33"/>
  <c r="L46" i="4" s="1"/>
  <c r="K36" i="33"/>
  <c r="K46" i="4" s="1"/>
  <c r="J36" i="33"/>
  <c r="J46" i="4" s="1"/>
  <c r="I36" i="33"/>
  <c r="I46" i="4" s="1"/>
  <c r="H36" i="33"/>
  <c r="H46" i="4" s="1"/>
  <c r="G36" i="33"/>
  <c r="G46" i="4" s="1"/>
  <c r="F36" i="33"/>
  <c r="F46" i="4" s="1"/>
  <c r="E36" i="33"/>
  <c r="E46" i="4" s="1"/>
  <c r="D36" i="33"/>
  <c r="D46" i="4" s="1"/>
  <c r="C36" i="33"/>
  <c r="C46" i="4" s="1"/>
  <c r="B36" i="33"/>
  <c r="B46" i="4" s="1"/>
  <c r="V35" i="33"/>
  <c r="V45" i="4" s="1"/>
  <c r="U35" i="33"/>
  <c r="U45" i="4" s="1"/>
  <c r="T35" i="33"/>
  <c r="T45" i="4" s="1"/>
  <c r="S35" i="33"/>
  <c r="S45" i="4" s="1"/>
  <c r="R35" i="33"/>
  <c r="R45" i="4" s="1"/>
  <c r="Q35" i="33"/>
  <c r="Q45" i="4" s="1"/>
  <c r="P35" i="33"/>
  <c r="P45" i="4" s="1"/>
  <c r="J35" i="33"/>
  <c r="J45" i="4" s="1"/>
  <c r="I35" i="33"/>
  <c r="I45" i="4" s="1"/>
  <c r="H35" i="33"/>
  <c r="H45" i="4" s="1"/>
  <c r="G35" i="33"/>
  <c r="G45" i="4" s="1"/>
  <c r="F35" i="33"/>
  <c r="F45" i="4" s="1"/>
  <c r="E35" i="33"/>
  <c r="E45" i="4" s="1"/>
  <c r="D35" i="33"/>
  <c r="D45" i="4" s="1"/>
  <c r="C35" i="33"/>
  <c r="C45" i="4" s="1"/>
  <c r="B35" i="33"/>
  <c r="B45" i="4" s="1"/>
  <c r="V34" i="33"/>
  <c r="V44" i="4" s="1"/>
  <c r="U34" i="33"/>
  <c r="U44" i="4" s="1"/>
  <c r="T34" i="33"/>
  <c r="T44" i="4" s="1"/>
  <c r="S34" i="33"/>
  <c r="S44" i="4" s="1"/>
  <c r="R34" i="33"/>
  <c r="R44" i="4" s="1"/>
  <c r="Q34" i="33"/>
  <c r="Q44" i="4" s="1"/>
  <c r="P34" i="33"/>
  <c r="P44" i="4" s="1"/>
  <c r="J34" i="33"/>
  <c r="J44" i="4" s="1"/>
  <c r="I34" i="33"/>
  <c r="I44" i="4" s="1"/>
  <c r="H34" i="33"/>
  <c r="H44" i="4" s="1"/>
  <c r="G34" i="33"/>
  <c r="G44" i="4" s="1"/>
  <c r="F34" i="33"/>
  <c r="F44" i="4" s="1"/>
  <c r="E34" i="33"/>
  <c r="E44" i="4" s="1"/>
  <c r="D34" i="33"/>
  <c r="D44" i="4" s="1"/>
  <c r="C34" i="33"/>
  <c r="C44" i="4" s="1"/>
  <c r="V33" i="33"/>
  <c r="V43" i="4" s="1"/>
  <c r="U33" i="33"/>
  <c r="U43" i="4" s="1"/>
  <c r="T33" i="33"/>
  <c r="T43" i="4" s="1"/>
  <c r="S33" i="33"/>
  <c r="S43" i="4" s="1"/>
  <c r="R33" i="33"/>
  <c r="R43" i="4" s="1"/>
  <c r="Q33" i="33"/>
  <c r="Q43" i="4" s="1"/>
  <c r="P33" i="33"/>
  <c r="P43" i="4" s="1"/>
  <c r="J33" i="33"/>
  <c r="J43" i="4" s="1"/>
  <c r="I33" i="33"/>
  <c r="I43" i="4" s="1"/>
  <c r="H33" i="33"/>
  <c r="H43" i="4" s="1"/>
  <c r="G33" i="33"/>
  <c r="G43" i="4" s="1"/>
  <c r="F33" i="33"/>
  <c r="F43" i="4" s="1"/>
  <c r="E33" i="33"/>
  <c r="E43" i="4" s="1"/>
  <c r="D33" i="33"/>
  <c r="D43" i="4" s="1"/>
  <c r="C33" i="33"/>
  <c r="C43" i="4" s="1"/>
  <c r="V32" i="33"/>
  <c r="V42" i="4" s="1"/>
  <c r="U32" i="33"/>
  <c r="U42" i="4" s="1"/>
  <c r="T32" i="33"/>
  <c r="T42" i="4" s="1"/>
  <c r="S32" i="33"/>
  <c r="S42" i="4" s="1"/>
  <c r="R32" i="33"/>
  <c r="R42" i="4" s="1"/>
  <c r="Q32" i="33"/>
  <c r="Q42" i="4" s="1"/>
  <c r="P32" i="33"/>
  <c r="P42" i="4" s="1"/>
  <c r="J32" i="33"/>
  <c r="J42" i="4" s="1"/>
  <c r="I32" i="33"/>
  <c r="I42" i="4" s="1"/>
  <c r="H32" i="33"/>
  <c r="H42" i="4" s="1"/>
  <c r="G32" i="33"/>
  <c r="G42" i="4" s="1"/>
  <c r="F32" i="33"/>
  <c r="F42" i="4" s="1"/>
  <c r="E32" i="33"/>
  <c r="E42" i="4" s="1"/>
  <c r="D32" i="33"/>
  <c r="D42" i="4" s="1"/>
  <c r="C32" i="33"/>
  <c r="C42" i="4" s="1"/>
  <c r="V31" i="33"/>
  <c r="V41" i="4" s="1"/>
  <c r="U31" i="33"/>
  <c r="U41" i="4" s="1"/>
  <c r="T31" i="33"/>
  <c r="T41" i="4" s="1"/>
  <c r="S31" i="33"/>
  <c r="S41" i="4" s="1"/>
  <c r="R31" i="33"/>
  <c r="R41" i="4" s="1"/>
  <c r="Q31" i="33"/>
  <c r="Q41" i="4" s="1"/>
  <c r="P31" i="33"/>
  <c r="P41" i="4" s="1"/>
  <c r="J31" i="33"/>
  <c r="J41" i="4" s="1"/>
  <c r="I31" i="33"/>
  <c r="I41" i="4" s="1"/>
  <c r="H31" i="33"/>
  <c r="H41" i="4" s="1"/>
  <c r="G31" i="33"/>
  <c r="G41" i="4" s="1"/>
  <c r="F31" i="33"/>
  <c r="F41" i="4" s="1"/>
  <c r="E31" i="33"/>
  <c r="E41" i="4" s="1"/>
  <c r="D31" i="33"/>
  <c r="D41" i="4" s="1"/>
  <c r="C31" i="33"/>
  <c r="C41" i="4" s="1"/>
  <c r="V30" i="33"/>
  <c r="V40" i="4" s="1"/>
  <c r="U30" i="33"/>
  <c r="U40" i="4" s="1"/>
  <c r="T30" i="33"/>
  <c r="T40" i="4" s="1"/>
  <c r="S30" i="33"/>
  <c r="S40" i="4" s="1"/>
  <c r="R30" i="33"/>
  <c r="R40" i="4" s="1"/>
  <c r="Q30" i="33"/>
  <c r="Q40" i="4" s="1"/>
  <c r="P30" i="33"/>
  <c r="P40" i="4" s="1"/>
  <c r="J30" i="33"/>
  <c r="J40" i="4" s="1"/>
  <c r="I30" i="33"/>
  <c r="I40" i="4" s="1"/>
  <c r="H30" i="33"/>
  <c r="H40" i="4" s="1"/>
  <c r="G30" i="33"/>
  <c r="G40" i="4" s="1"/>
  <c r="F30" i="33"/>
  <c r="F40" i="4" s="1"/>
  <c r="E30" i="33"/>
  <c r="E40" i="4" s="1"/>
  <c r="D30" i="33"/>
  <c r="D40" i="4" s="1"/>
  <c r="C30" i="33"/>
  <c r="C40" i="4" s="1"/>
  <c r="V29" i="33"/>
  <c r="V39" i="4" s="1"/>
  <c r="U29" i="33"/>
  <c r="U39" i="4" s="1"/>
  <c r="T29" i="33"/>
  <c r="T39" i="4" s="1"/>
  <c r="S29" i="33"/>
  <c r="S39" i="4" s="1"/>
  <c r="R29" i="33"/>
  <c r="R39" i="4" s="1"/>
  <c r="Q29" i="33"/>
  <c r="Q39" i="4" s="1"/>
  <c r="P29" i="33"/>
  <c r="P39" i="4" s="1"/>
  <c r="J29" i="33"/>
  <c r="J39" i="4" s="1"/>
  <c r="I29" i="33"/>
  <c r="I39" i="4" s="1"/>
  <c r="H29" i="33"/>
  <c r="H39" i="4" s="1"/>
  <c r="G29" i="33"/>
  <c r="G39" i="4" s="1"/>
  <c r="F29" i="33"/>
  <c r="F39" i="4" s="1"/>
  <c r="E29" i="33"/>
  <c r="E39" i="4" s="1"/>
  <c r="D29" i="33"/>
  <c r="D39" i="4" s="1"/>
  <c r="C29" i="33"/>
  <c r="C39" i="4" s="1"/>
  <c r="V28" i="33"/>
  <c r="U28" i="33"/>
  <c r="T28" i="33"/>
  <c r="S28" i="33"/>
  <c r="R28" i="33"/>
  <c r="Q28" i="33"/>
  <c r="P28" i="33"/>
  <c r="J28" i="33"/>
  <c r="I28" i="33"/>
  <c r="H28" i="33"/>
  <c r="G28" i="33"/>
  <c r="F28" i="33"/>
  <c r="E28" i="33"/>
  <c r="D28" i="33"/>
  <c r="C28" i="33"/>
  <c r="V24" i="33"/>
  <c r="U24" i="33"/>
  <c r="T24" i="33"/>
  <c r="S24" i="33"/>
  <c r="R24" i="33"/>
  <c r="Q24" i="33"/>
  <c r="P24" i="33"/>
  <c r="O24" i="33"/>
  <c r="L24" i="33"/>
  <c r="J24" i="33"/>
  <c r="I24" i="33"/>
  <c r="H24" i="33"/>
  <c r="G24" i="33"/>
  <c r="F24" i="33"/>
  <c r="E24" i="33"/>
  <c r="D24" i="33"/>
  <c r="C24" i="33"/>
  <c r="B24" i="33"/>
  <c r="V23" i="33"/>
  <c r="U23" i="33"/>
  <c r="T23" i="33"/>
  <c r="S23" i="33"/>
  <c r="R23" i="33"/>
  <c r="Q23" i="33"/>
  <c r="P23" i="33"/>
  <c r="O23" i="33"/>
  <c r="K35" i="33" s="1"/>
  <c r="K45" i="4" s="1"/>
  <c r="L23" i="33"/>
  <c r="J23" i="33"/>
  <c r="I23" i="33"/>
  <c r="H23" i="33"/>
  <c r="G23" i="33"/>
  <c r="F23" i="33"/>
  <c r="E23" i="33"/>
  <c r="D23" i="33"/>
  <c r="C23" i="33"/>
  <c r="B23" i="33"/>
  <c r="A22" i="33"/>
  <c r="H22" i="33"/>
  <c r="G45" i="33"/>
  <c r="F27" i="33"/>
  <c r="F52" i="33" s="1"/>
  <c r="E45" i="33"/>
  <c r="D22" i="33"/>
  <c r="C45" i="33"/>
  <c r="B45" i="33"/>
  <c r="E56" i="33"/>
  <c r="I56" i="33"/>
  <c r="R56" i="33"/>
  <c r="G56" i="33"/>
  <c r="C56" i="33"/>
  <c r="S56" i="33"/>
  <c r="Q56" i="33"/>
  <c r="J56" i="33"/>
  <c r="F56" i="33"/>
  <c r="H56" i="33"/>
  <c r="V56" i="33"/>
  <c r="U56" i="33"/>
  <c r="P56" i="33"/>
  <c r="D56" i="33"/>
  <c r="T56" i="33"/>
  <c r="O35" i="33" l="1"/>
  <c r="O45" i="4" s="1"/>
  <c r="O36" i="33"/>
  <c r="O46" i="4" s="1"/>
  <c r="O37" i="33"/>
  <c r="O47" i="4" s="1"/>
  <c r="O38" i="33"/>
  <c r="O48" i="4" s="1"/>
  <c r="O39" i="33"/>
  <c r="O49" i="4" s="1"/>
  <c r="O40" i="33"/>
  <c r="O50" i="4" s="1"/>
  <c r="O41" i="33"/>
  <c r="O51" i="4" s="1"/>
  <c r="O42" i="33"/>
  <c r="O52" i="4" s="1"/>
  <c r="L29" i="33"/>
  <c r="L39" i="4" s="1"/>
  <c r="L30" i="33"/>
  <c r="L40" i="4" s="1"/>
  <c r="L31" i="33"/>
  <c r="L41" i="4" s="1"/>
  <c r="L32" i="33"/>
  <c r="L42" i="4" s="1"/>
  <c r="L33" i="33"/>
  <c r="L43" i="4" s="1"/>
  <c r="L34" i="33"/>
  <c r="L44" i="4" s="1"/>
  <c r="L35" i="33"/>
  <c r="L45" i="4" s="1"/>
  <c r="M29" i="33"/>
  <c r="M39" i="4" s="1"/>
  <c r="M30" i="33"/>
  <c r="M40" i="4" s="1"/>
  <c r="M31" i="33"/>
  <c r="M41" i="4" s="1"/>
  <c r="M32" i="33"/>
  <c r="M42" i="4" s="1"/>
  <c r="M33" i="33"/>
  <c r="M43" i="4" s="1"/>
  <c r="M34" i="33"/>
  <c r="M44" i="4" s="1"/>
  <c r="M35" i="33"/>
  <c r="M45" i="4" s="1"/>
  <c r="B28" i="33"/>
  <c r="O28" i="33"/>
  <c r="B29" i="33"/>
  <c r="B39" i="4" s="1"/>
  <c r="O29" i="33"/>
  <c r="O39" i="4" s="1"/>
  <c r="B30" i="33"/>
  <c r="B40" i="4" s="1"/>
  <c r="O30" i="33"/>
  <c r="O40" i="4" s="1"/>
  <c r="B31" i="33"/>
  <c r="B41" i="4" s="1"/>
  <c r="O31" i="33"/>
  <c r="O41" i="4" s="1"/>
  <c r="B32" i="33"/>
  <c r="B42" i="4" s="1"/>
  <c r="O32" i="33"/>
  <c r="O42" i="4" s="1"/>
  <c r="B33" i="33"/>
  <c r="B43" i="4" s="1"/>
  <c r="O33" i="33"/>
  <c r="O43" i="4" s="1"/>
  <c r="B34" i="33"/>
  <c r="B44" i="4" s="1"/>
  <c r="O34" i="33"/>
  <c r="O44" i="4" s="1"/>
  <c r="L28" i="33"/>
  <c r="M28" i="33"/>
  <c r="K28" i="33"/>
  <c r="K29" i="33"/>
  <c r="K39" i="4" s="1"/>
  <c r="K30" i="33"/>
  <c r="K40" i="4" s="1"/>
  <c r="K31" i="33"/>
  <c r="K41" i="4" s="1"/>
  <c r="K32" i="33"/>
  <c r="K42" i="4" s="1"/>
  <c r="K33" i="33"/>
  <c r="K43" i="4" s="1"/>
  <c r="K34" i="33"/>
  <c r="K44" i="4" s="1"/>
  <c r="D38" i="4"/>
  <c r="H38" i="4"/>
  <c r="B38" i="4"/>
  <c r="E38" i="4"/>
  <c r="I38" i="4"/>
  <c r="M38" i="4"/>
  <c r="F46" i="33"/>
  <c r="F53" i="33" s="1"/>
  <c r="U38" i="4"/>
  <c r="R38" i="4"/>
  <c r="V38" i="4"/>
  <c r="B22" i="33"/>
  <c r="E22" i="33"/>
  <c r="I45" i="33"/>
  <c r="I52" i="33"/>
  <c r="I27" i="33"/>
  <c r="C38" i="4"/>
  <c r="C47" i="33"/>
  <c r="C48" i="33" s="1"/>
  <c r="C54" i="33" s="1"/>
  <c r="C46" i="33"/>
  <c r="C53" i="33" s="1"/>
  <c r="G38" i="4"/>
  <c r="G47" i="33"/>
  <c r="G48" i="33" s="1"/>
  <c r="G54" i="33" s="1"/>
  <c r="K38" i="4"/>
  <c r="P46" i="33"/>
  <c r="P53" i="33" s="1"/>
  <c r="P38" i="4"/>
  <c r="P47" i="33"/>
  <c r="P48" i="33" s="1"/>
  <c r="P54" i="33" s="1"/>
  <c r="T38" i="4"/>
  <c r="T46" i="33"/>
  <c r="T53" i="33" s="1"/>
  <c r="T47" i="33"/>
  <c r="T48" i="33" s="1"/>
  <c r="T54" i="33" s="1"/>
  <c r="B27" i="33"/>
  <c r="B52" i="33" s="1"/>
  <c r="L38" i="4"/>
  <c r="Q47" i="33"/>
  <c r="Q48" i="33" s="1"/>
  <c r="Q54" i="33" s="1"/>
  <c r="Q38" i="4"/>
  <c r="G46" i="33"/>
  <c r="G53" i="33" s="1"/>
  <c r="D27" i="33"/>
  <c r="D52" i="33" s="1"/>
  <c r="I22" i="33"/>
  <c r="E27" i="33"/>
  <c r="E52" i="33" s="1"/>
  <c r="F38" i="4"/>
  <c r="F47" i="33"/>
  <c r="F48" i="33" s="1"/>
  <c r="F54" i="33" s="1"/>
  <c r="J38" i="4"/>
  <c r="J46" i="33"/>
  <c r="J53" i="33" s="1"/>
  <c r="J47" i="33"/>
  <c r="J48" i="33" s="1"/>
  <c r="J54" i="33" s="1"/>
  <c r="S38" i="4"/>
  <c r="S46" i="33"/>
  <c r="S53" i="33" s="1"/>
  <c r="S47" i="33"/>
  <c r="S48" i="33" s="1"/>
  <c r="S54" i="33" s="1"/>
  <c r="D45" i="33"/>
  <c r="G57" i="33"/>
  <c r="T57" i="33"/>
  <c r="H57" i="33"/>
  <c r="U57" i="33"/>
  <c r="C57" i="33"/>
  <c r="J57" i="33"/>
  <c r="P57" i="33"/>
  <c r="D57" i="33"/>
  <c r="S57" i="33"/>
  <c r="F57" i="33"/>
  <c r="Q57" i="33"/>
  <c r="E57" i="33"/>
  <c r="I57" i="33"/>
  <c r="R57" i="33"/>
  <c r="V57" i="33"/>
  <c r="D46" i="33"/>
  <c r="D53" i="33" s="1"/>
  <c r="D47" i="33"/>
  <c r="D48" i="33" s="1"/>
  <c r="D54" i="33" s="1"/>
  <c r="H46" i="33"/>
  <c r="H53" i="33" s="1"/>
  <c r="H47" i="33"/>
  <c r="H48" i="33" s="1"/>
  <c r="H54" i="33" s="1"/>
  <c r="U46" i="33"/>
  <c r="U53" i="33" s="1"/>
  <c r="U47" i="33"/>
  <c r="U48" i="33" s="1"/>
  <c r="U54" i="33" s="1"/>
  <c r="Q46" i="33"/>
  <c r="Q53" i="33" s="1"/>
  <c r="F22" i="33"/>
  <c r="B47" i="33"/>
  <c r="B48" i="33" s="1"/>
  <c r="B54" i="33" s="1"/>
  <c r="B46" i="33"/>
  <c r="E47" i="33"/>
  <c r="E48" i="33" s="1"/>
  <c r="E54" i="33" s="1"/>
  <c r="E46" i="33"/>
  <c r="E53" i="33" s="1"/>
  <c r="I47" i="33"/>
  <c r="I48" i="33" s="1"/>
  <c r="I54" i="33" s="1"/>
  <c r="I46" i="33"/>
  <c r="I53" i="33" s="1"/>
  <c r="R47" i="33"/>
  <c r="R48" i="33" s="1"/>
  <c r="R54" i="33" s="1"/>
  <c r="R46" i="33"/>
  <c r="R53" i="33" s="1"/>
  <c r="V47" i="33"/>
  <c r="V48" i="33" s="1"/>
  <c r="V54" i="33" s="1"/>
  <c r="V46" i="33"/>
  <c r="V53" i="33" s="1"/>
  <c r="F45" i="33"/>
  <c r="G22" i="33"/>
  <c r="G27" i="33"/>
  <c r="G52" i="33" s="1"/>
  <c r="C22" i="33"/>
  <c r="C27" i="33"/>
  <c r="C52" i="33" s="1"/>
  <c r="H27" i="33"/>
  <c r="H52" i="33" s="1"/>
  <c r="H45" i="33"/>
  <c r="B56" i="33"/>
  <c r="L56" i="33"/>
  <c r="K56" i="33"/>
  <c r="O56" i="33"/>
  <c r="M56" i="33"/>
  <c r="L46" i="33" l="1"/>
  <c r="L53" i="33" s="1"/>
  <c r="K46" i="33"/>
  <c r="K53" i="33" s="1"/>
  <c r="O46" i="33"/>
  <c r="O53" i="33" s="1"/>
  <c r="O55" i="33" s="1"/>
  <c r="M46" i="33"/>
  <c r="M53" i="33" s="1"/>
  <c r="K57" i="33"/>
  <c r="B57" i="33"/>
  <c r="O57" i="33"/>
  <c r="V59" i="33" s="1"/>
  <c r="M57" i="33"/>
  <c r="L57" i="33"/>
  <c r="M47" i="33"/>
  <c r="M48" i="33" s="1"/>
  <c r="M54" i="33" s="1"/>
  <c r="L47" i="33"/>
  <c r="L48" i="33" s="1"/>
  <c r="L54" i="33" s="1"/>
  <c r="O47" i="33"/>
  <c r="O48" i="33" s="1"/>
  <c r="O54" i="33" s="1"/>
  <c r="K47" i="33"/>
  <c r="K48" i="33" s="1"/>
  <c r="K54" i="33" s="1"/>
  <c r="O38" i="4"/>
  <c r="Q55" i="33"/>
  <c r="S55" i="33"/>
  <c r="V55" i="33"/>
  <c r="U55" i="33"/>
  <c r="T55" i="33"/>
  <c r="P55" i="33"/>
  <c r="R55" i="33"/>
  <c r="J59" i="33"/>
  <c r="F59" i="33"/>
  <c r="I59" i="33"/>
  <c r="D59" i="33"/>
  <c r="H59" i="33"/>
  <c r="M59" i="33"/>
  <c r="G59" i="33"/>
  <c r="L59" i="33"/>
  <c r="E59" i="33"/>
  <c r="K59" i="33"/>
  <c r="C59" i="33"/>
  <c r="U59" i="33"/>
  <c r="P59" i="33"/>
  <c r="R59" i="33"/>
  <c r="Q59" i="33"/>
  <c r="B53" i="33"/>
  <c r="B65" i="33"/>
  <c r="B64" i="33"/>
  <c r="T59" i="33" l="1"/>
  <c r="S59" i="33"/>
  <c r="O59" i="33"/>
  <c r="M55" i="33"/>
  <c r="V60" i="33"/>
  <c r="V61" i="33" s="1"/>
  <c r="S60" i="33"/>
  <c r="S61" i="33" s="1"/>
  <c r="U60" i="33"/>
  <c r="U61" i="33" s="1"/>
  <c r="R60" i="33"/>
  <c r="R61" i="33" s="1"/>
  <c r="P60" i="33"/>
  <c r="P61" i="33" s="1"/>
  <c r="J60" i="33"/>
  <c r="J61" i="33" s="1"/>
  <c r="E60" i="33"/>
  <c r="E61" i="33" s="1"/>
  <c r="G60" i="33"/>
  <c r="G61" i="33" s="1"/>
  <c r="H60" i="33"/>
  <c r="H61" i="33" s="1"/>
  <c r="M60" i="33"/>
  <c r="M61" i="33" s="1"/>
  <c r="I60" i="33"/>
  <c r="I61" i="33" s="1"/>
  <c r="D55" i="33"/>
  <c r="B55" i="33"/>
  <c r="K55" i="33"/>
  <c r="L55" i="33"/>
  <c r="G55" i="33"/>
  <c r="F55" i="33"/>
  <c r="C55" i="33"/>
  <c r="J55" i="33"/>
  <c r="H55" i="33"/>
  <c r="I55" i="33"/>
  <c r="E55" i="33"/>
  <c r="O60" i="33"/>
  <c r="C60" i="33"/>
  <c r="K60" i="33"/>
  <c r="T60" i="33"/>
  <c r="L60" i="33"/>
  <c r="F60" i="33"/>
  <c r="D60" i="33"/>
  <c r="Q60" i="33"/>
  <c r="F61" i="33" l="1"/>
  <c r="D61" i="33"/>
  <c r="C61" i="33"/>
  <c r="T61" i="33"/>
  <c r="Q61" i="33"/>
  <c r="L61" i="33"/>
  <c r="K61" i="33"/>
  <c r="O61" i="33"/>
  <c r="M4" i="33"/>
  <c r="L4" i="33" l="1"/>
  <c r="L22" i="33" s="1"/>
  <c r="K4" i="33"/>
  <c r="K22" i="33" s="1"/>
  <c r="J4" i="33"/>
  <c r="J52" i="33" s="1"/>
  <c r="M45" i="33"/>
  <c r="M52" i="33"/>
  <c r="M27" i="33"/>
  <c r="M22" i="33"/>
  <c r="K52" i="33"/>
  <c r="K45" i="33" l="1"/>
  <c r="K27" i="33"/>
  <c r="O4" i="33"/>
  <c r="O4" i="23"/>
  <c r="O4" i="1"/>
  <c r="Q4" i="1"/>
  <c r="Q4" i="33"/>
  <c r="Q4" i="23"/>
  <c r="P4" i="33"/>
  <c r="P4" i="23"/>
  <c r="P4" i="1"/>
  <c r="J22" i="33"/>
  <c r="L52" i="33"/>
  <c r="J45" i="33"/>
  <c r="L27" i="33"/>
  <c r="J27" i="33"/>
  <c r="L45" i="33"/>
  <c r="A4" i="28"/>
  <c r="A5" i="28"/>
  <c r="A6" i="28"/>
  <c r="A7" i="28"/>
  <c r="A8" i="28"/>
  <c r="A9" i="28"/>
  <c r="A10" i="28"/>
  <c r="A11" i="28"/>
  <c r="A12" i="28"/>
  <c r="A13" i="28"/>
  <c r="A14" i="28"/>
  <c r="A15" i="28"/>
  <c r="B4" i="28"/>
  <c r="B5" i="28"/>
  <c r="B6" i="28"/>
  <c r="B7" i="28"/>
  <c r="B8" i="28"/>
  <c r="B9" i="28"/>
  <c r="B10" i="28"/>
  <c r="B11" i="28"/>
  <c r="B12" i="28"/>
  <c r="B13" i="28"/>
  <c r="B14" i="28"/>
  <c r="B15" i="28"/>
  <c r="A3" i="28"/>
  <c r="B2" i="28"/>
  <c r="B3" i="28"/>
  <c r="A2" i="28"/>
  <c r="D2" i="28" s="1"/>
  <c r="Q22" i="33" l="1"/>
  <c r="Q45" i="33"/>
  <c r="Q27" i="33"/>
  <c r="Q52" i="33" s="1"/>
  <c r="O27" i="33"/>
  <c r="O52" i="33" s="1"/>
  <c r="O22" i="33"/>
  <c r="O45" i="33"/>
  <c r="P22" i="33"/>
  <c r="P45" i="33"/>
  <c r="P27" i="33"/>
  <c r="P52" i="33" s="1"/>
  <c r="B3" i="27"/>
  <c r="G9" i="27" l="1"/>
  <c r="G10" i="27" s="1"/>
  <c r="E9" i="27"/>
  <c r="E10" i="27" s="1"/>
  <c r="F9" i="27"/>
  <c r="F10" i="27" s="1"/>
  <c r="G6" i="22" l="1"/>
  <c r="G31" i="22" l="1"/>
  <c r="G30" i="22"/>
  <c r="M4" i="28" l="1"/>
  <c r="M8" i="28"/>
  <c r="M12" i="28"/>
  <c r="M5" i="28"/>
  <c r="M9" i="28"/>
  <c r="M13" i="28"/>
  <c r="M6" i="28"/>
  <c r="M10" i="28"/>
  <c r="M14" i="28"/>
  <c r="M3" i="28"/>
  <c r="M7" i="28"/>
  <c r="M11" i="28"/>
  <c r="M15" i="28"/>
  <c r="M2" i="28"/>
  <c r="N4" i="28"/>
  <c r="N8" i="28"/>
  <c r="N12" i="28"/>
  <c r="N3" i="28"/>
  <c r="N5" i="28"/>
  <c r="N9" i="28"/>
  <c r="N13" i="28"/>
  <c r="N2" i="28"/>
  <c r="N6" i="28"/>
  <c r="N10" i="28"/>
  <c r="N14" i="28"/>
  <c r="N7" i="28"/>
  <c r="N11" i="28"/>
  <c r="N15" i="28"/>
  <c r="H14" i="22"/>
  <c r="H24" i="22"/>
  <c r="H26" i="22"/>
  <c r="B3" i="12"/>
  <c r="Q9" i="12" s="1"/>
  <c r="Q10" i="12" s="1"/>
  <c r="P22" i="1"/>
  <c r="Q45" i="1"/>
  <c r="P28" i="23"/>
  <c r="Q28" i="23"/>
  <c r="R28" i="23"/>
  <c r="S28" i="23"/>
  <c r="T28" i="23"/>
  <c r="T22" i="4" s="1"/>
  <c r="U28" i="23"/>
  <c r="U22" i="4" s="1"/>
  <c r="V28" i="23"/>
  <c r="P29" i="23"/>
  <c r="Q29" i="23"/>
  <c r="Q23" i="4" s="1"/>
  <c r="R29" i="23"/>
  <c r="R23" i="4" s="1"/>
  <c r="S29" i="23"/>
  <c r="S23" i="4" s="1"/>
  <c r="T29" i="23"/>
  <c r="T23" i="4" s="1"/>
  <c r="U29" i="23"/>
  <c r="U23" i="4" s="1"/>
  <c r="V29" i="23"/>
  <c r="V23" i="4" s="1"/>
  <c r="P30" i="23"/>
  <c r="P24" i="4" s="1"/>
  <c r="Q30" i="23"/>
  <c r="Q24" i="4" s="1"/>
  <c r="R30" i="23"/>
  <c r="R24" i="4" s="1"/>
  <c r="S30" i="23"/>
  <c r="S24" i="4" s="1"/>
  <c r="T30" i="23"/>
  <c r="T24" i="4" s="1"/>
  <c r="U30" i="23"/>
  <c r="U24" i="4" s="1"/>
  <c r="V30" i="23"/>
  <c r="V24" i="4" s="1"/>
  <c r="P31" i="23"/>
  <c r="P25" i="4" s="1"/>
  <c r="Q31" i="23"/>
  <c r="Q25" i="4" s="1"/>
  <c r="R31" i="23"/>
  <c r="R25" i="4" s="1"/>
  <c r="S31" i="23"/>
  <c r="S25" i="4" s="1"/>
  <c r="T31" i="23"/>
  <c r="T25" i="4" s="1"/>
  <c r="U31" i="23"/>
  <c r="U25" i="4" s="1"/>
  <c r="V31" i="23"/>
  <c r="V25" i="4" s="1"/>
  <c r="P32" i="23"/>
  <c r="P26" i="4" s="1"/>
  <c r="Q32" i="23"/>
  <c r="Q26" i="4" s="1"/>
  <c r="R32" i="23"/>
  <c r="R26" i="4" s="1"/>
  <c r="S32" i="23"/>
  <c r="S26" i="4" s="1"/>
  <c r="T32" i="23"/>
  <c r="T26" i="4" s="1"/>
  <c r="U32" i="23"/>
  <c r="U26" i="4" s="1"/>
  <c r="V32" i="23"/>
  <c r="V26" i="4" s="1"/>
  <c r="P33" i="23"/>
  <c r="P27" i="4" s="1"/>
  <c r="Q33" i="23"/>
  <c r="R33" i="23"/>
  <c r="R27" i="4" s="1"/>
  <c r="S33" i="23"/>
  <c r="S27" i="4" s="1"/>
  <c r="T33" i="23"/>
  <c r="U33" i="23"/>
  <c r="V33" i="23"/>
  <c r="P34" i="23"/>
  <c r="P28" i="4" s="1"/>
  <c r="Q34" i="23"/>
  <c r="Q28" i="4" s="1"/>
  <c r="R34" i="23"/>
  <c r="R28" i="4" s="1"/>
  <c r="S34" i="23"/>
  <c r="S28" i="4" s="1"/>
  <c r="T34" i="23"/>
  <c r="T28" i="4" s="1"/>
  <c r="U34" i="23"/>
  <c r="U28" i="4" s="1"/>
  <c r="V34" i="23"/>
  <c r="V28" i="4" s="1"/>
  <c r="P35" i="23"/>
  <c r="P29" i="4" s="1"/>
  <c r="Q35" i="23"/>
  <c r="Q29" i="4" s="1"/>
  <c r="R35" i="23"/>
  <c r="R29" i="4" s="1"/>
  <c r="S35" i="23"/>
  <c r="S29" i="4" s="1"/>
  <c r="T35" i="23"/>
  <c r="T29" i="4" s="1"/>
  <c r="U35" i="23"/>
  <c r="V35" i="23"/>
  <c r="P36" i="23"/>
  <c r="P30" i="4" s="1"/>
  <c r="Q36" i="23"/>
  <c r="Q30" i="4" s="1"/>
  <c r="R36" i="23"/>
  <c r="R30" i="4" s="1"/>
  <c r="S36" i="23"/>
  <c r="T36" i="23"/>
  <c r="T30" i="4" s="1"/>
  <c r="U36" i="23"/>
  <c r="U30" i="4" s="1"/>
  <c r="V36" i="23"/>
  <c r="V30" i="4" s="1"/>
  <c r="P37" i="23"/>
  <c r="P31" i="4" s="1"/>
  <c r="Q37" i="23"/>
  <c r="R37" i="23"/>
  <c r="R31" i="4" s="1"/>
  <c r="S37" i="23"/>
  <c r="S31" i="4" s="1"/>
  <c r="T37" i="23"/>
  <c r="T31" i="4" s="1"/>
  <c r="U37" i="23"/>
  <c r="V37" i="23"/>
  <c r="V31" i="4" s="1"/>
  <c r="P38" i="23"/>
  <c r="P32" i="4" s="1"/>
  <c r="Q38" i="23"/>
  <c r="Q32" i="4" s="1"/>
  <c r="R38" i="23"/>
  <c r="R32" i="4" s="1"/>
  <c r="S38" i="23"/>
  <c r="S32" i="4" s="1"/>
  <c r="T38" i="23"/>
  <c r="T32" i="4" s="1"/>
  <c r="U38" i="23"/>
  <c r="U32" i="4" s="1"/>
  <c r="V38" i="23"/>
  <c r="V32" i="4" s="1"/>
  <c r="P39" i="23"/>
  <c r="P33" i="4" s="1"/>
  <c r="Q39" i="23"/>
  <c r="Q33" i="4" s="1"/>
  <c r="R39" i="23"/>
  <c r="R33" i="4" s="1"/>
  <c r="S39" i="23"/>
  <c r="S33" i="4" s="1"/>
  <c r="T39" i="23"/>
  <c r="T33" i="4" s="1"/>
  <c r="U39" i="23"/>
  <c r="V39" i="23"/>
  <c r="V33" i="4" s="1"/>
  <c r="P40" i="23"/>
  <c r="P34" i="4" s="1"/>
  <c r="Q40" i="23"/>
  <c r="Q34" i="4" s="1"/>
  <c r="R40" i="23"/>
  <c r="R34" i="4" s="1"/>
  <c r="S40" i="23"/>
  <c r="S34" i="4" s="1"/>
  <c r="T40" i="23"/>
  <c r="T34" i="4" s="1"/>
  <c r="U40" i="23"/>
  <c r="U34" i="4" s="1"/>
  <c r="V40" i="23"/>
  <c r="V34" i="4" s="1"/>
  <c r="P41" i="23"/>
  <c r="P35" i="4" s="1"/>
  <c r="Q41" i="23"/>
  <c r="Q35" i="4" s="1"/>
  <c r="R41" i="23"/>
  <c r="R35" i="4" s="1"/>
  <c r="S41" i="23"/>
  <c r="S35" i="4" s="1"/>
  <c r="T41" i="23"/>
  <c r="T35" i="4" s="1"/>
  <c r="U41" i="23"/>
  <c r="U35" i="4" s="1"/>
  <c r="V41" i="23"/>
  <c r="P42" i="23"/>
  <c r="P36" i="4" s="1"/>
  <c r="Q42" i="23"/>
  <c r="Q36" i="4" s="1"/>
  <c r="R42" i="23"/>
  <c r="R36" i="4" s="1"/>
  <c r="S42" i="23"/>
  <c r="T42" i="23"/>
  <c r="T36" i="4" s="1"/>
  <c r="U42" i="23"/>
  <c r="U36" i="4" s="1"/>
  <c r="V42" i="23"/>
  <c r="V36" i="4" s="1"/>
  <c r="P43" i="23"/>
  <c r="Q43" i="23"/>
  <c r="Q37" i="4" s="1"/>
  <c r="R43" i="23"/>
  <c r="S43" i="23"/>
  <c r="T43" i="23"/>
  <c r="U43" i="23"/>
  <c r="V43" i="23"/>
  <c r="K36" i="23"/>
  <c r="K30" i="4" s="1"/>
  <c r="L36" i="23"/>
  <c r="L30" i="4" s="1"/>
  <c r="M36" i="23"/>
  <c r="M30" i="4" s="1"/>
  <c r="K37" i="23"/>
  <c r="K31" i="4" s="1"/>
  <c r="L37" i="23"/>
  <c r="L31" i="4" s="1"/>
  <c r="M37" i="23"/>
  <c r="M31" i="4" s="1"/>
  <c r="K38" i="23"/>
  <c r="K32" i="4" s="1"/>
  <c r="L38" i="23"/>
  <c r="L32" i="4" s="1"/>
  <c r="M38" i="23"/>
  <c r="M32" i="4" s="1"/>
  <c r="K39" i="23"/>
  <c r="K33" i="4" s="1"/>
  <c r="L39" i="23"/>
  <c r="L33" i="4" s="1"/>
  <c r="M39" i="23"/>
  <c r="M33" i="4" s="1"/>
  <c r="K40" i="23"/>
  <c r="K34" i="4" s="1"/>
  <c r="L40" i="23"/>
  <c r="L34" i="4" s="1"/>
  <c r="M40" i="23"/>
  <c r="M34" i="4" s="1"/>
  <c r="K41" i="23"/>
  <c r="K35" i="4" s="1"/>
  <c r="L41" i="23"/>
  <c r="L35" i="4" s="1"/>
  <c r="M41" i="23"/>
  <c r="M35" i="4" s="1"/>
  <c r="K42" i="23"/>
  <c r="K36" i="4" s="1"/>
  <c r="L42" i="23"/>
  <c r="L36" i="4" s="1"/>
  <c r="M42" i="23"/>
  <c r="M36" i="4" s="1"/>
  <c r="K43" i="23"/>
  <c r="L43" i="23"/>
  <c r="M43" i="23"/>
  <c r="S7" i="4"/>
  <c r="T7" i="4"/>
  <c r="U7" i="4"/>
  <c r="V7" i="4"/>
  <c r="S8" i="4"/>
  <c r="T8" i="4"/>
  <c r="U8" i="4"/>
  <c r="V8" i="4"/>
  <c r="S9" i="4"/>
  <c r="T9" i="4"/>
  <c r="U9" i="4"/>
  <c r="V9" i="4"/>
  <c r="S10" i="4"/>
  <c r="T10" i="4"/>
  <c r="U10" i="4"/>
  <c r="V10" i="4"/>
  <c r="S11" i="4"/>
  <c r="T11" i="4"/>
  <c r="U11" i="4"/>
  <c r="V11" i="4"/>
  <c r="S12" i="4"/>
  <c r="T12" i="4"/>
  <c r="U12" i="4"/>
  <c r="V12" i="4"/>
  <c r="S13" i="4"/>
  <c r="T13" i="4"/>
  <c r="U13" i="4"/>
  <c r="V13" i="4"/>
  <c r="S14" i="4"/>
  <c r="T14" i="4"/>
  <c r="U14" i="4"/>
  <c r="V14" i="4"/>
  <c r="S15" i="4"/>
  <c r="T15" i="4"/>
  <c r="U15" i="4"/>
  <c r="V15" i="4"/>
  <c r="S16" i="4"/>
  <c r="T16" i="4"/>
  <c r="U16" i="4"/>
  <c r="V16" i="4"/>
  <c r="S17" i="4"/>
  <c r="T17" i="4"/>
  <c r="U17" i="4"/>
  <c r="V17" i="4"/>
  <c r="S18" i="4"/>
  <c r="T18" i="4"/>
  <c r="U18" i="4"/>
  <c r="V18" i="4"/>
  <c r="S19" i="4"/>
  <c r="T19" i="4"/>
  <c r="U19" i="4"/>
  <c r="V19" i="4"/>
  <c r="S20" i="4"/>
  <c r="T20" i="4"/>
  <c r="U20" i="4"/>
  <c r="V20" i="4"/>
  <c r="S21" i="4"/>
  <c r="K14" i="4"/>
  <c r="L14" i="4"/>
  <c r="M14" i="4"/>
  <c r="K15" i="4"/>
  <c r="L15" i="4"/>
  <c r="M15" i="4"/>
  <c r="K16" i="4"/>
  <c r="L16" i="4"/>
  <c r="M16" i="4"/>
  <c r="K17" i="4"/>
  <c r="L17" i="4"/>
  <c r="M17" i="4"/>
  <c r="K18" i="4"/>
  <c r="L18" i="4"/>
  <c r="M18" i="4"/>
  <c r="K19" i="4"/>
  <c r="L19" i="4"/>
  <c r="M19" i="4"/>
  <c r="K20" i="4"/>
  <c r="L20" i="4"/>
  <c r="M20" i="4"/>
  <c r="N45" i="1"/>
  <c r="A45" i="1"/>
  <c r="A45" i="23"/>
  <c r="A22" i="23"/>
  <c r="A22" i="1"/>
  <c r="B1" i="4"/>
  <c r="A52" i="23"/>
  <c r="U37" i="4"/>
  <c r="I43" i="23"/>
  <c r="H43" i="23"/>
  <c r="G43" i="23"/>
  <c r="F43" i="23"/>
  <c r="E43" i="23"/>
  <c r="D43" i="23"/>
  <c r="C43" i="23"/>
  <c r="B43" i="23"/>
  <c r="S36" i="4"/>
  <c r="I42" i="23"/>
  <c r="I36" i="4" s="1"/>
  <c r="H42" i="23"/>
  <c r="H36" i="4" s="1"/>
  <c r="G42" i="23"/>
  <c r="G36" i="4" s="1"/>
  <c r="F42" i="23"/>
  <c r="F36" i="4" s="1"/>
  <c r="E42" i="23"/>
  <c r="E36" i="4" s="1"/>
  <c r="D42" i="23"/>
  <c r="D36" i="4" s="1"/>
  <c r="C42" i="23"/>
  <c r="C36" i="4" s="1"/>
  <c r="B42" i="23"/>
  <c r="B36" i="4" s="1"/>
  <c r="V35" i="4"/>
  <c r="I41" i="23"/>
  <c r="I35" i="4" s="1"/>
  <c r="H41" i="23"/>
  <c r="H35" i="4" s="1"/>
  <c r="G41" i="23"/>
  <c r="G35" i="4" s="1"/>
  <c r="F41" i="23"/>
  <c r="F35" i="4" s="1"/>
  <c r="E41" i="23"/>
  <c r="E35" i="4" s="1"/>
  <c r="D41" i="23"/>
  <c r="D35" i="4" s="1"/>
  <c r="C41" i="23"/>
  <c r="C35" i="4" s="1"/>
  <c r="B41" i="23"/>
  <c r="B35" i="4" s="1"/>
  <c r="I40" i="23"/>
  <c r="I34" i="4" s="1"/>
  <c r="H40" i="23"/>
  <c r="H34" i="4" s="1"/>
  <c r="G40" i="23"/>
  <c r="G34" i="4" s="1"/>
  <c r="F40" i="23"/>
  <c r="F34" i="4" s="1"/>
  <c r="E40" i="23"/>
  <c r="E34" i="4" s="1"/>
  <c r="D40" i="23"/>
  <c r="D34" i="4" s="1"/>
  <c r="C40" i="23"/>
  <c r="C34" i="4" s="1"/>
  <c r="B40" i="23"/>
  <c r="B34" i="4" s="1"/>
  <c r="U33" i="4"/>
  <c r="I39" i="23"/>
  <c r="I33" i="4" s="1"/>
  <c r="H39" i="23"/>
  <c r="H33" i="4" s="1"/>
  <c r="G39" i="23"/>
  <c r="G33" i="4" s="1"/>
  <c r="F39" i="23"/>
  <c r="F33" i="4" s="1"/>
  <c r="E39" i="23"/>
  <c r="E33" i="4" s="1"/>
  <c r="D39" i="23"/>
  <c r="D33" i="4" s="1"/>
  <c r="C39" i="23"/>
  <c r="C33" i="4" s="1"/>
  <c r="B39" i="23"/>
  <c r="B33" i="4" s="1"/>
  <c r="I38" i="23"/>
  <c r="I32" i="4" s="1"/>
  <c r="H38" i="23"/>
  <c r="H32" i="4" s="1"/>
  <c r="G38" i="23"/>
  <c r="G32" i="4" s="1"/>
  <c r="F38" i="23"/>
  <c r="F32" i="4" s="1"/>
  <c r="E38" i="23"/>
  <c r="E32" i="4" s="1"/>
  <c r="D38" i="23"/>
  <c r="D32" i="4" s="1"/>
  <c r="C38" i="23"/>
  <c r="C32" i="4" s="1"/>
  <c r="U31" i="4"/>
  <c r="Q31" i="4"/>
  <c r="I37" i="23"/>
  <c r="I31" i="4" s="1"/>
  <c r="H37" i="23"/>
  <c r="H31" i="4" s="1"/>
  <c r="G37" i="23"/>
  <c r="G31" i="4" s="1"/>
  <c r="F37" i="23"/>
  <c r="F31" i="4" s="1"/>
  <c r="E37" i="23"/>
  <c r="E31" i="4" s="1"/>
  <c r="D37" i="23"/>
  <c r="D31" i="4" s="1"/>
  <c r="C37" i="23"/>
  <c r="C31" i="4" s="1"/>
  <c r="B37" i="23"/>
  <c r="B31" i="4" s="1"/>
  <c r="S30" i="4"/>
  <c r="I36" i="23"/>
  <c r="I30" i="4" s="1"/>
  <c r="H36" i="23"/>
  <c r="H30" i="4" s="1"/>
  <c r="G36" i="23"/>
  <c r="G30" i="4" s="1"/>
  <c r="F36" i="23"/>
  <c r="F30" i="4" s="1"/>
  <c r="E36" i="23"/>
  <c r="E30" i="4" s="1"/>
  <c r="D36" i="23"/>
  <c r="D30" i="4" s="1"/>
  <c r="C36" i="23"/>
  <c r="C30" i="4" s="1"/>
  <c r="B36" i="23"/>
  <c r="B30" i="4" s="1"/>
  <c r="U27" i="4"/>
  <c r="Q27" i="4"/>
  <c r="S22" i="4"/>
  <c r="V24" i="23"/>
  <c r="U24" i="23"/>
  <c r="T24" i="23"/>
  <c r="S24" i="23"/>
  <c r="R24" i="23"/>
  <c r="Q24" i="23"/>
  <c r="P24" i="23"/>
  <c r="O24" i="23"/>
  <c r="L24" i="23"/>
  <c r="J24" i="23"/>
  <c r="I24" i="23"/>
  <c r="H24" i="23"/>
  <c r="G24" i="23"/>
  <c r="F24" i="23"/>
  <c r="E24" i="23"/>
  <c r="D24" i="23"/>
  <c r="C24" i="23"/>
  <c r="B24" i="23"/>
  <c r="V23" i="23"/>
  <c r="U23" i="23"/>
  <c r="T23" i="23"/>
  <c r="S23" i="23"/>
  <c r="R23" i="23"/>
  <c r="Q23" i="23"/>
  <c r="P23" i="23"/>
  <c r="O23" i="23"/>
  <c r="B32" i="23" s="1"/>
  <c r="B26" i="4" s="1"/>
  <c r="L23" i="23"/>
  <c r="J23" i="23"/>
  <c r="I23" i="23"/>
  <c r="H23" i="23"/>
  <c r="G23" i="23"/>
  <c r="F23" i="23"/>
  <c r="E23" i="23"/>
  <c r="D23" i="23"/>
  <c r="C23" i="23"/>
  <c r="B23" i="23"/>
  <c r="Q45" i="23"/>
  <c r="P45" i="23"/>
  <c r="O45" i="23"/>
  <c r="I22" i="23"/>
  <c r="H27" i="23"/>
  <c r="H52" i="23" s="1"/>
  <c r="G45" i="23"/>
  <c r="F27" i="23"/>
  <c r="F52" i="23" s="1"/>
  <c r="E45" i="23"/>
  <c r="C45" i="23"/>
  <c r="B45" i="23"/>
  <c r="E30" i="23"/>
  <c r="E24" i="4" s="1"/>
  <c r="F29" i="23"/>
  <c r="F23" i="4" s="1"/>
  <c r="D31" i="23"/>
  <c r="D25" i="4" s="1"/>
  <c r="C28" i="23"/>
  <c r="J29" i="23"/>
  <c r="J23" i="4" s="1"/>
  <c r="J40" i="23"/>
  <c r="J34" i="4" s="1"/>
  <c r="J36" i="23"/>
  <c r="J30" i="4" s="1"/>
  <c r="G35" i="23"/>
  <c r="G29" i="4" s="1"/>
  <c r="C35" i="23"/>
  <c r="C29" i="4" s="1"/>
  <c r="H34" i="23"/>
  <c r="H28" i="4" s="1"/>
  <c r="D34" i="23"/>
  <c r="D28" i="4" s="1"/>
  <c r="I33" i="23"/>
  <c r="I27" i="4" s="1"/>
  <c r="E33" i="23"/>
  <c r="E27" i="4" s="1"/>
  <c r="J32" i="23"/>
  <c r="J26" i="4" s="1"/>
  <c r="F32" i="23"/>
  <c r="F26" i="4" s="1"/>
  <c r="G31" i="23"/>
  <c r="G25" i="4" s="1"/>
  <c r="C31" i="23"/>
  <c r="C25" i="4" s="1"/>
  <c r="H30" i="23"/>
  <c r="H24" i="4" s="1"/>
  <c r="D30" i="23"/>
  <c r="D24" i="4" s="1"/>
  <c r="I29" i="23"/>
  <c r="I23" i="4" s="1"/>
  <c r="E29" i="23"/>
  <c r="E23" i="4" s="1"/>
  <c r="J28" i="23"/>
  <c r="F28" i="23"/>
  <c r="J42" i="23"/>
  <c r="J36" i="4" s="1"/>
  <c r="J38" i="23"/>
  <c r="J32" i="4" s="1"/>
  <c r="J34" i="23"/>
  <c r="J28" i="4" s="1"/>
  <c r="F34" i="23"/>
  <c r="F28" i="4" s="1"/>
  <c r="C33" i="23"/>
  <c r="C27" i="4" s="1"/>
  <c r="H32" i="23"/>
  <c r="H26" i="4" s="1"/>
  <c r="I31" i="23"/>
  <c r="I25" i="4" s="1"/>
  <c r="E31" i="23"/>
  <c r="E25" i="4" s="1"/>
  <c r="J30" i="23"/>
  <c r="J24" i="4" s="1"/>
  <c r="F30" i="23"/>
  <c r="F24" i="4" s="1"/>
  <c r="C29" i="23"/>
  <c r="C23" i="4" s="1"/>
  <c r="D28" i="23"/>
  <c r="J41" i="23"/>
  <c r="J35" i="4" s="1"/>
  <c r="J37" i="23"/>
  <c r="J31" i="4" s="1"/>
  <c r="V29" i="4"/>
  <c r="H35" i="23"/>
  <c r="H29" i="4" s="1"/>
  <c r="I34" i="23"/>
  <c r="I28" i="4" s="1"/>
  <c r="E34" i="23"/>
  <c r="E28" i="4" s="1"/>
  <c r="C32" i="23"/>
  <c r="C26" i="4" s="1"/>
  <c r="J43" i="23"/>
  <c r="J39" i="23"/>
  <c r="J33" i="4" s="1"/>
  <c r="J35" i="23"/>
  <c r="J29" i="4" s="1"/>
  <c r="F35" i="23"/>
  <c r="F29" i="4" s="1"/>
  <c r="G34" i="23"/>
  <c r="G28" i="4" s="1"/>
  <c r="C34" i="23"/>
  <c r="C28" i="4" s="1"/>
  <c r="V27" i="4"/>
  <c r="H33" i="23"/>
  <c r="H27" i="4" s="1"/>
  <c r="D33" i="23"/>
  <c r="D27" i="4" s="1"/>
  <c r="I32" i="23"/>
  <c r="I26" i="4" s="1"/>
  <c r="E32" i="23"/>
  <c r="E26" i="4" s="1"/>
  <c r="J31" i="23"/>
  <c r="J25" i="4" s="1"/>
  <c r="F31" i="23"/>
  <c r="F25" i="4" s="1"/>
  <c r="G30" i="23"/>
  <c r="G24" i="4" s="1"/>
  <c r="C30" i="23"/>
  <c r="C24" i="4" s="1"/>
  <c r="H29" i="23"/>
  <c r="H23" i="4" s="1"/>
  <c r="D29" i="23"/>
  <c r="D23" i="4" s="1"/>
  <c r="I28" i="23"/>
  <c r="E28" i="23"/>
  <c r="I35" i="23"/>
  <c r="I29" i="4" s="1"/>
  <c r="E35" i="23"/>
  <c r="E29" i="4" s="1"/>
  <c r="G33" i="23"/>
  <c r="G27" i="4" s="1"/>
  <c r="D32" i="23"/>
  <c r="D26" i="4" s="1"/>
  <c r="G29" i="23"/>
  <c r="G23" i="4" s="1"/>
  <c r="H28" i="23"/>
  <c r="D35" i="23"/>
  <c r="D29" i="4" s="1"/>
  <c r="J33" i="23"/>
  <c r="J27" i="4" s="1"/>
  <c r="F33" i="23"/>
  <c r="F27" i="4" s="1"/>
  <c r="G32" i="23"/>
  <c r="G26" i="4" s="1"/>
  <c r="H31" i="23"/>
  <c r="H25" i="4" s="1"/>
  <c r="G28" i="23"/>
  <c r="I30" i="23"/>
  <c r="I24" i="4" s="1"/>
  <c r="P22" i="23"/>
  <c r="J7" i="4"/>
  <c r="J8" i="4"/>
  <c r="J9" i="4"/>
  <c r="J11" i="4"/>
  <c r="J12" i="4"/>
  <c r="J13" i="4"/>
  <c r="C36" i="1"/>
  <c r="C14" i="4" s="1"/>
  <c r="D36" i="1"/>
  <c r="D14" i="4" s="1"/>
  <c r="E36" i="1"/>
  <c r="E14" i="4" s="1"/>
  <c r="F36" i="1"/>
  <c r="F14" i="4" s="1"/>
  <c r="G36" i="1"/>
  <c r="G14" i="4" s="1"/>
  <c r="H36" i="1"/>
  <c r="H14" i="4" s="1"/>
  <c r="I14" i="4"/>
  <c r="J14" i="4"/>
  <c r="C37" i="1"/>
  <c r="C15" i="4" s="1"/>
  <c r="D37" i="1"/>
  <c r="D15" i="4" s="1"/>
  <c r="E37" i="1"/>
  <c r="E15" i="4" s="1"/>
  <c r="F37" i="1"/>
  <c r="F15" i="4" s="1"/>
  <c r="G37" i="1"/>
  <c r="G15" i="4" s="1"/>
  <c r="H37" i="1"/>
  <c r="H15" i="4" s="1"/>
  <c r="I15" i="4"/>
  <c r="J15" i="4"/>
  <c r="C38" i="1"/>
  <c r="C16" i="4" s="1"/>
  <c r="D38" i="1"/>
  <c r="D16" i="4" s="1"/>
  <c r="E38" i="1"/>
  <c r="E16" i="4" s="1"/>
  <c r="F38" i="1"/>
  <c r="F16" i="4" s="1"/>
  <c r="G38" i="1"/>
  <c r="G16" i="4" s="1"/>
  <c r="H38" i="1"/>
  <c r="H16" i="4" s="1"/>
  <c r="I16" i="4"/>
  <c r="J16" i="4"/>
  <c r="C39" i="1"/>
  <c r="C17" i="4" s="1"/>
  <c r="D39" i="1"/>
  <c r="E39" i="1"/>
  <c r="E17" i="4" s="1"/>
  <c r="F39" i="1"/>
  <c r="F17" i="4" s="1"/>
  <c r="G39" i="1"/>
  <c r="G17" i="4" s="1"/>
  <c r="H39" i="1"/>
  <c r="H17" i="4" s="1"/>
  <c r="I17" i="4"/>
  <c r="J17" i="4"/>
  <c r="C40" i="1"/>
  <c r="C18" i="4" s="1"/>
  <c r="D40" i="1"/>
  <c r="D18" i="4" s="1"/>
  <c r="E40" i="1"/>
  <c r="E18" i="4" s="1"/>
  <c r="F40" i="1"/>
  <c r="F18" i="4" s="1"/>
  <c r="G40" i="1"/>
  <c r="G18" i="4" s="1"/>
  <c r="H40" i="1"/>
  <c r="H18" i="4" s="1"/>
  <c r="I18" i="4"/>
  <c r="J18" i="4"/>
  <c r="C41" i="1"/>
  <c r="C19" i="4" s="1"/>
  <c r="D41" i="1"/>
  <c r="D19" i="4" s="1"/>
  <c r="E41" i="1"/>
  <c r="E19" i="4" s="1"/>
  <c r="F41" i="1"/>
  <c r="F19" i="4" s="1"/>
  <c r="G41" i="1"/>
  <c r="G19" i="4" s="1"/>
  <c r="H41" i="1"/>
  <c r="H19" i="4" s="1"/>
  <c r="I19" i="4"/>
  <c r="J19" i="4"/>
  <c r="C42" i="1"/>
  <c r="C20" i="4" s="1"/>
  <c r="D42" i="1"/>
  <c r="D20" i="4" s="1"/>
  <c r="E42" i="1"/>
  <c r="E20" i="4" s="1"/>
  <c r="F42" i="1"/>
  <c r="F20" i="4" s="1"/>
  <c r="G42" i="1"/>
  <c r="G20" i="4" s="1"/>
  <c r="H42" i="1"/>
  <c r="H20" i="4" s="1"/>
  <c r="I20" i="4"/>
  <c r="J20" i="4"/>
  <c r="C43" i="1"/>
  <c r="D43" i="1"/>
  <c r="E43" i="1"/>
  <c r="F43" i="1"/>
  <c r="G43" i="1"/>
  <c r="H43" i="1"/>
  <c r="R11" i="4"/>
  <c r="Q36" i="1"/>
  <c r="Q14" i="4" s="1"/>
  <c r="R14" i="4"/>
  <c r="Q37" i="1"/>
  <c r="Q15" i="4" s="1"/>
  <c r="P38" i="1"/>
  <c r="P16" i="4" s="1"/>
  <c r="Q38" i="1"/>
  <c r="Q16" i="4" s="1"/>
  <c r="P39" i="1"/>
  <c r="P17" i="4" s="1"/>
  <c r="Q39" i="1"/>
  <c r="Q17" i="4" s="1"/>
  <c r="R17" i="4"/>
  <c r="P40" i="1"/>
  <c r="P18" i="4" s="1"/>
  <c r="Q40" i="1"/>
  <c r="Q18" i="4" s="1"/>
  <c r="R18" i="4"/>
  <c r="P41" i="1"/>
  <c r="P19" i="4" s="1"/>
  <c r="Q41" i="1"/>
  <c r="Q19" i="4" s="1"/>
  <c r="P42" i="1"/>
  <c r="P20" i="4" s="1"/>
  <c r="Q42" i="1"/>
  <c r="Q20" i="4" s="1"/>
  <c r="P43" i="1"/>
  <c r="Q43" i="1"/>
  <c r="B36" i="1"/>
  <c r="B14" i="4" s="1"/>
  <c r="B37" i="1"/>
  <c r="B15" i="4" s="1"/>
  <c r="B38" i="1"/>
  <c r="B16" i="4" s="1"/>
  <c r="B39" i="1"/>
  <c r="B17" i="4" s="1"/>
  <c r="B40" i="1"/>
  <c r="B18" i="4" s="1"/>
  <c r="B41" i="1"/>
  <c r="B19" i="4" s="1"/>
  <c r="B42" i="1"/>
  <c r="B20" i="4" s="1"/>
  <c r="B43" i="1"/>
  <c r="B23" i="1"/>
  <c r="B4" i="4"/>
  <c r="B62" i="4" s="1"/>
  <c r="A52" i="1"/>
  <c r="O22" i="1"/>
  <c r="Q24" i="1"/>
  <c r="P24" i="1"/>
  <c r="O24" i="1"/>
  <c r="Q23" i="1"/>
  <c r="P23" i="1"/>
  <c r="O23" i="1"/>
  <c r="H27" i="1"/>
  <c r="H52" i="1" s="1"/>
  <c r="G27" i="1"/>
  <c r="G52" i="1" s="1"/>
  <c r="F27" i="1"/>
  <c r="F52" i="1" s="1"/>
  <c r="E4" i="4"/>
  <c r="D22" i="1"/>
  <c r="C45" i="1"/>
  <c r="G29" i="1"/>
  <c r="H30" i="1"/>
  <c r="H8" i="4" s="1"/>
  <c r="F32" i="1"/>
  <c r="F10" i="4" s="1"/>
  <c r="C33" i="1"/>
  <c r="C11" i="4" s="1"/>
  <c r="H34" i="1"/>
  <c r="H12" i="4" s="1"/>
  <c r="E35" i="1"/>
  <c r="E13" i="4" s="1"/>
  <c r="H31" i="1"/>
  <c r="E32" i="1"/>
  <c r="E10" i="4" s="1"/>
  <c r="D35" i="1"/>
  <c r="D13" i="4" s="1"/>
  <c r="H35" i="1"/>
  <c r="H13" i="4" s="1"/>
  <c r="E30" i="1"/>
  <c r="E8" i="4" s="1"/>
  <c r="I8" i="4"/>
  <c r="D33" i="1"/>
  <c r="D11" i="4" s="1"/>
  <c r="H33" i="1"/>
  <c r="H11" i="4" s="1"/>
  <c r="I12" i="4"/>
  <c r="F35" i="1"/>
  <c r="F13" i="4" s="1"/>
  <c r="E29" i="1"/>
  <c r="F30" i="1"/>
  <c r="H32" i="1"/>
  <c r="H10" i="4" s="1"/>
  <c r="E33" i="1"/>
  <c r="E11" i="4" s="1"/>
  <c r="I11" i="4"/>
  <c r="F34" i="1"/>
  <c r="F12" i="4" s="1"/>
  <c r="C35" i="1"/>
  <c r="C13" i="4" s="1"/>
  <c r="G35" i="1"/>
  <c r="G13" i="4" s="1"/>
  <c r="F29" i="1"/>
  <c r="F7" i="4" s="1"/>
  <c r="G30" i="1"/>
  <c r="G8" i="4" s="1"/>
  <c r="F33" i="1"/>
  <c r="F11" i="4" s="1"/>
  <c r="G34" i="1"/>
  <c r="G12" i="4" s="1"/>
  <c r="O39" i="1"/>
  <c r="O17" i="4" s="1"/>
  <c r="O43" i="1"/>
  <c r="Q31" i="1"/>
  <c r="Q9" i="4" s="1"/>
  <c r="Q34" i="1"/>
  <c r="Q12" i="4" s="1"/>
  <c r="O42" i="1"/>
  <c r="O20" i="4" s="1"/>
  <c r="O32" i="1"/>
  <c r="O10" i="4" s="1"/>
  <c r="O40" i="1"/>
  <c r="O18" i="4" s="1"/>
  <c r="P28" i="1"/>
  <c r="P30" i="1"/>
  <c r="P8" i="4" s="1"/>
  <c r="P33" i="1"/>
  <c r="P11" i="4" s="1"/>
  <c r="P34" i="1"/>
  <c r="P12" i="4" s="1"/>
  <c r="O41" i="1"/>
  <c r="O19" i="4" s="1"/>
  <c r="B33" i="1"/>
  <c r="B11" i="4" s="1"/>
  <c r="Q28" i="1"/>
  <c r="Q33" i="1"/>
  <c r="Q11" i="4" s="1"/>
  <c r="Q35" i="1"/>
  <c r="Q13" i="4" s="1"/>
  <c r="O38" i="1"/>
  <c r="O16" i="4" s="1"/>
  <c r="Q27" i="1"/>
  <c r="Q52" i="1" s="1"/>
  <c r="H24" i="1"/>
  <c r="G24" i="1"/>
  <c r="F24" i="1"/>
  <c r="E24" i="1"/>
  <c r="D24" i="1"/>
  <c r="C24" i="1"/>
  <c r="B24" i="1"/>
  <c r="H23" i="1"/>
  <c r="G23" i="1"/>
  <c r="F23" i="1"/>
  <c r="E23" i="1"/>
  <c r="D23" i="1"/>
  <c r="C23" i="1"/>
  <c r="K4" i="4"/>
  <c r="K62" i="4" s="1"/>
  <c r="L4" i="4"/>
  <c r="K4" i="23"/>
  <c r="K52" i="23" s="1"/>
  <c r="L4" i="23"/>
  <c r="L27" i="23" s="1"/>
  <c r="H56" i="23"/>
  <c r="T56" i="23"/>
  <c r="D56" i="23"/>
  <c r="S56" i="23"/>
  <c r="I56" i="23"/>
  <c r="F56" i="23"/>
  <c r="C56" i="23"/>
  <c r="U56" i="23"/>
  <c r="P56" i="23"/>
  <c r="V56" i="23"/>
  <c r="R56" i="23"/>
  <c r="Q56" i="23"/>
  <c r="J56" i="23"/>
  <c r="G56" i="23"/>
  <c r="E56" i="23"/>
  <c r="O43" i="23" l="1"/>
  <c r="O39" i="23"/>
  <c r="O33" i="4" s="1"/>
  <c r="O42" i="23"/>
  <c r="O36" i="4" s="1"/>
  <c r="O36" i="23"/>
  <c r="O30" i="4" s="1"/>
  <c r="O41" i="23"/>
  <c r="O35" i="4" s="1"/>
  <c r="O40" i="23"/>
  <c r="O34" i="4" s="1"/>
  <c r="M34" i="23"/>
  <c r="M28" i="4" s="1"/>
  <c r="L33" i="23"/>
  <c r="L27" i="4" s="1"/>
  <c r="K32" i="23"/>
  <c r="K26" i="4" s="1"/>
  <c r="M30" i="23"/>
  <c r="M24" i="4" s="1"/>
  <c r="L29" i="23"/>
  <c r="L23" i="4" s="1"/>
  <c r="K28" i="23"/>
  <c r="K46" i="23" s="1"/>
  <c r="K53" i="23" s="1"/>
  <c r="O33" i="23"/>
  <c r="O27" i="4" s="1"/>
  <c r="M35" i="23"/>
  <c r="M29" i="4" s="1"/>
  <c r="L34" i="23"/>
  <c r="L28" i="4" s="1"/>
  <c r="K33" i="23"/>
  <c r="K27" i="4" s="1"/>
  <c r="M31" i="23"/>
  <c r="M25" i="4" s="1"/>
  <c r="L30" i="23"/>
  <c r="L24" i="4" s="1"/>
  <c r="K29" i="23"/>
  <c r="K23" i="4" s="1"/>
  <c r="O29" i="23"/>
  <c r="O23" i="4" s="1"/>
  <c r="L35" i="23"/>
  <c r="L29" i="4" s="1"/>
  <c r="K34" i="23"/>
  <c r="K28" i="4" s="1"/>
  <c r="M32" i="23"/>
  <c r="M26" i="4" s="1"/>
  <c r="L31" i="23"/>
  <c r="L25" i="4" s="1"/>
  <c r="K30" i="23"/>
  <c r="K24" i="4" s="1"/>
  <c r="M28" i="23"/>
  <c r="K35" i="23"/>
  <c r="K29" i="4" s="1"/>
  <c r="M33" i="23"/>
  <c r="M27" i="4" s="1"/>
  <c r="L32" i="23"/>
  <c r="L26" i="4" s="1"/>
  <c r="K31" i="23"/>
  <c r="K25" i="4" s="1"/>
  <c r="M29" i="23"/>
  <c r="M23" i="4" s="1"/>
  <c r="L28" i="23"/>
  <c r="L22" i="4" s="1"/>
  <c r="O35" i="23"/>
  <c r="O29" i="4" s="1"/>
  <c r="C29" i="1"/>
  <c r="C7" i="4" s="1"/>
  <c r="K28" i="1"/>
  <c r="M30" i="1"/>
  <c r="M8" i="4" s="1"/>
  <c r="L31" i="1"/>
  <c r="L9" i="4" s="1"/>
  <c r="K32" i="1"/>
  <c r="K10" i="4" s="1"/>
  <c r="M34" i="1"/>
  <c r="M12" i="4" s="1"/>
  <c r="L35" i="1"/>
  <c r="L13" i="4" s="1"/>
  <c r="M29" i="1"/>
  <c r="M7" i="4" s="1"/>
  <c r="K31" i="1"/>
  <c r="M33" i="1"/>
  <c r="M11" i="4" s="1"/>
  <c r="K35" i="1"/>
  <c r="K13" i="4" s="1"/>
  <c r="L28" i="1"/>
  <c r="K29" i="1"/>
  <c r="K7" i="4" s="1"/>
  <c r="M31" i="1"/>
  <c r="M9" i="4" s="1"/>
  <c r="L32" i="1"/>
  <c r="L10" i="4" s="1"/>
  <c r="K33" i="1"/>
  <c r="K11" i="4" s="1"/>
  <c r="M35" i="1"/>
  <c r="M13" i="4" s="1"/>
  <c r="L34" i="1"/>
  <c r="L12" i="4" s="1"/>
  <c r="M28" i="1"/>
  <c r="L29" i="1"/>
  <c r="L7" i="4" s="1"/>
  <c r="K30" i="1"/>
  <c r="K8" i="4" s="1"/>
  <c r="M32" i="1"/>
  <c r="M10" i="4" s="1"/>
  <c r="L33" i="1"/>
  <c r="L11" i="4" s="1"/>
  <c r="K34" i="1"/>
  <c r="K12" i="4" s="1"/>
  <c r="L30" i="1"/>
  <c r="L8" i="4" s="1"/>
  <c r="O9" i="12"/>
  <c r="O10" i="12" s="1"/>
  <c r="E22" i="4"/>
  <c r="F22" i="4"/>
  <c r="T6" i="4"/>
  <c r="P6" i="4"/>
  <c r="Q6" i="4"/>
  <c r="H22" i="4"/>
  <c r="I22" i="4"/>
  <c r="D22" i="4"/>
  <c r="J22" i="4"/>
  <c r="C22" i="4"/>
  <c r="J6" i="4"/>
  <c r="K6" i="4"/>
  <c r="S6" i="4"/>
  <c r="Q22" i="4"/>
  <c r="G22" i="4"/>
  <c r="M6" i="4"/>
  <c r="U6" i="4"/>
  <c r="P22" i="4"/>
  <c r="T4" i="33"/>
  <c r="T22" i="33" s="1"/>
  <c r="Q22" i="1"/>
  <c r="S9" i="12"/>
  <c r="S10" i="12" s="1"/>
  <c r="N9" i="12"/>
  <c r="N10" i="12" s="1"/>
  <c r="M9" i="12"/>
  <c r="M10" i="12" s="1"/>
  <c r="I9" i="12"/>
  <c r="I10" i="12" s="1"/>
  <c r="P9" i="12"/>
  <c r="P10" i="12" s="1"/>
  <c r="R13" i="4"/>
  <c r="G32" i="1"/>
  <c r="G10" i="4" s="1"/>
  <c r="H29" i="1"/>
  <c r="E28" i="1"/>
  <c r="D34" i="1"/>
  <c r="D12" i="4" s="1"/>
  <c r="I9" i="4"/>
  <c r="F28" i="1"/>
  <c r="R19" i="4"/>
  <c r="R15" i="4"/>
  <c r="Q29" i="1"/>
  <c r="O37" i="1"/>
  <c r="O15" i="4" s="1"/>
  <c r="P29" i="1"/>
  <c r="B34" i="1"/>
  <c r="B12" i="4" s="1"/>
  <c r="B35" i="1"/>
  <c r="B13" i="4" s="1"/>
  <c r="C34" i="1"/>
  <c r="C12" i="4" s="1"/>
  <c r="G31" i="1"/>
  <c r="G9" i="4" s="1"/>
  <c r="H28" i="1"/>
  <c r="E34" i="1"/>
  <c r="F31" i="1"/>
  <c r="F46" i="1" s="1"/>
  <c r="F53" i="1" s="1"/>
  <c r="G28" i="1"/>
  <c r="I10" i="4"/>
  <c r="G33" i="1"/>
  <c r="E31" i="1"/>
  <c r="E9" i="4" s="1"/>
  <c r="R20" i="4"/>
  <c r="R16" i="4"/>
  <c r="R12" i="4"/>
  <c r="L74" i="4"/>
  <c r="H2" i="12" s="1"/>
  <c r="L62" i="4"/>
  <c r="E55" i="4"/>
  <c r="E62" i="4"/>
  <c r="K9" i="12"/>
  <c r="K10" i="12" s="1"/>
  <c r="P21" i="4"/>
  <c r="I52" i="23"/>
  <c r="R4" i="33"/>
  <c r="V37" i="4"/>
  <c r="R37" i="4"/>
  <c r="K37" i="4"/>
  <c r="I45" i="23"/>
  <c r="U4" i="33"/>
  <c r="O21" i="4"/>
  <c r="R21" i="4"/>
  <c r="Q21" i="4"/>
  <c r="S4" i="33"/>
  <c r="C27" i="23"/>
  <c r="C52" i="23" s="1"/>
  <c r="I27" i="23"/>
  <c r="V21" i="4"/>
  <c r="T21" i="4"/>
  <c r="B21" i="4"/>
  <c r="O37" i="23"/>
  <c r="O31" i="4" s="1"/>
  <c r="O34" i="23"/>
  <c r="O28" i="4" s="1"/>
  <c r="O38" i="23"/>
  <c r="T37" i="4"/>
  <c r="B38" i="23"/>
  <c r="F37" i="4"/>
  <c r="L37" i="4"/>
  <c r="P37" i="4"/>
  <c r="S37" i="4"/>
  <c r="J37" i="4"/>
  <c r="H37" i="4"/>
  <c r="M37" i="4"/>
  <c r="O37" i="4"/>
  <c r="Q4" i="4"/>
  <c r="Q62" i="4" s="1"/>
  <c r="H7" i="22"/>
  <c r="A44" i="22"/>
  <c r="H22" i="22"/>
  <c r="H19" i="22"/>
  <c r="H15" i="22"/>
  <c r="H25" i="22"/>
  <c r="H21" i="22"/>
  <c r="H18" i="22"/>
  <c r="P27" i="23"/>
  <c r="P52" i="23" s="1"/>
  <c r="H20" i="22"/>
  <c r="H17" i="22"/>
  <c r="H23" i="22"/>
  <c r="H16" i="22"/>
  <c r="A49" i="22"/>
  <c r="J4" i="4"/>
  <c r="J4" i="23"/>
  <c r="J45" i="23" s="1"/>
  <c r="M4" i="23"/>
  <c r="M27" i="23" s="1"/>
  <c r="H10" i="22"/>
  <c r="M4" i="4"/>
  <c r="H13" i="22"/>
  <c r="H12" i="22"/>
  <c r="H11" i="22"/>
  <c r="H9" i="22"/>
  <c r="H8" i="22"/>
  <c r="O32" i="23"/>
  <c r="O31" i="23"/>
  <c r="O25" i="4" s="1"/>
  <c r="O30" i="23"/>
  <c r="O24" i="4" s="1"/>
  <c r="B33" i="23"/>
  <c r="B27" i="4" s="1"/>
  <c r="R46" i="23"/>
  <c r="R53" i="23" s="1"/>
  <c r="B28" i="23"/>
  <c r="B30" i="23"/>
  <c r="B24" i="4" s="1"/>
  <c r="B34" i="23"/>
  <c r="B28" i="4" s="1"/>
  <c r="B35" i="23"/>
  <c r="O28" i="23"/>
  <c r="B31" i="23"/>
  <c r="B25" i="4" s="1"/>
  <c r="G47" i="23"/>
  <c r="G48" i="23" s="1"/>
  <c r="G54" i="23" s="1"/>
  <c r="B29" i="23"/>
  <c r="B23" i="4" s="1"/>
  <c r="P46" i="23"/>
  <c r="P53" i="23" s="1"/>
  <c r="Q32" i="1"/>
  <c r="P32" i="1"/>
  <c r="P10" i="4" s="1"/>
  <c r="D4" i="4"/>
  <c r="P23" i="4"/>
  <c r="O29" i="1"/>
  <c r="O7" i="4" s="1"/>
  <c r="B27" i="23"/>
  <c r="B52" i="23" s="1"/>
  <c r="K45" i="23"/>
  <c r="E27" i="23"/>
  <c r="E52" i="23" s="1"/>
  <c r="Q30" i="1"/>
  <c r="Q8" i="4" s="1"/>
  <c r="B29" i="1"/>
  <c r="B7" i="4" s="1"/>
  <c r="P35" i="1"/>
  <c r="P13" i="4" s="1"/>
  <c r="P31" i="1"/>
  <c r="P9" i="4" s="1"/>
  <c r="H22" i="23"/>
  <c r="V47" i="23"/>
  <c r="V48" i="23" s="1"/>
  <c r="V54" i="23" s="1"/>
  <c r="R47" i="23"/>
  <c r="R48" i="23" s="1"/>
  <c r="R54" i="23" s="1"/>
  <c r="D47" i="23"/>
  <c r="D48" i="23" s="1"/>
  <c r="D54" i="23" s="1"/>
  <c r="G46" i="23"/>
  <c r="G53" i="23" s="1"/>
  <c r="P37" i="1"/>
  <c r="F22" i="23"/>
  <c r="E46" i="23"/>
  <c r="E53" i="23" s="1"/>
  <c r="O36" i="1"/>
  <c r="Q46" i="23"/>
  <c r="Q53" i="23" s="1"/>
  <c r="H45" i="23"/>
  <c r="H47" i="23"/>
  <c r="H48" i="23" s="1"/>
  <c r="H54" i="23" s="1"/>
  <c r="D46" i="23"/>
  <c r="D53" i="23" s="1"/>
  <c r="Q47" i="23"/>
  <c r="Q48" i="23" s="1"/>
  <c r="Q54" i="23" s="1"/>
  <c r="U46" i="23"/>
  <c r="U53" i="23" s="1"/>
  <c r="T46" i="23"/>
  <c r="T53" i="23" s="1"/>
  <c r="R9" i="4"/>
  <c r="R22" i="4"/>
  <c r="V22" i="4"/>
  <c r="U29" i="4"/>
  <c r="T47" i="23"/>
  <c r="T48" i="23" s="1"/>
  <c r="T54" i="23" s="1"/>
  <c r="T27" i="4"/>
  <c r="H46" i="23"/>
  <c r="H53" i="23" s="1"/>
  <c r="E57" i="23"/>
  <c r="U57" i="23"/>
  <c r="Q57" i="23"/>
  <c r="J57" i="23"/>
  <c r="H57" i="23"/>
  <c r="T57" i="23"/>
  <c r="P57" i="23"/>
  <c r="C57" i="23"/>
  <c r="F57" i="23"/>
  <c r="I57" i="23"/>
  <c r="S57" i="23"/>
  <c r="D57" i="23"/>
  <c r="G57" i="23"/>
  <c r="V57" i="23"/>
  <c r="R57" i="23"/>
  <c r="J21" i="4"/>
  <c r="E37" i="4"/>
  <c r="M21" i="4"/>
  <c r="R8" i="4"/>
  <c r="L21" i="4"/>
  <c r="U21" i="4"/>
  <c r="R7" i="4"/>
  <c r="D21" i="4"/>
  <c r="C37" i="4"/>
  <c r="I37" i="4"/>
  <c r="K21" i="4"/>
  <c r="P36" i="1"/>
  <c r="P14" i="4" s="1"/>
  <c r="C21" i="4"/>
  <c r="B37" i="4"/>
  <c r="D37" i="4"/>
  <c r="G37" i="4"/>
  <c r="O34" i="1"/>
  <c r="O12" i="4" s="1"/>
  <c r="O35" i="1"/>
  <c r="O13" i="4" s="1"/>
  <c r="O33" i="1"/>
  <c r="O11" i="4" s="1"/>
  <c r="O30" i="1"/>
  <c r="O8" i="4" s="1"/>
  <c r="B31" i="1"/>
  <c r="B9" i="4" s="1"/>
  <c r="O31" i="1"/>
  <c r="O9" i="4" s="1"/>
  <c r="K9" i="4"/>
  <c r="B32" i="1"/>
  <c r="D28" i="1"/>
  <c r="C32" i="1"/>
  <c r="B28" i="1"/>
  <c r="D32" i="1"/>
  <c r="B30" i="1"/>
  <c r="B8" i="4" s="1"/>
  <c r="C28" i="1"/>
  <c r="D31" i="1"/>
  <c r="D9" i="4" s="1"/>
  <c r="O28" i="1"/>
  <c r="C30" i="1"/>
  <c r="C8" i="4" s="1"/>
  <c r="C31" i="1"/>
  <c r="C9" i="4" s="1"/>
  <c r="D29" i="1"/>
  <c r="D7" i="4" s="1"/>
  <c r="D30" i="1"/>
  <c r="V6" i="4"/>
  <c r="G21" i="4"/>
  <c r="I21" i="4"/>
  <c r="F21" i="4"/>
  <c r="H21" i="4"/>
  <c r="E21" i="4"/>
  <c r="L52" i="23"/>
  <c r="E7" i="4"/>
  <c r="D17" i="4"/>
  <c r="F8" i="4"/>
  <c r="H9" i="4"/>
  <c r="J10" i="4"/>
  <c r="G7" i="4"/>
  <c r="C4" i="4"/>
  <c r="C47" i="23"/>
  <c r="C48" i="23" s="1"/>
  <c r="C54" i="23" s="1"/>
  <c r="J47" i="23"/>
  <c r="J48" i="23" s="1"/>
  <c r="J54" i="23" s="1"/>
  <c r="P47" i="23"/>
  <c r="P48" i="23" s="1"/>
  <c r="P54" i="23" s="1"/>
  <c r="E47" i="23"/>
  <c r="E48" i="23" s="1"/>
  <c r="E54" i="23" s="1"/>
  <c r="I46" i="23"/>
  <c r="I53" i="23" s="1"/>
  <c r="F47" i="23"/>
  <c r="F48" i="23" s="1"/>
  <c r="F54" i="23" s="1"/>
  <c r="U47" i="23"/>
  <c r="U48" i="23" s="1"/>
  <c r="U54" i="23" s="1"/>
  <c r="A47" i="22"/>
  <c r="F46" i="23"/>
  <c r="F53" i="23" s="1"/>
  <c r="J46" i="23"/>
  <c r="J53" i="23" s="1"/>
  <c r="I47" i="23"/>
  <c r="I48" i="23" s="1"/>
  <c r="I54" i="23" s="1"/>
  <c r="C46" i="23"/>
  <c r="C53" i="23" s="1"/>
  <c r="G27" i="23"/>
  <c r="G52" i="23" s="1"/>
  <c r="A50" i="22"/>
  <c r="H50" i="22" s="1"/>
  <c r="K27" i="23"/>
  <c r="I7" i="4"/>
  <c r="D27" i="1"/>
  <c r="D52" i="1" s="1"/>
  <c r="D45" i="1"/>
  <c r="D22" i="23"/>
  <c r="D45" i="23"/>
  <c r="D27" i="23"/>
  <c r="D52" i="23" s="1"/>
  <c r="S46" i="23"/>
  <c r="S53" i="23" s="1"/>
  <c r="S47" i="23"/>
  <c r="S48" i="23" s="1"/>
  <c r="S54" i="23" s="1"/>
  <c r="V46" i="23"/>
  <c r="V53" i="23" s="1"/>
  <c r="F45" i="23"/>
  <c r="E22" i="23"/>
  <c r="G22" i="23"/>
  <c r="K22" i="23"/>
  <c r="L45" i="23"/>
  <c r="O22" i="23"/>
  <c r="Q22" i="23"/>
  <c r="B22" i="23"/>
  <c r="C22" i="23"/>
  <c r="L22" i="23"/>
  <c r="Q27" i="23"/>
  <c r="Q52" i="23" s="1"/>
  <c r="O27" i="23"/>
  <c r="O52" i="23" s="1"/>
  <c r="E45" i="1"/>
  <c r="B27" i="1"/>
  <c r="B52" i="1" s="1"/>
  <c r="F4" i="4"/>
  <c r="G22" i="1"/>
  <c r="F45" i="1"/>
  <c r="C22" i="1"/>
  <c r="B22" i="1"/>
  <c r="G45" i="1"/>
  <c r="E27" i="1"/>
  <c r="E52" i="1" s="1"/>
  <c r="E22" i="1"/>
  <c r="P27" i="1"/>
  <c r="P52" i="1" s="1"/>
  <c r="H4" i="4"/>
  <c r="F22" i="1"/>
  <c r="I4" i="4"/>
  <c r="G4" i="4"/>
  <c r="C27" i="1"/>
  <c r="C52" i="1" s="1"/>
  <c r="B45" i="1"/>
  <c r="K74" i="4"/>
  <c r="G2" i="12" s="1"/>
  <c r="H22" i="1"/>
  <c r="O4" i="4"/>
  <c r="H45" i="1"/>
  <c r="O45" i="1"/>
  <c r="P4" i="4"/>
  <c r="P45" i="1"/>
  <c r="O27" i="1"/>
  <c r="O52" i="1" s="1"/>
  <c r="K55" i="4"/>
  <c r="B55" i="4"/>
  <c r="H9" i="12"/>
  <c r="H10" i="12" s="1"/>
  <c r="G9" i="12"/>
  <c r="G10" i="12" s="1"/>
  <c r="E9" i="12"/>
  <c r="E10" i="12" s="1"/>
  <c r="L55" i="4"/>
  <c r="E74" i="4"/>
  <c r="B74" i="4"/>
  <c r="T9" i="12"/>
  <c r="T10" i="12" s="1"/>
  <c r="F9" i="12"/>
  <c r="F10" i="12" s="1"/>
  <c r="L9" i="12"/>
  <c r="L10" i="12" s="1"/>
  <c r="J9" i="12"/>
  <c r="J10" i="12" s="1"/>
  <c r="R9" i="12"/>
  <c r="R10" i="12" s="1"/>
  <c r="M56" i="23"/>
  <c r="H56" i="1"/>
  <c r="E56" i="1"/>
  <c r="G56" i="1"/>
  <c r="J78" i="4"/>
  <c r="B56" i="23"/>
  <c r="L56" i="1"/>
  <c r="D56" i="1"/>
  <c r="K56" i="1"/>
  <c r="C56" i="1"/>
  <c r="P56" i="1"/>
  <c r="B56" i="1"/>
  <c r="Q56" i="1"/>
  <c r="U78" i="4"/>
  <c r="L56" i="23"/>
  <c r="O56" i="23"/>
  <c r="K56" i="23"/>
  <c r="M56" i="1"/>
  <c r="T78" i="4"/>
  <c r="V78" i="4"/>
  <c r="O56" i="1"/>
  <c r="F56" i="1"/>
  <c r="S78" i="4"/>
  <c r="M46" i="23" l="1"/>
  <c r="M53" i="23" s="1"/>
  <c r="M57" i="23"/>
  <c r="L57" i="23"/>
  <c r="K57" i="23"/>
  <c r="L46" i="23"/>
  <c r="L53" i="23" s="1"/>
  <c r="M47" i="23"/>
  <c r="M48" i="23" s="1"/>
  <c r="M54" i="23" s="1"/>
  <c r="K22" i="4"/>
  <c r="L47" i="23"/>
  <c r="L48" i="23" s="1"/>
  <c r="L54" i="23" s="1"/>
  <c r="K47" i="23"/>
  <c r="K48" i="23" s="1"/>
  <c r="K54" i="23" s="1"/>
  <c r="M22" i="4"/>
  <c r="M63" i="4" s="1"/>
  <c r="M64" i="4" s="1"/>
  <c r="L57" i="1"/>
  <c r="M57" i="1"/>
  <c r="K57" i="1"/>
  <c r="L47" i="1"/>
  <c r="L48" i="1" s="1"/>
  <c r="L54" i="1" s="1"/>
  <c r="L46" i="1"/>
  <c r="L53" i="1" s="1"/>
  <c r="M46" i="1"/>
  <c r="M53" i="1" s="1"/>
  <c r="M47" i="1"/>
  <c r="M48" i="1" s="1"/>
  <c r="M54" i="1" s="1"/>
  <c r="K47" i="1"/>
  <c r="K48" i="1" s="1"/>
  <c r="K54" i="1" s="1"/>
  <c r="K46" i="1"/>
  <c r="K53" i="1" s="1"/>
  <c r="L6" i="4"/>
  <c r="S63" i="4"/>
  <c r="S64" i="4" s="1"/>
  <c r="L63" i="4"/>
  <c r="L64" i="4" s="1"/>
  <c r="P47" i="1"/>
  <c r="P48" i="1" s="1"/>
  <c r="P54" i="1" s="1"/>
  <c r="D6" i="4"/>
  <c r="R6" i="4"/>
  <c r="C6" i="4"/>
  <c r="B22" i="4"/>
  <c r="I6" i="4"/>
  <c r="P7" i="4"/>
  <c r="E6" i="4"/>
  <c r="H6" i="4"/>
  <c r="F6" i="4"/>
  <c r="O6" i="4"/>
  <c r="B6" i="4"/>
  <c r="G6" i="4"/>
  <c r="Q7" i="4"/>
  <c r="K63" i="4"/>
  <c r="K64" i="4" s="1"/>
  <c r="U63" i="4"/>
  <c r="U64" i="4" s="1"/>
  <c r="J63" i="4"/>
  <c r="J64" i="4" s="1"/>
  <c r="V63" i="4"/>
  <c r="V64" i="4" s="1"/>
  <c r="T63" i="4"/>
  <c r="T64" i="4" s="1"/>
  <c r="H47" i="22"/>
  <c r="H49" i="22"/>
  <c r="H44" i="22"/>
  <c r="A46" i="22"/>
  <c r="H46" i="22" s="1"/>
  <c r="T27" i="33"/>
  <c r="T52" i="33" s="1"/>
  <c r="A34" i="22"/>
  <c r="H34" i="22" s="1"/>
  <c r="A35" i="22"/>
  <c r="H35" i="22" s="1"/>
  <c r="T45" i="33"/>
  <c r="A38" i="22"/>
  <c r="H38" i="22" s="1"/>
  <c r="A42" i="22"/>
  <c r="H42" i="22" s="1"/>
  <c r="A40" i="22"/>
  <c r="H40" i="22" s="1"/>
  <c r="F47" i="1"/>
  <c r="F48" i="1" s="1"/>
  <c r="F54" i="1" s="1"/>
  <c r="G47" i="1"/>
  <c r="G48" i="1" s="1"/>
  <c r="G54" i="1" s="1"/>
  <c r="E47" i="1"/>
  <c r="E48" i="1" s="1"/>
  <c r="E54" i="1" s="1"/>
  <c r="Q46" i="1"/>
  <c r="Q53" i="1" s="1"/>
  <c r="E46" i="1"/>
  <c r="E53" i="1" s="1"/>
  <c r="Q47" i="1"/>
  <c r="Q48" i="1" s="1"/>
  <c r="Q54" i="1" s="1"/>
  <c r="Q74" i="4"/>
  <c r="A51" i="22"/>
  <c r="H51" i="22" s="1"/>
  <c r="A45" i="22"/>
  <c r="H45" i="22" s="1"/>
  <c r="M57" i="4"/>
  <c r="M58" i="4" s="1"/>
  <c r="M76" i="4" s="1"/>
  <c r="T57" i="4"/>
  <c r="T58" i="4" s="1"/>
  <c r="T76" i="4" s="1"/>
  <c r="H57" i="1"/>
  <c r="G57" i="1"/>
  <c r="F57" i="1"/>
  <c r="E57" i="1"/>
  <c r="H7" i="4"/>
  <c r="G46" i="1"/>
  <c r="G53" i="1" s="1"/>
  <c r="H46" i="1"/>
  <c r="H53" i="1" s="1"/>
  <c r="H47" i="1"/>
  <c r="H48" i="1" s="1"/>
  <c r="H54" i="1" s="1"/>
  <c r="G11" i="4"/>
  <c r="F9" i="4"/>
  <c r="F63" i="4" s="1"/>
  <c r="F64" i="4" s="1"/>
  <c r="I13" i="4"/>
  <c r="E12" i="4"/>
  <c r="I55" i="4"/>
  <c r="I62" i="4"/>
  <c r="V57" i="4"/>
  <c r="V58" i="4" s="1"/>
  <c r="V76" i="4" s="1"/>
  <c r="V56" i="4"/>
  <c r="V75" i="4" s="1"/>
  <c r="U57" i="4"/>
  <c r="U58" i="4" s="1"/>
  <c r="U76" i="4" s="1"/>
  <c r="L56" i="4"/>
  <c r="L75" i="4" s="1"/>
  <c r="S56" i="4"/>
  <c r="S75" i="4" s="1"/>
  <c r="K57" i="4"/>
  <c r="K58" i="4" s="1"/>
  <c r="K76" i="4" s="1"/>
  <c r="J56" i="4"/>
  <c r="J75" i="4" s="1"/>
  <c r="O55" i="4"/>
  <c r="O62" i="4"/>
  <c r="F55" i="4"/>
  <c r="F62" i="4"/>
  <c r="M55" i="4"/>
  <c r="M62" i="4"/>
  <c r="J55" i="4"/>
  <c r="J62" i="4"/>
  <c r="L57" i="4"/>
  <c r="L58" i="4" s="1"/>
  <c r="L76" i="4" s="1"/>
  <c r="K56" i="4"/>
  <c r="K75" i="4" s="1"/>
  <c r="J57" i="4"/>
  <c r="J58" i="4" s="1"/>
  <c r="J76" i="4" s="1"/>
  <c r="P55" i="4"/>
  <c r="P62" i="4"/>
  <c r="G55" i="4"/>
  <c r="G62" i="4"/>
  <c r="H74" i="4"/>
  <c r="H62" i="4"/>
  <c r="U22" i="33"/>
  <c r="U45" i="33"/>
  <c r="U27" i="33"/>
  <c r="U52" i="33" s="1"/>
  <c r="R45" i="33"/>
  <c r="R27" i="33"/>
  <c r="R52" i="33" s="1"/>
  <c r="R22" i="33"/>
  <c r="U56" i="4"/>
  <c r="U75" i="4" s="1"/>
  <c r="M56" i="4"/>
  <c r="M75" i="4" s="1"/>
  <c r="T56" i="4"/>
  <c r="T75" i="4" s="1"/>
  <c r="C74" i="4"/>
  <c r="C62" i="4"/>
  <c r="D55" i="4"/>
  <c r="D62" i="4"/>
  <c r="S27" i="33"/>
  <c r="S52" i="33" s="1"/>
  <c r="S22" i="33"/>
  <c r="S45" i="33"/>
  <c r="A36" i="22"/>
  <c r="H36" i="22" s="1"/>
  <c r="V4" i="33"/>
  <c r="S57" i="4"/>
  <c r="S58" i="4" s="1"/>
  <c r="S76" i="4" s="1"/>
  <c r="Q55" i="4"/>
  <c r="O32" i="4"/>
  <c r="Q10" i="4"/>
  <c r="B32" i="4"/>
  <c r="H55" i="4"/>
  <c r="R10" i="4"/>
  <c r="O14" i="4"/>
  <c r="P15" i="4"/>
  <c r="V4" i="23"/>
  <c r="V45" i="23" s="1"/>
  <c r="V4" i="4"/>
  <c r="V55" i="4" s="1"/>
  <c r="B10" i="4"/>
  <c r="A32" i="22"/>
  <c r="H32" i="22" s="1"/>
  <c r="D13" i="28"/>
  <c r="D9" i="28"/>
  <c r="D5" i="28"/>
  <c r="D14" i="28"/>
  <c r="D10" i="28"/>
  <c r="D6" i="28"/>
  <c r="D15" i="28"/>
  <c r="D11" i="28"/>
  <c r="D7" i="28"/>
  <c r="D3" i="28"/>
  <c r="D12" i="28"/>
  <c r="D8" i="28"/>
  <c r="D4" i="28"/>
  <c r="V79" i="4"/>
  <c r="J79" i="4"/>
  <c r="U79" i="4"/>
  <c r="T79" i="4"/>
  <c r="S79" i="4"/>
  <c r="O26" i="4"/>
  <c r="P46" i="1"/>
  <c r="P53" i="1" s="1"/>
  <c r="A37" i="22"/>
  <c r="H37" i="22" s="1"/>
  <c r="M74" i="4"/>
  <c r="I2" i="12" s="1"/>
  <c r="J74" i="4"/>
  <c r="F2" i="12" s="1"/>
  <c r="A48" i="22"/>
  <c r="H48" i="22" s="1"/>
  <c r="A33" i="22"/>
  <c r="H33" i="22" s="1"/>
  <c r="S4" i="23"/>
  <c r="A43" i="22"/>
  <c r="H43" i="22" s="1"/>
  <c r="A41" i="22"/>
  <c r="H41" i="22" s="1"/>
  <c r="A39" i="22"/>
  <c r="H39" i="22" s="1"/>
  <c r="C55" i="4"/>
  <c r="U4" i="23"/>
  <c r="U22" i="23" s="1"/>
  <c r="J22" i="23"/>
  <c r="J52" i="23"/>
  <c r="J27" i="23"/>
  <c r="R4" i="23"/>
  <c r="R22" i="23" s="1"/>
  <c r="M52" i="23"/>
  <c r="M22" i="23"/>
  <c r="M45" i="23"/>
  <c r="L2" i="12"/>
  <c r="B46" i="23"/>
  <c r="B53" i="23" s="1"/>
  <c r="B55" i="23" s="1"/>
  <c r="O46" i="23"/>
  <c r="O53" i="23" s="1"/>
  <c r="O55" i="23" s="1"/>
  <c r="O47" i="23"/>
  <c r="O48" i="23" s="1"/>
  <c r="O54" i="23" s="1"/>
  <c r="B47" i="23"/>
  <c r="B48" i="23" s="1"/>
  <c r="B54" i="23" s="1"/>
  <c r="B57" i="23"/>
  <c r="O57" i="23"/>
  <c r="B29" i="4"/>
  <c r="O22" i="4"/>
  <c r="F55" i="23"/>
  <c r="Q57" i="1"/>
  <c r="D74" i="4"/>
  <c r="M2" i="12"/>
  <c r="J2" i="12"/>
  <c r="C47" i="1"/>
  <c r="C48" i="1" s="1"/>
  <c r="C54" i="1" s="1"/>
  <c r="G74" i="4"/>
  <c r="D57" i="1"/>
  <c r="P57" i="1"/>
  <c r="O57" i="1"/>
  <c r="C57" i="1"/>
  <c r="D10" i="4"/>
  <c r="C10" i="4"/>
  <c r="C63" i="4" s="1"/>
  <c r="C64" i="4" s="1"/>
  <c r="B57" i="1"/>
  <c r="C46" i="1"/>
  <c r="C53" i="1" s="1"/>
  <c r="B46" i="1"/>
  <c r="B53" i="1" s="1"/>
  <c r="B47" i="1"/>
  <c r="B48" i="1" s="1"/>
  <c r="B54" i="1" s="1"/>
  <c r="D46" i="1"/>
  <c r="D53" i="1" s="1"/>
  <c r="O47" i="1"/>
  <c r="O48" i="1" s="1"/>
  <c r="O54" i="1" s="1"/>
  <c r="O46" i="1"/>
  <c r="O53" i="1" s="1"/>
  <c r="D47" i="1"/>
  <c r="D48" i="1" s="1"/>
  <c r="D54" i="1" s="1"/>
  <c r="D8" i="4"/>
  <c r="T4" i="23"/>
  <c r="F74" i="4"/>
  <c r="I74" i="4"/>
  <c r="O74" i="4"/>
  <c r="P74" i="4"/>
  <c r="AD2" i="12"/>
  <c r="K78" i="4"/>
  <c r="O78" i="4"/>
  <c r="H78" i="4"/>
  <c r="D78" i="4"/>
  <c r="M78" i="4"/>
  <c r="F78" i="4"/>
  <c r="L78" i="4"/>
  <c r="R78" i="4"/>
  <c r="C78" i="4"/>
  <c r="I78" i="4"/>
  <c r="B78" i="4"/>
  <c r="E78" i="4"/>
  <c r="P78" i="4"/>
  <c r="G78" i="4"/>
  <c r="Q78" i="4"/>
  <c r="K79" i="4" l="1"/>
  <c r="M79" i="4"/>
  <c r="L79" i="4"/>
  <c r="H56" i="4"/>
  <c r="H75" i="4" s="1"/>
  <c r="C55" i="23"/>
  <c r="G55" i="1"/>
  <c r="L55" i="1"/>
  <c r="K55" i="1"/>
  <c r="I55" i="1"/>
  <c r="J55" i="1"/>
  <c r="M55" i="1"/>
  <c r="L59" i="1"/>
  <c r="L60" i="1" s="1"/>
  <c r="L61" i="1" s="1"/>
  <c r="I59" i="1"/>
  <c r="I60" i="1" s="1"/>
  <c r="I61" i="1" s="1"/>
  <c r="M59" i="1"/>
  <c r="M60" i="1" s="1"/>
  <c r="M61" i="1" s="1"/>
  <c r="J59" i="1"/>
  <c r="J60" i="1" s="1"/>
  <c r="J61" i="1" s="1"/>
  <c r="K59" i="1"/>
  <c r="K60" i="1" s="1"/>
  <c r="K61" i="1" s="1"/>
  <c r="R55" i="1"/>
  <c r="V55" i="1"/>
  <c r="T55" i="1"/>
  <c r="U55" i="1"/>
  <c r="S55" i="1"/>
  <c r="S59" i="1"/>
  <c r="S60" i="1" s="1"/>
  <c r="S61" i="1" s="1"/>
  <c r="T59" i="1"/>
  <c r="T60" i="1" s="1"/>
  <c r="T61" i="1" s="1"/>
  <c r="U59" i="1"/>
  <c r="U60" i="1" s="1"/>
  <c r="U61" i="1" s="1"/>
  <c r="R59" i="1"/>
  <c r="R60" i="1" s="1"/>
  <c r="R61" i="1" s="1"/>
  <c r="V59" i="1"/>
  <c r="V60" i="1" s="1"/>
  <c r="V61" i="1" s="1"/>
  <c r="O55" i="1"/>
  <c r="I63" i="4"/>
  <c r="I64" i="4" s="1"/>
  <c r="R63" i="4"/>
  <c r="R64" i="4" s="1"/>
  <c r="I57" i="4"/>
  <c r="I58" i="4" s="1"/>
  <c r="I76" i="4" s="1"/>
  <c r="P55" i="23"/>
  <c r="V55" i="23"/>
  <c r="Q55" i="23"/>
  <c r="U55" i="23"/>
  <c r="R55" i="23"/>
  <c r="T55" i="23"/>
  <c r="P55" i="1"/>
  <c r="Q55" i="1"/>
  <c r="S55" i="23"/>
  <c r="D63" i="4"/>
  <c r="D64" i="4" s="1"/>
  <c r="B63" i="4"/>
  <c r="B64" i="4" s="1"/>
  <c r="O63" i="4"/>
  <c r="O64" i="4" s="1"/>
  <c r="G56" i="4"/>
  <c r="G75" i="4" s="1"/>
  <c r="H57" i="4"/>
  <c r="H58" i="4" s="1"/>
  <c r="H76" i="4" s="1"/>
  <c r="H63" i="4"/>
  <c r="H64" i="4" s="1"/>
  <c r="P63" i="4"/>
  <c r="P64" i="4" s="1"/>
  <c r="G63" i="4"/>
  <c r="G64" i="4" s="1"/>
  <c r="E63" i="4"/>
  <c r="E64" i="4" s="1"/>
  <c r="Q63" i="4"/>
  <c r="Q64" i="4" s="1"/>
  <c r="V27" i="23"/>
  <c r="V52" i="23" s="1"/>
  <c r="I56" i="4"/>
  <c r="I75" i="4" s="1"/>
  <c r="J4" i="12"/>
  <c r="M4" i="12"/>
  <c r="G4" i="12"/>
  <c r="H4" i="12"/>
  <c r="F4" i="12"/>
  <c r="I4" i="12"/>
  <c r="L4" i="12"/>
  <c r="V22" i="23"/>
  <c r="G57" i="4"/>
  <c r="G58" i="4" s="1"/>
  <c r="G76" i="4" s="1"/>
  <c r="F57" i="4"/>
  <c r="F58" i="4" s="1"/>
  <c r="F76" i="4" s="1"/>
  <c r="B56" i="4"/>
  <c r="E79" i="4"/>
  <c r="G79" i="4"/>
  <c r="I79" i="4"/>
  <c r="H79" i="4"/>
  <c r="F79" i="4"/>
  <c r="J80" i="4"/>
  <c r="E57" i="4"/>
  <c r="E58" i="4" s="1"/>
  <c r="E76" i="4" s="1"/>
  <c r="E56" i="4"/>
  <c r="E75" i="4" s="1"/>
  <c r="F56" i="4"/>
  <c r="F75" i="4" s="1"/>
  <c r="P57" i="4"/>
  <c r="P58" i="4" s="1"/>
  <c r="P76" i="4" s="1"/>
  <c r="R56" i="4"/>
  <c r="R75" i="4" s="1"/>
  <c r="D56" i="4"/>
  <c r="D75" i="4" s="1"/>
  <c r="B57" i="4"/>
  <c r="B58" i="4" s="1"/>
  <c r="B76" i="4" s="1"/>
  <c r="V45" i="33"/>
  <c r="V27" i="33"/>
  <c r="V52" i="33" s="1"/>
  <c r="V22" i="33"/>
  <c r="D57" i="4"/>
  <c r="D58" i="4" s="1"/>
  <c r="D76" i="4" s="1"/>
  <c r="O57" i="4"/>
  <c r="O58" i="4" s="1"/>
  <c r="O76" i="4" s="1"/>
  <c r="C57" i="4"/>
  <c r="C58" i="4" s="1"/>
  <c r="C76" i="4" s="1"/>
  <c r="Q2" i="12"/>
  <c r="Q4" i="12" s="1"/>
  <c r="P2" i="12"/>
  <c r="P4" i="12" s="1"/>
  <c r="Q56" i="4"/>
  <c r="Q75" i="4" s="1"/>
  <c r="O56" i="4"/>
  <c r="O75" i="4" s="1"/>
  <c r="T77" i="4" s="1"/>
  <c r="C56" i="4"/>
  <c r="C75" i="4" s="1"/>
  <c r="R2" i="12"/>
  <c r="R4" i="12" s="1"/>
  <c r="V74" i="4"/>
  <c r="Z2" i="12" s="1"/>
  <c r="V62" i="4"/>
  <c r="P56" i="4"/>
  <c r="R57" i="4"/>
  <c r="R58" i="4" s="1"/>
  <c r="R76" i="4" s="1"/>
  <c r="Q57" i="4"/>
  <c r="Q58" i="4" s="1"/>
  <c r="Q76" i="4" s="1"/>
  <c r="Q79" i="4"/>
  <c r="P79" i="4"/>
  <c r="R79" i="4"/>
  <c r="U4" i="4"/>
  <c r="F2" i="27"/>
  <c r="F4" i="27" s="1"/>
  <c r="O2" i="12"/>
  <c r="O4" i="12" s="1"/>
  <c r="C79" i="4"/>
  <c r="D79" i="4"/>
  <c r="K15" i="28"/>
  <c r="K13" i="28"/>
  <c r="K11" i="28"/>
  <c r="K9" i="28"/>
  <c r="K7" i="28"/>
  <c r="K5" i="28"/>
  <c r="L14" i="28"/>
  <c r="L12" i="28"/>
  <c r="L10" i="28"/>
  <c r="L8" i="28"/>
  <c r="L6" i="28"/>
  <c r="L4" i="28"/>
  <c r="L15" i="28"/>
  <c r="L13" i="28"/>
  <c r="L11" i="28"/>
  <c r="L9" i="28"/>
  <c r="L7" i="28"/>
  <c r="L5" i="28"/>
  <c r="K14" i="28"/>
  <c r="K12" i="28"/>
  <c r="K10" i="28"/>
  <c r="K8" i="28"/>
  <c r="K6" i="28"/>
  <c r="K4" i="28"/>
  <c r="L55" i="23"/>
  <c r="D55" i="23"/>
  <c r="H55" i="23"/>
  <c r="K55" i="23"/>
  <c r="J55" i="23"/>
  <c r="M55" i="23"/>
  <c r="G55" i="23"/>
  <c r="E55" i="23"/>
  <c r="I55" i="23"/>
  <c r="R59" i="23"/>
  <c r="O79" i="4"/>
  <c r="B79" i="4"/>
  <c r="B64" i="23"/>
  <c r="L59" i="23"/>
  <c r="L60" i="23" s="1"/>
  <c r="F59" i="23"/>
  <c r="F60" i="23" s="1"/>
  <c r="Q59" i="23"/>
  <c r="Q60" i="23" s="1"/>
  <c r="V59" i="23"/>
  <c r="V60" i="23" s="1"/>
  <c r="P59" i="23"/>
  <c r="P60" i="23" s="1"/>
  <c r="T59" i="23"/>
  <c r="T60" i="23" s="1"/>
  <c r="U59" i="23"/>
  <c r="S59" i="23"/>
  <c r="S60" i="23" s="1"/>
  <c r="B65" i="23"/>
  <c r="N2" i="12"/>
  <c r="N4" i="12" s="1"/>
  <c r="R45" i="23"/>
  <c r="S4" i="4"/>
  <c r="S62" i="4" s="1"/>
  <c r="S2" i="12"/>
  <c r="S4" i="12" s="1"/>
  <c r="U27" i="23"/>
  <c r="U52" i="23" s="1"/>
  <c r="U45" i="23"/>
  <c r="S45" i="23"/>
  <c r="S27" i="23"/>
  <c r="S52" i="23" s="1"/>
  <c r="S22" i="23"/>
  <c r="R4" i="4"/>
  <c r="R62" i="4" s="1"/>
  <c r="R27" i="23"/>
  <c r="R52" i="23" s="1"/>
  <c r="C59" i="23"/>
  <c r="C60" i="23" s="1"/>
  <c r="E59" i="23"/>
  <c r="E60" i="23" s="1"/>
  <c r="J59" i="23"/>
  <c r="J60" i="23" s="1"/>
  <c r="K59" i="23"/>
  <c r="K60" i="23" s="1"/>
  <c r="D59" i="23"/>
  <c r="I59" i="23"/>
  <c r="I60" i="23" s="1"/>
  <c r="O59" i="23"/>
  <c r="O60" i="23" s="1"/>
  <c r="G59" i="23"/>
  <c r="G60" i="23" s="1"/>
  <c r="H59" i="23"/>
  <c r="H60" i="23" s="1"/>
  <c r="M59" i="23"/>
  <c r="C55" i="1"/>
  <c r="H55" i="1"/>
  <c r="F55" i="1"/>
  <c r="D55" i="1"/>
  <c r="E55" i="1"/>
  <c r="H3" i="12"/>
  <c r="O59" i="1"/>
  <c r="O60" i="1" s="1"/>
  <c r="F59" i="1"/>
  <c r="E59" i="1"/>
  <c r="E60" i="1" s="1"/>
  <c r="H59" i="1"/>
  <c r="D59" i="1"/>
  <c r="D60" i="1" s="1"/>
  <c r="C59" i="1"/>
  <c r="C60" i="1" s="1"/>
  <c r="G59" i="1"/>
  <c r="G60" i="1" s="1"/>
  <c r="P59" i="1"/>
  <c r="P60" i="1" s="1"/>
  <c r="Q59" i="1"/>
  <c r="B65" i="1"/>
  <c r="B64" i="1"/>
  <c r="B55" i="1"/>
  <c r="G3" i="12"/>
  <c r="T27" i="23"/>
  <c r="T52" i="23" s="1"/>
  <c r="T45" i="23"/>
  <c r="T22" i="23"/>
  <c r="F3" i="12"/>
  <c r="J3" i="12"/>
  <c r="I3" i="12"/>
  <c r="T4" i="4"/>
  <c r="T62" i="4" s="1"/>
  <c r="M60" i="23"/>
  <c r="H60" i="1"/>
  <c r="D60" i="23"/>
  <c r="F60" i="1"/>
  <c r="R60" i="23"/>
  <c r="Q60" i="1"/>
  <c r="U60" i="23"/>
  <c r="AA2" i="12" l="1"/>
  <c r="AH2" i="12"/>
  <c r="P75" i="4"/>
  <c r="B5" i="27" s="1"/>
  <c r="O81" i="4"/>
  <c r="O82" i="4" s="1"/>
  <c r="AE2" i="12"/>
  <c r="U74" i="4"/>
  <c r="Y2" i="12" s="1"/>
  <c r="U62" i="4"/>
  <c r="B6" i="12"/>
  <c r="B6" i="27"/>
  <c r="R61" i="23"/>
  <c r="U55" i="4"/>
  <c r="F3" i="27"/>
  <c r="V77" i="4"/>
  <c r="U77" i="4"/>
  <c r="O77" i="4"/>
  <c r="S77" i="4"/>
  <c r="Q77" i="4"/>
  <c r="R77" i="4"/>
  <c r="P81" i="4"/>
  <c r="Q81" i="4"/>
  <c r="B86" i="4"/>
  <c r="B87" i="4"/>
  <c r="B75" i="4"/>
  <c r="M61" i="23"/>
  <c r="I61" i="23"/>
  <c r="E61" i="23"/>
  <c r="D61" i="23"/>
  <c r="C61" i="23"/>
  <c r="Q61" i="23"/>
  <c r="U61" i="23"/>
  <c r="P61" i="23"/>
  <c r="F61" i="23"/>
  <c r="H61" i="23"/>
  <c r="K61" i="23"/>
  <c r="G61" i="23"/>
  <c r="J61" i="23"/>
  <c r="S61" i="23"/>
  <c r="T61" i="23"/>
  <c r="V61" i="23"/>
  <c r="L61" i="23"/>
  <c r="D61" i="1"/>
  <c r="G61" i="1"/>
  <c r="E61" i="1"/>
  <c r="F61" i="1"/>
  <c r="H61" i="1"/>
  <c r="O3" i="12"/>
  <c r="R3" i="12"/>
  <c r="S3" i="12"/>
  <c r="N3" i="12"/>
  <c r="M3" i="12"/>
  <c r="L3" i="12"/>
  <c r="AC2" i="12"/>
  <c r="S55" i="4"/>
  <c r="S74" i="4"/>
  <c r="W2" i="12" s="1"/>
  <c r="AG2" i="12"/>
  <c r="R55" i="4"/>
  <c r="R74" i="4"/>
  <c r="AD4" i="12" s="1"/>
  <c r="P3" i="12"/>
  <c r="Q3" i="12"/>
  <c r="K2" i="12"/>
  <c r="K4" i="12" s="1"/>
  <c r="B4" i="27"/>
  <c r="B4" i="12"/>
  <c r="O61" i="1"/>
  <c r="Q61" i="1"/>
  <c r="P61" i="1"/>
  <c r="C61" i="1"/>
  <c r="AB2" i="12"/>
  <c r="AB4" i="12" s="1"/>
  <c r="AF2" i="12"/>
  <c r="T55" i="4"/>
  <c r="T74" i="4"/>
  <c r="P82" i="4"/>
  <c r="Q82" i="4"/>
  <c r="B5" i="12" l="1"/>
  <c r="P77" i="4"/>
  <c r="AE4" i="12"/>
  <c r="Z4" i="12"/>
  <c r="W4" i="12"/>
  <c r="AG4" i="12"/>
  <c r="AC4" i="12"/>
  <c r="AH4" i="12"/>
  <c r="AF4" i="12"/>
  <c r="Y4" i="12"/>
  <c r="AA4" i="12"/>
  <c r="K77" i="4"/>
  <c r="J77" i="4"/>
  <c r="G77" i="4"/>
  <c r="F77" i="4"/>
  <c r="L77" i="4"/>
  <c r="B77" i="4"/>
  <c r="B2" i="27"/>
  <c r="G6" i="27" s="1"/>
  <c r="M77" i="4"/>
  <c r="I77" i="4"/>
  <c r="B2" i="12"/>
  <c r="E6" i="12" s="1"/>
  <c r="H77" i="4"/>
  <c r="D77" i="4"/>
  <c r="C77" i="4"/>
  <c r="E77" i="4"/>
  <c r="AG8" i="12"/>
  <c r="AG9" i="12" s="1"/>
  <c r="AG10" i="12" s="1"/>
  <c r="U8" i="12"/>
  <c r="U9" i="12" s="1"/>
  <c r="U10" i="12" s="1"/>
  <c r="AJ8" i="12"/>
  <c r="AJ9" i="12" s="1"/>
  <c r="AJ10" i="12" s="1"/>
  <c r="AB8" i="12"/>
  <c r="AB9" i="12" s="1"/>
  <c r="AB10" i="12" s="1"/>
  <c r="Z8" i="12"/>
  <c r="Z9" i="12" s="1"/>
  <c r="Z10" i="12" s="1"/>
  <c r="AC8" i="12"/>
  <c r="AC9" i="12" s="1"/>
  <c r="AC10" i="12" s="1"/>
  <c r="V8" i="12"/>
  <c r="V9" i="12" s="1"/>
  <c r="V10" i="12" s="1"/>
  <c r="X8" i="12"/>
  <c r="X9" i="12" s="1"/>
  <c r="X10" i="12" s="1"/>
  <c r="AH8" i="12"/>
  <c r="AH9" i="12" s="1"/>
  <c r="AH10" i="12" s="1"/>
  <c r="AD8" i="12"/>
  <c r="AD9" i="12" s="1"/>
  <c r="AD10" i="12" s="1"/>
  <c r="AI8" i="12"/>
  <c r="AI9" i="12" s="1"/>
  <c r="AI10" i="12" s="1"/>
  <c r="W8" i="12"/>
  <c r="W9" i="12" s="1"/>
  <c r="W10" i="12" s="1"/>
  <c r="Y8" i="12"/>
  <c r="Y9" i="12" s="1"/>
  <c r="Y10" i="12" s="1"/>
  <c r="AE8" i="12"/>
  <c r="AE9" i="12" s="1"/>
  <c r="AE10" i="12" s="1"/>
  <c r="AA8" i="12"/>
  <c r="AA9" i="12" s="1"/>
  <c r="AA10" i="12" s="1"/>
  <c r="AF8" i="12"/>
  <c r="AF9" i="12" s="1"/>
  <c r="AF10" i="12" s="1"/>
  <c r="H8" i="27"/>
  <c r="H9" i="27" s="1"/>
  <c r="H10" i="27" s="1"/>
  <c r="J8" i="27"/>
  <c r="J9" i="27" s="1"/>
  <c r="J10" i="27" s="1"/>
  <c r="I8" i="27"/>
  <c r="I9" i="27" s="1"/>
  <c r="I10" i="27" s="1"/>
  <c r="Q5" i="12"/>
  <c r="R5" i="12"/>
  <c r="P83" i="4"/>
  <c r="S5" i="12"/>
  <c r="Q83" i="4"/>
  <c r="P5" i="12"/>
  <c r="O83" i="4"/>
  <c r="O61" i="23"/>
  <c r="AG3" i="12"/>
  <c r="AD3" i="12"/>
  <c r="AE3" i="12"/>
  <c r="AC3" i="12"/>
  <c r="W3" i="12"/>
  <c r="Y3" i="12"/>
  <c r="I2" i="27"/>
  <c r="I4" i="27" s="1"/>
  <c r="V2" i="12"/>
  <c r="V4" i="12" s="1"/>
  <c r="J2" i="28"/>
  <c r="K3" i="12"/>
  <c r="F2" i="28"/>
  <c r="J3" i="28"/>
  <c r="F3" i="28"/>
  <c r="Z3" i="12"/>
  <c r="AA3" i="12"/>
  <c r="AH3" i="12"/>
  <c r="I3" i="28"/>
  <c r="I2" i="28"/>
  <c r="E3" i="28"/>
  <c r="AH7" i="12"/>
  <c r="AD7" i="12"/>
  <c r="AC7" i="12"/>
  <c r="V7" i="12"/>
  <c r="AI7" i="12"/>
  <c r="AG7" i="12"/>
  <c r="W7" i="12"/>
  <c r="X7" i="12"/>
  <c r="Y7" i="12"/>
  <c r="U7" i="12"/>
  <c r="AA7" i="12"/>
  <c r="AE7" i="12"/>
  <c r="Z7" i="12"/>
  <c r="AF7" i="12"/>
  <c r="AB7" i="12"/>
  <c r="AJ7" i="12"/>
  <c r="I7" i="27"/>
  <c r="H7" i="27"/>
  <c r="J7" i="27"/>
  <c r="AF3" i="12"/>
  <c r="F15" i="28"/>
  <c r="E14" i="28"/>
  <c r="F8" i="28"/>
  <c r="AB3" i="12"/>
  <c r="F9" i="28"/>
  <c r="E10" i="28"/>
  <c r="F13" i="28"/>
  <c r="J13" i="28"/>
  <c r="E8" i="28"/>
  <c r="F5" i="28"/>
  <c r="I11" i="28"/>
  <c r="E4" i="28"/>
  <c r="F4" i="28"/>
  <c r="E5" i="28"/>
  <c r="J11" i="28"/>
  <c r="I6" i="28"/>
  <c r="J9" i="28"/>
  <c r="I8" i="28"/>
  <c r="F14" i="28"/>
  <c r="E7" i="28"/>
  <c r="F12" i="28"/>
  <c r="J6" i="28"/>
  <c r="J7" i="28"/>
  <c r="E12" i="28"/>
  <c r="I10" i="28"/>
  <c r="I13" i="28"/>
  <c r="E15" i="28"/>
  <c r="E11" i="28"/>
  <c r="F11" i="28"/>
  <c r="F6" i="28"/>
  <c r="E6" i="28"/>
  <c r="J14" i="28"/>
  <c r="I15" i="28"/>
  <c r="I9" i="28"/>
  <c r="J5" i="28"/>
  <c r="J8" i="28"/>
  <c r="F10" i="28"/>
  <c r="I5" i="28"/>
  <c r="I4" i="28"/>
  <c r="I7" i="28"/>
  <c r="E13" i="28"/>
  <c r="E9" i="28"/>
  <c r="J10" i="28"/>
  <c r="I14" i="28"/>
  <c r="J4" i="28"/>
  <c r="J12" i="28"/>
  <c r="I12" i="28"/>
  <c r="F7" i="28"/>
  <c r="J15" i="28"/>
  <c r="AI2" i="12"/>
  <c r="AI4" i="12" s="1"/>
  <c r="X2" i="12"/>
  <c r="X4" i="12" s="1"/>
  <c r="E2" i="28" l="1"/>
  <c r="T6" i="12"/>
  <c r="R6" i="12"/>
  <c r="K6" i="12"/>
  <c r="I6" i="12"/>
  <c r="O6" i="12"/>
  <c r="Q6" i="12"/>
  <c r="F6" i="27"/>
  <c r="H6" i="12"/>
  <c r="F6" i="12"/>
  <c r="M6" i="12"/>
  <c r="G6" i="12"/>
  <c r="E6" i="27"/>
  <c r="S6" i="12"/>
  <c r="P6" i="12"/>
  <c r="L6" i="12"/>
  <c r="N6" i="12"/>
  <c r="J6" i="12"/>
  <c r="F49" i="22"/>
  <c r="F40" i="22"/>
  <c r="F44" i="22"/>
  <c r="F43" i="22"/>
  <c r="F47" i="22"/>
  <c r="AG5" i="12"/>
  <c r="AF5" i="12"/>
  <c r="Y5" i="12"/>
  <c r="F42" i="22"/>
  <c r="F37" i="22"/>
  <c r="F41" i="22"/>
  <c r="F48" i="22"/>
  <c r="AA5" i="12"/>
  <c r="Z5" i="12"/>
  <c r="AE5" i="12"/>
  <c r="F36" i="22"/>
  <c r="F35" i="22"/>
  <c r="F46" i="22"/>
  <c r="F34" i="22"/>
  <c r="F45" i="22"/>
  <c r="AH5" i="12"/>
  <c r="AB5" i="12"/>
  <c r="W5" i="12"/>
  <c r="F32" i="22"/>
  <c r="AC5" i="12"/>
  <c r="F33" i="22"/>
  <c r="F51" i="22"/>
  <c r="F39" i="22"/>
  <c r="F50" i="22"/>
  <c r="F38" i="22"/>
  <c r="AD5" i="12"/>
  <c r="O5" i="12"/>
  <c r="V3" i="12"/>
  <c r="V5" i="12"/>
  <c r="I3" i="27"/>
  <c r="I5" i="27"/>
  <c r="X3" i="12"/>
  <c r="X5" i="12"/>
  <c r="AI3" i="12"/>
  <c r="AI5" i="12"/>
  <c r="F26" i="22" l="1"/>
  <c r="G26" i="22" s="1"/>
  <c r="F7" i="22"/>
  <c r="K7" i="22" s="1"/>
  <c r="F19" i="22"/>
  <c r="G19" i="22" s="1"/>
  <c r="F23" i="22"/>
  <c r="G23" i="22" s="1"/>
  <c r="N5" i="12"/>
  <c r="M5" i="12"/>
  <c r="I5" i="12"/>
  <c r="F20" i="22"/>
  <c r="I20" i="22" s="1"/>
  <c r="F9" i="22"/>
  <c r="F12" i="22"/>
  <c r="I12" i="22" s="1"/>
  <c r="F16" i="22"/>
  <c r="G16" i="22" s="1"/>
  <c r="F22" i="22"/>
  <c r="I22" i="22" s="1"/>
  <c r="J5" i="12"/>
  <c r="F15" i="22"/>
  <c r="I15" i="22" s="1"/>
  <c r="L5" i="12"/>
  <c r="F21" i="22"/>
  <c r="G21" i="22" s="1"/>
  <c r="F5" i="12"/>
  <c r="F24" i="22"/>
  <c r="G24" i="22" s="1"/>
  <c r="F10" i="22"/>
  <c r="F11" i="22"/>
  <c r="F13" i="22"/>
  <c r="I13" i="22" s="1"/>
  <c r="F14" i="22"/>
  <c r="G14" i="22" s="1"/>
  <c r="F18" i="22"/>
  <c r="G18" i="22" s="1"/>
  <c r="F8" i="22"/>
  <c r="G8" i="22" s="1"/>
  <c r="F5" i="27"/>
  <c r="F25" i="22"/>
  <c r="I25" i="22" s="1"/>
  <c r="G5" i="12"/>
  <c r="H5" i="12"/>
  <c r="F17" i="22"/>
  <c r="K17" i="22" s="1"/>
  <c r="M17" i="22" s="1"/>
  <c r="K5" i="12"/>
  <c r="G7" i="22"/>
  <c r="I7" i="22"/>
  <c r="G3" i="28" s="1"/>
  <c r="G51" i="22"/>
  <c r="J51" i="22" s="1"/>
  <c r="I51" i="22"/>
  <c r="M51" i="22" s="1"/>
  <c r="K51" i="22"/>
  <c r="N51" i="22" s="1"/>
  <c r="G44" i="22"/>
  <c r="J44" i="22" s="1"/>
  <c r="I44" i="22"/>
  <c r="M44" i="22" s="1"/>
  <c r="K44" i="22"/>
  <c r="N44" i="22" s="1"/>
  <c r="G38" i="22"/>
  <c r="J38" i="22" s="1"/>
  <c r="I38" i="22"/>
  <c r="M38" i="22" s="1"/>
  <c r="K38" i="22"/>
  <c r="N38" i="22" s="1"/>
  <c r="G33" i="22"/>
  <c r="J33" i="22" s="1"/>
  <c r="I33" i="22"/>
  <c r="K33" i="22"/>
  <c r="N33" i="22" s="1"/>
  <c r="G46" i="22"/>
  <c r="J46" i="22" s="1"/>
  <c r="I46" i="22"/>
  <c r="M46" i="22" s="1"/>
  <c r="K46" i="22"/>
  <c r="N46" i="22" s="1"/>
  <c r="G37" i="22"/>
  <c r="J37" i="22" s="1"/>
  <c r="I37" i="22"/>
  <c r="M37" i="22" s="1"/>
  <c r="K37" i="22"/>
  <c r="N37" i="22" s="1"/>
  <c r="G40" i="22"/>
  <c r="J40" i="22" s="1"/>
  <c r="I40" i="22"/>
  <c r="M40" i="22" s="1"/>
  <c r="K40" i="22"/>
  <c r="N40" i="22" s="1"/>
  <c r="K26" i="22"/>
  <c r="M26" i="22" s="1"/>
  <c r="G41" i="22"/>
  <c r="J41" i="22" s="1"/>
  <c r="I41" i="22"/>
  <c r="M41" i="22" s="1"/>
  <c r="K41" i="22"/>
  <c r="N41" i="22" s="1"/>
  <c r="G25" i="22"/>
  <c r="I14" i="22"/>
  <c r="G13" i="22"/>
  <c r="G50" i="22"/>
  <c r="J50" i="22" s="1"/>
  <c r="I50" i="22"/>
  <c r="M50" i="22" s="1"/>
  <c r="K50" i="22"/>
  <c r="N50" i="22" s="1"/>
  <c r="G35" i="22"/>
  <c r="J35" i="22" s="1"/>
  <c r="G42" i="22"/>
  <c r="J42" i="22" s="1"/>
  <c r="I42" i="22"/>
  <c r="M42" i="22" s="1"/>
  <c r="K42" i="22"/>
  <c r="N42" i="22" s="1"/>
  <c r="G47" i="22"/>
  <c r="J47" i="22" s="1"/>
  <c r="I47" i="22"/>
  <c r="M47" i="22" s="1"/>
  <c r="K47" i="22"/>
  <c r="N47" i="22" s="1"/>
  <c r="G49" i="22"/>
  <c r="J49" i="22" s="1"/>
  <c r="I49" i="22"/>
  <c r="M49" i="22" s="1"/>
  <c r="K49" i="22"/>
  <c r="N49" i="22" s="1"/>
  <c r="G34" i="22"/>
  <c r="J34" i="22" s="1"/>
  <c r="I34" i="22"/>
  <c r="K34" i="22"/>
  <c r="N34" i="22" s="1"/>
  <c r="K15" i="22"/>
  <c r="M15" i="22" s="1"/>
  <c r="G39" i="22"/>
  <c r="J39" i="22" s="1"/>
  <c r="I39" i="22"/>
  <c r="M39" i="22" s="1"/>
  <c r="K39" i="22"/>
  <c r="N39" i="22" s="1"/>
  <c r="G32" i="22"/>
  <c r="J32" i="22" s="1"/>
  <c r="I32" i="22"/>
  <c r="K32" i="22"/>
  <c r="G45" i="22"/>
  <c r="J45" i="22" s="1"/>
  <c r="I45" i="22"/>
  <c r="M45" i="22" s="1"/>
  <c r="K45" i="22"/>
  <c r="N45" i="22" s="1"/>
  <c r="G36" i="22"/>
  <c r="J36" i="22" s="1"/>
  <c r="G48" i="22"/>
  <c r="J48" i="22" s="1"/>
  <c r="I48" i="22"/>
  <c r="M48" i="22" s="1"/>
  <c r="K48" i="22"/>
  <c r="N48" i="22" s="1"/>
  <c r="G43" i="22"/>
  <c r="J43" i="22" s="1"/>
  <c r="I43" i="22"/>
  <c r="M43" i="22" s="1"/>
  <c r="K43" i="22"/>
  <c r="N43" i="22" s="1"/>
  <c r="L3" i="28"/>
  <c r="I19" i="22" l="1"/>
  <c r="G9" i="22"/>
  <c r="I9" i="22" s="1"/>
  <c r="K9" i="22" s="1"/>
  <c r="M9" i="22" s="1"/>
  <c r="I36" i="22"/>
  <c r="I35" i="22"/>
  <c r="K16" i="22"/>
  <c r="M16" i="22" s="1"/>
  <c r="M32" i="22"/>
  <c r="M34" i="22"/>
  <c r="M33" i="22"/>
  <c r="K24" i="22"/>
  <c r="M24" i="22" s="1"/>
  <c r="K12" i="22"/>
  <c r="M12" i="22" s="1"/>
  <c r="G12" i="22"/>
  <c r="G15" i="22"/>
  <c r="K25" i="22"/>
  <c r="M25" i="22" s="1"/>
  <c r="K14" i="22"/>
  <c r="M14" i="22" s="1"/>
  <c r="I24" i="22"/>
  <c r="K19" i="22"/>
  <c r="M19" i="22" s="1"/>
  <c r="I18" i="22"/>
  <c r="K18" i="22"/>
  <c r="M18" i="22" s="1"/>
  <c r="G10" i="22"/>
  <c r="I10" i="22" s="1"/>
  <c r="K10" i="22" s="1"/>
  <c r="G22" i="22"/>
  <c r="K21" i="22"/>
  <c r="M21" i="22" s="1"/>
  <c r="G11" i="22"/>
  <c r="I11" i="22" s="1"/>
  <c r="K11" i="22" s="1"/>
  <c r="M11" i="22" s="1"/>
  <c r="I17" i="22"/>
  <c r="I26" i="22"/>
  <c r="G17" i="22"/>
  <c r="K13" i="22"/>
  <c r="M13" i="22" s="1"/>
  <c r="I16" i="22"/>
  <c r="G20" i="22"/>
  <c r="K23" i="22"/>
  <c r="M23" i="22" s="1"/>
  <c r="I21" i="22"/>
  <c r="K22" i="22"/>
  <c r="M22" i="22" s="1"/>
  <c r="I8" i="22"/>
  <c r="K8" i="22" s="1"/>
  <c r="M8" i="22" s="1"/>
  <c r="I23" i="22"/>
  <c r="K20" i="22"/>
  <c r="M20" i="22" s="1"/>
  <c r="M7" i="22"/>
  <c r="H3" i="28"/>
  <c r="N15" i="22"/>
  <c r="N7" i="22"/>
  <c r="N17" i="22"/>
  <c r="N26" i="22"/>
  <c r="L2" i="28"/>
  <c r="N32" i="22"/>
  <c r="K3" i="28"/>
  <c r="K2" i="28"/>
  <c r="G2" i="28"/>
  <c r="G13" i="28"/>
  <c r="G14" i="28"/>
  <c r="G4" i="28"/>
  <c r="G8" i="28"/>
  <c r="G11" i="28"/>
  <c r="G12" i="28"/>
  <c r="G9" i="28"/>
  <c r="G6" i="28"/>
  <c r="G15" i="28"/>
  <c r="G7" i="28"/>
  <c r="G5" i="28"/>
  <c r="G10" i="28"/>
  <c r="H6" i="28"/>
  <c r="H15" i="28"/>
  <c r="H12" i="28"/>
  <c r="H9" i="28"/>
  <c r="H14" i="28"/>
  <c r="H10" i="28"/>
  <c r="H13" i="28"/>
  <c r="H11" i="28"/>
  <c r="H8" i="28"/>
  <c r="H5" i="28"/>
  <c r="H4" i="28"/>
  <c r="H7" i="28"/>
  <c r="N19" i="22" l="1"/>
  <c r="N16" i="22"/>
  <c r="K36" i="22"/>
  <c r="N36" i="22" s="1"/>
  <c r="N10" i="22"/>
  <c r="M10" i="22"/>
  <c r="N24" i="22"/>
  <c r="H2" i="28"/>
  <c r="K35" i="22"/>
  <c r="N35" i="22" s="1"/>
  <c r="N21" i="22"/>
  <c r="N13" i="22"/>
  <c r="N14" i="22"/>
  <c r="N12" i="22"/>
  <c r="N25" i="22"/>
  <c r="N20" i="22"/>
  <c r="N18" i="22"/>
  <c r="N8" i="22"/>
  <c r="N11" i="22"/>
  <c r="N9" i="22"/>
  <c r="N23" i="22"/>
  <c r="N22" i="22"/>
  <c r="M36" i="22" l="1"/>
  <c r="M35" i="2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Auteur</author>
  </authors>
  <commentList>
    <comment ref="A68" authorId="0" shapeId="0" xr:uid="{00000000-0006-0000-0B00-000001000000}">
      <text>
        <r>
          <rPr>
            <b/>
            <sz val="9"/>
            <color indexed="81"/>
            <rFont val="Tahoma"/>
            <family val="2"/>
          </rPr>
          <t>A modifier si erreur dans le doc word - peut etre c'est Testo le témoin de référence</t>
        </r>
      </text>
    </comment>
    <comment ref="A69" authorId="0" shapeId="0" xr:uid="{00000000-0006-0000-0B00-000002000000}">
      <text>
        <r>
          <rPr>
            <b/>
            <sz val="9"/>
            <color indexed="81"/>
            <rFont val="Tahoma"/>
            <family val="2"/>
          </rPr>
          <t>A modifier si erreur dans le doc word - peut etre c'est Testo le témoin de référence</t>
        </r>
      </text>
    </comment>
  </commentList>
</comments>
</file>

<file path=xl/sharedStrings.xml><?xml version="1.0" encoding="utf-8"?>
<sst xmlns="http://schemas.openxmlformats.org/spreadsheetml/2006/main" count="482" uniqueCount="176">
  <si>
    <t>mean</t>
  </si>
  <si>
    <t>SD</t>
  </si>
  <si>
    <t>SEM</t>
  </si>
  <si>
    <t>avec testo</t>
  </si>
  <si>
    <t>Rep1</t>
  </si>
  <si>
    <t>Rep2</t>
  </si>
  <si>
    <t>Non dopé</t>
  </si>
  <si>
    <t>Code WF</t>
  </si>
  <si>
    <t>N°BDC :</t>
  </si>
  <si>
    <t>Etiquettes</t>
  </si>
  <si>
    <t>Moyenne</t>
  </si>
  <si>
    <t>STAT</t>
  </si>
  <si>
    <t>Témoin Evian</t>
  </si>
  <si>
    <t>Témoin Testo</t>
  </si>
  <si>
    <t>Zone rouge anti</t>
  </si>
  <si>
    <t>Zone verte</t>
  </si>
  <si>
    <t>Zone rouge pro</t>
  </si>
  <si>
    <t>R1</t>
  </si>
  <si>
    <t>R2</t>
  </si>
  <si>
    <t>Concentration</t>
  </si>
  <si>
    <t xml:space="preserve">Testo </t>
  </si>
  <si>
    <t>Date de réalisation :</t>
  </si>
  <si>
    <t>R3</t>
  </si>
  <si>
    <t>LOD</t>
  </si>
  <si>
    <t>LOQ</t>
  </si>
  <si>
    <t>ng/L EE2</t>
  </si>
  <si>
    <t>upper limit</t>
  </si>
  <si>
    <t>lower limit</t>
  </si>
  <si>
    <t>EE2 64ng/L</t>
  </si>
  <si>
    <t>Testosterone</t>
  </si>
  <si>
    <t>Testo+ Fad</t>
  </si>
  <si>
    <t>Testo+ EE2</t>
  </si>
  <si>
    <t>Mean</t>
  </si>
  <si>
    <t>Données brutes</t>
  </si>
  <si>
    <t>Données normalisées sur la moyenne du groupe "Testo"</t>
  </si>
  <si>
    <t>Nom sur le graphique</t>
  </si>
  <si>
    <t>1. Expérimentateur 1 : copier et coller le n° de prestation et renseigner la date de réalisation de chaque réplica ainsi que le visa de l'expérimentateur.</t>
  </si>
  <si>
    <t>2. Expérimentateur 1 : copier et coller la dilution appliquée et le nom donné pour chaque des échantillons par le client. Conserver la mise en forme de l'exemple en italique. Ne pas remplir la colonne "nom sur graphique".</t>
  </si>
  <si>
    <t>4. Expérimentateur 1 : réaliser les tests statistiques avec les données normalisées et renseigner les résultats ainsi que le test statistique utilisé dans le tableau violet.</t>
  </si>
  <si>
    <t>Eléments pour la mise en forme conditionnelles des résutats - calcul équivalent hormonal (eqH)</t>
  </si>
  <si>
    <t>3. Expérimentateur 1 : copier et coller les valeurs des intensités totales de fluorescences obtenues dans le fichier raw data lors du traitement des images.</t>
  </si>
  <si>
    <t>Noms des groupes</t>
  </si>
  <si>
    <t>EqH - testo</t>
  </si>
  <si>
    <t>6. Expérimentateur 2 : copier et coller les valeurs des intensités totales de fluorescences obtenues dans le fichier raw data lors du traitement des images. Ne pas supprimer les colonnes correspondant aux concentrations non lues.</t>
  </si>
  <si>
    <t>7. Expérimentateur 2 : réaliser les tests statistiques avec les données normalisées et renseigner les résultats ainsi que le test statistique utilisé dans le tableau violet.</t>
  </si>
  <si>
    <t>8. Expérimentateur 2 : se reporter à l'onglet "pooled normalised values".</t>
  </si>
  <si>
    <t>9. Expérimentateur 2 : vérifier que le nombre de valeurs est &gt; ou égale à 14. Vérifier que le nombre de valeurs est &gt; ou égale à 27 pour le groupe "Testo".</t>
  </si>
  <si>
    <t>Nom des groupes</t>
  </si>
  <si>
    <t>Moy.</t>
  </si>
  <si>
    <t>Nbre de valeurs</t>
  </si>
  <si>
    <t xml:space="preserve"> + Testostérone</t>
  </si>
  <si>
    <t>Nom de l'échantillon donné par le client</t>
  </si>
  <si>
    <t>5. Expérimentateur 1 : remplissage du suivi qualité (SQ) et transmission à l'expérimenteur 2.</t>
  </si>
  <si>
    <r>
      <t xml:space="preserve">11. Expérimentateur 2 : </t>
    </r>
    <r>
      <rPr>
        <b/>
        <sz val="20"/>
        <color rgb="FFFF0000"/>
        <rFont val="Calibri"/>
        <family val="2"/>
        <scheme val="minor"/>
      </rPr>
      <t>vérifier les valeurs des écarts type. En cas de valeur abbéantes ou incohérent, consulter le référent test.</t>
    </r>
  </si>
  <si>
    <t>12. Expérimentateur 2 : réaliser les tests statistiques avec les données du pool et renseigner les résultats ainsi que le test statistique utilisé dans le tableau violet.</t>
  </si>
  <si>
    <t xml:space="preserve">13. Expérimentateur 2 : masquer les colonnes de la feuille R1 et R2 correspondant au groupe des échantilons n'ayant été lu que sur le réplica 1.  </t>
  </si>
  <si>
    <r>
      <t xml:space="preserve">14. Expérimentateur 2 : vérifier la cohérence des deux réplicas et des réplicas avec le pool à l'aide des graphiques "Graph". En cas de divergences consulter </t>
    </r>
    <r>
      <rPr>
        <b/>
        <sz val="20"/>
        <color rgb="FFFF0000"/>
        <rFont val="Calibri"/>
        <family val="2"/>
        <scheme val="minor"/>
      </rPr>
      <t>le référent test.</t>
    </r>
  </si>
  <si>
    <r>
      <t xml:space="preserve">15. Expérimentateur 2 : réaliser le calcul de l'équivalent hormonal (eqh) à l'aide </t>
    </r>
    <r>
      <rPr>
        <b/>
        <sz val="20"/>
        <color rgb="FFFF0000"/>
        <rFont val="Calibri"/>
        <family val="2"/>
        <scheme val="minor"/>
      </rPr>
      <t>du logiciel et PRISM</t>
    </r>
    <r>
      <rPr>
        <b/>
        <sz val="20"/>
        <color theme="1"/>
        <rFont val="Calibri"/>
        <family val="2"/>
        <scheme val="minor"/>
      </rPr>
      <t>. Seules les moyennes des témoins, des échantillons non dopées apparraissant en vert et les moyennes des échantillons dopées étant statiquement différentes des témoins (*, **, ***) pourrons être calculées en eqh. Se reporter à l'onglet "summary results".</t>
    </r>
  </si>
  <si>
    <t>10. Expérimentateur 2 : vérifier que le calcul des ratio s'affiche en vert.</t>
  </si>
  <si>
    <t>Evian/EE2 488 ng /L &gt;=</t>
  </si>
  <si>
    <t>18. Expérimentateur 2 : transmission des résultats avec le SQ rempli au responsable du laboratoire.</t>
  </si>
  <si>
    <t>Ratio à atteindre</t>
  </si>
  <si>
    <t>Evian/Testo + EE2 64 ng/L &gt;=</t>
  </si>
  <si>
    <t>Evian/ Testo + FAD &lt;=</t>
  </si>
  <si>
    <t>Valeur fluo extrapolée</t>
  </si>
  <si>
    <t>Dilution</t>
  </si>
  <si>
    <t>EqH Extrapolation à 100%</t>
  </si>
  <si>
    <t xml:space="preserve">% atteinte du seuil </t>
  </si>
  <si>
    <t>Valeur échelle</t>
  </si>
  <si>
    <t>Etiquette</t>
  </si>
  <si>
    <t>Evian</t>
  </si>
  <si>
    <t>EE2 64ng/l</t>
  </si>
  <si>
    <t>Testostérone</t>
  </si>
  <si>
    <t>Testostérone+EE2</t>
  </si>
  <si>
    <t>Testostérone+FAD</t>
  </si>
  <si>
    <t>Unité</t>
  </si>
  <si>
    <t>Numéro ligne</t>
  </si>
  <si>
    <t>Valeur du seuil de référence</t>
  </si>
  <si>
    <t>Dopage (+Testostérone / + EE2, ….)</t>
  </si>
  <si>
    <t>% induction</t>
  </si>
  <si>
    <t>Résultat stat si NS</t>
  </si>
  <si>
    <t>Test de normalité : valeur du p</t>
  </si>
  <si>
    <t>Test statistique utilisé</t>
  </si>
  <si>
    <t>Test statistique : valeur du p</t>
  </si>
  <si>
    <t>Annotation</t>
  </si>
  <si>
    <t>Test de normalité : résultat normal?</t>
  </si>
  <si>
    <t>CHG-protocole</t>
  </si>
  <si>
    <t>CHG-dilution</t>
  </si>
  <si>
    <t>CHG-induction ND</t>
  </si>
  <si>
    <t>CHG-test ND</t>
  </si>
  <si>
    <t>CHG-EQH ND</t>
  </si>
  <si>
    <t>CHG-% atteinte du seuil ND</t>
  </si>
  <si>
    <t>CHG-induction D</t>
  </si>
  <si>
    <t>CHG-test D</t>
  </si>
  <si>
    <t>CHG-EQH D</t>
  </si>
  <si>
    <t>CHG-% atteinte seuil D</t>
  </si>
  <si>
    <t>CHG-Testo+EE2</t>
  </si>
  <si>
    <t>CHG-Testo+Fad</t>
  </si>
  <si>
    <t>Liste groupes dopés</t>
  </si>
  <si>
    <t>Liste groupes non dopés</t>
  </si>
  <si>
    <t>Étiquettes de lignes</t>
  </si>
  <si>
    <t>0-00 + Testostérone</t>
  </si>
  <si>
    <t>Nom ND</t>
  </si>
  <si>
    <t>Nom D</t>
  </si>
  <si>
    <t xml:space="preserve">16. Expérimentateur 2 : copier et coller les résultats obtenus dans prisme selon l'ordre défini. </t>
  </si>
  <si>
    <t xml:space="preserve">17. Expérimentateur 2: </t>
  </si>
  <si>
    <t>(vide)</t>
  </si>
  <si>
    <t>Nom groupe</t>
  </si>
  <si>
    <t>N° de valeur</t>
  </si>
  <si>
    <t>file name</t>
  </si>
  <si>
    <t xml:space="preserve"> total area </t>
  </si>
  <si>
    <t xml:space="preserve"> mean intensity </t>
  </si>
  <si>
    <t xml:space="preserve"> </t>
  </si>
  <si>
    <t xml:space="preserve"> total fluorescence</t>
  </si>
  <si>
    <t>Étiquettes de colonnes</t>
  </si>
  <si>
    <t>Numéro d'expérience :</t>
  </si>
  <si>
    <t>Rep3</t>
  </si>
  <si>
    <t xml:space="preserve">         </t>
  </si>
  <si>
    <t>nbre de larves</t>
  </si>
  <si>
    <t>(Tous)</t>
  </si>
  <si>
    <t>Filtre lignes : Enlever (vide) et Néant</t>
  </si>
  <si>
    <t>Filtre colonnes : Enlever (vide) et "    "</t>
  </si>
  <si>
    <t>Tous les groupes du gamme sont normale?</t>
  </si>
  <si>
    <t>Témoin</t>
  </si>
  <si>
    <t>ng/L</t>
  </si>
  <si>
    <t>Témoin solvant</t>
  </si>
  <si>
    <t>EE2</t>
  </si>
  <si>
    <t>µg/L</t>
  </si>
  <si>
    <t xml:space="preserve">Testo 30µg/L + EE2 </t>
  </si>
  <si>
    <t>Testo 30µg/L + FAD</t>
  </si>
  <si>
    <t>(Plusieurs éléments)</t>
  </si>
  <si>
    <t>Description</t>
  </si>
  <si>
    <t>Problème</t>
  </si>
  <si>
    <t>Diminution de fluo en non dopé</t>
  </si>
  <si>
    <t>Impossible de calculer un EQH et pas de seuil déterminé donc impossible d'évaluer si l'échantillon dépasse un seuil</t>
  </si>
  <si>
    <t>Non calculable</t>
  </si>
  <si>
    <t>% de variation de fluo</t>
  </si>
  <si>
    <t>% atteinte du seuil RAPPORT</t>
  </si>
  <si>
    <t>EqH RAPPORT</t>
  </si>
  <si>
    <t>Valeur échelle sur graphique RAPPORT</t>
  </si>
  <si>
    <t>EqH BASE DE DONNEES</t>
  </si>
  <si>
    <t>% BASE DE DONNEES</t>
  </si>
  <si>
    <t>Mettre le % de variation de fluo avec un renvoi: "*: variation de fluorescence non-calibrée"</t>
  </si>
  <si>
    <t xml:space="preserve">C:\Users\Olympus\Desktop\20190122\plaque1/@01 EE2 0/A1_1.tif </t>
  </si>
  <si>
    <t xml:space="preserve">C:\Users\Olympus\Desktop\20190122\plaque1/@01 EE2 0/A1_2.tif </t>
  </si>
  <si>
    <t xml:space="preserve">C:\Users\Olympus\Desktop\20190122\plaque1/@01 EE2 0/A1_3.tif </t>
  </si>
  <si>
    <t xml:space="preserve"> 4931.616 </t>
  </si>
  <si>
    <t xml:space="preserve"> 73.0526 </t>
  </si>
  <si>
    <t xml:space="preserve"> 5234.4345 </t>
  </si>
  <si>
    <t xml:space="preserve"> 71.1281 </t>
  </si>
  <si>
    <t xml:space="preserve"> 3547.3027 </t>
  </si>
  <si>
    <t xml:space="preserve"> 66.9878 </t>
  </si>
  <si>
    <t>01 EE2 0</t>
  </si>
  <si>
    <t>Moyenne de  total fluorescence</t>
  </si>
  <si>
    <t xml:space="preserve">C:\Users\Olympus\Desktop\20190122\plaque3/@01 EE2 0/A1_1.tif </t>
  </si>
  <si>
    <t xml:space="preserve"> 15984.4921 </t>
  </si>
  <si>
    <t xml:space="preserve"> 69.7767 </t>
  </si>
  <si>
    <t xml:space="preserve">C:\Users\Olympus\Desktop\20190122\plaque3/@01 EE2 0/A1_2.tif </t>
  </si>
  <si>
    <t xml:space="preserve"> 21586.6348 </t>
  </si>
  <si>
    <t xml:space="preserve"> 66.4108 </t>
  </si>
  <si>
    <t xml:space="preserve">C:\Users\Olympus\Desktop\20190122\plaque3/@01 EE2 0/A1_3.tif </t>
  </si>
  <si>
    <t xml:space="preserve"> 21456.8555 </t>
  </si>
  <si>
    <t xml:space="preserve"> 67.0655 </t>
  </si>
  <si>
    <t>A</t>
  </si>
  <si>
    <t>#VALEUR!</t>
  </si>
  <si>
    <t>n'utilisez pas cette ligne SVP</t>
  </si>
  <si>
    <t>Test</t>
  </si>
  <si>
    <t>mg/L</t>
  </si>
  <si>
    <t>Dutasteride</t>
  </si>
  <si>
    <t>ns</t>
  </si>
  <si>
    <t>&gt;0,99</t>
  </si>
  <si>
    <t>**</t>
  </si>
  <si>
    <t>***</t>
  </si>
  <si>
    <t>&lt;0,001</t>
  </si>
  <si>
    <t>*</t>
  </si>
  <si>
    <t>Kruskal-Wallis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</si>
</sst>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9" x14ac:knownFonts="1">
    <font>
      <sz val="11"/>
      <color theme="1"/>
      <name val="Calibri"/>
      <family val="2"/>
      <scheme val="minor"/>
    </font>
    <font>
      <b/>
      <sz val="11"/>
      <color theme="1"/>
      <name val="Calibri"/>
      <family val="2"/>
      <scheme val="minor"/>
    </font>
    <font>
      <sz val="13"/>
      <name val="Arial"/>
      <family val="2"/>
    </font>
    <font>
      <sz val="16"/>
      <color theme="1"/>
      <name val="Calibri"/>
      <family val="2"/>
      <scheme val="minor"/>
    </font>
    <font>
      <sz val="10"/>
      <name val="Arial"/>
      <family val="2"/>
    </font>
    <font>
      <b/>
      <sz val="16"/>
      <color theme="1"/>
      <name val="Calibri"/>
      <family val="2"/>
      <scheme val="minor"/>
    </font>
    <font>
      <sz val="11"/>
      <name val="Calibri"/>
      <family val="2"/>
      <scheme val="minor"/>
    </font>
    <font>
      <b/>
      <sz val="20"/>
      <color theme="1"/>
      <name val="Calibri"/>
      <family val="2"/>
      <scheme val="minor"/>
    </font>
    <font>
      <sz val="12"/>
      <color theme="1"/>
      <name val="Calibri"/>
      <family val="2"/>
      <scheme val="minor"/>
    </font>
    <font>
      <b/>
      <sz val="20"/>
      <color rgb="FFFF0000"/>
      <name val="Calibri"/>
      <family val="2"/>
      <scheme val="minor"/>
    </font>
    <font>
      <b/>
      <sz val="9"/>
      <color indexed="81"/>
      <name val="Tahoma"/>
      <family val="2"/>
    </font>
    <font>
      <sz val="11"/>
      <color theme="1"/>
      <name val="Calibri"/>
      <family val="2"/>
      <scheme val="minor"/>
    </font>
    <font>
      <b/>
      <sz val="12"/>
      <color theme="1"/>
      <name val="Calibri"/>
      <family val="2"/>
      <scheme val="minor"/>
    </font>
    <font>
      <sz val="12"/>
      <name val="Calibri"/>
      <family val="2"/>
      <scheme val="minor"/>
    </font>
    <font>
      <sz val="12"/>
      <name val="Arial"/>
      <family val="2"/>
    </font>
    <font>
      <b/>
      <sz val="12"/>
      <name val="Calibri"/>
      <family val="2"/>
      <scheme val="minor"/>
    </font>
    <font>
      <b/>
      <sz val="11"/>
      <name val="Calibri"/>
      <family val="2"/>
      <scheme val="minor"/>
    </font>
    <font>
      <sz val="11"/>
      <color rgb="FFFF0000"/>
      <name val="Calibri"/>
      <family val="2"/>
      <scheme val="minor"/>
    </font>
    <font>
      <b/>
      <sz val="11"/>
      <color rgb="FFFF0000"/>
      <name val="Calibri"/>
      <family val="2"/>
      <scheme val="minor"/>
    </font>
  </fonts>
  <fills count="21">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
      <patternFill patternType="solid">
        <fgColor theme="3" tint="0.79998168889431442"/>
        <bgColor indexed="64"/>
      </patternFill>
    </fill>
    <fill>
      <patternFill patternType="solid">
        <fgColor rgb="FF00B050"/>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bgColor indexed="64"/>
      </patternFill>
    </fill>
    <fill>
      <patternFill patternType="solid">
        <fgColor theme="6" tint="0.39997558519241921"/>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theme="6" tint="0.59999389629810485"/>
        <bgColor indexed="64"/>
      </patternFill>
    </fill>
    <fill>
      <patternFill patternType="solid">
        <fgColor theme="1"/>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4" tint="0.59999389629810485"/>
        <bgColor indexed="64"/>
      </patternFill>
    </fill>
    <fill>
      <patternFill patternType="solid">
        <fgColor rgb="FFFFC000"/>
        <bgColor indexed="64"/>
      </patternFill>
    </fill>
    <fill>
      <patternFill patternType="solid">
        <fgColor theme="0" tint="-0.14999847407452621"/>
        <bgColor theme="0" tint="-0.14999847407452621"/>
      </patternFill>
    </fill>
  </fills>
  <borders count="4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right style="thin">
        <color indexed="64"/>
      </right>
      <top style="medium">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diagonal/>
    </border>
    <border>
      <left/>
      <right style="medium">
        <color indexed="64"/>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right/>
      <top style="medium">
        <color indexed="64"/>
      </top>
      <bottom/>
      <diagonal/>
    </border>
    <border>
      <left/>
      <right style="medium">
        <color indexed="64"/>
      </right>
      <top/>
      <bottom/>
      <diagonal/>
    </border>
    <border>
      <left/>
      <right style="thin">
        <color auto="1"/>
      </right>
      <top/>
      <bottom style="thin">
        <color auto="1"/>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medium">
        <color indexed="64"/>
      </top>
      <bottom/>
      <diagonal/>
    </border>
    <border>
      <left style="thin">
        <color indexed="64"/>
      </left>
      <right style="thin">
        <color indexed="64"/>
      </right>
      <top style="thin">
        <color theme="1"/>
      </top>
      <bottom style="medium">
        <color theme="1"/>
      </bottom>
      <diagonal/>
    </border>
    <border>
      <left style="thin">
        <color theme="1"/>
      </left>
      <right style="thin">
        <color theme="1"/>
      </right>
      <top style="thin">
        <color theme="1"/>
      </top>
      <bottom style="medium">
        <color theme="1"/>
      </bottom>
      <diagonal/>
    </border>
    <border>
      <left style="thin">
        <color theme="1"/>
      </left>
      <right style="thin">
        <color theme="1"/>
      </right>
      <top style="thin">
        <color theme="1"/>
      </top>
      <bottom style="thin">
        <color theme="1"/>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theme="1"/>
      </left>
      <right style="thin">
        <color theme="1"/>
      </right>
      <top/>
      <bottom/>
      <diagonal/>
    </border>
    <border>
      <left/>
      <right style="thin">
        <color theme="1"/>
      </right>
      <top style="thin">
        <color theme="1"/>
      </top>
      <bottom style="medium">
        <color theme="1"/>
      </bottom>
      <diagonal/>
    </border>
    <border>
      <left/>
      <right style="thin">
        <color theme="1"/>
      </right>
      <top style="thin">
        <color theme="1"/>
      </top>
      <bottom style="thin">
        <color theme="1"/>
      </bottom>
      <diagonal/>
    </border>
    <border>
      <left style="thin">
        <color theme="1"/>
      </left>
      <right/>
      <top/>
      <bottom/>
      <diagonal/>
    </border>
    <border>
      <left/>
      <right style="thin">
        <color indexed="64"/>
      </right>
      <top style="medium">
        <color indexed="64"/>
      </top>
      <bottom/>
      <diagonal/>
    </border>
  </borders>
  <cellStyleXfs count="8">
    <xf numFmtId="0" fontId="0" fillId="0" borderId="0"/>
    <xf numFmtId="0" fontId="4" fillId="0" borderId="0"/>
    <xf numFmtId="0" fontId="8" fillId="0" borderId="0"/>
    <xf numFmtId="0" fontId="4" fillId="0" borderId="0"/>
    <xf numFmtId="0" fontId="8" fillId="0" borderId="0"/>
    <xf numFmtId="0" fontId="4" fillId="0" borderId="0"/>
    <xf numFmtId="0" fontId="8" fillId="0" borderId="0"/>
    <xf numFmtId="9" fontId="11" fillId="0" borderId="0" applyFont="0" applyFill="0" applyBorder="0" applyAlignment="0" applyProtection="0"/>
  </cellStyleXfs>
  <cellXfs count="232">
    <xf numFmtId="0" fontId="0" fillId="0" borderId="0" xfId="0"/>
    <xf numFmtId="0" fontId="0" fillId="0" borderId="0" xfId="0"/>
    <xf numFmtId="0" fontId="1" fillId="0" borderId="0" xfId="0" applyFont="1"/>
    <xf numFmtId="0" fontId="0" fillId="0" borderId="0" xfId="0" applyAlignment="1">
      <alignment horizontal="center"/>
    </xf>
    <xf numFmtId="0" fontId="0" fillId="0" borderId="1" xfId="0" applyBorder="1" applyAlignment="1">
      <alignment horizontal="center"/>
    </xf>
    <xf numFmtId="1" fontId="0" fillId="0" borderId="0" xfId="0" applyNumberFormat="1" applyAlignment="1">
      <alignment horizontal="center"/>
    </xf>
    <xf numFmtId="0" fontId="0" fillId="0" borderId="2" xfId="0" applyBorder="1" applyAlignment="1">
      <alignment horizontal="center"/>
    </xf>
    <xf numFmtId="0" fontId="0" fillId="0" borderId="0" xfId="0" applyBorder="1" applyAlignment="1">
      <alignment horizontal="center"/>
    </xf>
    <xf numFmtId="164" fontId="0" fillId="0" borderId="0" xfId="0" applyNumberFormat="1" applyAlignment="1">
      <alignment horizontal="center"/>
    </xf>
    <xf numFmtId="2" fontId="0" fillId="5" borderId="0" xfId="0" applyNumberFormat="1" applyFill="1" applyAlignment="1">
      <alignment horizontal="center"/>
    </xf>
    <xf numFmtId="164" fontId="0" fillId="5" borderId="0" xfId="0" applyNumberFormat="1" applyFill="1" applyAlignment="1">
      <alignment horizontal="center"/>
    </xf>
    <xf numFmtId="164" fontId="0" fillId="0" borderId="1" xfId="0" applyNumberFormat="1" applyBorder="1" applyAlignment="1">
      <alignment horizontal="center"/>
    </xf>
    <xf numFmtId="0" fontId="2" fillId="0" borderId="0" xfId="0" applyFont="1"/>
    <xf numFmtId="0" fontId="0" fillId="0" borderId="1" xfId="0" applyBorder="1"/>
    <xf numFmtId="0" fontId="2" fillId="0" borderId="1" xfId="0" applyFont="1" applyBorder="1"/>
    <xf numFmtId="0" fontId="0" fillId="0" borderId="0" xfId="0" applyFont="1" applyAlignment="1">
      <alignment horizontal="center"/>
    </xf>
    <xf numFmtId="0" fontId="0" fillId="0" borderId="1" xfId="0" applyBorder="1" applyAlignment="1">
      <alignment horizontal="center"/>
    </xf>
    <xf numFmtId="0" fontId="4" fillId="0" borderId="0" xfId="1"/>
    <xf numFmtId="0" fontId="4" fillId="6" borderId="0" xfId="1" applyFill="1"/>
    <xf numFmtId="0" fontId="4" fillId="2" borderId="0" xfId="1" applyFill="1"/>
    <xf numFmtId="0" fontId="4" fillId="7" borderId="0" xfId="1" applyFill="1"/>
    <xf numFmtId="0" fontId="4" fillId="0" borderId="0" xfId="1" applyFill="1" applyBorder="1"/>
    <xf numFmtId="0" fontId="4" fillId="6" borderId="0" xfId="1" applyFill="1" applyBorder="1"/>
    <xf numFmtId="0" fontId="4" fillId="0" borderId="0" xfId="1" applyFont="1"/>
    <xf numFmtId="0" fontId="4" fillId="6" borderId="0" xfId="1" applyNumberFormat="1" applyFill="1" applyBorder="1"/>
    <xf numFmtId="0" fontId="4" fillId="7" borderId="0" xfId="1" applyNumberFormat="1" applyFill="1"/>
    <xf numFmtId="0" fontId="4" fillId="0" borderId="0" xfId="1" applyFill="1"/>
    <xf numFmtId="0" fontId="4" fillId="6" borderId="0" xfId="1" applyNumberFormat="1" applyFill="1"/>
    <xf numFmtId="0" fontId="4" fillId="0" borderId="0" xfId="1" applyFont="1" applyFill="1" applyBorder="1"/>
    <xf numFmtId="0" fontId="4" fillId="6" borderId="0" xfId="1" applyNumberFormat="1" applyFont="1" applyFill="1" applyBorder="1"/>
    <xf numFmtId="14" fontId="4" fillId="0" borderId="0" xfId="1" applyNumberFormat="1" applyFont="1"/>
    <xf numFmtId="14" fontId="4" fillId="0" borderId="0" xfId="1" applyNumberFormat="1"/>
    <xf numFmtId="0" fontId="0" fillId="0" borderId="1" xfId="0" applyBorder="1" applyAlignment="1">
      <alignment horizontal="center"/>
    </xf>
    <xf numFmtId="0" fontId="0" fillId="0" borderId="0" xfId="0" applyBorder="1"/>
    <xf numFmtId="0" fontId="0" fillId="9" borderId="1" xfId="0" applyFill="1" applyBorder="1" applyAlignment="1">
      <alignment horizontal="center"/>
    </xf>
    <xf numFmtId="0" fontId="0" fillId="9" borderId="12" xfId="0" applyFill="1" applyBorder="1" applyAlignment="1">
      <alignment horizontal="center"/>
    </xf>
    <xf numFmtId="0" fontId="0" fillId="11" borderId="12" xfId="0" applyFill="1" applyBorder="1" applyAlignment="1">
      <alignment horizontal="center"/>
    </xf>
    <xf numFmtId="0" fontId="5" fillId="0" borderId="7" xfId="0" applyFont="1" applyBorder="1" applyAlignment="1">
      <alignment vertical="center"/>
    </xf>
    <xf numFmtId="0" fontId="5" fillId="0" borderId="6" xfId="0" applyFont="1" applyBorder="1" applyAlignment="1">
      <alignment vertical="center" wrapText="1"/>
    </xf>
    <xf numFmtId="0" fontId="1" fillId="4" borderId="3" xfId="0" applyFont="1" applyFill="1" applyBorder="1" applyAlignment="1">
      <alignment horizontal="center"/>
    </xf>
    <xf numFmtId="0" fontId="3" fillId="0" borderId="15" xfId="0" applyFont="1" applyBorder="1" applyAlignment="1">
      <alignment vertical="center"/>
    </xf>
    <xf numFmtId="0" fontId="0" fillId="0" borderId="0" xfId="0" applyFont="1"/>
    <xf numFmtId="0" fontId="3" fillId="0" borderId="9" xfId="0" applyNumberFormat="1" applyFont="1" applyBorder="1" applyAlignment="1">
      <alignment vertical="center"/>
    </xf>
    <xf numFmtId="0" fontId="3" fillId="0" borderId="1" xfId="0" applyNumberFormat="1" applyFont="1" applyBorder="1" applyAlignment="1">
      <alignment vertical="center"/>
    </xf>
    <xf numFmtId="0" fontId="0" fillId="0" borderId="0" xfId="0" applyNumberFormat="1"/>
    <xf numFmtId="0" fontId="0" fillId="7" borderId="8" xfId="0" applyFill="1" applyBorder="1" applyAlignment="1">
      <alignment horizontal="center"/>
    </xf>
    <xf numFmtId="0" fontId="0" fillId="7" borderId="9" xfId="0" applyFill="1" applyBorder="1" applyAlignment="1">
      <alignment horizontal="center"/>
    </xf>
    <xf numFmtId="0" fontId="0" fillId="7" borderId="23" xfId="0" applyFill="1" applyBorder="1"/>
    <xf numFmtId="0" fontId="0" fillId="0" borderId="0" xfId="0" applyAlignment="1">
      <alignment vertical="center"/>
    </xf>
    <xf numFmtId="164" fontId="7" fillId="12" borderId="7" xfId="0" applyNumberFormat="1" applyFont="1" applyFill="1" applyBorder="1" applyAlignment="1">
      <alignment horizontal="left" vertical="center"/>
    </xf>
    <xf numFmtId="164" fontId="7" fillId="12" borderId="6" xfId="0" applyNumberFormat="1" applyFont="1" applyFill="1" applyBorder="1" applyAlignment="1">
      <alignment horizontal="left" vertical="center"/>
    </xf>
    <xf numFmtId="0" fontId="1" fillId="0" borderId="0" xfId="0" applyFont="1" applyAlignment="1">
      <alignment horizontal="center"/>
    </xf>
    <xf numFmtId="0" fontId="3" fillId="14" borderId="26" xfId="0" applyFont="1" applyFill="1" applyBorder="1" applyAlignment="1">
      <alignment vertical="center"/>
    </xf>
    <xf numFmtId="164" fontId="0" fillId="3" borderId="1" xfId="0" applyNumberFormat="1" applyFill="1" applyBorder="1" applyAlignment="1">
      <alignment horizontal="center"/>
    </xf>
    <xf numFmtId="164" fontId="0" fillId="4" borderId="1" xfId="0" applyNumberFormat="1" applyFill="1" applyBorder="1" applyAlignment="1">
      <alignment horizontal="center"/>
    </xf>
    <xf numFmtId="0" fontId="5" fillId="0" borderId="6" xfId="0" applyFont="1" applyBorder="1" applyAlignment="1">
      <alignment vertical="center"/>
    </xf>
    <xf numFmtId="0" fontId="5" fillId="0" borderId="6" xfId="0" applyFont="1" applyBorder="1" applyAlignment="1">
      <alignment horizontal="center" vertical="center"/>
    </xf>
    <xf numFmtId="0" fontId="0" fillId="0" borderId="6" xfId="0" applyBorder="1"/>
    <xf numFmtId="49" fontId="0" fillId="0" borderId="0" xfId="0" applyNumberFormat="1" applyFill="1" applyBorder="1" applyAlignment="1">
      <alignment horizontal="center"/>
    </xf>
    <xf numFmtId="164" fontId="0" fillId="0" borderId="0" xfId="0" applyNumberFormat="1" applyFill="1" applyBorder="1" applyAlignment="1">
      <alignment horizontal="center"/>
    </xf>
    <xf numFmtId="0" fontId="0" fillId="0" borderId="0" xfId="0" applyFill="1"/>
    <xf numFmtId="164" fontId="0" fillId="7" borderId="10" xfId="0" applyNumberFormat="1" applyFill="1" applyBorder="1" applyAlignment="1">
      <alignment horizontal="center"/>
    </xf>
    <xf numFmtId="164" fontId="0" fillId="7" borderId="18" xfId="0" applyNumberFormat="1" applyFill="1" applyBorder="1" applyAlignment="1">
      <alignment horizontal="center"/>
    </xf>
    <xf numFmtId="2" fontId="4" fillId="0" borderId="0" xfId="1" applyNumberFormat="1" applyFill="1"/>
    <xf numFmtId="0" fontId="3" fillId="8" borderId="2" xfId="0" applyNumberFormat="1" applyFont="1" applyFill="1" applyBorder="1" applyAlignment="1">
      <alignment horizontal="center" vertical="center" wrapText="1"/>
    </xf>
    <xf numFmtId="0" fontId="3" fillId="0" borderId="3" xfId="0" applyFont="1" applyBorder="1" applyAlignment="1">
      <alignment vertical="center"/>
    </xf>
    <xf numFmtId="0" fontId="1" fillId="0" borderId="0" xfId="0" applyFont="1" applyBorder="1" applyAlignment="1">
      <alignment horizontal="center" vertical="center"/>
    </xf>
    <xf numFmtId="0" fontId="2" fillId="0" borderId="0" xfId="0" applyFont="1" applyBorder="1"/>
    <xf numFmtId="0" fontId="6" fillId="0" borderId="0" xfId="0" applyFont="1" applyAlignment="1">
      <alignment horizontal="center"/>
    </xf>
    <xf numFmtId="0" fontId="6" fillId="0" borderId="0" xfId="0" applyFont="1"/>
    <xf numFmtId="0" fontId="6" fillId="0" borderId="0" xfId="0" applyFont="1" applyBorder="1" applyAlignment="1">
      <alignment horizontal="center"/>
    </xf>
    <xf numFmtId="0" fontId="1" fillId="3" borderId="1" xfId="0" applyFont="1" applyFill="1" applyBorder="1" applyAlignment="1">
      <alignment horizontal="center"/>
    </xf>
    <xf numFmtId="0" fontId="1" fillId="10" borderId="0" xfId="0" applyFont="1" applyFill="1" applyBorder="1" applyAlignment="1">
      <alignment vertical="center"/>
    </xf>
    <xf numFmtId="0" fontId="3" fillId="0" borderId="4" xfId="0" applyFont="1" applyBorder="1" applyAlignment="1">
      <alignment vertical="center"/>
    </xf>
    <xf numFmtId="0" fontId="3" fillId="14" borderId="3" xfId="0" applyFont="1" applyFill="1" applyBorder="1" applyAlignment="1">
      <alignment vertical="center"/>
    </xf>
    <xf numFmtId="2" fontId="3" fillId="8" borderId="2" xfId="0" applyNumberFormat="1" applyFont="1" applyFill="1" applyBorder="1" applyAlignment="1">
      <alignment horizontal="center" vertical="center" wrapText="1"/>
    </xf>
    <xf numFmtId="0" fontId="8" fillId="0" borderId="0" xfId="0" applyFont="1"/>
    <xf numFmtId="0" fontId="8" fillId="0" borderId="0" xfId="0" applyFont="1" applyAlignment="1">
      <alignment horizontal="center"/>
    </xf>
    <xf numFmtId="0" fontId="8" fillId="0" borderId="0" xfId="0" applyFont="1" applyFill="1"/>
    <xf numFmtId="0" fontId="13" fillId="0" borderId="1" xfId="0" applyFont="1" applyFill="1" applyBorder="1"/>
    <xf numFmtId="0" fontId="12" fillId="0" borderId="1" xfId="0" applyFont="1" applyFill="1" applyBorder="1" applyAlignment="1">
      <alignment horizontal="center"/>
    </xf>
    <xf numFmtId="0" fontId="8" fillId="15" borderId="1" xfId="0" applyFont="1" applyFill="1" applyBorder="1"/>
    <xf numFmtId="0" fontId="8" fillId="0" borderId="1" xfId="0" applyFont="1" applyFill="1" applyBorder="1" applyAlignment="1">
      <alignment horizontal="center"/>
    </xf>
    <xf numFmtId="2" fontId="13" fillId="0" borderId="1" xfId="0" applyNumberFormat="1" applyFont="1" applyFill="1" applyBorder="1" applyAlignment="1">
      <alignment horizontal="left"/>
    </xf>
    <xf numFmtId="0" fontId="14" fillId="0" borderId="1" xfId="0" applyFont="1" applyFill="1" applyBorder="1"/>
    <xf numFmtId="2" fontId="8" fillId="0" borderId="1" xfId="0" applyNumberFormat="1" applyFont="1" applyFill="1" applyBorder="1"/>
    <xf numFmtId="0" fontId="8" fillId="0" borderId="1" xfId="0" applyFont="1" applyFill="1" applyBorder="1"/>
    <xf numFmtId="0" fontId="12" fillId="0" borderId="1" xfId="0" applyFont="1" applyFill="1" applyBorder="1" applyAlignment="1">
      <alignment horizontal="center" vertical="center" wrapText="1"/>
    </xf>
    <xf numFmtId="0" fontId="12" fillId="0" borderId="1" xfId="0" applyFont="1" applyFill="1" applyBorder="1" applyAlignment="1">
      <alignment vertical="center" wrapText="1"/>
    </xf>
    <xf numFmtId="0" fontId="8" fillId="0" borderId="1" xfId="0" applyFont="1" applyBorder="1" applyAlignment="1">
      <alignment horizontal="center" vertical="center"/>
    </xf>
    <xf numFmtId="0" fontId="13" fillId="15" borderId="1" xfId="0" applyFont="1" applyFill="1" applyBorder="1"/>
    <xf numFmtId="0" fontId="8" fillId="15" borderId="32" xfId="0" applyFont="1" applyFill="1" applyBorder="1"/>
    <xf numFmtId="0" fontId="8" fillId="9" borderId="32" xfId="0" applyFont="1" applyFill="1" applyBorder="1"/>
    <xf numFmtId="0" fontId="13" fillId="17" borderId="1" xfId="0" applyFont="1" applyFill="1" applyBorder="1"/>
    <xf numFmtId="0" fontId="12" fillId="0" borderId="1" xfId="0" applyFont="1" applyBorder="1" applyAlignment="1">
      <alignment horizontal="center" vertical="center" wrapText="1"/>
    </xf>
    <xf numFmtId="0" fontId="12" fillId="0" borderId="30" xfId="0" applyFont="1" applyBorder="1" applyAlignment="1">
      <alignment horizontal="center" vertical="center" wrapText="1"/>
    </xf>
    <xf numFmtId="0" fontId="12" fillId="0" borderId="31" xfId="0" applyFont="1" applyBorder="1" applyAlignment="1">
      <alignment horizontal="center" vertical="center" wrapText="1"/>
    </xf>
    <xf numFmtId="0" fontId="13" fillId="16" borderId="1" xfId="0" applyFont="1" applyFill="1" applyBorder="1" applyAlignment="1">
      <alignment horizontal="center"/>
    </xf>
    <xf numFmtId="0" fontId="8" fillId="0" borderId="1" xfId="0" applyNumberFormat="1" applyFont="1" applyFill="1" applyBorder="1" applyAlignment="1">
      <alignment horizontal="center"/>
    </xf>
    <xf numFmtId="0" fontId="13" fillId="0" borderId="1" xfId="0" applyNumberFormat="1" applyFont="1" applyFill="1" applyBorder="1" applyAlignment="1">
      <alignment horizontal="center"/>
    </xf>
    <xf numFmtId="2" fontId="3" fillId="8" borderId="21" xfId="0" applyNumberFormat="1" applyFont="1" applyFill="1" applyBorder="1" applyAlignment="1">
      <alignment horizontal="center" vertical="center" wrapText="1"/>
    </xf>
    <xf numFmtId="0" fontId="3" fillId="0" borderId="25" xfId="0" applyFont="1" applyBorder="1" applyAlignment="1">
      <alignment vertical="center"/>
    </xf>
    <xf numFmtId="0" fontId="3" fillId="14" borderId="13" xfId="0" applyFont="1" applyFill="1" applyBorder="1" applyAlignment="1">
      <alignment vertical="center"/>
    </xf>
    <xf numFmtId="0" fontId="3" fillId="14" borderId="15" xfId="0" applyFont="1" applyFill="1" applyBorder="1" applyAlignment="1">
      <alignment vertical="center"/>
    </xf>
    <xf numFmtId="0" fontId="3" fillId="14" borderId="4" xfId="0" applyFont="1" applyFill="1" applyBorder="1" applyAlignment="1">
      <alignment vertical="center"/>
    </xf>
    <xf numFmtId="0" fontId="3" fillId="0" borderId="1" xfId="0" applyNumberFormat="1" applyFont="1" applyBorder="1" applyAlignment="1">
      <alignment horizontal="center" vertical="center"/>
    </xf>
    <xf numFmtId="0" fontId="3" fillId="14" borderId="9" xfId="0" applyNumberFormat="1" applyFont="1" applyFill="1" applyBorder="1" applyAlignment="1">
      <alignment horizontal="center" vertical="center"/>
    </xf>
    <xf numFmtId="0" fontId="3" fillId="14" borderId="1" xfId="0" applyNumberFormat="1" applyFont="1" applyFill="1" applyBorder="1" applyAlignment="1">
      <alignment horizontal="center" vertical="center"/>
    </xf>
    <xf numFmtId="0" fontId="3" fillId="8" borderId="0" xfId="0" applyFont="1" applyFill="1" applyBorder="1" applyAlignment="1">
      <alignment horizontal="center" vertical="center"/>
    </xf>
    <xf numFmtId="0" fontId="3" fillId="0" borderId="0" xfId="0" applyFont="1"/>
    <xf numFmtId="0" fontId="3" fillId="0" borderId="0" xfId="0" applyFont="1" applyFill="1" applyBorder="1" applyAlignment="1">
      <alignment vertical="center"/>
    </xf>
    <xf numFmtId="0" fontId="3" fillId="0" borderId="0" xfId="0" applyFont="1" applyAlignment="1">
      <alignment vertical="center"/>
    </xf>
    <xf numFmtId="0" fontId="3" fillId="14" borderId="23" xfId="0" applyFont="1" applyFill="1" applyBorder="1" applyAlignment="1">
      <alignment vertical="center"/>
    </xf>
    <xf numFmtId="0" fontId="3" fillId="14" borderId="0" xfId="0" applyFont="1" applyFill="1" applyBorder="1" applyAlignment="1">
      <alignment vertical="center"/>
    </xf>
    <xf numFmtId="0" fontId="3" fillId="0" borderId="3" xfId="0" applyNumberFormat="1" applyFont="1" applyBorder="1" applyAlignment="1">
      <alignment horizontal="center" vertical="center"/>
    </xf>
    <xf numFmtId="0" fontId="3" fillId="0" borderId="4" xfId="0" applyNumberFormat="1" applyFont="1" applyBorder="1" applyAlignment="1">
      <alignment horizontal="center" vertical="center"/>
    </xf>
    <xf numFmtId="0" fontId="3" fillId="14" borderId="26" xfId="0" applyNumberFormat="1" applyFont="1" applyFill="1" applyBorder="1" applyAlignment="1">
      <alignment horizontal="center" vertical="center"/>
    </xf>
    <xf numFmtId="0" fontId="3" fillId="14" borderId="3" xfId="0" applyNumberFormat="1" applyFont="1" applyFill="1" applyBorder="1" applyAlignment="1">
      <alignment horizontal="center" vertical="center"/>
    </xf>
    <xf numFmtId="0" fontId="0" fillId="0" borderId="0" xfId="0" pivotButton="1"/>
    <xf numFmtId="2" fontId="8" fillId="16" borderId="1" xfId="0" applyNumberFormat="1" applyFont="1" applyFill="1" applyBorder="1" applyAlignment="1">
      <alignment horizontal="center"/>
    </xf>
    <xf numFmtId="2" fontId="8" fillId="15" borderId="1" xfId="0" applyNumberFormat="1" applyFont="1" applyFill="1" applyBorder="1" applyAlignment="1">
      <alignment horizontal="center"/>
    </xf>
    <xf numFmtId="2" fontId="8" fillId="15" borderId="32" xfId="0" applyNumberFormat="1" applyFont="1" applyFill="1" applyBorder="1" applyAlignment="1">
      <alignment horizontal="center"/>
    </xf>
    <xf numFmtId="2" fontId="8" fillId="15" borderId="32" xfId="7" applyNumberFormat="1" applyFont="1" applyFill="1" applyBorder="1" applyAlignment="1">
      <alignment horizontal="center"/>
    </xf>
    <xf numFmtId="2" fontId="8" fillId="17" borderId="1" xfId="0" applyNumberFormat="1" applyFont="1" applyFill="1" applyBorder="1" applyAlignment="1">
      <alignment horizontal="center"/>
    </xf>
    <xf numFmtId="1" fontId="8" fillId="15" borderId="32" xfId="0" applyNumberFormat="1" applyFont="1" applyFill="1" applyBorder="1" applyAlignment="1">
      <alignment horizontal="center"/>
    </xf>
    <xf numFmtId="1" fontId="8" fillId="9" borderId="32" xfId="0" applyNumberFormat="1" applyFont="1" applyFill="1" applyBorder="1" applyAlignment="1">
      <alignment horizontal="center"/>
    </xf>
    <xf numFmtId="0" fontId="15" fillId="0" borderId="1" xfId="0" applyFont="1" applyBorder="1" applyAlignment="1">
      <alignment horizontal="center" vertical="center" wrapText="1"/>
    </xf>
    <xf numFmtId="0" fontId="13" fillId="0" borderId="1" xfId="0" applyFont="1" applyFill="1" applyBorder="1" applyAlignment="1">
      <alignment horizontal="left"/>
    </xf>
    <xf numFmtId="0" fontId="8" fillId="16" borderId="1" xfId="0" applyNumberFormat="1" applyFont="1" applyFill="1" applyBorder="1" applyAlignment="1">
      <alignment horizontal="center"/>
    </xf>
    <xf numFmtId="0" fontId="8" fillId="16" borderId="32" xfId="0" applyNumberFormat="1" applyFont="1" applyFill="1" applyBorder="1" applyAlignment="1">
      <alignment horizontal="center"/>
    </xf>
    <xf numFmtId="0" fontId="8" fillId="16" borderId="32" xfId="7" applyNumberFormat="1" applyFont="1" applyFill="1" applyBorder="1" applyAlignment="1">
      <alignment horizontal="center"/>
    </xf>
    <xf numFmtId="0" fontId="8" fillId="9" borderId="32" xfId="7" applyNumberFormat="1" applyFont="1" applyFill="1" applyBorder="1" applyAlignment="1">
      <alignment horizontal="center"/>
    </xf>
    <xf numFmtId="0" fontId="8" fillId="17" borderId="1" xfId="0" applyNumberFormat="1" applyFont="1" applyFill="1" applyBorder="1" applyAlignment="1">
      <alignment horizontal="center"/>
    </xf>
    <xf numFmtId="0" fontId="8" fillId="15" borderId="1" xfId="0" applyNumberFormat="1" applyFont="1" applyFill="1" applyBorder="1" applyAlignment="1">
      <alignment horizontal="center"/>
    </xf>
    <xf numFmtId="0" fontId="8" fillId="15" borderId="32" xfId="0" applyNumberFormat="1" applyFont="1" applyFill="1" applyBorder="1" applyAlignment="1">
      <alignment horizontal="center"/>
    </xf>
    <xf numFmtId="0" fontId="8" fillId="15" borderId="32" xfId="7" applyNumberFormat="1" applyFont="1" applyFill="1" applyBorder="1" applyAlignment="1">
      <alignment horizontal="center"/>
    </xf>
    <xf numFmtId="0" fontId="8" fillId="15" borderId="32" xfId="0" applyNumberFormat="1" applyFont="1" applyFill="1" applyBorder="1"/>
    <xf numFmtId="0" fontId="8" fillId="17" borderId="32" xfId="0" applyNumberFormat="1" applyFont="1" applyFill="1" applyBorder="1" applyAlignment="1">
      <alignment horizontal="center"/>
    </xf>
    <xf numFmtId="0" fontId="8" fillId="17" borderId="32" xfId="7" applyNumberFormat="1" applyFont="1" applyFill="1" applyBorder="1" applyAlignment="1">
      <alignment horizontal="center"/>
    </xf>
    <xf numFmtId="0" fontId="8" fillId="9" borderId="32" xfId="0" applyNumberFormat="1" applyFont="1" applyFill="1" applyBorder="1" applyAlignment="1">
      <alignment horizontal="center"/>
    </xf>
    <xf numFmtId="0" fontId="8" fillId="9" borderId="32" xfId="0" applyNumberFormat="1" applyFont="1" applyFill="1" applyBorder="1"/>
    <xf numFmtId="164" fontId="0" fillId="7" borderId="1" xfId="0" applyNumberFormat="1" applyFill="1" applyBorder="1" applyAlignment="1">
      <alignment horizontal="center"/>
    </xf>
    <xf numFmtId="0" fontId="0" fillId="7" borderId="11" xfId="0" applyFill="1" applyBorder="1" applyAlignment="1">
      <alignment horizontal="center"/>
    </xf>
    <xf numFmtId="0" fontId="16" fillId="18" borderId="31" xfId="0" applyFont="1" applyFill="1" applyBorder="1" applyAlignment="1">
      <alignment horizontal="center" vertical="center" wrapText="1"/>
    </xf>
    <xf numFmtId="13" fontId="16" fillId="18" borderId="31" xfId="0" applyNumberFormat="1" applyFont="1" applyFill="1" applyBorder="1" applyAlignment="1">
      <alignment horizontal="center" vertical="center" wrapText="1"/>
    </xf>
    <xf numFmtId="0" fontId="0" fillId="0" borderId="0" xfId="0" applyAlignment="1">
      <alignment horizontal="left"/>
    </xf>
    <xf numFmtId="0" fontId="0" fillId="18" borderId="0" xfId="0" applyFill="1" applyAlignment="1">
      <alignment horizontal="center" vertical="center" wrapText="1"/>
    </xf>
    <xf numFmtId="0" fontId="0" fillId="0" borderId="0" xfId="0" applyNumberFormat="1" applyAlignment="1">
      <alignment wrapText="1"/>
    </xf>
    <xf numFmtId="164" fontId="0" fillId="7" borderId="0" xfId="0" applyNumberFormat="1" applyFill="1" applyBorder="1" applyAlignment="1">
      <alignment horizontal="center"/>
    </xf>
    <xf numFmtId="164" fontId="0" fillId="7" borderId="15" xfId="0" applyNumberFormat="1" applyFill="1" applyBorder="1" applyAlignment="1">
      <alignment horizontal="center"/>
    </xf>
    <xf numFmtId="0" fontId="0" fillId="7" borderId="1" xfId="0" applyFill="1" applyBorder="1" applyAlignment="1">
      <alignment horizontal="center"/>
    </xf>
    <xf numFmtId="0" fontId="0" fillId="7" borderId="22" xfId="0" applyFill="1" applyBorder="1" applyAlignment="1">
      <alignment horizontal="center"/>
    </xf>
    <xf numFmtId="0" fontId="0" fillId="2" borderId="0" xfId="0" applyFill="1"/>
    <xf numFmtId="0" fontId="1" fillId="0" borderId="0" xfId="0" applyFont="1" applyAlignment="1">
      <alignment horizontal="center"/>
    </xf>
    <xf numFmtId="0" fontId="1" fillId="19" borderId="3" xfId="0" applyFont="1" applyFill="1" applyBorder="1" applyAlignment="1">
      <alignment horizontal="center"/>
    </xf>
    <xf numFmtId="164" fontId="0" fillId="19" borderId="1" xfId="0" applyNumberFormat="1" applyFill="1" applyBorder="1" applyAlignment="1">
      <alignment horizontal="center"/>
    </xf>
    <xf numFmtId="0" fontId="17" fillId="2" borderId="0" xfId="0" applyFont="1" applyFill="1"/>
    <xf numFmtId="2" fontId="3" fillId="8" borderId="2" xfId="0" applyNumberFormat="1" applyFont="1" applyFill="1" applyBorder="1" applyAlignment="1">
      <alignment horizontal="center" vertical="center"/>
    </xf>
    <xf numFmtId="0" fontId="3" fillId="14" borderId="26" xfId="0" applyFont="1" applyFill="1" applyBorder="1" applyAlignment="1">
      <alignment horizontal="center" vertical="center"/>
    </xf>
    <xf numFmtId="0" fontId="3" fillId="14" borderId="3" xfId="0" applyFont="1" applyFill="1" applyBorder="1" applyAlignment="1">
      <alignment horizontal="center" vertical="center"/>
    </xf>
    <xf numFmtId="0" fontId="0" fillId="0" borderId="0" xfId="0" applyAlignment="1"/>
    <xf numFmtId="0" fontId="3" fillId="0" borderId="3" xfId="0" applyNumberFormat="1" applyFont="1" applyFill="1" applyBorder="1" applyAlignment="1">
      <alignment vertical="center"/>
    </xf>
    <xf numFmtId="2" fontId="3" fillId="0" borderId="15" xfId="0" applyNumberFormat="1" applyFont="1" applyFill="1" applyBorder="1" applyAlignment="1">
      <alignment vertical="center"/>
    </xf>
    <xf numFmtId="0" fontId="3" fillId="0" borderId="1" xfId="0" applyNumberFormat="1" applyFont="1" applyFill="1" applyBorder="1" applyAlignment="1">
      <alignment horizontal="center" vertical="center"/>
    </xf>
    <xf numFmtId="0" fontId="3" fillId="0" borderId="3" xfId="0" applyNumberFormat="1" applyFont="1" applyFill="1" applyBorder="1" applyAlignment="1">
      <alignment horizontal="center" vertical="center"/>
    </xf>
    <xf numFmtId="2" fontId="3" fillId="0" borderId="3" xfId="0" applyNumberFormat="1" applyFont="1" applyFill="1" applyBorder="1" applyAlignment="1">
      <alignment horizontal="center" vertical="center"/>
    </xf>
    <xf numFmtId="0" fontId="3" fillId="0" borderId="0" xfId="0" applyFont="1" applyFill="1"/>
    <xf numFmtId="0" fontId="3" fillId="0" borderId="21" xfId="0" applyFont="1" applyBorder="1" applyAlignment="1">
      <alignment vertical="center"/>
    </xf>
    <xf numFmtId="0" fontId="3" fillId="0" borderId="22" xfId="0" applyNumberFormat="1" applyFont="1" applyBorder="1" applyAlignment="1">
      <alignment horizontal="center" vertical="center"/>
    </xf>
    <xf numFmtId="0" fontId="3" fillId="14" borderId="34" xfId="0" applyNumberFormat="1" applyFont="1" applyFill="1" applyBorder="1" applyAlignment="1">
      <alignment vertical="center"/>
    </xf>
    <xf numFmtId="0" fontId="3" fillId="14" borderId="29" xfId="0" applyFont="1" applyFill="1" applyBorder="1" applyAlignment="1">
      <alignment vertical="center"/>
    </xf>
    <xf numFmtId="0" fontId="3" fillId="14" borderId="35" xfId="0" applyNumberFormat="1" applyFont="1" applyFill="1" applyBorder="1" applyAlignment="1">
      <alignment vertical="center"/>
    </xf>
    <xf numFmtId="0" fontId="3" fillId="14" borderId="24" xfId="0" applyFont="1" applyFill="1" applyBorder="1" applyAlignment="1">
      <alignment vertical="center"/>
    </xf>
    <xf numFmtId="0" fontId="3" fillId="14" borderId="36" xfId="0" applyNumberFormat="1" applyFont="1" applyFill="1" applyBorder="1" applyAlignment="1">
      <alignment vertical="center"/>
    </xf>
    <xf numFmtId="0" fontId="3" fillId="14" borderId="37" xfId="0" applyFont="1" applyFill="1" applyBorder="1" applyAlignment="1">
      <alignment vertical="center"/>
    </xf>
    <xf numFmtId="0" fontId="3" fillId="14" borderId="11" xfId="0" applyNumberFormat="1" applyFont="1" applyFill="1" applyBorder="1" applyAlignment="1">
      <alignment horizontal="center" vertical="center"/>
    </xf>
    <xf numFmtId="0" fontId="3" fillId="14" borderId="38" xfId="0" applyFont="1" applyFill="1" applyBorder="1" applyAlignment="1">
      <alignment horizontal="center" vertical="center"/>
    </xf>
    <xf numFmtId="0" fontId="3" fillId="14" borderId="33" xfId="0" applyFont="1" applyFill="1" applyBorder="1" applyAlignment="1">
      <alignment vertical="center"/>
    </xf>
    <xf numFmtId="0" fontId="3" fillId="0" borderId="11" xfId="0" applyNumberFormat="1" applyFont="1" applyBorder="1" applyAlignment="1">
      <alignment vertical="center"/>
    </xf>
    <xf numFmtId="0" fontId="0" fillId="0" borderId="0" xfId="0" applyAlignment="1">
      <alignment wrapText="1"/>
    </xf>
    <xf numFmtId="0" fontId="0" fillId="20" borderId="44" xfId="0" applyFont="1" applyFill="1" applyBorder="1" applyAlignment="1">
      <alignment horizontal="left" vertical="top" wrapText="1"/>
    </xf>
    <xf numFmtId="0" fontId="0" fillId="20" borderId="32" xfId="0" applyFont="1" applyFill="1" applyBorder="1" applyAlignment="1">
      <alignment horizontal="left" vertical="top" wrapText="1"/>
    </xf>
    <xf numFmtId="0" fontId="0" fillId="20" borderId="42" xfId="0" applyFont="1" applyFill="1" applyBorder="1" applyAlignment="1">
      <alignment horizontal="left" vertical="top" wrapText="1"/>
    </xf>
    <xf numFmtId="0" fontId="0" fillId="20" borderId="45" xfId="0" applyFont="1" applyFill="1" applyBorder="1" applyAlignment="1">
      <alignment horizontal="left" vertical="top" wrapText="1"/>
    </xf>
    <xf numFmtId="0" fontId="1" fillId="0" borderId="43" xfId="0" applyFont="1" applyBorder="1" applyAlignment="1">
      <alignment horizontal="center" vertical="center" wrapText="1"/>
    </xf>
    <xf numFmtId="0" fontId="1" fillId="0" borderId="31" xfId="0" applyFont="1" applyBorder="1" applyAlignment="1">
      <alignment horizontal="center" vertical="center" wrapText="1"/>
    </xf>
    <xf numFmtId="0" fontId="1" fillId="0" borderId="42" xfId="0" applyFont="1" applyFill="1" applyBorder="1" applyAlignment="1">
      <alignment horizontal="center" vertical="center" wrapText="1"/>
    </xf>
    <xf numFmtId="0" fontId="1" fillId="0" borderId="45" xfId="0" applyFont="1" applyFill="1" applyBorder="1" applyAlignment="1">
      <alignment horizontal="center" vertical="center" wrapText="1"/>
    </xf>
    <xf numFmtId="0" fontId="3" fillId="9" borderId="8" xfId="0" applyFont="1" applyFill="1" applyBorder="1" applyAlignment="1">
      <alignment horizontal="center"/>
    </xf>
    <xf numFmtId="0" fontId="3" fillId="9" borderId="10" xfId="0" applyFont="1" applyFill="1" applyBorder="1" applyAlignment="1">
      <alignment horizontal="center"/>
    </xf>
    <xf numFmtId="0" fontId="3" fillId="9" borderId="18" xfId="0" applyFont="1" applyFill="1" applyBorder="1" applyAlignment="1">
      <alignment horizontal="center"/>
    </xf>
    <xf numFmtId="0" fontId="3" fillId="14" borderId="46" xfId="0" applyNumberFormat="1" applyFont="1" applyFill="1" applyBorder="1" applyAlignment="1">
      <alignment vertical="center"/>
    </xf>
    <xf numFmtId="0" fontId="3" fillId="14" borderId="25" xfId="0" applyNumberFormat="1" applyFont="1" applyFill="1" applyBorder="1" applyAlignment="1">
      <alignment vertical="center"/>
    </xf>
    <xf numFmtId="0" fontId="3" fillId="14" borderId="1" xfId="0" applyNumberFormat="1" applyFont="1" applyFill="1" applyBorder="1" applyAlignment="1">
      <alignment vertical="center"/>
    </xf>
    <xf numFmtId="0" fontId="18" fillId="9" borderId="12" xfId="0" applyFont="1" applyFill="1" applyBorder="1" applyAlignment="1">
      <alignment horizontal="left"/>
    </xf>
    <xf numFmtId="0" fontId="7" fillId="13" borderId="7" xfId="0" applyFont="1" applyFill="1" applyBorder="1" applyAlignment="1">
      <alignment horizontal="center" vertical="center" wrapText="1"/>
    </xf>
    <xf numFmtId="0" fontId="7" fillId="13" borderId="6" xfId="0" applyFont="1" applyFill="1" applyBorder="1" applyAlignment="1">
      <alignment horizontal="center" vertical="center" wrapText="1"/>
    </xf>
    <xf numFmtId="0" fontId="7" fillId="13" borderId="5" xfId="0" applyFont="1" applyFill="1" applyBorder="1" applyAlignment="1">
      <alignment horizontal="center" vertical="center" wrapText="1"/>
    </xf>
    <xf numFmtId="14" fontId="3" fillId="0" borderId="9" xfId="0" applyNumberFormat="1" applyFont="1" applyBorder="1" applyAlignment="1">
      <alignment horizontal="center" vertical="center"/>
    </xf>
    <xf numFmtId="0" fontId="3" fillId="0" borderId="16" xfId="0" applyFont="1" applyBorder="1" applyAlignment="1">
      <alignment horizontal="center" vertical="center"/>
    </xf>
    <xf numFmtId="14" fontId="3" fillId="0" borderId="1" xfId="0" applyNumberFormat="1" applyFont="1" applyBorder="1" applyAlignment="1">
      <alignment horizontal="center" vertical="center"/>
    </xf>
    <xf numFmtId="0" fontId="3" fillId="0" borderId="17" xfId="0" applyFont="1" applyBorder="1" applyAlignment="1">
      <alignment horizontal="center" vertical="center"/>
    </xf>
    <xf numFmtId="14" fontId="3" fillId="0" borderId="11" xfId="0" applyNumberFormat="1" applyFont="1" applyBorder="1" applyAlignment="1">
      <alignment horizontal="center" vertical="center"/>
    </xf>
    <xf numFmtId="0" fontId="3" fillId="0" borderId="39" xfId="0" applyFont="1" applyBorder="1" applyAlignment="1">
      <alignment horizontal="center" vertical="center"/>
    </xf>
    <xf numFmtId="0" fontId="3" fillId="0" borderId="38" xfId="0" applyFont="1" applyBorder="1" applyAlignment="1">
      <alignment horizontal="left" vertical="center"/>
    </xf>
    <xf numFmtId="0" fontId="3" fillId="0" borderId="40" xfId="0" applyFont="1" applyBorder="1" applyAlignment="1">
      <alignment horizontal="left" vertical="center"/>
    </xf>
    <xf numFmtId="0" fontId="3" fillId="0" borderId="41" xfId="0" applyFont="1" applyBorder="1" applyAlignment="1">
      <alignment horizontal="left" vertical="center"/>
    </xf>
    <xf numFmtId="0" fontId="3" fillId="0" borderId="3" xfId="0" applyFont="1" applyBorder="1" applyAlignment="1">
      <alignment horizontal="left" vertical="center"/>
    </xf>
    <xf numFmtId="0" fontId="3" fillId="0" borderId="14" xfId="0" applyFont="1" applyBorder="1" applyAlignment="1">
      <alignment horizontal="left" vertical="center"/>
    </xf>
    <xf numFmtId="0" fontId="3" fillId="0" borderId="20" xfId="0" applyFont="1" applyBorder="1" applyAlignment="1">
      <alignment horizontal="left" vertical="center"/>
    </xf>
    <xf numFmtId="0" fontId="3" fillId="0" borderId="26" xfId="0" applyFont="1" applyBorder="1" applyAlignment="1">
      <alignment horizontal="left" vertical="center"/>
    </xf>
    <xf numFmtId="0" fontId="3" fillId="0" borderId="27" xfId="0" applyFont="1" applyBorder="1" applyAlignment="1">
      <alignment horizontal="left" vertical="center"/>
    </xf>
    <xf numFmtId="0" fontId="3" fillId="0" borderId="28" xfId="0" applyFont="1" applyBorder="1" applyAlignment="1">
      <alignment horizontal="left" vertical="center"/>
    </xf>
    <xf numFmtId="0" fontId="7" fillId="12" borderId="7" xfId="0" applyFont="1" applyFill="1" applyBorder="1" applyAlignment="1">
      <alignment horizontal="left"/>
    </xf>
    <xf numFmtId="0" fontId="7" fillId="12" borderId="6" xfId="0" applyFont="1" applyFill="1" applyBorder="1" applyAlignment="1">
      <alignment horizontal="left"/>
    </xf>
    <xf numFmtId="164" fontId="7" fillId="12" borderId="7" xfId="0" applyNumberFormat="1" applyFont="1" applyFill="1" applyBorder="1" applyAlignment="1">
      <alignment horizontal="left"/>
    </xf>
    <xf numFmtId="164" fontId="7" fillId="12" borderId="6" xfId="0" applyNumberFormat="1" applyFont="1" applyFill="1" applyBorder="1" applyAlignment="1">
      <alignment horizontal="left"/>
    </xf>
    <xf numFmtId="0" fontId="1" fillId="0" borderId="19" xfId="0" applyFont="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wrapText="1"/>
    </xf>
    <xf numFmtId="0" fontId="1" fillId="0" borderId="2" xfId="0" applyFont="1" applyBorder="1" applyAlignment="1">
      <alignment horizontal="center" vertical="center" wrapText="1"/>
    </xf>
    <xf numFmtId="0" fontId="1" fillId="2" borderId="7" xfId="0" applyFont="1" applyFill="1" applyBorder="1" applyAlignment="1">
      <alignment horizontal="center" vertical="center"/>
    </xf>
    <xf numFmtId="0" fontId="1" fillId="2" borderId="6" xfId="0" applyFont="1" applyFill="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25" xfId="0" applyFont="1" applyBorder="1" applyAlignment="1">
      <alignment horizontal="center" vertical="center" wrapText="1"/>
    </xf>
    <xf numFmtId="164" fontId="7" fillId="12" borderId="7" xfId="0" applyNumberFormat="1" applyFont="1" applyFill="1" applyBorder="1" applyAlignment="1">
      <alignment horizontal="left" vertical="center"/>
    </xf>
    <xf numFmtId="164" fontId="7" fillId="12" borderId="6" xfId="0" applyNumberFormat="1" applyFont="1" applyFill="1" applyBorder="1" applyAlignment="1">
      <alignment horizontal="left" vertical="center"/>
    </xf>
    <xf numFmtId="164" fontId="7" fillId="12" borderId="5" xfId="0" applyNumberFormat="1" applyFont="1" applyFill="1" applyBorder="1" applyAlignment="1">
      <alignment horizontal="left" vertical="center"/>
    </xf>
    <xf numFmtId="0" fontId="16" fillId="18" borderId="0" xfId="0" applyFont="1" applyFill="1" applyBorder="1" applyAlignment="1">
      <alignment horizontal="center" vertical="center" wrapText="1"/>
    </xf>
  </cellXfs>
  <cellStyles count="8">
    <cellStyle name="Normal" xfId="0" builtinId="0"/>
    <cellStyle name="Normal 2" xfId="1" xr:uid="{00000000-0005-0000-0000-000001000000}"/>
    <cellStyle name="Normal 2 2" xfId="5" xr:uid="{00000000-0005-0000-0000-000002000000}"/>
    <cellStyle name="Normal 2 2 2" xfId="3" xr:uid="{00000000-0005-0000-0000-000003000000}"/>
    <cellStyle name="Normal 3" xfId="2" xr:uid="{00000000-0005-0000-0000-000004000000}"/>
    <cellStyle name="Normal 3 2" xfId="4" xr:uid="{00000000-0005-0000-0000-000005000000}"/>
    <cellStyle name="Normal 4" xfId="6" xr:uid="{00000000-0005-0000-0000-000006000000}"/>
    <cellStyle name="Pourcentage" xfId="7" builtinId="5"/>
  </cellStyles>
  <dxfs count="4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i val="0"/>
        <strike val="0"/>
        <condense val="0"/>
        <extend val="0"/>
        <outline val="0"/>
        <shadow val="0"/>
        <u val="none"/>
        <vertAlign val="baseline"/>
        <sz val="11"/>
        <color auto="1"/>
        <name val="Calibri"/>
        <scheme val="minor"/>
      </font>
      <fill>
        <patternFill patternType="solid">
          <fgColor indexed="64"/>
          <bgColor theme="4" tint="0.59999389629810485"/>
        </patternFill>
      </fill>
      <alignment horizontal="center" vertical="center" textRotation="0" wrapText="1" indent="0" justifyLastLine="0" shrinkToFit="0" readingOrder="0"/>
      <border diagonalUp="0" diagonalDown="0" outline="0">
        <left style="thin">
          <color theme="1"/>
        </left>
        <right style="thin">
          <color theme="1"/>
        </right>
        <top/>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top/>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right style="thin">
          <color theme="1"/>
        </right>
        <top style="thin">
          <color theme="1"/>
        </top>
        <bottom style="thin">
          <color theme="1"/>
        </bottom>
      </border>
    </dxf>
    <dxf>
      <border outline="0">
        <left style="thin">
          <color theme="1"/>
        </left>
        <right style="thin">
          <color theme="1"/>
        </right>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dxf>
    <dxf>
      <font>
        <b/>
        <i val="0"/>
        <strike val="0"/>
        <condense val="0"/>
        <extend val="0"/>
        <outline val="0"/>
        <shadow val="0"/>
        <u val="none"/>
        <vertAlign val="baseline"/>
        <sz val="11"/>
        <color theme="1"/>
        <name val="Calibri"/>
        <scheme val="minor"/>
      </font>
      <alignment horizontal="center" vertical="center" textRotation="0" wrapText="1" indent="0" justifyLastLine="0" shrinkToFit="0" readingOrder="0"/>
      <border diagonalUp="0" diagonalDown="0" outline="0">
        <left style="thin">
          <color theme="1"/>
        </left>
        <right style="thin">
          <color theme="1"/>
        </right>
        <top/>
        <bottom/>
      </border>
    </dxf>
    <dxf>
      <numFmt numFmtId="0" formatCode="General"/>
    </dxf>
    <dxf>
      <numFmt numFmtId="0" formatCode="General"/>
    </dxf>
    <dxf>
      <font>
        <color theme="6" tint="-0.499984740745262"/>
      </font>
      <fill>
        <patternFill>
          <bgColor theme="6" tint="0.79998168889431442"/>
        </patternFill>
      </fill>
    </dxf>
    <dxf>
      <font>
        <color rgb="FFFF0000"/>
      </font>
      <fill>
        <patternFill>
          <bgColor theme="5" tint="0.79998168889431442"/>
        </patternFill>
      </fill>
    </dxf>
    <dxf>
      <numFmt numFmtId="0" formatCode="General"/>
    </dxf>
    <dxf>
      <numFmt numFmtId="0" formatCode="General"/>
    </dxf>
    <dxf>
      <font>
        <color theme="6" tint="-0.499984740745262"/>
      </font>
      <fill>
        <patternFill>
          <bgColor theme="6" tint="0.79998168889431442"/>
        </patternFill>
      </fill>
    </dxf>
    <dxf>
      <font>
        <color rgb="FFFF0000"/>
      </font>
      <fill>
        <patternFill>
          <bgColor theme="5" tint="0.79998168889431442"/>
        </patternFill>
      </fill>
    </dxf>
    <dxf>
      <numFmt numFmtId="0" formatCode="General"/>
    </dxf>
    <dxf>
      <numFmt numFmtId="0" formatCode="General"/>
    </dxf>
    <dxf>
      <font>
        <color theme="6" tint="-0.499984740745262"/>
      </font>
      <fill>
        <patternFill>
          <bgColor theme="6" tint="0.79998168889431442"/>
        </patternFill>
      </fill>
    </dxf>
    <dxf>
      <font>
        <color rgb="FFFF0000"/>
      </font>
      <fill>
        <patternFill>
          <bgColor theme="5" tint="0.79998168889431442"/>
        </patternFill>
      </fill>
    </dxf>
    <dxf>
      <font>
        <strike val="0"/>
        <outline val="0"/>
        <shadow val="0"/>
        <u val="none"/>
        <vertAlign val="baseline"/>
        <sz val="16"/>
        <color theme="1"/>
        <name val="Calibri"/>
        <scheme val="minor"/>
      </font>
      <fill>
        <patternFill patternType="solid">
          <fgColor indexed="64"/>
          <bgColor theme="6" tint="0.59999389629810485"/>
        </patternFill>
      </fill>
      <alignment horizontal="general" vertical="center" textRotation="0" wrapText="0" indent="0" justifyLastLine="0" shrinkToFit="0" readingOrder="0"/>
    </dxf>
    <dxf>
      <font>
        <b val="0"/>
        <i val="0"/>
        <strike val="0"/>
        <condense val="0"/>
        <extend val="0"/>
        <outline val="0"/>
        <shadow val="0"/>
        <u val="none"/>
        <vertAlign val="baseline"/>
        <sz val="16"/>
        <color theme="1"/>
        <name val="Calibri"/>
        <scheme val="minor"/>
      </font>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6"/>
        <color theme="1"/>
        <name val="Calibri"/>
        <scheme val="minor"/>
      </font>
      <fill>
        <patternFill patternType="solid">
          <fgColor indexed="64"/>
          <bgColor theme="6" tint="0.59999389629810485"/>
        </patternFill>
      </fill>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vertical/>
        <horizontal/>
      </border>
    </dxf>
    <dxf>
      <border outline="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6"/>
        <color theme="1"/>
        <name val="Calibri"/>
        <scheme val="minor"/>
      </font>
      <numFmt numFmtId="165" formatCode="#,000"/>
      <fill>
        <patternFill patternType="solid">
          <fgColor indexed="64"/>
          <bgColor theme="6" tint="0.59999389629810485"/>
        </patternFill>
      </fill>
      <alignment horizontal="general" vertical="center" textRotation="0" wrapText="0" indent="0" justifyLastLine="0" shrinkToFit="0" readingOrder="0"/>
    </dxf>
    <dxf>
      <font>
        <b val="0"/>
        <i val="0"/>
        <strike val="0"/>
        <condense val="0"/>
        <extend val="0"/>
        <outline val="0"/>
        <shadow val="0"/>
        <u val="none"/>
        <vertAlign val="baseline"/>
        <sz val="16"/>
        <color theme="1"/>
        <name val="Calibri"/>
        <scheme val="minor"/>
      </font>
      <numFmt numFmtId="2" formatCode="0.00"/>
      <fill>
        <patternFill patternType="solid">
          <fgColor indexed="64"/>
          <bgColor theme="0" tint="-0.14999847407452621"/>
        </patternFill>
      </fill>
      <alignment horizontal="center" vertical="center" textRotation="0" wrapText="1" indent="0" justifyLastLine="0" shrinkToFit="0" readingOrder="0"/>
    </dxf>
  </dxfs>
  <tableStyles count="0" defaultTableStyle="TableStyleMedium2" defaultPivotStyle="PivotStyleMedium9"/>
  <colors>
    <mruColors>
      <color rgb="FF5F5F5F"/>
      <color rgb="FFBA383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hartsheet" Target="chartsheets/sheet2.xml"/><Relationship Id="rId13" Type="http://schemas.openxmlformats.org/officeDocument/2006/relationships/chartsheet" Target="chartsheets/sheet4.xml"/><Relationship Id="rId18" Type="http://schemas.openxmlformats.org/officeDocument/2006/relationships/worksheet" Target="worksheets/sheet14.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pivotCacheDefinition" Target="pivotCache/pivotCacheDefinition2.xml"/><Relationship Id="rId7" Type="http://schemas.openxmlformats.org/officeDocument/2006/relationships/worksheet" Target="worksheets/sheet6.xml"/><Relationship Id="rId12" Type="http://schemas.openxmlformats.org/officeDocument/2006/relationships/worksheet" Target="worksheets/sheet9.xml"/><Relationship Id="rId17" Type="http://schemas.openxmlformats.org/officeDocument/2006/relationships/worksheet" Target="worksheets/sheet13.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2.xml"/><Relationship Id="rId20" Type="http://schemas.openxmlformats.org/officeDocument/2006/relationships/pivotCacheDefinition" Target="pivotCache/pivotCacheDefinition1.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5.xml"/><Relationship Id="rId11" Type="http://schemas.openxmlformats.org/officeDocument/2006/relationships/chartsheet" Target="chartsheets/sheet3.xml"/><Relationship Id="rId24" Type="http://schemas.openxmlformats.org/officeDocument/2006/relationships/theme" Target="theme/theme1.xml"/><Relationship Id="rId5" Type="http://schemas.openxmlformats.org/officeDocument/2006/relationships/chartsheet" Target="chartsheets/sheet1.xml"/><Relationship Id="rId15" Type="http://schemas.openxmlformats.org/officeDocument/2006/relationships/worksheet" Target="worksheets/sheet11.xml"/><Relationship Id="rId23" Type="http://schemas.openxmlformats.org/officeDocument/2006/relationships/pivotCacheDefinition" Target="pivotCache/pivotCacheDefinition4.xml"/><Relationship Id="rId28" Type="http://schemas.openxmlformats.org/officeDocument/2006/relationships/customXml" Target="../customXml/item1.xml"/><Relationship Id="rId10" Type="http://schemas.openxmlformats.org/officeDocument/2006/relationships/worksheet" Target="worksheets/sheet8.xml"/><Relationship Id="rId19"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7.xml"/><Relationship Id="rId14" Type="http://schemas.openxmlformats.org/officeDocument/2006/relationships/worksheet" Target="worksheets/sheet10.xml"/><Relationship Id="rId22" Type="http://schemas.openxmlformats.org/officeDocument/2006/relationships/pivotCacheDefinition" Target="pivotCache/pivotCacheDefinition3.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10.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_rels/chart11.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12.xml.rels><?xml version="1.0" encoding="UTF-8" standalone="yes"?>
<Relationships xmlns="http://schemas.openxmlformats.org/package/2006/relationships"><Relationship Id="rId1" Type="http://schemas.openxmlformats.org/officeDocument/2006/relationships/chartUserShapes" Target="../drawings/drawing13.xml"/></Relationships>
</file>

<file path=xl/charts/_rels/chart13.xml.rels><?xml version="1.0" encoding="UTF-8" standalone="yes"?>
<Relationships xmlns="http://schemas.openxmlformats.org/package/2006/relationships"><Relationship Id="rId1" Type="http://schemas.openxmlformats.org/officeDocument/2006/relationships/chartUserShapes" Target="../drawings/drawing15.xml"/></Relationships>
</file>

<file path=xl/charts/_rels/chart14.xml.rels><?xml version="1.0" encoding="UTF-8" standalone="yes"?>
<Relationships xmlns="http://schemas.openxmlformats.org/package/2006/relationships"><Relationship Id="rId1" Type="http://schemas.openxmlformats.org/officeDocument/2006/relationships/chartUserShapes" Target="../drawings/drawing16.xml"/></Relationships>
</file>

<file path=xl/charts/_rels/chart15.xml.rels><?xml version="1.0" encoding="UTF-8" standalone="yes"?>
<Relationships xmlns="http://schemas.openxmlformats.org/package/2006/relationships"><Relationship Id="rId1" Type="http://schemas.openxmlformats.org/officeDocument/2006/relationships/chartUserShapes" Target="../drawings/drawing17.xml"/></Relationships>
</file>

<file path=xl/charts/_rels/chart16.xml.rels><?xml version="1.0" encoding="UTF-8" standalone="yes"?>
<Relationships xmlns="http://schemas.openxmlformats.org/package/2006/relationships"><Relationship Id="rId1" Type="http://schemas.openxmlformats.org/officeDocument/2006/relationships/chartUserShapes" Target="../drawings/drawing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4661954963560215E-2"/>
          <c:y val="0.14661966108751268"/>
          <c:w val="0.9002738512986157"/>
          <c:h val="0.63968468033016779"/>
        </c:manualLayout>
      </c:layout>
      <c:barChart>
        <c:barDir val="col"/>
        <c:grouping val="clustered"/>
        <c:varyColors val="0"/>
        <c:ser>
          <c:idx val="0"/>
          <c:order val="0"/>
          <c:tx>
            <c:v>R1</c:v>
          </c:tx>
          <c:spPr>
            <a:solidFill>
              <a:srgbClr val="00B050"/>
            </a:solidFill>
          </c:spPr>
          <c:invertIfNegative val="0"/>
          <c:errBars>
            <c:errBarType val="plus"/>
            <c:errValType val="cust"/>
            <c:noEndCap val="0"/>
            <c:plus>
              <c:numRef>
                <c:f>'R1'!$N$48:$V$48</c:f>
                <c:numCache>
                  <c:formatCode>General</c:formatCode>
                  <c:ptCount val="9"/>
                  <c:pt idx="0">
                    <c:v>0</c:v>
                  </c:pt>
                  <c:pt idx="1">
                    <c:v>0.16235184321685545</c:v>
                  </c:pt>
                  <c:pt idx="2">
                    <c:v>0.7818503409269959</c:v>
                  </c:pt>
                  <c:pt idx="3">
                    <c:v>7.9304362705081732E-2</c:v>
                  </c:pt>
                  <c:pt idx="4">
                    <c:v>0.5437801047095262</c:v>
                  </c:pt>
                  <c:pt idx="5">
                    <c:v>0.56195307668226646</c:v>
                  </c:pt>
                  <c:pt idx="6">
                    <c:v>0.33421127560079189</c:v>
                  </c:pt>
                  <c:pt idx="7">
                    <c:v>0.78889197410749456</c:v>
                  </c:pt>
                  <c:pt idx="8">
                    <c:v>0.51767288671724099</c:v>
                  </c:pt>
                </c:numCache>
              </c:numRef>
            </c:plus>
            <c:minus>
              <c:numRef>
                <c:f>'R1'!$N$48:$V$48</c:f>
                <c:numCache>
                  <c:formatCode>General</c:formatCode>
                  <c:ptCount val="9"/>
                  <c:pt idx="0">
                    <c:v>0</c:v>
                  </c:pt>
                  <c:pt idx="1">
                    <c:v>0.16235184321685545</c:v>
                  </c:pt>
                  <c:pt idx="2">
                    <c:v>0.7818503409269959</c:v>
                  </c:pt>
                  <c:pt idx="3">
                    <c:v>7.9304362705081732E-2</c:v>
                  </c:pt>
                  <c:pt idx="4">
                    <c:v>0.5437801047095262</c:v>
                  </c:pt>
                  <c:pt idx="5">
                    <c:v>0.56195307668226646</c:v>
                  </c:pt>
                  <c:pt idx="6">
                    <c:v>0.33421127560079189</c:v>
                  </c:pt>
                  <c:pt idx="7">
                    <c:v>0.78889197410749456</c:v>
                  </c:pt>
                  <c:pt idx="8">
                    <c:v>0.51767288671724099</c:v>
                  </c:pt>
                </c:numCache>
              </c:numRef>
            </c:minus>
          </c:errBars>
          <c:cat>
            <c:strRef>
              <c:f>'R1'!$B$52:$V$52</c:f>
              <c:strCache>
                <c:ptCount val="21"/>
                <c:pt idx="0">
                  <c:v>Témoin solvant</c:v>
                </c:pt>
                <c:pt idx="1">
                  <c:v>EE2-33,8ng/L</c:v>
                </c:pt>
                <c:pt idx="2">
                  <c:v>EE2-50,6ng/L</c:v>
                </c:pt>
                <c:pt idx="3">
                  <c:v>EE2-76ng/L</c:v>
                </c:pt>
                <c:pt idx="4">
                  <c:v>EE2-114ng/L</c:v>
                </c:pt>
                <c:pt idx="5">
                  <c:v>EE2-170,9ng/L</c:v>
                </c:pt>
                <c:pt idx="6">
                  <c:v>EE2-488ng/L</c:v>
                </c:pt>
                <c:pt idx="7">
                  <c:v>Dutasteride-0,01mg/L</c:v>
                </c:pt>
                <c:pt idx="8">
                  <c:v>Dutasteride-0,1mg/L</c:v>
                </c:pt>
                <c:pt idx="9">
                  <c:v>Dutasteride-0,25mg/L</c:v>
                </c:pt>
                <c:pt idx="10">
                  <c:v>Dutasteride-0,5mg/L</c:v>
                </c:pt>
                <c:pt idx="11">
                  <c:v>Dutasteride-1mg/L</c:v>
                </c:pt>
                <c:pt idx="13">
                  <c:v>Testo -30µg/L</c:v>
                </c:pt>
                <c:pt idx="14">
                  <c:v>Testo 30µg/L + EE2 -64ng/L</c:v>
                </c:pt>
                <c:pt idx="15">
                  <c:v>Testo 30µg/L + FAD-10µg/L</c:v>
                </c:pt>
                <c:pt idx="16">
                  <c:v>Dutasteride-0,01mg/L + Testostérone</c:v>
                </c:pt>
                <c:pt idx="17">
                  <c:v>Dutasteride-0,1mg/L + Testostérone</c:v>
                </c:pt>
                <c:pt idx="18">
                  <c:v>Dutasteride-0,25mg/L + Testostérone</c:v>
                </c:pt>
                <c:pt idx="19">
                  <c:v>Dutasteride-0,5mg/L + Testostérone</c:v>
                </c:pt>
                <c:pt idx="20">
                  <c:v>Dutasteride-1mg/L + Testostérone</c:v>
                </c:pt>
              </c:strCache>
            </c:strRef>
          </c:cat>
          <c:val>
            <c:numRef>
              <c:f>'R1'!$B$53:$V$53</c:f>
              <c:numCache>
                <c:formatCode>0.0000</c:formatCode>
                <c:ptCount val="21"/>
                <c:pt idx="0">
                  <c:v>0.4342426898047767</c:v>
                </c:pt>
                <c:pt idx="1">
                  <c:v>0.48092559768006016</c:v>
                </c:pt>
                <c:pt idx="2">
                  <c:v>0.99872422062892818</c:v>
                </c:pt>
                <c:pt idx="3">
                  <c:v>2.834629331739734</c:v>
                </c:pt>
                <c:pt idx="4">
                  <c:v>4.2034172988687919</c:v>
                </c:pt>
                <c:pt idx="5">
                  <c:v>5.2169523749470414</c:v>
                </c:pt>
                <c:pt idx="6">
                  <c:v>9.2700797412253451</c:v>
                </c:pt>
                <c:pt idx="7">
                  <c:v>0.25829643619609033</c:v>
                </c:pt>
                <c:pt idx="8">
                  <c:v>0.15434435921133022</c:v>
                </c:pt>
                <c:pt idx="9">
                  <c:v>0.23997427971183691</c:v>
                </c:pt>
                <c:pt idx="10">
                  <c:v>0.39219242569195928</c:v>
                </c:pt>
                <c:pt idx="11">
                  <c:v>0.33275843970099911</c:v>
                </c:pt>
                <c:pt idx="13">
                  <c:v>0.99999999999999989</c:v>
                </c:pt>
                <c:pt idx="14">
                  <c:v>6.0946171059769174</c:v>
                </c:pt>
                <c:pt idx="15">
                  <c:v>0.23739494750223178</c:v>
                </c:pt>
                <c:pt idx="16">
                  <c:v>1.6602854382115699</c:v>
                </c:pt>
                <c:pt idx="17">
                  <c:v>2.1614499436995813</c:v>
                </c:pt>
                <c:pt idx="18">
                  <c:v>1.1606896193116529</c:v>
                </c:pt>
                <c:pt idx="19">
                  <c:v>2.5535842508392599</c:v>
                </c:pt>
                <c:pt idx="20">
                  <c:v>2.4053381221648884</c:v>
                </c:pt>
              </c:numCache>
            </c:numRef>
          </c:val>
          <c:extLst>
            <c:ext xmlns:c16="http://schemas.microsoft.com/office/drawing/2014/chart" uri="{C3380CC4-5D6E-409C-BE32-E72D297353CC}">
              <c16:uniqueId val="{00000000-4E48-433F-93CE-959A7E8575BB}"/>
            </c:ext>
          </c:extLst>
        </c:ser>
        <c:dLbls>
          <c:showLegendKey val="0"/>
          <c:showVal val="0"/>
          <c:showCatName val="0"/>
          <c:showSerName val="0"/>
          <c:showPercent val="0"/>
          <c:showBubbleSize val="0"/>
        </c:dLbls>
        <c:gapWidth val="150"/>
        <c:axId val="324817512"/>
        <c:axId val="324817904"/>
      </c:barChart>
      <c:catAx>
        <c:axId val="324817512"/>
        <c:scaling>
          <c:orientation val="minMax"/>
        </c:scaling>
        <c:delete val="0"/>
        <c:axPos val="b"/>
        <c:numFmt formatCode="General" sourceLinked="1"/>
        <c:majorTickMark val="out"/>
        <c:minorTickMark val="none"/>
        <c:tickLblPos val="nextTo"/>
        <c:txPr>
          <a:bodyPr rot="-2700000" vert="horz"/>
          <a:lstStyle/>
          <a:p>
            <a:pPr>
              <a:defRPr lang="en-GB"/>
            </a:pPr>
            <a:endParaRPr lang="fr-FR"/>
          </a:p>
        </c:txPr>
        <c:crossAx val="324817904"/>
        <c:crosses val="autoZero"/>
        <c:auto val="1"/>
        <c:lblAlgn val="ctr"/>
        <c:lblOffset val="100"/>
        <c:noMultiLvlLbl val="0"/>
      </c:catAx>
      <c:valAx>
        <c:axId val="324817904"/>
        <c:scaling>
          <c:orientation val="minMax"/>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fr-FR"/>
          </a:p>
        </c:txPr>
        <c:crossAx val="324817512"/>
        <c:crosses val="autoZero"/>
        <c:crossBetween val="between"/>
        <c:majorUnit val="0.2"/>
        <c:minorUnit val="0.1"/>
      </c:valAx>
    </c:plotArea>
    <c:plotVisOnly val="1"/>
    <c:dispBlanksAs val="gap"/>
    <c:showDLblsOverMax val="0"/>
  </c:chart>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395319521821627E-2"/>
          <c:y val="0.14871824529979213"/>
          <c:w val="0.9002738512986157"/>
          <c:h val="0.63968468033016779"/>
        </c:manualLayout>
      </c:layout>
      <c:barChart>
        <c:barDir val="col"/>
        <c:grouping val="clustered"/>
        <c:varyColors val="0"/>
        <c:ser>
          <c:idx val="0"/>
          <c:order val="0"/>
          <c:tx>
            <c:v>R2</c:v>
          </c:tx>
          <c:spPr>
            <a:solidFill>
              <a:schemeClr val="accent2"/>
            </a:solidFill>
          </c:spPr>
          <c:invertIfNegative val="0"/>
          <c:dPt>
            <c:idx val="9"/>
            <c:invertIfNegative val="0"/>
            <c:bubble3D val="0"/>
            <c:spPr>
              <a:solidFill>
                <a:schemeClr val="bg1">
                  <a:lumMod val="65000"/>
                </a:schemeClr>
              </a:solidFill>
            </c:spPr>
            <c:extLst>
              <c:ext xmlns:c16="http://schemas.microsoft.com/office/drawing/2014/chart" uri="{C3380CC4-5D6E-409C-BE32-E72D297353CC}">
                <c16:uniqueId val="{00000001-EED2-4ACE-91AA-7F8713196E92}"/>
              </c:ext>
            </c:extLst>
          </c:dPt>
          <c:dPt>
            <c:idx val="11"/>
            <c:invertIfNegative val="0"/>
            <c:bubble3D val="0"/>
            <c:spPr>
              <a:solidFill>
                <a:schemeClr val="bg1">
                  <a:lumMod val="65000"/>
                </a:schemeClr>
              </a:solidFill>
            </c:spPr>
            <c:extLst>
              <c:ext xmlns:c16="http://schemas.microsoft.com/office/drawing/2014/chart" uri="{C3380CC4-5D6E-409C-BE32-E72D297353CC}">
                <c16:uniqueId val="{00000003-EED2-4ACE-91AA-7F8713196E92}"/>
              </c:ext>
            </c:extLst>
          </c:dPt>
          <c:dPt>
            <c:idx val="13"/>
            <c:invertIfNegative val="0"/>
            <c:bubble3D val="0"/>
            <c:spPr>
              <a:solidFill>
                <a:schemeClr val="bg1">
                  <a:lumMod val="65000"/>
                </a:schemeClr>
              </a:solidFill>
            </c:spPr>
            <c:extLst>
              <c:ext xmlns:c16="http://schemas.microsoft.com/office/drawing/2014/chart" uri="{C3380CC4-5D6E-409C-BE32-E72D297353CC}">
                <c16:uniqueId val="{00000005-EED2-4ACE-91AA-7F8713196E92}"/>
              </c:ext>
            </c:extLst>
          </c:dPt>
          <c:dPt>
            <c:idx val="15"/>
            <c:invertIfNegative val="0"/>
            <c:bubble3D val="0"/>
            <c:spPr>
              <a:solidFill>
                <a:schemeClr val="bg1">
                  <a:lumMod val="65000"/>
                </a:schemeClr>
              </a:solidFill>
            </c:spPr>
            <c:extLst>
              <c:ext xmlns:c16="http://schemas.microsoft.com/office/drawing/2014/chart" uri="{C3380CC4-5D6E-409C-BE32-E72D297353CC}">
                <c16:uniqueId val="{00000007-EED2-4ACE-91AA-7F8713196E92}"/>
              </c:ext>
            </c:extLst>
          </c:dPt>
          <c:dPt>
            <c:idx val="25"/>
            <c:invertIfNegative val="0"/>
            <c:bubble3D val="0"/>
            <c:spPr>
              <a:solidFill>
                <a:srgbClr val="00B050"/>
              </a:solidFill>
            </c:spPr>
            <c:extLst>
              <c:ext xmlns:c16="http://schemas.microsoft.com/office/drawing/2014/chart" uri="{C3380CC4-5D6E-409C-BE32-E72D297353CC}">
                <c16:uniqueId val="{00000009-EED2-4ACE-91AA-7F8713196E92}"/>
              </c:ext>
            </c:extLst>
          </c:dPt>
          <c:dPt>
            <c:idx val="26"/>
            <c:invertIfNegative val="0"/>
            <c:bubble3D val="0"/>
            <c:spPr>
              <a:solidFill>
                <a:srgbClr val="FF0000"/>
              </a:solidFill>
            </c:spPr>
            <c:extLst>
              <c:ext xmlns:c16="http://schemas.microsoft.com/office/drawing/2014/chart" uri="{C3380CC4-5D6E-409C-BE32-E72D297353CC}">
                <c16:uniqueId val="{0000000B-EED2-4ACE-91AA-7F8713196E92}"/>
              </c:ext>
            </c:extLst>
          </c:dPt>
          <c:dPt>
            <c:idx val="27"/>
            <c:invertIfNegative val="0"/>
            <c:bubble3D val="0"/>
            <c:spPr>
              <a:solidFill>
                <a:srgbClr val="0070C0"/>
              </a:solidFill>
            </c:spPr>
            <c:extLst>
              <c:ext xmlns:c16="http://schemas.microsoft.com/office/drawing/2014/chart" uri="{C3380CC4-5D6E-409C-BE32-E72D297353CC}">
                <c16:uniqueId val="{0000000D-EED2-4ACE-91AA-7F8713196E92}"/>
              </c:ext>
            </c:extLst>
          </c:dPt>
          <c:dPt>
            <c:idx val="28"/>
            <c:invertIfNegative val="0"/>
            <c:bubble3D val="0"/>
            <c:spPr>
              <a:solidFill>
                <a:schemeClr val="bg1">
                  <a:lumMod val="65000"/>
                </a:schemeClr>
              </a:solidFill>
            </c:spPr>
            <c:extLst>
              <c:ext xmlns:c16="http://schemas.microsoft.com/office/drawing/2014/chart" uri="{C3380CC4-5D6E-409C-BE32-E72D297353CC}">
                <c16:uniqueId val="{0000000F-EED2-4ACE-91AA-7F8713196E92}"/>
              </c:ext>
            </c:extLst>
          </c:dPt>
          <c:dPt>
            <c:idx val="30"/>
            <c:invertIfNegative val="0"/>
            <c:bubble3D val="0"/>
            <c:spPr>
              <a:solidFill>
                <a:schemeClr val="bg1">
                  <a:lumMod val="65000"/>
                </a:schemeClr>
              </a:solidFill>
            </c:spPr>
            <c:extLst>
              <c:ext xmlns:c16="http://schemas.microsoft.com/office/drawing/2014/chart" uri="{C3380CC4-5D6E-409C-BE32-E72D297353CC}">
                <c16:uniqueId val="{00000011-EED2-4ACE-91AA-7F8713196E92}"/>
              </c:ext>
            </c:extLst>
          </c:dPt>
          <c:dPt>
            <c:idx val="32"/>
            <c:invertIfNegative val="0"/>
            <c:bubble3D val="0"/>
            <c:spPr>
              <a:solidFill>
                <a:schemeClr val="bg1">
                  <a:lumMod val="65000"/>
                </a:schemeClr>
              </a:solidFill>
            </c:spPr>
            <c:extLst>
              <c:ext xmlns:c16="http://schemas.microsoft.com/office/drawing/2014/chart" uri="{C3380CC4-5D6E-409C-BE32-E72D297353CC}">
                <c16:uniqueId val="{00000013-EED2-4ACE-91AA-7F8713196E92}"/>
              </c:ext>
            </c:extLst>
          </c:dPt>
          <c:dPt>
            <c:idx val="34"/>
            <c:invertIfNegative val="0"/>
            <c:bubble3D val="0"/>
            <c:spPr>
              <a:solidFill>
                <a:schemeClr val="bg1">
                  <a:lumMod val="65000"/>
                </a:schemeClr>
              </a:solidFill>
            </c:spPr>
            <c:extLst>
              <c:ext xmlns:c16="http://schemas.microsoft.com/office/drawing/2014/chart" uri="{C3380CC4-5D6E-409C-BE32-E72D297353CC}">
                <c16:uniqueId val="{00000015-EED2-4ACE-91AA-7F8713196E92}"/>
              </c:ext>
            </c:extLst>
          </c:dPt>
          <c:errBars>
            <c:errBarType val="plus"/>
            <c:errValType val="cust"/>
            <c:noEndCap val="0"/>
            <c:plus>
              <c:numRef>
                <c:f>'R2'!$B$54:$V$54</c:f>
                <c:numCache>
                  <c:formatCode>General</c:formatCode>
                  <c:ptCount val="21"/>
                  <c:pt idx="0">
                    <c:v>6.8735352756373228E-2</c:v>
                  </c:pt>
                  <c:pt idx="1">
                    <c:v>3.679304161216846E-2</c:v>
                  </c:pt>
                  <c:pt idx="2">
                    <c:v>0.29976323412689998</c:v>
                  </c:pt>
                  <c:pt idx="3">
                    <c:v>0.22674564811940157</c:v>
                  </c:pt>
                  <c:pt idx="4">
                    <c:v>0.26499968126559603</c:v>
                  </c:pt>
                  <c:pt idx="5">
                    <c:v>0.46340949378700541</c:v>
                  </c:pt>
                  <c:pt idx="6">
                    <c:v>0.47362815213889514</c:v>
                  </c:pt>
                  <c:pt idx="7">
                    <c:v>2.5070288071436748E-2</c:v>
                  </c:pt>
                  <c:pt idx="8">
                    <c:v>3.0102282403325714E-2</c:v>
                  </c:pt>
                  <c:pt idx="9">
                    <c:v>4.8100234125983403E-2</c:v>
                  </c:pt>
                  <c:pt idx="10">
                    <c:v>1.0759978410375241E-2</c:v>
                  </c:pt>
                  <c:pt idx="11">
                    <c:v>2.0495787443391394E-2</c:v>
                  </c:pt>
                  <c:pt idx="13">
                    <c:v>0.17092219547915274</c:v>
                  </c:pt>
                  <c:pt idx="14">
                    <c:v>0.11644106135820453</c:v>
                  </c:pt>
                  <c:pt idx="15">
                    <c:v>1.8269348367002485E-2</c:v>
                  </c:pt>
                  <c:pt idx="16">
                    <c:v>0.15831833622752273</c:v>
                  </c:pt>
                  <c:pt idx="17">
                    <c:v>0.17310176632454638</c:v>
                  </c:pt>
                  <c:pt idx="18">
                    <c:v>0.43896799526003011</c:v>
                  </c:pt>
                  <c:pt idx="19">
                    <c:v>0.56956820494387705</c:v>
                  </c:pt>
                  <c:pt idx="20">
                    <c:v>0.33134036046699694</c:v>
                  </c:pt>
                </c:numCache>
              </c:numRef>
            </c:plus>
            <c:minus>
              <c:numRef>
                <c:f>'R1'!$N$48:$V$48</c:f>
                <c:numCache>
                  <c:formatCode>General</c:formatCode>
                  <c:ptCount val="9"/>
                  <c:pt idx="0">
                    <c:v>0</c:v>
                  </c:pt>
                  <c:pt idx="1">
                    <c:v>0.16235184321685545</c:v>
                  </c:pt>
                  <c:pt idx="2">
                    <c:v>0.7818503409269959</c:v>
                  </c:pt>
                  <c:pt idx="3">
                    <c:v>7.9304362705081732E-2</c:v>
                  </c:pt>
                  <c:pt idx="4">
                    <c:v>0.5437801047095262</c:v>
                  </c:pt>
                  <c:pt idx="5">
                    <c:v>0.56195307668226646</c:v>
                  </c:pt>
                  <c:pt idx="6">
                    <c:v>0.33421127560079189</c:v>
                  </c:pt>
                  <c:pt idx="7">
                    <c:v>0.78889197410749456</c:v>
                  </c:pt>
                  <c:pt idx="8">
                    <c:v>0.51767288671724099</c:v>
                  </c:pt>
                </c:numCache>
              </c:numRef>
            </c:minus>
          </c:errBars>
          <c:cat>
            <c:strRef>
              <c:f>'R2'!$B$52:$V$52</c:f>
              <c:strCache>
                <c:ptCount val="21"/>
                <c:pt idx="0">
                  <c:v>Témoin solvant</c:v>
                </c:pt>
                <c:pt idx="1">
                  <c:v>EE2-33,8ng/L</c:v>
                </c:pt>
                <c:pt idx="2">
                  <c:v>EE2-50,6ng/L</c:v>
                </c:pt>
                <c:pt idx="3">
                  <c:v>EE2-76ng/L</c:v>
                </c:pt>
                <c:pt idx="4">
                  <c:v>EE2-114ng/L</c:v>
                </c:pt>
                <c:pt idx="5">
                  <c:v>EE2-170,9ng/L</c:v>
                </c:pt>
                <c:pt idx="6">
                  <c:v>EE2-488ng/L</c:v>
                </c:pt>
                <c:pt idx="7">
                  <c:v>Dutasteride-0,01mg/L</c:v>
                </c:pt>
                <c:pt idx="8">
                  <c:v>Dutasteride-0,1mg/L</c:v>
                </c:pt>
                <c:pt idx="9">
                  <c:v>Dutasteride-0,25mg/L</c:v>
                </c:pt>
                <c:pt idx="10">
                  <c:v>Dutasteride-0,5mg/L</c:v>
                </c:pt>
                <c:pt idx="11">
                  <c:v>Dutasteride-1mg/L</c:v>
                </c:pt>
                <c:pt idx="13">
                  <c:v>Testo -30µg/L</c:v>
                </c:pt>
                <c:pt idx="14">
                  <c:v>Testo 30µg/L + EE2 -64ng/L</c:v>
                </c:pt>
                <c:pt idx="15">
                  <c:v>Testo 30µg/L + FAD-10µg/L</c:v>
                </c:pt>
                <c:pt idx="16">
                  <c:v>Dutasteride-0,01mg/L + Testostérone</c:v>
                </c:pt>
                <c:pt idx="17">
                  <c:v>Dutasteride-0,1mg/L + Testostérone</c:v>
                </c:pt>
                <c:pt idx="18">
                  <c:v>Dutasteride-0,25mg/L + Testostérone</c:v>
                </c:pt>
                <c:pt idx="19">
                  <c:v>Dutasteride-0,5mg/L + Testostérone</c:v>
                </c:pt>
                <c:pt idx="20">
                  <c:v>Dutasteride-1mg/L + Testostérone</c:v>
                </c:pt>
              </c:strCache>
            </c:strRef>
          </c:cat>
          <c:val>
            <c:numRef>
              <c:f>'R2'!$B$53:$V$53</c:f>
              <c:numCache>
                <c:formatCode>0.0000</c:formatCode>
                <c:ptCount val="21"/>
                <c:pt idx="0">
                  <c:v>0.2431555624769941</c:v>
                </c:pt>
                <c:pt idx="1">
                  <c:v>0.13944129496519281</c:v>
                </c:pt>
                <c:pt idx="2">
                  <c:v>0.69726578458775412</c:v>
                </c:pt>
                <c:pt idx="3">
                  <c:v>1.1815344391005544</c:v>
                </c:pt>
                <c:pt idx="4">
                  <c:v>1.8712369397174164</c:v>
                </c:pt>
                <c:pt idx="5">
                  <c:v>3.0131012381734412</c:v>
                </c:pt>
                <c:pt idx="6">
                  <c:v>4.384133046003746</c:v>
                </c:pt>
                <c:pt idx="7">
                  <c:v>0.13496429279302968</c:v>
                </c:pt>
                <c:pt idx="8">
                  <c:v>0.11989991667307125</c:v>
                </c:pt>
                <c:pt idx="9">
                  <c:v>0.17403420651325344</c:v>
                </c:pt>
                <c:pt idx="10">
                  <c:v>5.5363665414066066E-2</c:v>
                </c:pt>
                <c:pt idx="11">
                  <c:v>8.2638369219194319E-2</c:v>
                </c:pt>
                <c:pt idx="13">
                  <c:v>0.99999999999999989</c:v>
                </c:pt>
                <c:pt idx="14">
                  <c:v>2.5343628523697612</c:v>
                </c:pt>
                <c:pt idx="15">
                  <c:v>0.11455349305676343</c:v>
                </c:pt>
                <c:pt idx="16">
                  <c:v>0.95482011900379826</c:v>
                </c:pt>
                <c:pt idx="17">
                  <c:v>0.83909034095275858</c:v>
                </c:pt>
                <c:pt idx="18">
                  <c:v>1.3627324861762242</c:v>
                </c:pt>
                <c:pt idx="19">
                  <c:v>1.3724415902499403</c:v>
                </c:pt>
                <c:pt idx="20">
                  <c:v>1.3099765289075678</c:v>
                </c:pt>
              </c:numCache>
            </c:numRef>
          </c:val>
          <c:extLst>
            <c:ext xmlns:c16="http://schemas.microsoft.com/office/drawing/2014/chart" uri="{C3380CC4-5D6E-409C-BE32-E72D297353CC}">
              <c16:uniqueId val="{00000016-EED2-4ACE-91AA-7F8713196E92}"/>
            </c:ext>
          </c:extLst>
        </c:ser>
        <c:dLbls>
          <c:showLegendKey val="0"/>
          <c:showVal val="0"/>
          <c:showCatName val="0"/>
          <c:showSerName val="0"/>
          <c:showPercent val="0"/>
          <c:showBubbleSize val="0"/>
        </c:dLbls>
        <c:gapWidth val="150"/>
        <c:axId val="324818296"/>
        <c:axId val="324818688"/>
      </c:barChart>
      <c:catAx>
        <c:axId val="324818296"/>
        <c:scaling>
          <c:orientation val="minMax"/>
        </c:scaling>
        <c:delete val="0"/>
        <c:axPos val="b"/>
        <c:numFmt formatCode="General" sourceLinked="1"/>
        <c:majorTickMark val="out"/>
        <c:minorTickMark val="none"/>
        <c:tickLblPos val="nextTo"/>
        <c:txPr>
          <a:bodyPr rot="-2700000" vert="horz"/>
          <a:lstStyle/>
          <a:p>
            <a:pPr>
              <a:defRPr lang="en-GB"/>
            </a:pPr>
            <a:endParaRPr lang="fr-FR"/>
          </a:p>
        </c:txPr>
        <c:crossAx val="324818688"/>
        <c:crosses val="autoZero"/>
        <c:auto val="1"/>
        <c:lblAlgn val="ctr"/>
        <c:lblOffset val="100"/>
        <c:noMultiLvlLbl val="0"/>
      </c:catAx>
      <c:valAx>
        <c:axId val="324818688"/>
        <c:scaling>
          <c:orientation val="minMax"/>
          <c:max val="2.8"/>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fr-FR"/>
          </a:p>
        </c:txPr>
        <c:crossAx val="324818296"/>
        <c:crosses val="autoZero"/>
        <c:crossBetween val="between"/>
        <c:majorUnit val="0.2"/>
      </c:valAx>
    </c:plotArea>
    <c:plotVisOnly val="1"/>
    <c:dispBlanksAs val="gap"/>
    <c:showDLblsOverMax val="0"/>
  </c:chart>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395319521821627E-2"/>
          <c:y val="0.14871824529979213"/>
          <c:w val="0.9002738512986157"/>
          <c:h val="0.63968468033016779"/>
        </c:manualLayout>
      </c:layout>
      <c:barChart>
        <c:barDir val="col"/>
        <c:grouping val="clustered"/>
        <c:varyColors val="0"/>
        <c:ser>
          <c:idx val="0"/>
          <c:order val="0"/>
          <c:tx>
            <c:v>R2</c:v>
          </c:tx>
          <c:spPr>
            <a:solidFill>
              <a:schemeClr val="accent2"/>
            </a:solidFill>
          </c:spPr>
          <c:invertIfNegative val="0"/>
          <c:dPt>
            <c:idx val="9"/>
            <c:invertIfNegative val="0"/>
            <c:bubble3D val="0"/>
            <c:spPr>
              <a:solidFill>
                <a:schemeClr val="bg1">
                  <a:lumMod val="65000"/>
                </a:schemeClr>
              </a:solidFill>
            </c:spPr>
            <c:extLst>
              <c:ext xmlns:c16="http://schemas.microsoft.com/office/drawing/2014/chart" uri="{C3380CC4-5D6E-409C-BE32-E72D297353CC}">
                <c16:uniqueId val="{00000001-EED2-4ACE-91AA-7F8713196E92}"/>
              </c:ext>
            </c:extLst>
          </c:dPt>
          <c:dPt>
            <c:idx val="11"/>
            <c:invertIfNegative val="0"/>
            <c:bubble3D val="0"/>
            <c:spPr>
              <a:solidFill>
                <a:schemeClr val="bg1">
                  <a:lumMod val="65000"/>
                </a:schemeClr>
              </a:solidFill>
            </c:spPr>
            <c:extLst>
              <c:ext xmlns:c16="http://schemas.microsoft.com/office/drawing/2014/chart" uri="{C3380CC4-5D6E-409C-BE32-E72D297353CC}">
                <c16:uniqueId val="{00000003-EED2-4ACE-91AA-7F8713196E92}"/>
              </c:ext>
            </c:extLst>
          </c:dPt>
          <c:dPt>
            <c:idx val="13"/>
            <c:invertIfNegative val="0"/>
            <c:bubble3D val="0"/>
            <c:spPr>
              <a:solidFill>
                <a:schemeClr val="bg1">
                  <a:lumMod val="65000"/>
                </a:schemeClr>
              </a:solidFill>
            </c:spPr>
            <c:extLst>
              <c:ext xmlns:c16="http://schemas.microsoft.com/office/drawing/2014/chart" uri="{C3380CC4-5D6E-409C-BE32-E72D297353CC}">
                <c16:uniqueId val="{00000005-EED2-4ACE-91AA-7F8713196E92}"/>
              </c:ext>
            </c:extLst>
          </c:dPt>
          <c:dPt>
            <c:idx val="15"/>
            <c:invertIfNegative val="0"/>
            <c:bubble3D val="0"/>
            <c:spPr>
              <a:solidFill>
                <a:schemeClr val="bg1">
                  <a:lumMod val="65000"/>
                </a:schemeClr>
              </a:solidFill>
            </c:spPr>
            <c:extLst>
              <c:ext xmlns:c16="http://schemas.microsoft.com/office/drawing/2014/chart" uri="{C3380CC4-5D6E-409C-BE32-E72D297353CC}">
                <c16:uniqueId val="{00000007-EED2-4ACE-91AA-7F8713196E92}"/>
              </c:ext>
            </c:extLst>
          </c:dPt>
          <c:dPt>
            <c:idx val="25"/>
            <c:invertIfNegative val="0"/>
            <c:bubble3D val="0"/>
            <c:spPr>
              <a:solidFill>
                <a:srgbClr val="00B050"/>
              </a:solidFill>
            </c:spPr>
            <c:extLst>
              <c:ext xmlns:c16="http://schemas.microsoft.com/office/drawing/2014/chart" uri="{C3380CC4-5D6E-409C-BE32-E72D297353CC}">
                <c16:uniqueId val="{00000009-EED2-4ACE-91AA-7F8713196E92}"/>
              </c:ext>
            </c:extLst>
          </c:dPt>
          <c:dPt>
            <c:idx val="26"/>
            <c:invertIfNegative val="0"/>
            <c:bubble3D val="0"/>
            <c:spPr>
              <a:solidFill>
                <a:srgbClr val="FF0000"/>
              </a:solidFill>
            </c:spPr>
            <c:extLst>
              <c:ext xmlns:c16="http://schemas.microsoft.com/office/drawing/2014/chart" uri="{C3380CC4-5D6E-409C-BE32-E72D297353CC}">
                <c16:uniqueId val="{0000000B-EED2-4ACE-91AA-7F8713196E92}"/>
              </c:ext>
            </c:extLst>
          </c:dPt>
          <c:dPt>
            <c:idx val="27"/>
            <c:invertIfNegative val="0"/>
            <c:bubble3D val="0"/>
            <c:spPr>
              <a:solidFill>
                <a:srgbClr val="0070C0"/>
              </a:solidFill>
            </c:spPr>
            <c:extLst>
              <c:ext xmlns:c16="http://schemas.microsoft.com/office/drawing/2014/chart" uri="{C3380CC4-5D6E-409C-BE32-E72D297353CC}">
                <c16:uniqueId val="{0000000D-EED2-4ACE-91AA-7F8713196E92}"/>
              </c:ext>
            </c:extLst>
          </c:dPt>
          <c:dPt>
            <c:idx val="28"/>
            <c:invertIfNegative val="0"/>
            <c:bubble3D val="0"/>
            <c:spPr>
              <a:solidFill>
                <a:schemeClr val="bg1">
                  <a:lumMod val="65000"/>
                </a:schemeClr>
              </a:solidFill>
            </c:spPr>
            <c:extLst>
              <c:ext xmlns:c16="http://schemas.microsoft.com/office/drawing/2014/chart" uri="{C3380CC4-5D6E-409C-BE32-E72D297353CC}">
                <c16:uniqueId val="{0000000F-EED2-4ACE-91AA-7F8713196E92}"/>
              </c:ext>
            </c:extLst>
          </c:dPt>
          <c:dPt>
            <c:idx val="30"/>
            <c:invertIfNegative val="0"/>
            <c:bubble3D val="0"/>
            <c:spPr>
              <a:solidFill>
                <a:schemeClr val="bg1">
                  <a:lumMod val="65000"/>
                </a:schemeClr>
              </a:solidFill>
            </c:spPr>
            <c:extLst>
              <c:ext xmlns:c16="http://schemas.microsoft.com/office/drawing/2014/chart" uri="{C3380CC4-5D6E-409C-BE32-E72D297353CC}">
                <c16:uniqueId val="{00000011-EED2-4ACE-91AA-7F8713196E92}"/>
              </c:ext>
            </c:extLst>
          </c:dPt>
          <c:dPt>
            <c:idx val="32"/>
            <c:invertIfNegative val="0"/>
            <c:bubble3D val="0"/>
            <c:spPr>
              <a:solidFill>
                <a:schemeClr val="bg1">
                  <a:lumMod val="65000"/>
                </a:schemeClr>
              </a:solidFill>
            </c:spPr>
            <c:extLst>
              <c:ext xmlns:c16="http://schemas.microsoft.com/office/drawing/2014/chart" uri="{C3380CC4-5D6E-409C-BE32-E72D297353CC}">
                <c16:uniqueId val="{00000013-EED2-4ACE-91AA-7F8713196E92}"/>
              </c:ext>
            </c:extLst>
          </c:dPt>
          <c:dPt>
            <c:idx val="34"/>
            <c:invertIfNegative val="0"/>
            <c:bubble3D val="0"/>
            <c:spPr>
              <a:solidFill>
                <a:schemeClr val="bg1">
                  <a:lumMod val="65000"/>
                </a:schemeClr>
              </a:solidFill>
            </c:spPr>
            <c:extLst>
              <c:ext xmlns:c16="http://schemas.microsoft.com/office/drawing/2014/chart" uri="{C3380CC4-5D6E-409C-BE32-E72D297353CC}">
                <c16:uniqueId val="{00000015-EED2-4ACE-91AA-7F8713196E92}"/>
              </c:ext>
            </c:extLst>
          </c:dPt>
          <c:errBars>
            <c:errBarType val="plus"/>
            <c:errValType val="cust"/>
            <c:noEndCap val="0"/>
            <c:plus>
              <c:numRef>
                <c:f>'R3'!$B$54:$V$54</c:f>
                <c:numCache>
                  <c:formatCode>General</c:formatCode>
                  <c:ptCount val="21"/>
                  <c:pt idx="0">
                    <c:v>4.6974124139574927E-2</c:v>
                  </c:pt>
                  <c:pt idx="1">
                    <c:v>0.10671957442135331</c:v>
                  </c:pt>
                  <c:pt idx="2">
                    <c:v>0.19217373893845452</c:v>
                  </c:pt>
                  <c:pt idx="3">
                    <c:v>0.14508625550980678</c:v>
                  </c:pt>
                  <c:pt idx="4">
                    <c:v>0.39850971299993826</c:v>
                  </c:pt>
                  <c:pt idx="5">
                    <c:v>0.23741456707909653</c:v>
                  </c:pt>
                  <c:pt idx="6">
                    <c:v>0.40808790394376349</c:v>
                  </c:pt>
                  <c:pt idx="7">
                    <c:v>2.5773365638271449E-2</c:v>
                  </c:pt>
                  <c:pt idx="8">
                    <c:v>5.6847406392591164E-2</c:v>
                  </c:pt>
                  <c:pt idx="9">
                    <c:v>3.563044129776579E-2</c:v>
                  </c:pt>
                  <c:pt idx="10">
                    <c:v>4.3582403028958279E-2</c:v>
                  </c:pt>
                  <c:pt idx="11">
                    <c:v>2.7460471938728068E-2</c:v>
                  </c:pt>
                  <c:pt idx="13">
                    <c:v>0.18966703908605589</c:v>
                  </c:pt>
                  <c:pt idx="14">
                    <c:v>0.40712029058741039</c:v>
                  </c:pt>
                  <c:pt idx="15">
                    <c:v>7.1611477459376696E-2</c:v>
                  </c:pt>
                  <c:pt idx="16">
                    <c:v>0.41896530489299216</c:v>
                  </c:pt>
                  <c:pt idx="17">
                    <c:v>0.38475618560512503</c:v>
                  </c:pt>
                  <c:pt idx="18">
                    <c:v>0.64595056442205157</c:v>
                  </c:pt>
                  <c:pt idx="19">
                    <c:v>0.36754460592344956</c:v>
                  </c:pt>
                  <c:pt idx="20">
                    <c:v>0.47655149770512556</c:v>
                  </c:pt>
                </c:numCache>
              </c:numRef>
            </c:plus>
            <c:minus>
              <c:numRef>
                <c:f>'R1'!$N$48:$V$48</c:f>
                <c:numCache>
                  <c:formatCode>General</c:formatCode>
                  <c:ptCount val="9"/>
                  <c:pt idx="0">
                    <c:v>0</c:v>
                  </c:pt>
                  <c:pt idx="1">
                    <c:v>0.16235184321685545</c:v>
                  </c:pt>
                  <c:pt idx="2">
                    <c:v>0.7818503409269959</c:v>
                  </c:pt>
                  <c:pt idx="3">
                    <c:v>7.9304362705081732E-2</c:v>
                  </c:pt>
                  <c:pt idx="4">
                    <c:v>0.5437801047095262</c:v>
                  </c:pt>
                  <c:pt idx="5">
                    <c:v>0.56195307668226646</c:v>
                  </c:pt>
                  <c:pt idx="6">
                    <c:v>0.33421127560079189</c:v>
                  </c:pt>
                  <c:pt idx="7">
                    <c:v>0.78889197410749456</c:v>
                  </c:pt>
                  <c:pt idx="8">
                    <c:v>0.51767288671724099</c:v>
                  </c:pt>
                </c:numCache>
              </c:numRef>
            </c:minus>
          </c:errBars>
          <c:cat>
            <c:strRef>
              <c:f>'R3'!$B$52:$V$52</c:f>
              <c:strCache>
                <c:ptCount val="21"/>
                <c:pt idx="0">
                  <c:v>Témoin solvant</c:v>
                </c:pt>
                <c:pt idx="1">
                  <c:v>EE2-33,8ng/L</c:v>
                </c:pt>
                <c:pt idx="2">
                  <c:v>EE2-50,6ng/L</c:v>
                </c:pt>
                <c:pt idx="3">
                  <c:v>EE2-76ng/L</c:v>
                </c:pt>
                <c:pt idx="4">
                  <c:v>EE2-114ng/L</c:v>
                </c:pt>
                <c:pt idx="5">
                  <c:v>EE2-170,9ng/L</c:v>
                </c:pt>
                <c:pt idx="6">
                  <c:v>EE2-488ng/L</c:v>
                </c:pt>
                <c:pt idx="7">
                  <c:v>Dutasteride-0,01mg/L</c:v>
                </c:pt>
                <c:pt idx="8">
                  <c:v>Dutasteride-0,1mg/L</c:v>
                </c:pt>
                <c:pt idx="9">
                  <c:v>Dutasteride-0,25mg/L</c:v>
                </c:pt>
                <c:pt idx="10">
                  <c:v>Dutasteride-0,5mg/L</c:v>
                </c:pt>
                <c:pt idx="11">
                  <c:v>Dutasteride-1mg/L</c:v>
                </c:pt>
                <c:pt idx="13">
                  <c:v>Testo -30µg/L</c:v>
                </c:pt>
                <c:pt idx="14">
                  <c:v>Testo 30µg/L + EE2 -64ng/L</c:v>
                </c:pt>
                <c:pt idx="15">
                  <c:v>Testo 30µg/L + FAD-10µg/L</c:v>
                </c:pt>
                <c:pt idx="16">
                  <c:v>Dutasteride-0,01mg/L + Testostérone</c:v>
                </c:pt>
                <c:pt idx="17">
                  <c:v>Dutasteride-0,1mg/L + Testostérone</c:v>
                </c:pt>
                <c:pt idx="18">
                  <c:v>Dutasteride-0,25mg/L + Testostérone</c:v>
                </c:pt>
                <c:pt idx="19">
                  <c:v>Dutasteride-0,5mg/L + Testostérone</c:v>
                </c:pt>
                <c:pt idx="20">
                  <c:v>Dutasteride-1mg/L + Testostérone</c:v>
                </c:pt>
              </c:strCache>
            </c:strRef>
          </c:cat>
          <c:val>
            <c:numRef>
              <c:f>'R3'!$B$53:$V$53</c:f>
              <c:numCache>
                <c:formatCode>0.0000</c:formatCode>
                <c:ptCount val="21"/>
                <c:pt idx="0">
                  <c:v>0.18898801709016105</c:v>
                </c:pt>
                <c:pt idx="1">
                  <c:v>0.29525894814179565</c:v>
                </c:pt>
                <c:pt idx="2">
                  <c:v>0.4774051484987985</c:v>
                </c:pt>
                <c:pt idx="3">
                  <c:v>1.0435513550833571</c:v>
                </c:pt>
                <c:pt idx="4">
                  <c:v>1.9677699247551024</c:v>
                </c:pt>
                <c:pt idx="5">
                  <c:v>2.4453312811109202</c:v>
                </c:pt>
                <c:pt idx="6">
                  <c:v>3.8524912826965796</c:v>
                </c:pt>
                <c:pt idx="7">
                  <c:v>0.16767288277489395</c:v>
                </c:pt>
                <c:pt idx="8">
                  <c:v>0.18784793053587642</c:v>
                </c:pt>
                <c:pt idx="9">
                  <c:v>0.1054331336048159</c:v>
                </c:pt>
                <c:pt idx="10">
                  <c:v>0.20526338582155262</c:v>
                </c:pt>
                <c:pt idx="11">
                  <c:v>0.12532712194129592</c:v>
                </c:pt>
                <c:pt idx="13">
                  <c:v>0.99999999999999989</c:v>
                </c:pt>
                <c:pt idx="14">
                  <c:v>2.7926200168355231</c:v>
                </c:pt>
                <c:pt idx="15">
                  <c:v>0.28247351668180093</c:v>
                </c:pt>
                <c:pt idx="16">
                  <c:v>1.392973957326894</c:v>
                </c:pt>
                <c:pt idx="17">
                  <c:v>1.5721752954246837</c:v>
                </c:pt>
                <c:pt idx="18">
                  <c:v>1.7151221187266388</c:v>
                </c:pt>
                <c:pt idx="19">
                  <c:v>1.8562344556930528</c:v>
                </c:pt>
                <c:pt idx="20">
                  <c:v>1.8871145693812714</c:v>
                </c:pt>
              </c:numCache>
            </c:numRef>
          </c:val>
          <c:extLst>
            <c:ext xmlns:c16="http://schemas.microsoft.com/office/drawing/2014/chart" uri="{C3380CC4-5D6E-409C-BE32-E72D297353CC}">
              <c16:uniqueId val="{00000016-EED2-4ACE-91AA-7F8713196E92}"/>
            </c:ext>
          </c:extLst>
        </c:ser>
        <c:dLbls>
          <c:showLegendKey val="0"/>
          <c:showVal val="0"/>
          <c:showCatName val="0"/>
          <c:showSerName val="0"/>
          <c:showPercent val="0"/>
          <c:showBubbleSize val="0"/>
        </c:dLbls>
        <c:gapWidth val="150"/>
        <c:axId val="434373488"/>
        <c:axId val="434373880"/>
      </c:barChart>
      <c:catAx>
        <c:axId val="434373488"/>
        <c:scaling>
          <c:orientation val="minMax"/>
        </c:scaling>
        <c:delete val="0"/>
        <c:axPos val="b"/>
        <c:numFmt formatCode="General" sourceLinked="1"/>
        <c:majorTickMark val="out"/>
        <c:minorTickMark val="none"/>
        <c:tickLblPos val="nextTo"/>
        <c:txPr>
          <a:bodyPr rot="-2700000" vert="horz"/>
          <a:lstStyle/>
          <a:p>
            <a:pPr>
              <a:defRPr lang="en-GB"/>
            </a:pPr>
            <a:endParaRPr lang="fr-FR"/>
          </a:p>
        </c:txPr>
        <c:crossAx val="434373880"/>
        <c:crosses val="autoZero"/>
        <c:auto val="1"/>
        <c:lblAlgn val="ctr"/>
        <c:lblOffset val="100"/>
        <c:noMultiLvlLbl val="0"/>
      </c:catAx>
      <c:valAx>
        <c:axId val="434373880"/>
        <c:scaling>
          <c:orientation val="minMax"/>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fr-FR"/>
          </a:p>
        </c:txPr>
        <c:crossAx val="434373488"/>
        <c:crosses val="autoZero"/>
        <c:crossBetween val="between"/>
        <c:majorUnit val="0.2"/>
      </c:valAx>
    </c:plotArea>
    <c:plotVisOnly val="1"/>
    <c:dispBlanksAs val="gap"/>
    <c:showDLblsOverMax val="0"/>
  </c:chart>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8086563142153819E-2"/>
          <c:y val="0.10694631110669023"/>
          <c:w val="0.91688911122572669"/>
          <c:h val="0.69895377069250364"/>
        </c:manualLayout>
      </c:layout>
      <c:barChart>
        <c:barDir val="col"/>
        <c:grouping val="clustered"/>
        <c:varyColors val="0"/>
        <c:ser>
          <c:idx val="0"/>
          <c:order val="0"/>
          <c:tx>
            <c:v>Pool</c:v>
          </c:tx>
          <c:spPr>
            <a:solidFill>
              <a:srgbClr val="00B050"/>
            </a:solidFill>
          </c:spPr>
          <c:invertIfNegative val="0"/>
          <c:dPt>
            <c:idx val="1"/>
            <c:invertIfNegative val="0"/>
            <c:bubble3D val="0"/>
            <c:spPr>
              <a:solidFill>
                <a:srgbClr val="BA3838"/>
              </a:solidFill>
            </c:spPr>
            <c:extLst>
              <c:ext xmlns:c16="http://schemas.microsoft.com/office/drawing/2014/chart" uri="{C3380CC4-5D6E-409C-BE32-E72D297353CC}">
                <c16:uniqueId val="{00000001-033C-4530-84A9-991A3866ABD4}"/>
              </c:ext>
            </c:extLst>
          </c:dPt>
          <c:dPt>
            <c:idx val="2"/>
            <c:invertIfNegative val="0"/>
            <c:bubble3D val="0"/>
            <c:spPr>
              <a:solidFill>
                <a:schemeClr val="bg1">
                  <a:lumMod val="65000"/>
                </a:schemeClr>
              </a:solidFill>
            </c:spPr>
            <c:extLst>
              <c:ext xmlns:c16="http://schemas.microsoft.com/office/drawing/2014/chart" uri="{C3380CC4-5D6E-409C-BE32-E72D297353CC}">
                <c16:uniqueId val="{00000003-033C-4530-84A9-991A3866ABD4}"/>
              </c:ext>
            </c:extLst>
          </c:dPt>
          <c:dPt>
            <c:idx val="3"/>
            <c:invertIfNegative val="0"/>
            <c:bubble3D val="0"/>
            <c:spPr>
              <a:solidFill>
                <a:schemeClr val="bg1">
                  <a:lumMod val="65000"/>
                </a:schemeClr>
              </a:solidFill>
            </c:spPr>
            <c:extLst>
              <c:ext xmlns:c16="http://schemas.microsoft.com/office/drawing/2014/chart" uri="{C3380CC4-5D6E-409C-BE32-E72D297353CC}">
                <c16:uniqueId val="{00000005-033C-4530-84A9-991A3866ABD4}"/>
              </c:ext>
            </c:extLst>
          </c:dPt>
          <c:dPt>
            <c:idx val="4"/>
            <c:invertIfNegative val="0"/>
            <c:bubble3D val="0"/>
            <c:spPr>
              <a:solidFill>
                <a:schemeClr val="bg1">
                  <a:lumMod val="65000"/>
                </a:schemeClr>
              </a:solidFill>
            </c:spPr>
            <c:extLst>
              <c:ext xmlns:c16="http://schemas.microsoft.com/office/drawing/2014/chart" uri="{C3380CC4-5D6E-409C-BE32-E72D297353CC}">
                <c16:uniqueId val="{00000007-033C-4530-84A9-991A3866ABD4}"/>
              </c:ext>
            </c:extLst>
          </c:dPt>
          <c:dPt>
            <c:idx val="5"/>
            <c:invertIfNegative val="0"/>
            <c:bubble3D val="0"/>
            <c:spPr>
              <a:solidFill>
                <a:schemeClr val="tx2">
                  <a:lumMod val="40000"/>
                  <a:lumOff val="60000"/>
                </a:schemeClr>
              </a:solidFill>
            </c:spPr>
            <c:extLst>
              <c:ext xmlns:c16="http://schemas.microsoft.com/office/drawing/2014/chart" uri="{C3380CC4-5D6E-409C-BE32-E72D297353CC}">
                <c16:uniqueId val="{00000009-033C-4530-84A9-991A3866ABD4}"/>
              </c:ext>
            </c:extLst>
          </c:dPt>
          <c:dPt>
            <c:idx val="6"/>
            <c:invertIfNegative val="0"/>
            <c:bubble3D val="0"/>
            <c:spPr>
              <a:solidFill>
                <a:schemeClr val="tx2">
                  <a:lumMod val="40000"/>
                  <a:lumOff val="60000"/>
                </a:schemeClr>
              </a:solidFill>
            </c:spPr>
            <c:extLst>
              <c:ext xmlns:c16="http://schemas.microsoft.com/office/drawing/2014/chart" uri="{C3380CC4-5D6E-409C-BE32-E72D297353CC}">
                <c16:uniqueId val="{0000000B-033C-4530-84A9-991A3866ABD4}"/>
              </c:ext>
            </c:extLst>
          </c:dPt>
          <c:dPt>
            <c:idx val="7"/>
            <c:invertIfNegative val="0"/>
            <c:bubble3D val="0"/>
            <c:spPr>
              <a:solidFill>
                <a:schemeClr val="tx2">
                  <a:lumMod val="40000"/>
                  <a:lumOff val="60000"/>
                </a:schemeClr>
              </a:solidFill>
            </c:spPr>
            <c:extLst>
              <c:ext xmlns:c16="http://schemas.microsoft.com/office/drawing/2014/chart" uri="{C3380CC4-5D6E-409C-BE32-E72D297353CC}">
                <c16:uniqueId val="{0000000D-033C-4530-84A9-991A3866ABD4}"/>
              </c:ext>
            </c:extLst>
          </c:dPt>
          <c:dPt>
            <c:idx val="8"/>
            <c:invertIfNegative val="0"/>
            <c:bubble3D val="0"/>
            <c:spPr>
              <a:solidFill>
                <a:schemeClr val="bg1">
                  <a:lumMod val="65000"/>
                </a:schemeClr>
              </a:solidFill>
            </c:spPr>
            <c:extLst>
              <c:ext xmlns:c16="http://schemas.microsoft.com/office/drawing/2014/chart" uri="{C3380CC4-5D6E-409C-BE32-E72D297353CC}">
                <c16:uniqueId val="{0000000F-033C-4530-84A9-991A3866ABD4}"/>
              </c:ext>
            </c:extLst>
          </c:dPt>
          <c:dPt>
            <c:idx val="9"/>
            <c:invertIfNegative val="0"/>
            <c:bubble3D val="0"/>
            <c:spPr>
              <a:solidFill>
                <a:schemeClr val="bg1">
                  <a:lumMod val="65000"/>
                </a:schemeClr>
              </a:solidFill>
            </c:spPr>
            <c:extLst>
              <c:ext xmlns:c16="http://schemas.microsoft.com/office/drawing/2014/chart" uri="{C3380CC4-5D6E-409C-BE32-E72D297353CC}">
                <c16:uniqueId val="{00000011-033C-4530-84A9-991A3866ABD4}"/>
              </c:ext>
            </c:extLst>
          </c:dPt>
          <c:dPt>
            <c:idx val="10"/>
            <c:invertIfNegative val="0"/>
            <c:bubble3D val="0"/>
            <c:spPr>
              <a:solidFill>
                <a:schemeClr val="bg1">
                  <a:lumMod val="65000"/>
                </a:schemeClr>
              </a:solidFill>
            </c:spPr>
            <c:extLst>
              <c:ext xmlns:c16="http://schemas.microsoft.com/office/drawing/2014/chart" uri="{C3380CC4-5D6E-409C-BE32-E72D297353CC}">
                <c16:uniqueId val="{00000013-033C-4530-84A9-991A3866ABD4}"/>
              </c:ext>
            </c:extLst>
          </c:dPt>
          <c:dPt>
            <c:idx val="11"/>
            <c:invertIfNegative val="0"/>
            <c:bubble3D val="0"/>
            <c:spPr>
              <a:solidFill>
                <a:schemeClr val="tx2">
                  <a:lumMod val="40000"/>
                  <a:lumOff val="60000"/>
                </a:schemeClr>
              </a:solidFill>
            </c:spPr>
            <c:extLst>
              <c:ext xmlns:c16="http://schemas.microsoft.com/office/drawing/2014/chart" uri="{C3380CC4-5D6E-409C-BE32-E72D297353CC}">
                <c16:uniqueId val="{00000015-033C-4530-84A9-991A3866ABD4}"/>
              </c:ext>
            </c:extLst>
          </c:dPt>
          <c:dPt>
            <c:idx val="12"/>
            <c:invertIfNegative val="0"/>
            <c:bubble3D val="0"/>
            <c:spPr>
              <a:solidFill>
                <a:schemeClr val="tx2">
                  <a:lumMod val="40000"/>
                  <a:lumOff val="60000"/>
                </a:schemeClr>
              </a:solidFill>
            </c:spPr>
            <c:extLst>
              <c:ext xmlns:c16="http://schemas.microsoft.com/office/drawing/2014/chart" uri="{C3380CC4-5D6E-409C-BE32-E72D297353CC}">
                <c16:uniqueId val="{00000017-033C-4530-84A9-991A3866ABD4}"/>
              </c:ext>
            </c:extLst>
          </c:dPt>
          <c:dPt>
            <c:idx val="13"/>
            <c:invertIfNegative val="0"/>
            <c:bubble3D val="0"/>
            <c:spPr>
              <a:solidFill>
                <a:schemeClr val="tx2">
                  <a:lumMod val="40000"/>
                  <a:lumOff val="60000"/>
                </a:schemeClr>
              </a:solidFill>
            </c:spPr>
            <c:extLst>
              <c:ext xmlns:c16="http://schemas.microsoft.com/office/drawing/2014/chart" uri="{C3380CC4-5D6E-409C-BE32-E72D297353CC}">
                <c16:uniqueId val="{00000019-033C-4530-84A9-991A3866ABD4}"/>
              </c:ext>
            </c:extLst>
          </c:dPt>
          <c:dPt>
            <c:idx val="14"/>
            <c:invertIfNegative val="0"/>
            <c:bubble3D val="0"/>
            <c:spPr>
              <a:solidFill>
                <a:schemeClr val="bg1">
                  <a:lumMod val="65000"/>
                </a:schemeClr>
              </a:solidFill>
            </c:spPr>
            <c:extLst>
              <c:ext xmlns:c16="http://schemas.microsoft.com/office/drawing/2014/chart" uri="{C3380CC4-5D6E-409C-BE32-E72D297353CC}">
                <c16:uniqueId val="{0000001B-033C-4530-84A9-991A3866ABD4}"/>
              </c:ext>
            </c:extLst>
          </c:dPt>
          <c:dPt>
            <c:idx val="15"/>
            <c:invertIfNegative val="0"/>
            <c:bubble3D val="0"/>
            <c:spPr>
              <a:solidFill>
                <a:schemeClr val="bg1">
                  <a:lumMod val="65000"/>
                </a:schemeClr>
              </a:solidFill>
            </c:spPr>
            <c:extLst>
              <c:ext xmlns:c16="http://schemas.microsoft.com/office/drawing/2014/chart" uri="{C3380CC4-5D6E-409C-BE32-E72D297353CC}">
                <c16:uniqueId val="{0000001D-033C-4530-84A9-991A3866ABD4}"/>
              </c:ext>
            </c:extLst>
          </c:dPt>
          <c:dPt>
            <c:idx val="16"/>
            <c:invertIfNegative val="0"/>
            <c:bubble3D val="0"/>
            <c:spPr>
              <a:solidFill>
                <a:schemeClr val="bg1">
                  <a:lumMod val="65000"/>
                </a:schemeClr>
              </a:solidFill>
            </c:spPr>
            <c:extLst>
              <c:ext xmlns:c16="http://schemas.microsoft.com/office/drawing/2014/chart" uri="{C3380CC4-5D6E-409C-BE32-E72D297353CC}">
                <c16:uniqueId val="{0000001F-033C-4530-84A9-991A3866ABD4}"/>
              </c:ext>
            </c:extLst>
          </c:dPt>
          <c:dPt>
            <c:idx val="17"/>
            <c:invertIfNegative val="0"/>
            <c:bubble3D val="0"/>
            <c:spPr>
              <a:solidFill>
                <a:schemeClr val="tx2">
                  <a:lumMod val="40000"/>
                  <a:lumOff val="60000"/>
                </a:schemeClr>
              </a:solidFill>
            </c:spPr>
            <c:extLst>
              <c:ext xmlns:c16="http://schemas.microsoft.com/office/drawing/2014/chart" uri="{C3380CC4-5D6E-409C-BE32-E72D297353CC}">
                <c16:uniqueId val="{00000021-033C-4530-84A9-991A3866ABD4}"/>
              </c:ext>
            </c:extLst>
          </c:dPt>
          <c:dPt>
            <c:idx val="18"/>
            <c:invertIfNegative val="0"/>
            <c:bubble3D val="0"/>
            <c:spPr>
              <a:solidFill>
                <a:schemeClr val="tx2">
                  <a:lumMod val="40000"/>
                  <a:lumOff val="60000"/>
                </a:schemeClr>
              </a:solidFill>
            </c:spPr>
            <c:extLst>
              <c:ext xmlns:c16="http://schemas.microsoft.com/office/drawing/2014/chart" uri="{C3380CC4-5D6E-409C-BE32-E72D297353CC}">
                <c16:uniqueId val="{00000023-033C-4530-84A9-991A3866ABD4}"/>
              </c:ext>
            </c:extLst>
          </c:dPt>
          <c:dPt>
            <c:idx val="19"/>
            <c:invertIfNegative val="0"/>
            <c:bubble3D val="0"/>
            <c:spPr>
              <a:solidFill>
                <a:schemeClr val="tx2">
                  <a:lumMod val="40000"/>
                  <a:lumOff val="60000"/>
                </a:schemeClr>
              </a:solidFill>
            </c:spPr>
            <c:extLst>
              <c:ext xmlns:c16="http://schemas.microsoft.com/office/drawing/2014/chart" uri="{C3380CC4-5D6E-409C-BE32-E72D297353CC}">
                <c16:uniqueId val="{00000025-033C-4530-84A9-991A3866ABD4}"/>
              </c:ext>
            </c:extLst>
          </c:dPt>
          <c:dPt>
            <c:idx val="20"/>
            <c:invertIfNegative val="0"/>
            <c:bubble3D val="0"/>
            <c:spPr>
              <a:solidFill>
                <a:schemeClr val="bg1">
                  <a:lumMod val="65000"/>
                </a:schemeClr>
              </a:solidFill>
            </c:spPr>
            <c:extLst>
              <c:ext xmlns:c16="http://schemas.microsoft.com/office/drawing/2014/chart" uri="{C3380CC4-5D6E-409C-BE32-E72D297353CC}">
                <c16:uniqueId val="{00000027-033C-4530-84A9-991A3866ABD4}"/>
              </c:ext>
            </c:extLst>
          </c:dPt>
          <c:dPt>
            <c:idx val="21"/>
            <c:invertIfNegative val="0"/>
            <c:bubble3D val="0"/>
            <c:spPr>
              <a:solidFill>
                <a:schemeClr val="bg1">
                  <a:lumMod val="65000"/>
                </a:schemeClr>
              </a:solidFill>
            </c:spPr>
            <c:extLst>
              <c:ext xmlns:c16="http://schemas.microsoft.com/office/drawing/2014/chart" uri="{C3380CC4-5D6E-409C-BE32-E72D297353CC}">
                <c16:uniqueId val="{00000029-033C-4530-84A9-991A3866ABD4}"/>
              </c:ext>
            </c:extLst>
          </c:dPt>
          <c:dPt>
            <c:idx val="22"/>
            <c:invertIfNegative val="0"/>
            <c:bubble3D val="0"/>
            <c:spPr>
              <a:solidFill>
                <a:schemeClr val="bg1">
                  <a:lumMod val="65000"/>
                </a:schemeClr>
              </a:solidFill>
            </c:spPr>
            <c:extLst>
              <c:ext xmlns:c16="http://schemas.microsoft.com/office/drawing/2014/chart" uri="{C3380CC4-5D6E-409C-BE32-E72D297353CC}">
                <c16:uniqueId val="{0000002B-033C-4530-84A9-991A3866ABD4}"/>
              </c:ext>
            </c:extLst>
          </c:dPt>
          <c:dLbls>
            <c:dLbl>
              <c:idx val="0"/>
              <c:tx>
                <c:rich>
                  <a:bodyPr/>
                  <a:lstStyle/>
                  <a:p>
                    <a:fld id="{51AB8AA2-FB8B-4321-8C0B-9910005B2E39}"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C-033C-4530-84A9-991A3866ABD4}"/>
                </c:ext>
              </c:extLst>
            </c:dLbl>
            <c:dLbl>
              <c:idx val="1"/>
              <c:tx>
                <c:rich>
                  <a:bodyPr/>
                  <a:lstStyle/>
                  <a:p>
                    <a:fld id="{B31DDF50-6B25-4665-9854-986EFA7108B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033C-4530-84A9-991A3866ABD4}"/>
                </c:ext>
              </c:extLst>
            </c:dLbl>
            <c:dLbl>
              <c:idx val="2"/>
              <c:tx>
                <c:rich>
                  <a:bodyPr/>
                  <a:lstStyle/>
                  <a:p>
                    <a:fld id="{8B8E1463-2A8A-4A7A-90F2-3FA6A79BD268}"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033C-4530-84A9-991A3866ABD4}"/>
                </c:ext>
              </c:extLst>
            </c:dLbl>
            <c:dLbl>
              <c:idx val="3"/>
              <c:tx>
                <c:rich>
                  <a:bodyPr/>
                  <a:lstStyle/>
                  <a:p>
                    <a:fld id="{D5DE091C-89BD-4C3F-B249-ECAEC5CC5489}"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033C-4530-84A9-991A3866ABD4}"/>
                </c:ext>
              </c:extLst>
            </c:dLbl>
            <c:dLbl>
              <c:idx val="4"/>
              <c:tx>
                <c:rich>
                  <a:bodyPr/>
                  <a:lstStyle/>
                  <a:p>
                    <a:fld id="{371760B8-1071-4A14-BD5E-CD89DDBB7DC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033C-4530-84A9-991A3866ABD4}"/>
                </c:ext>
              </c:extLst>
            </c:dLbl>
            <c:dLbl>
              <c:idx val="5"/>
              <c:tx>
                <c:rich>
                  <a:bodyPr/>
                  <a:lstStyle/>
                  <a:p>
                    <a:fld id="{EB7249A2-187E-434F-8F8F-68A0DE3A223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033C-4530-84A9-991A3866ABD4}"/>
                </c:ext>
              </c:extLst>
            </c:dLbl>
            <c:dLbl>
              <c:idx val="6"/>
              <c:tx>
                <c:rich>
                  <a:bodyPr/>
                  <a:lstStyle/>
                  <a:p>
                    <a:fld id="{95242186-A161-403F-AA13-1D6A4D9E829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033C-4530-84A9-991A3866ABD4}"/>
                </c:ext>
              </c:extLst>
            </c:dLbl>
            <c:dLbl>
              <c:idx val="7"/>
              <c:tx>
                <c:rich>
                  <a:bodyPr/>
                  <a:lstStyle/>
                  <a:p>
                    <a:fld id="{07BE3E19-41A8-433E-A57F-E97B021C8E0C}"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033C-4530-84A9-991A3866ABD4}"/>
                </c:ext>
              </c:extLst>
            </c:dLbl>
            <c:dLbl>
              <c:idx val="8"/>
              <c:tx>
                <c:rich>
                  <a:bodyPr/>
                  <a:lstStyle/>
                  <a:p>
                    <a:fld id="{078FE9D8-2708-472F-9B39-95F205B62709}"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033C-4530-84A9-991A3866ABD4}"/>
                </c:ext>
              </c:extLst>
            </c:dLbl>
            <c:dLbl>
              <c:idx val="9"/>
              <c:tx>
                <c:rich>
                  <a:bodyPr/>
                  <a:lstStyle/>
                  <a:p>
                    <a:fld id="{36BB272D-56DC-435A-B289-99ED506F5E39}"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033C-4530-84A9-991A3866ABD4}"/>
                </c:ext>
              </c:extLst>
            </c:dLbl>
            <c:dLbl>
              <c:idx val="10"/>
              <c:tx>
                <c:rich>
                  <a:bodyPr/>
                  <a:lstStyle/>
                  <a:p>
                    <a:fld id="{E8AED5B0-0A3B-483A-A737-9C8D4AD95468}"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033C-4530-84A9-991A3866ABD4}"/>
                </c:ext>
              </c:extLst>
            </c:dLbl>
            <c:dLbl>
              <c:idx val="11"/>
              <c:tx>
                <c:rich>
                  <a:bodyPr/>
                  <a:lstStyle/>
                  <a:p>
                    <a:fld id="{27458A2C-F21A-46FE-AEEE-5C0C807F9728}"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033C-4530-84A9-991A3866ABD4}"/>
                </c:ext>
              </c:extLst>
            </c:dLbl>
            <c:dLbl>
              <c:idx val="12"/>
              <c:tx>
                <c:rich>
                  <a:bodyPr/>
                  <a:lstStyle/>
                  <a:p>
                    <a:endParaRPr lang="fr-FR"/>
                  </a:p>
                </c:rich>
              </c:tx>
              <c:dLblPos val="outEnd"/>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7-033C-4530-84A9-991A3866ABD4}"/>
                </c:ext>
              </c:extLst>
            </c:dLbl>
            <c:dLbl>
              <c:idx val="13"/>
              <c:tx>
                <c:rich>
                  <a:bodyPr/>
                  <a:lstStyle/>
                  <a:p>
                    <a:fld id="{66B3CA13-D704-494A-9F80-14A5880A5199}"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033C-4530-84A9-991A3866ABD4}"/>
                </c:ext>
              </c:extLst>
            </c:dLbl>
            <c:dLbl>
              <c:idx val="14"/>
              <c:tx>
                <c:rich>
                  <a:bodyPr/>
                  <a:lstStyle/>
                  <a:p>
                    <a:fld id="{4EA81E14-4456-4B3A-A191-D5ABB26C76F6}"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033C-4530-84A9-991A3866ABD4}"/>
                </c:ext>
              </c:extLst>
            </c:dLbl>
            <c:dLbl>
              <c:idx val="15"/>
              <c:tx>
                <c:rich>
                  <a:bodyPr/>
                  <a:lstStyle/>
                  <a:p>
                    <a:fld id="{A915A2B5-0A34-4C6E-91F6-AA6B9DA3EADA}"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033C-4530-84A9-991A3866ABD4}"/>
                </c:ext>
              </c:extLst>
            </c:dLbl>
            <c:dLbl>
              <c:idx val="16"/>
              <c:tx>
                <c:rich>
                  <a:bodyPr/>
                  <a:lstStyle/>
                  <a:p>
                    <a:fld id="{DD002712-5725-4023-850D-B4DD8775A42B}"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033C-4530-84A9-991A3866ABD4}"/>
                </c:ext>
              </c:extLst>
            </c:dLbl>
            <c:dLbl>
              <c:idx val="17"/>
              <c:tx>
                <c:rich>
                  <a:bodyPr/>
                  <a:lstStyle/>
                  <a:p>
                    <a:fld id="{2F0A6759-024D-4B75-8FAF-F51D00008720}"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033C-4530-84A9-991A3866ABD4}"/>
                </c:ext>
              </c:extLst>
            </c:dLbl>
            <c:dLbl>
              <c:idx val="18"/>
              <c:tx>
                <c:rich>
                  <a:bodyPr/>
                  <a:lstStyle/>
                  <a:p>
                    <a:fld id="{D3DDF8BC-18FA-476D-B9F2-74E6EDAF3639}"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033C-4530-84A9-991A3866ABD4}"/>
                </c:ext>
              </c:extLst>
            </c:dLbl>
            <c:dLbl>
              <c:idx val="19"/>
              <c:tx>
                <c:rich>
                  <a:bodyPr/>
                  <a:lstStyle/>
                  <a:p>
                    <a:fld id="{3F02D684-C6AB-4A52-8187-259E0D53AFCC}"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033C-4530-84A9-991A3866ABD4}"/>
                </c:ext>
              </c:extLst>
            </c:dLbl>
            <c:dLbl>
              <c:idx val="20"/>
              <c:tx>
                <c:rich>
                  <a:bodyPr/>
                  <a:lstStyle/>
                  <a:p>
                    <a:fld id="{79522874-7AD0-48B8-A514-F16712D4ABEA}"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7-033C-4530-84A9-991A3866ABD4}"/>
                </c:ext>
              </c:extLst>
            </c:dLbl>
            <c:dLbl>
              <c:idx val="29"/>
              <c:tx>
                <c:rich>
                  <a:bodyPr/>
                  <a:lstStyle/>
                  <a:p>
                    <a:endParaRPr lang="en-US"/>
                  </a:p>
                </c:rich>
              </c:tx>
              <c:dLblPos val="outEnd"/>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033C-4530-84A9-991A3866ABD4}"/>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errBars>
            <c:errBarType val="both"/>
            <c:errValType val="cust"/>
            <c:noEndCap val="0"/>
            <c:plus>
              <c:numRef>
                <c:f>'pooled normalised values'!$B$76:$V$76</c:f>
                <c:numCache>
                  <c:formatCode>General</c:formatCode>
                  <c:ptCount val="21"/>
                  <c:pt idx="0">
                    <c:v>4.1275174293444898E-2</c:v>
                  </c:pt>
                  <c:pt idx="1">
                    <c:v>5.6271452797655996E-2</c:v>
                  </c:pt>
                  <c:pt idx="2">
                    <c:v>0.14626180734350858</c:v>
                  </c:pt>
                  <c:pt idx="3">
                    <c:v>0.32179370439388616</c:v>
                  </c:pt>
                  <c:pt idx="4">
                    <c:v>0.39513801369569823</c:v>
                  </c:pt>
                  <c:pt idx="5">
                    <c:v>0.35935157410991803</c:v>
                  </c:pt>
                  <c:pt idx="6">
                    <c:v>0.65377748812738634</c:v>
                  </c:pt>
                  <c:pt idx="7">
                    <c:v>2.214132822120057E-2</c:v>
                  </c:pt>
                  <c:pt idx="8">
                    <c:v>2.3423838964525018E-2</c:v>
                  </c:pt>
                  <c:pt idx="9">
                    <c:v>3.0266065236325641E-2</c:v>
                  </c:pt>
                  <c:pt idx="10">
                    <c:v>5.2153118874459677E-2</c:v>
                  </c:pt>
                  <c:pt idx="11">
                    <c:v>3.6199342100837653E-2</c:v>
                  </c:pt>
                  <c:pt idx="13">
                    <c:v>9.8301621250918958E-2</c:v>
                  </c:pt>
                  <c:pt idx="14">
                    <c:v>0.44094647568713385</c:v>
                  </c:pt>
                  <c:pt idx="15">
                    <c:v>3.7243483698937811E-2</c:v>
                  </c:pt>
                  <c:pt idx="16">
                    <c:v>0.23243385061140623</c:v>
                  </c:pt>
                  <c:pt idx="17">
                    <c:v>0.25063149200075979</c:v>
                  </c:pt>
                  <c:pt idx="18">
                    <c:v>0.27475840564158083</c:v>
                  </c:pt>
                  <c:pt idx="19">
                    <c:v>0.34637005333994625</c:v>
                  </c:pt>
                  <c:pt idx="20">
                    <c:v>0.26470103099030573</c:v>
                  </c:pt>
                </c:numCache>
              </c:numRef>
            </c:plus>
            <c:minus>
              <c:numRef>
                <c:f>'pooled normalised values'!$B$76:$V$76</c:f>
                <c:numCache>
                  <c:formatCode>General</c:formatCode>
                  <c:ptCount val="21"/>
                  <c:pt idx="0">
                    <c:v>4.1275174293444898E-2</c:v>
                  </c:pt>
                  <c:pt idx="1">
                    <c:v>5.6271452797655996E-2</c:v>
                  </c:pt>
                  <c:pt idx="2">
                    <c:v>0.14626180734350858</c:v>
                  </c:pt>
                  <c:pt idx="3">
                    <c:v>0.32179370439388616</c:v>
                  </c:pt>
                  <c:pt idx="4">
                    <c:v>0.39513801369569823</c:v>
                  </c:pt>
                  <c:pt idx="5">
                    <c:v>0.35935157410991803</c:v>
                  </c:pt>
                  <c:pt idx="6">
                    <c:v>0.65377748812738634</c:v>
                  </c:pt>
                  <c:pt idx="7">
                    <c:v>2.214132822120057E-2</c:v>
                  </c:pt>
                  <c:pt idx="8">
                    <c:v>2.3423838964525018E-2</c:v>
                  </c:pt>
                  <c:pt idx="9">
                    <c:v>3.0266065236325641E-2</c:v>
                  </c:pt>
                  <c:pt idx="10">
                    <c:v>5.2153118874459677E-2</c:v>
                  </c:pt>
                  <c:pt idx="11">
                    <c:v>3.6199342100837653E-2</c:v>
                  </c:pt>
                  <c:pt idx="13">
                    <c:v>9.8301621250918958E-2</c:v>
                  </c:pt>
                  <c:pt idx="14">
                    <c:v>0.44094647568713385</c:v>
                  </c:pt>
                  <c:pt idx="15">
                    <c:v>3.7243483698937811E-2</c:v>
                  </c:pt>
                  <c:pt idx="16">
                    <c:v>0.23243385061140623</c:v>
                  </c:pt>
                  <c:pt idx="17">
                    <c:v>0.25063149200075979</c:v>
                  </c:pt>
                  <c:pt idx="18">
                    <c:v>0.27475840564158083</c:v>
                  </c:pt>
                  <c:pt idx="19">
                    <c:v>0.34637005333994625</c:v>
                  </c:pt>
                  <c:pt idx="20">
                    <c:v>0.26470103099030573</c:v>
                  </c:pt>
                </c:numCache>
              </c:numRef>
            </c:minus>
          </c:errBars>
          <c:cat>
            <c:strRef>
              <c:f>'pooled normalised values'!$B$74:$V$74</c:f>
              <c:strCache>
                <c:ptCount val="21"/>
                <c:pt idx="0">
                  <c:v>Témoin solvant</c:v>
                </c:pt>
                <c:pt idx="1">
                  <c:v>EE2-33,8ng/L</c:v>
                </c:pt>
                <c:pt idx="2">
                  <c:v>EE2-50,6ng/L</c:v>
                </c:pt>
                <c:pt idx="3">
                  <c:v>EE2-76ng/L</c:v>
                </c:pt>
                <c:pt idx="4">
                  <c:v>EE2-114ng/L</c:v>
                </c:pt>
                <c:pt idx="5">
                  <c:v>EE2-170,9ng/L</c:v>
                </c:pt>
                <c:pt idx="6">
                  <c:v>EE2-488ng/L</c:v>
                </c:pt>
                <c:pt idx="7">
                  <c:v>Dutasteride-0,01mg/L</c:v>
                </c:pt>
                <c:pt idx="8">
                  <c:v>Dutasteride-0,1mg/L</c:v>
                </c:pt>
                <c:pt idx="9">
                  <c:v>Dutasteride-0,25mg/L</c:v>
                </c:pt>
                <c:pt idx="10">
                  <c:v>Dutasteride-0,5mg/L</c:v>
                </c:pt>
                <c:pt idx="11">
                  <c:v>Dutasteride-1mg/L</c:v>
                </c:pt>
                <c:pt idx="13">
                  <c:v>Testo -30µg/L</c:v>
                </c:pt>
                <c:pt idx="14">
                  <c:v>Testo 30µg/L + EE2 -64ng/L</c:v>
                </c:pt>
                <c:pt idx="15">
                  <c:v>Testo 30µg/L + FAD-10µg/L</c:v>
                </c:pt>
                <c:pt idx="16">
                  <c:v>Dutasteride-0,01mg/L + Testostérone</c:v>
                </c:pt>
                <c:pt idx="17">
                  <c:v>Dutasteride-0,1mg/L + Testostérone</c:v>
                </c:pt>
                <c:pt idx="18">
                  <c:v>Dutasteride-0,25mg/L + Testostérone</c:v>
                </c:pt>
                <c:pt idx="19">
                  <c:v>Dutasteride-0,5mg/L + Testostérone</c:v>
                </c:pt>
                <c:pt idx="20">
                  <c:v>Dutasteride-1mg/L + Testostérone</c:v>
                </c:pt>
              </c:strCache>
            </c:strRef>
          </c:cat>
          <c:val>
            <c:numRef>
              <c:f>'pooled normalised values'!$B$75:$V$75</c:f>
              <c:numCache>
                <c:formatCode>0.0000</c:formatCode>
                <c:ptCount val="21"/>
                <c:pt idx="0">
                  <c:v>0.29313487556023021</c:v>
                </c:pt>
                <c:pt idx="1">
                  <c:v>0.2975687447224491</c:v>
                </c:pt>
                <c:pt idx="2">
                  <c:v>0.72446505123849336</c:v>
                </c:pt>
                <c:pt idx="3">
                  <c:v>1.6636154691166398</c:v>
                </c:pt>
                <c:pt idx="4">
                  <c:v>2.6808080544471031</c:v>
                </c:pt>
                <c:pt idx="5">
                  <c:v>3.4863533382132248</c:v>
                </c:pt>
                <c:pt idx="6">
                  <c:v>5.8355680233085572</c:v>
                </c:pt>
                <c:pt idx="7">
                  <c:v>0.18697787058800461</c:v>
                </c:pt>
                <c:pt idx="8">
                  <c:v>0.15403073547342597</c:v>
                </c:pt>
                <c:pt idx="9">
                  <c:v>0.17314720660996874</c:v>
                </c:pt>
                <c:pt idx="10">
                  <c:v>0.21760649230919263</c:v>
                </c:pt>
                <c:pt idx="11">
                  <c:v>0.18024131028716309</c:v>
                </c:pt>
                <c:pt idx="13">
                  <c:v>0.99999999999999967</c:v>
                </c:pt>
                <c:pt idx="14">
                  <c:v>3.8071999917273995</c:v>
                </c:pt>
                <c:pt idx="15">
                  <c:v>0.20838704961932908</c:v>
                </c:pt>
                <c:pt idx="16">
                  <c:v>1.3360265048474209</c:v>
                </c:pt>
                <c:pt idx="17">
                  <c:v>1.5242385266923411</c:v>
                </c:pt>
                <c:pt idx="18">
                  <c:v>1.4128480747381722</c:v>
                </c:pt>
                <c:pt idx="19">
                  <c:v>1.9274200989274173</c:v>
                </c:pt>
                <c:pt idx="20">
                  <c:v>1.8674764068179091</c:v>
                </c:pt>
              </c:numCache>
            </c:numRef>
          </c:val>
          <c:extLst>
            <c:ext xmlns:c15="http://schemas.microsoft.com/office/drawing/2012/chart" uri="{02D57815-91ED-43cb-92C2-25804820EDAC}">
              <c15:datalabelsRange>
                <c15:f>'pooled normalised values'!$B$83:$V$83</c15:f>
                <c15:dlblRangeCache>
                  <c:ptCount val="21"/>
                  <c:pt idx="1">
                    <c:v>ns</c:v>
                  </c:pt>
                  <c:pt idx="2">
                    <c:v>ns</c:v>
                  </c:pt>
                  <c:pt idx="3">
                    <c:v>**</c:v>
                  </c:pt>
                  <c:pt idx="4">
                    <c:v>***</c:v>
                  </c:pt>
                  <c:pt idx="5">
                    <c:v>***</c:v>
                  </c:pt>
                  <c:pt idx="6">
                    <c:v>***</c:v>
                  </c:pt>
                  <c:pt idx="7">
                    <c:v>ns</c:v>
                  </c:pt>
                  <c:pt idx="8">
                    <c:v>ns</c:v>
                  </c:pt>
                  <c:pt idx="9">
                    <c:v>ns</c:v>
                  </c:pt>
                  <c:pt idx="10">
                    <c:v>ns</c:v>
                  </c:pt>
                  <c:pt idx="11">
                    <c:v>ns</c:v>
                  </c:pt>
                  <c:pt idx="13">
                    <c:v>***</c:v>
                  </c:pt>
                  <c:pt idx="14">
                    <c:v>***</c:v>
                  </c:pt>
                  <c:pt idx="15">
                    <c:v>***</c:v>
                  </c:pt>
                  <c:pt idx="16">
                    <c:v>ns</c:v>
                  </c:pt>
                  <c:pt idx="17">
                    <c:v>ns</c:v>
                  </c:pt>
                  <c:pt idx="18">
                    <c:v>ns</c:v>
                  </c:pt>
                  <c:pt idx="19">
                    <c:v>ns</c:v>
                  </c:pt>
                  <c:pt idx="20">
                    <c:v>*</c:v>
                  </c:pt>
                </c15:dlblRangeCache>
              </c15:datalabelsRange>
            </c:ext>
            <c:ext xmlns:c16="http://schemas.microsoft.com/office/drawing/2014/chart" uri="{C3380CC4-5D6E-409C-BE32-E72D297353CC}">
              <c16:uniqueId val="{0000004B-033C-4530-84A9-991A3866ABD4}"/>
            </c:ext>
          </c:extLst>
        </c:ser>
        <c:dLbls>
          <c:showLegendKey val="0"/>
          <c:showVal val="0"/>
          <c:showCatName val="0"/>
          <c:showSerName val="0"/>
          <c:showPercent val="0"/>
          <c:showBubbleSize val="0"/>
        </c:dLbls>
        <c:gapWidth val="150"/>
        <c:axId val="434374272"/>
        <c:axId val="434374664"/>
      </c:barChart>
      <c:catAx>
        <c:axId val="434374272"/>
        <c:scaling>
          <c:orientation val="minMax"/>
        </c:scaling>
        <c:delete val="0"/>
        <c:axPos val="b"/>
        <c:numFmt formatCode="General" sourceLinked="0"/>
        <c:majorTickMark val="out"/>
        <c:minorTickMark val="none"/>
        <c:tickLblPos val="nextTo"/>
        <c:txPr>
          <a:bodyPr rot="-2700000"/>
          <a:lstStyle/>
          <a:p>
            <a:pPr>
              <a:defRPr lang="en-GB" sz="1000"/>
            </a:pPr>
            <a:endParaRPr lang="fr-FR"/>
          </a:p>
        </c:txPr>
        <c:crossAx val="434374664"/>
        <c:crosses val="autoZero"/>
        <c:auto val="1"/>
        <c:lblAlgn val="ctr"/>
        <c:lblOffset val="100"/>
        <c:noMultiLvlLbl val="0"/>
      </c:catAx>
      <c:valAx>
        <c:axId val="434374664"/>
        <c:scaling>
          <c:orientation val="minMax"/>
          <c:min val="0"/>
        </c:scaling>
        <c:delete val="0"/>
        <c:axPos val="l"/>
        <c:majorGridlines/>
        <c:title>
          <c:tx>
            <c:rich>
              <a:bodyPr rot="-5400000" vert="horz"/>
              <a:lstStyle/>
              <a:p>
                <a:pPr>
                  <a:defRPr lang="en-GB" sz="1400"/>
                </a:pPr>
                <a:r>
                  <a:rPr lang="en-US" sz="1400"/>
                  <a:t>fluorescence totale (unités arbitraires)</a:t>
                </a:r>
              </a:p>
            </c:rich>
          </c:tx>
          <c:overlay val="0"/>
        </c:title>
        <c:numFmt formatCode="0.0" sourceLinked="0"/>
        <c:majorTickMark val="out"/>
        <c:minorTickMark val="none"/>
        <c:tickLblPos val="nextTo"/>
        <c:txPr>
          <a:bodyPr/>
          <a:lstStyle/>
          <a:p>
            <a:pPr>
              <a:defRPr lang="en-GB"/>
            </a:pPr>
            <a:endParaRPr lang="fr-FR"/>
          </a:p>
        </c:txPr>
        <c:crossAx val="434374272"/>
        <c:crosses val="autoZero"/>
        <c:crossBetween val="between"/>
      </c:valAx>
    </c:plotArea>
    <c:plotVisOnly val="1"/>
    <c:dispBlanksAs val="gap"/>
    <c:showDLblsOverMax val="0"/>
  </c:char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5E88AC78-30D4-42FF-910A-07E69F69A112}" type="CELLRANGE">
                      <a:rPr lang="en-US"/>
                      <a:pPr/>
                      <a:t>[PLAGECELL]</a:t>
                    </a:fld>
                    <a:endParaRPr lang="fr-F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8A0E-4A73-A150-20269D17EA87}"/>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9CC3-4389-B7A2-7B6B1524FA3D}"/>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9CC3-4389-B7A2-7B6B1524FA3D}"/>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9CC3-4389-B7A2-7B6B1524FA3D}"/>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9CC3-4389-B7A2-7B6B1524FA3D}"/>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9CC3-4389-B7A2-7B6B1524FA3D}"/>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9CC3-4389-B7A2-7B6B1524FA3D}"/>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9CC3-4389-B7A2-7B6B1524FA3D}"/>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9CC3-4389-B7A2-7B6B1524FA3D}"/>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9CC3-4389-B7A2-7B6B1524FA3D}"/>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9CC3-4389-B7A2-7B6B1524FA3D}"/>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9CC3-4389-B7A2-7B6B1524FA3D}"/>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9CC3-4389-B7A2-7B6B1524FA3D}"/>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9CC3-4389-B7A2-7B6B1524FA3D}"/>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9CC3-4389-B7A2-7B6B1524FA3D}"/>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9CC3-4389-B7A2-7B6B1524FA3D}"/>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9CC3-4389-B7A2-7B6B1524FA3D}"/>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9CC3-4389-B7A2-7B6B1524FA3D}"/>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9CC3-4389-B7A2-7B6B1524FA3D}"/>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9CC3-4389-B7A2-7B6B1524FA3D}"/>
                </c:ext>
              </c:extLst>
            </c:dLbl>
            <c:spPr>
              <a:noFill/>
              <a:ln>
                <a:noFill/>
              </a:ln>
              <a:effectLst/>
            </c:spPr>
            <c:txPr>
              <a:bodyPr wrap="square" lIns="38100" tIns="19050" rIns="38100" bIns="19050" anchor="ctr">
                <a:spAutoFit/>
              </a:bodyPr>
              <a:lstStyle/>
              <a:p>
                <a:pPr>
                  <a:defRPr sz="1200"/>
                </a:pPr>
                <a:endParaRPr lang="fr-FR"/>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results'!$M$7:$M$26</c:f>
              <c:numCache>
                <c:formatCode>General</c:formatCode>
                <c:ptCount val="20"/>
                <c:pt idx="0">
                  <c:v>0</c:v>
                </c:pt>
                <c:pt idx="1">
                  <c:v>0</c:v>
                </c:pt>
                <c:pt idx="2">
                  <c:v>0</c:v>
                </c:pt>
                <c:pt idx="3">
                  <c:v>0</c:v>
                </c:pt>
                <c:pt idx="4">
                  <c:v>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'summary results'!$L$7:$L$26</c:f>
              <c:numCache>
                <c:formatCode>0</c:formatCode>
                <c:ptCount val="20"/>
                <c:pt idx="0">
                  <c:v>1</c:v>
                </c:pt>
              </c:numCache>
            </c:numRef>
          </c:yVal>
          <c:smooth val="0"/>
          <c:extLst>
            <c:ext xmlns:c15="http://schemas.microsoft.com/office/drawing/2012/chart" uri="{02D57815-91ED-43cb-92C2-25804820EDAC}">
              <c15:datalabelsRange>
                <c15:f>'summary results'!$N$7:$N$26</c15:f>
                <c15:dlblRangeCache>
                  <c:ptCount val="20"/>
                  <c:pt idx="0">
                    <c:v>Dutasteride-0,01mg/L : 0%</c:v>
                  </c:pt>
                  <c:pt idx="1">
                    <c:v>Dutasteride-0,1mg/L : 0%</c:v>
                  </c:pt>
                  <c:pt idx="2">
                    <c:v>Dutasteride-0,25mg/L : 0%</c:v>
                  </c:pt>
                  <c:pt idx="3">
                    <c:v>Dutasteride-0,5mg/L : 0%</c:v>
                  </c:pt>
                  <c:pt idx="4">
                    <c:v>Dutasteride-1mg/L : 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15:dlblRangeCache>
              </c15:datalabelsRange>
            </c:ext>
            <c:ext xmlns:c16="http://schemas.microsoft.com/office/drawing/2014/chart" uri="{C3380CC4-5D6E-409C-BE32-E72D297353CC}">
              <c16:uniqueId val="{00000008-8A0E-4A73-A150-20269D17EA87}"/>
            </c:ext>
          </c:extLst>
        </c:ser>
        <c:dLbls>
          <c:dLblPos val="l"/>
          <c:showLegendKey val="0"/>
          <c:showVal val="1"/>
          <c:showCatName val="0"/>
          <c:showSerName val="0"/>
          <c:showPercent val="0"/>
          <c:showBubbleSize val="0"/>
        </c:dLbls>
        <c:axId val="434375448"/>
        <c:axId val="434375840"/>
      </c:scatterChart>
      <c:valAx>
        <c:axId val="434375448"/>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5840"/>
        <c:crosses val="autoZero"/>
        <c:crossBetween val="midCat"/>
        <c:majorUnit val="25"/>
      </c:valAx>
      <c:valAx>
        <c:axId val="434375840"/>
        <c:scaling>
          <c:orientation val="minMax"/>
          <c:max val="10"/>
          <c:min val="0"/>
        </c:scaling>
        <c:delete val="0"/>
        <c:axPos val="l"/>
        <c:numFmt formatCode="0"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fr-FR"/>
          </a:p>
        </c:txPr>
        <c:crossAx val="434375448"/>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fr-F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D28F3100-2D37-41F9-B47C-EC62E74CA322}" type="CELLRANGE">
                      <a:rPr lang="en-US"/>
                      <a:pPr/>
                      <a:t>[PLAGECELL]</a:t>
                    </a:fld>
                    <a:endParaRPr lang="fr-F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F2A6-4854-9641-F3E2EF92D076}"/>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FB43-49EA-A078-F2139CD3A877}"/>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FB43-49EA-A078-F2139CD3A877}"/>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FB43-49EA-A078-F2139CD3A877}"/>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FB43-49EA-A078-F2139CD3A877}"/>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FB43-49EA-A078-F2139CD3A877}"/>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FB43-49EA-A078-F2139CD3A877}"/>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FB43-49EA-A078-F2139CD3A877}"/>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FB43-49EA-A078-F2139CD3A877}"/>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FB43-49EA-A078-F2139CD3A877}"/>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FB43-49EA-A078-F2139CD3A877}"/>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FB43-49EA-A078-F2139CD3A877}"/>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FB43-49EA-A078-F2139CD3A877}"/>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FB43-49EA-A078-F2139CD3A877}"/>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FB43-49EA-A078-F2139CD3A877}"/>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FB43-49EA-A078-F2139CD3A877}"/>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FB43-49EA-A078-F2139CD3A877}"/>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FB43-49EA-A078-F2139CD3A877}"/>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FB43-49EA-A078-F2139CD3A877}"/>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FB43-49EA-A078-F2139CD3A877}"/>
                </c:ext>
              </c:extLst>
            </c:dLbl>
            <c:spPr>
              <a:noFill/>
              <a:ln>
                <a:noFill/>
              </a:ln>
              <a:effectLst/>
            </c:spPr>
            <c:txPr>
              <a:bodyPr wrap="square" lIns="38100" tIns="19050" rIns="38100" bIns="19050" anchor="ctr">
                <a:spAutoFit/>
              </a:bodyPr>
              <a:lstStyle/>
              <a:p>
                <a:pPr>
                  <a:defRPr sz="1200"/>
                </a:pPr>
                <a:endParaRPr lang="fr-FR"/>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results'!$M$32:$M$51</c:f>
              <c:numCache>
                <c:formatCode>General</c:formatCode>
                <c:ptCount val="20"/>
                <c:pt idx="0">
                  <c:v>0</c:v>
                </c:pt>
                <c:pt idx="1">
                  <c:v>0</c:v>
                </c:pt>
                <c:pt idx="2">
                  <c:v>0</c:v>
                </c:pt>
                <c:pt idx="3">
                  <c:v>0</c:v>
                </c:pt>
                <c:pt idx="4">
                  <c:v>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'summary results'!$L$32:$L$51</c:f>
              <c:numCache>
                <c:formatCode>General</c:formatCode>
                <c:ptCount val="20"/>
                <c:pt idx="0">
                  <c:v>1</c:v>
                </c:pt>
              </c:numCache>
            </c:numRef>
          </c:yVal>
          <c:smooth val="0"/>
          <c:extLst>
            <c:ext xmlns:c15="http://schemas.microsoft.com/office/drawing/2012/chart" uri="{02D57815-91ED-43cb-92C2-25804820EDAC}">
              <c15:datalabelsRange>
                <c15:f>'summary results'!$N$32:$N$51</c15:f>
                <c15:dlblRangeCache>
                  <c:ptCount val="20"/>
                  <c:pt idx="0">
                    <c:v>Dutasteride-0,01mg/L : 0%</c:v>
                  </c:pt>
                  <c:pt idx="1">
                    <c:v>Dutasteride-0,1mg/L : 0%</c:v>
                  </c:pt>
                  <c:pt idx="2">
                    <c:v>Dutasteride-0,25mg/L : 0%</c:v>
                  </c:pt>
                  <c:pt idx="3">
                    <c:v>Dutasteride-0,5mg/L : 0%</c:v>
                  </c:pt>
                  <c:pt idx="4">
                    <c:v>#NOMBRE!</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15:dlblRangeCache>
              </c15:datalabelsRange>
            </c:ext>
            <c:ext xmlns:c16="http://schemas.microsoft.com/office/drawing/2014/chart" uri="{C3380CC4-5D6E-409C-BE32-E72D297353CC}">
              <c16:uniqueId val="{00000008-F2A6-4854-9641-F3E2EF92D076}"/>
            </c:ext>
          </c:extLst>
        </c:ser>
        <c:dLbls>
          <c:dLblPos val="l"/>
          <c:showLegendKey val="0"/>
          <c:showVal val="1"/>
          <c:showCatName val="0"/>
          <c:showSerName val="0"/>
          <c:showPercent val="0"/>
          <c:showBubbleSize val="0"/>
        </c:dLbls>
        <c:axId val="434376624"/>
        <c:axId val="434377016"/>
      </c:scatterChart>
      <c:valAx>
        <c:axId val="434376624"/>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7016"/>
        <c:crosses val="autoZero"/>
        <c:crossBetween val="midCat"/>
        <c:majorUnit val="25"/>
      </c:valAx>
      <c:valAx>
        <c:axId val="434377016"/>
        <c:scaling>
          <c:orientation val="minMax"/>
          <c:max val="10"/>
          <c:min val="0"/>
        </c:scaling>
        <c:delete val="0"/>
        <c:axPos val="l"/>
        <c:numFmt formatCode="General"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fr-FR"/>
          </a:p>
        </c:txPr>
        <c:crossAx val="434376624"/>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fr-F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CC82EA90-4D89-4CBA-A749-D2FF52953C47}" type="CELLRANGE">
                      <a:rPr lang="en-US"/>
                      <a:pPr/>
                      <a:t>[PLAGECELL]</a:t>
                    </a:fld>
                    <a:endParaRPr lang="fr-F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8A0E-4A73-A150-20269D17EA87}"/>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9CC3-4389-B7A2-7B6B1524FA3D}"/>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9CC3-4389-B7A2-7B6B1524FA3D}"/>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9CC3-4389-B7A2-7B6B1524FA3D}"/>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9CC3-4389-B7A2-7B6B1524FA3D}"/>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9CC3-4389-B7A2-7B6B1524FA3D}"/>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9CC3-4389-B7A2-7B6B1524FA3D}"/>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9CC3-4389-B7A2-7B6B1524FA3D}"/>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9CC3-4389-B7A2-7B6B1524FA3D}"/>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9CC3-4389-B7A2-7B6B1524FA3D}"/>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9CC3-4389-B7A2-7B6B1524FA3D}"/>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9CC3-4389-B7A2-7B6B1524FA3D}"/>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9CC3-4389-B7A2-7B6B1524FA3D}"/>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9CC3-4389-B7A2-7B6B1524FA3D}"/>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9CC3-4389-B7A2-7B6B1524FA3D}"/>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9CC3-4389-B7A2-7B6B1524FA3D}"/>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9CC3-4389-B7A2-7B6B1524FA3D}"/>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9CC3-4389-B7A2-7B6B1524FA3D}"/>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9CC3-4389-B7A2-7B6B1524FA3D}"/>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9CC3-4389-B7A2-7B6B1524FA3D}"/>
                </c:ext>
              </c:extLst>
            </c:dLbl>
            <c:spPr>
              <a:noFill/>
              <a:ln>
                <a:noFill/>
              </a:ln>
              <a:effectLst/>
            </c:spPr>
            <c:txPr>
              <a:bodyPr wrap="square" lIns="38100" tIns="19050" rIns="38100" bIns="19050" anchor="ctr">
                <a:spAutoFit/>
              </a:bodyPr>
              <a:lstStyle/>
              <a:p>
                <a:pPr>
                  <a:defRPr sz="1200"/>
                </a:pPr>
                <a:endParaRPr lang="fr-FR"/>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results'!$M$7:$M$26</c:f>
              <c:numCache>
                <c:formatCode>General</c:formatCode>
                <c:ptCount val="20"/>
                <c:pt idx="0">
                  <c:v>0</c:v>
                </c:pt>
                <c:pt idx="1">
                  <c:v>0</c:v>
                </c:pt>
                <c:pt idx="2">
                  <c:v>0</c:v>
                </c:pt>
                <c:pt idx="3">
                  <c:v>0</c:v>
                </c:pt>
                <c:pt idx="4">
                  <c:v>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'summary results'!$L$7:$L$26</c:f>
              <c:numCache>
                <c:formatCode>0</c:formatCode>
                <c:ptCount val="20"/>
                <c:pt idx="0">
                  <c:v>1</c:v>
                </c:pt>
              </c:numCache>
            </c:numRef>
          </c:yVal>
          <c:smooth val="0"/>
          <c:extLst>
            <c:ext xmlns:c15="http://schemas.microsoft.com/office/drawing/2012/chart" uri="{02D57815-91ED-43cb-92C2-25804820EDAC}">
              <c15:datalabelsRange>
                <c15:f>'summary results'!$N$7:$N$26</c15:f>
                <c15:dlblRangeCache>
                  <c:ptCount val="20"/>
                  <c:pt idx="0">
                    <c:v>Dutasteride-0,01mg/L : 0%</c:v>
                  </c:pt>
                  <c:pt idx="1">
                    <c:v>Dutasteride-0,1mg/L : 0%</c:v>
                  </c:pt>
                  <c:pt idx="2">
                    <c:v>Dutasteride-0,25mg/L : 0%</c:v>
                  </c:pt>
                  <c:pt idx="3">
                    <c:v>Dutasteride-0,5mg/L : 0%</c:v>
                  </c:pt>
                  <c:pt idx="4">
                    <c:v>Dutasteride-1mg/L : 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15:dlblRangeCache>
              </c15:datalabelsRange>
            </c:ext>
            <c:ext xmlns:c16="http://schemas.microsoft.com/office/drawing/2014/chart" uri="{C3380CC4-5D6E-409C-BE32-E72D297353CC}">
              <c16:uniqueId val="{00000008-8A0E-4A73-A150-20269D17EA87}"/>
            </c:ext>
          </c:extLst>
        </c:ser>
        <c:dLbls>
          <c:dLblPos val="l"/>
          <c:showLegendKey val="0"/>
          <c:showVal val="1"/>
          <c:showCatName val="0"/>
          <c:showSerName val="0"/>
          <c:showPercent val="0"/>
          <c:showBubbleSize val="0"/>
        </c:dLbls>
        <c:axId val="434377800"/>
        <c:axId val="434378192"/>
      </c:scatterChart>
      <c:valAx>
        <c:axId val="434377800"/>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8192"/>
        <c:crosses val="autoZero"/>
        <c:crossBetween val="midCat"/>
        <c:majorUnit val="25"/>
      </c:valAx>
      <c:valAx>
        <c:axId val="434378192"/>
        <c:scaling>
          <c:orientation val="minMax"/>
          <c:max val="10"/>
          <c:min val="0"/>
        </c:scaling>
        <c:delete val="0"/>
        <c:axPos val="l"/>
        <c:numFmt formatCode="0"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fr-FR"/>
          </a:p>
        </c:txPr>
        <c:crossAx val="434377800"/>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fr-F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3948C0F4-E854-46A9-9773-E80AB9A367F4}" type="CELLRANGE">
                      <a:rPr lang="en-US"/>
                      <a:pPr/>
                      <a:t>[PLAGECELL]</a:t>
                    </a:fld>
                    <a:endParaRPr lang="fr-F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F2A6-4854-9641-F3E2EF92D076}"/>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FB43-49EA-A078-F2139CD3A877}"/>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FB43-49EA-A078-F2139CD3A877}"/>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FB43-49EA-A078-F2139CD3A877}"/>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FB43-49EA-A078-F2139CD3A877}"/>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FB43-49EA-A078-F2139CD3A877}"/>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FB43-49EA-A078-F2139CD3A877}"/>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FB43-49EA-A078-F2139CD3A877}"/>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FB43-49EA-A078-F2139CD3A877}"/>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FB43-49EA-A078-F2139CD3A877}"/>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FB43-49EA-A078-F2139CD3A877}"/>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FB43-49EA-A078-F2139CD3A877}"/>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FB43-49EA-A078-F2139CD3A877}"/>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FB43-49EA-A078-F2139CD3A877}"/>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FB43-49EA-A078-F2139CD3A877}"/>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FB43-49EA-A078-F2139CD3A877}"/>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FB43-49EA-A078-F2139CD3A877}"/>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FB43-49EA-A078-F2139CD3A877}"/>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FB43-49EA-A078-F2139CD3A877}"/>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FB43-49EA-A078-F2139CD3A877}"/>
                </c:ext>
              </c:extLst>
            </c:dLbl>
            <c:spPr>
              <a:noFill/>
              <a:ln>
                <a:noFill/>
              </a:ln>
              <a:effectLst/>
            </c:spPr>
            <c:txPr>
              <a:bodyPr wrap="square" lIns="38100" tIns="19050" rIns="38100" bIns="19050" anchor="ctr">
                <a:spAutoFit/>
              </a:bodyPr>
              <a:lstStyle/>
              <a:p>
                <a:pPr>
                  <a:defRPr sz="1200"/>
                </a:pPr>
                <a:endParaRPr lang="fr-FR"/>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results'!$M$32:$M$51</c:f>
              <c:numCache>
                <c:formatCode>General</c:formatCode>
                <c:ptCount val="20"/>
                <c:pt idx="0">
                  <c:v>0</c:v>
                </c:pt>
                <c:pt idx="1">
                  <c:v>0</c:v>
                </c:pt>
                <c:pt idx="2">
                  <c:v>0</c:v>
                </c:pt>
                <c:pt idx="3">
                  <c:v>0</c:v>
                </c:pt>
                <c:pt idx="4">
                  <c:v>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'summary results'!$L$32:$L$51</c:f>
              <c:numCache>
                <c:formatCode>General</c:formatCode>
                <c:ptCount val="20"/>
                <c:pt idx="0">
                  <c:v>1</c:v>
                </c:pt>
              </c:numCache>
            </c:numRef>
          </c:yVal>
          <c:smooth val="0"/>
          <c:extLst>
            <c:ext xmlns:c15="http://schemas.microsoft.com/office/drawing/2012/chart" uri="{02D57815-91ED-43cb-92C2-25804820EDAC}">
              <c15:datalabelsRange>
                <c15:f>'summary results'!$N$32:$N$51</c15:f>
                <c15:dlblRangeCache>
                  <c:ptCount val="20"/>
                  <c:pt idx="0">
                    <c:v>Dutasteride-0,01mg/L : 0%</c:v>
                  </c:pt>
                  <c:pt idx="1">
                    <c:v>Dutasteride-0,1mg/L : 0%</c:v>
                  </c:pt>
                  <c:pt idx="2">
                    <c:v>Dutasteride-0,25mg/L : 0%</c:v>
                  </c:pt>
                  <c:pt idx="3">
                    <c:v>Dutasteride-0,5mg/L : 0%</c:v>
                  </c:pt>
                  <c:pt idx="4">
                    <c:v>#NOMBRE!</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15:dlblRangeCache>
              </c15:datalabelsRange>
            </c:ext>
            <c:ext xmlns:c16="http://schemas.microsoft.com/office/drawing/2014/chart" uri="{C3380CC4-5D6E-409C-BE32-E72D297353CC}">
              <c16:uniqueId val="{00000008-F2A6-4854-9641-F3E2EF92D076}"/>
            </c:ext>
          </c:extLst>
        </c:ser>
        <c:dLbls>
          <c:dLblPos val="l"/>
          <c:showLegendKey val="0"/>
          <c:showVal val="1"/>
          <c:showCatName val="0"/>
          <c:showSerName val="0"/>
          <c:showPercent val="0"/>
          <c:showBubbleSize val="0"/>
        </c:dLbls>
        <c:axId val="434372704"/>
        <c:axId val="434378976"/>
      </c:scatterChart>
      <c:valAx>
        <c:axId val="434372704"/>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8976"/>
        <c:crosses val="autoZero"/>
        <c:crossBetween val="midCat"/>
        <c:majorUnit val="25"/>
      </c:valAx>
      <c:valAx>
        <c:axId val="434378976"/>
        <c:scaling>
          <c:orientation val="minMax"/>
          <c:max val="10"/>
          <c:min val="0"/>
        </c:scaling>
        <c:delete val="0"/>
        <c:axPos val="l"/>
        <c:numFmt formatCode="General"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fr-FR"/>
          </a:p>
        </c:txPr>
        <c:crossAx val="434372704"/>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fr-F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CHG'!$E$2:$T$2</c:f>
              <c:strCache>
                <c:ptCount val="15"/>
                <c:pt idx="1">
                  <c:v>Dutasteride-0,1mg/L</c:v>
                </c:pt>
                <c:pt idx="2">
                  <c:v>Dutasteride-0,25mg/L</c:v>
                </c:pt>
                <c:pt idx="3">
                  <c:v>Dutasteride-0,5mg/L</c:v>
                </c:pt>
                <c:pt idx="4">
                  <c:v>Dutasteride-1mg/L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CHG'!$E$8:$T$8</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E05A-476A-81E0-9DDAF8947A01}"/>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CHG'!$E$2:$T$2</c:f>
              <c:strCache>
                <c:ptCount val="15"/>
                <c:pt idx="1">
                  <c:v>Dutasteride-0,1mg/L</c:v>
                </c:pt>
                <c:pt idx="2">
                  <c:v>Dutasteride-0,25mg/L</c:v>
                </c:pt>
                <c:pt idx="3">
                  <c:v>Dutasteride-0,5mg/L</c:v>
                </c:pt>
                <c:pt idx="4">
                  <c:v>Dutasteride-1mg/L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CHG'!$E$9:$T$9</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E05A-476A-81E0-9DDAF8947A01}"/>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CHG'!$E$2:$T$2</c:f>
              <c:strCache>
                <c:ptCount val="15"/>
                <c:pt idx="1">
                  <c:v>Dutasteride-0,1mg/L</c:v>
                </c:pt>
                <c:pt idx="2">
                  <c:v>Dutasteride-0,25mg/L</c:v>
                </c:pt>
                <c:pt idx="3">
                  <c:v>Dutasteride-0,5mg/L</c:v>
                </c:pt>
                <c:pt idx="4">
                  <c:v>Dutasteride-1mg/L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CHG'!$E$10:$T$10</c:f>
              <c:numCache>
                <c:formatCode>General</c:formatCode>
                <c:ptCount val="16"/>
                <c:pt idx="0">
                  <c:v>2.5</c:v>
                </c:pt>
                <c:pt idx="1">
                  <c:v>2.5</c:v>
                </c:pt>
                <c:pt idx="2">
                  <c:v>2.5</c:v>
                </c:pt>
                <c:pt idx="3">
                  <c:v>2.5</c:v>
                </c:pt>
                <c:pt idx="4">
                  <c:v>2.5</c:v>
                </c:pt>
                <c:pt idx="5">
                  <c:v>2.5</c:v>
                </c:pt>
                <c:pt idx="6">
                  <c:v>2.5</c:v>
                </c:pt>
                <c:pt idx="7">
                  <c:v>2.5</c:v>
                </c:pt>
                <c:pt idx="8">
                  <c:v>2.5</c:v>
                </c:pt>
                <c:pt idx="9">
                  <c:v>2.5</c:v>
                </c:pt>
                <c:pt idx="10">
                  <c:v>2.5</c:v>
                </c:pt>
                <c:pt idx="11">
                  <c:v>2.5</c:v>
                </c:pt>
                <c:pt idx="12">
                  <c:v>2.5</c:v>
                </c:pt>
                <c:pt idx="13">
                  <c:v>2.5</c:v>
                </c:pt>
                <c:pt idx="14">
                  <c:v>2.5</c:v>
                </c:pt>
                <c:pt idx="15">
                  <c:v>2.5</c:v>
                </c:pt>
              </c:numCache>
            </c:numRef>
          </c:val>
          <c:extLst>
            <c:ext xmlns:c16="http://schemas.microsoft.com/office/drawing/2014/chart" uri="{C3380CC4-5D6E-409C-BE32-E72D297353CC}">
              <c16:uniqueId val="{00000002-E05A-476A-81E0-9DDAF8947A01}"/>
            </c:ext>
          </c:extLst>
        </c:ser>
        <c:dLbls>
          <c:showLegendKey val="0"/>
          <c:showVal val="0"/>
          <c:showCatName val="0"/>
          <c:showSerName val="0"/>
          <c:showPercent val="0"/>
          <c:showBubbleSize val="0"/>
        </c:dLbls>
        <c:axId val="434379760"/>
        <c:axId val="434380152"/>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DD060253-1522-4DCD-8DA0-842E2BE4B455}"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E05A-476A-81E0-9DDAF8947A01}"/>
                </c:ext>
              </c:extLst>
            </c:dLbl>
            <c:dLbl>
              <c:idx val="1"/>
              <c:tx>
                <c:rich>
                  <a:bodyPr/>
                  <a:lstStyle/>
                  <a:p>
                    <a:fld id="{E1E16819-452C-46EE-B82C-07BD1EFFD4E6}"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08B5-430B-9986-9EC2C1992644}"/>
                </c:ext>
              </c:extLst>
            </c:dLbl>
            <c:dLbl>
              <c:idx val="2"/>
              <c:tx>
                <c:rich>
                  <a:bodyPr/>
                  <a:lstStyle/>
                  <a:p>
                    <a:fld id="{A3A4342F-1B38-4885-A77F-CEA84C63E34D}"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08B5-430B-9986-9EC2C1992644}"/>
                </c:ext>
              </c:extLst>
            </c:dLbl>
            <c:dLbl>
              <c:idx val="3"/>
              <c:tx>
                <c:rich>
                  <a:bodyPr/>
                  <a:lstStyle/>
                  <a:p>
                    <a:fld id="{512DD815-A404-4C6B-BD7D-805D8CF0A0D7}"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08B5-430B-9986-9EC2C1992644}"/>
                </c:ext>
              </c:extLst>
            </c:dLbl>
            <c:dLbl>
              <c:idx val="4"/>
              <c:tx>
                <c:rich>
                  <a:bodyPr/>
                  <a:lstStyle/>
                  <a:p>
                    <a:fld id="{B5278E05-1899-4568-B2C0-280C7C9EFE4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08B5-430B-9986-9EC2C1992644}"/>
                </c:ext>
              </c:extLst>
            </c:dLbl>
            <c:dLbl>
              <c:idx val="5"/>
              <c:tx>
                <c:rich>
                  <a:bodyPr/>
                  <a:lstStyle/>
                  <a:p>
                    <a:fld id="{BF230956-1FB5-483C-9BB7-39836721D7BD}"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08B5-430B-9986-9EC2C1992644}"/>
                </c:ext>
              </c:extLst>
            </c:dLbl>
            <c:dLbl>
              <c:idx val="6"/>
              <c:tx>
                <c:rich>
                  <a:bodyPr/>
                  <a:lstStyle/>
                  <a:p>
                    <a:fld id="{FA2EA760-5CCA-4C39-9E64-27468C190F3A}"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08B5-430B-9986-9EC2C1992644}"/>
                </c:ext>
              </c:extLst>
            </c:dLbl>
            <c:dLbl>
              <c:idx val="7"/>
              <c:tx>
                <c:rich>
                  <a:bodyPr/>
                  <a:lstStyle/>
                  <a:p>
                    <a:fld id="{215150C6-083B-4A79-96CC-C9348EA92B78}"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08B5-430B-9986-9EC2C1992644}"/>
                </c:ext>
              </c:extLst>
            </c:dLbl>
            <c:dLbl>
              <c:idx val="8"/>
              <c:tx>
                <c:rich>
                  <a:bodyPr/>
                  <a:lstStyle/>
                  <a:p>
                    <a:fld id="{3CEE9563-6569-44CD-99E5-06DD617194D7}"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08B5-430B-9986-9EC2C1992644}"/>
                </c:ext>
              </c:extLst>
            </c:dLbl>
            <c:dLbl>
              <c:idx val="9"/>
              <c:tx>
                <c:rich>
                  <a:bodyPr/>
                  <a:lstStyle/>
                  <a:p>
                    <a:fld id="{BD5B509A-5C17-4A45-9F41-CE5AE18AA3D7}"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08B5-430B-9986-9EC2C1992644}"/>
                </c:ext>
              </c:extLst>
            </c:dLbl>
            <c:dLbl>
              <c:idx val="10"/>
              <c:tx>
                <c:rich>
                  <a:bodyPr/>
                  <a:lstStyle/>
                  <a:p>
                    <a:fld id="{3DC4065E-50ED-40E3-BBEB-5DBE5728524B}"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08B5-430B-9986-9EC2C1992644}"/>
                </c:ext>
              </c:extLst>
            </c:dLbl>
            <c:dLbl>
              <c:idx val="11"/>
              <c:tx>
                <c:rich>
                  <a:bodyPr/>
                  <a:lstStyle/>
                  <a:p>
                    <a:fld id="{475C3240-906B-4FC5-A21B-E06E1908EFDC}"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08B5-430B-9986-9EC2C1992644}"/>
                </c:ext>
              </c:extLst>
            </c:dLbl>
            <c:dLbl>
              <c:idx val="12"/>
              <c:tx>
                <c:rich>
                  <a:bodyPr/>
                  <a:lstStyle/>
                  <a:p>
                    <a:fld id="{7D966E1E-7B15-490B-B260-714E25DA8D3E}"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08B5-430B-9986-9EC2C1992644}"/>
                </c:ext>
              </c:extLst>
            </c:dLbl>
            <c:dLbl>
              <c:idx val="13"/>
              <c:tx>
                <c:rich>
                  <a:bodyPr/>
                  <a:lstStyle/>
                  <a:p>
                    <a:fld id="{B80C4C33-4FFF-4697-A0C1-A78C2690EFF8}"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08B5-430B-9986-9EC2C1992644}"/>
                </c:ext>
              </c:extLst>
            </c:dLbl>
            <c:dLbl>
              <c:idx val="14"/>
              <c:tx>
                <c:rich>
                  <a:bodyPr/>
                  <a:lstStyle/>
                  <a:p>
                    <a:fld id="{E4D16CA0-4893-4857-BD32-CD3F047AEC3A}"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08B5-430B-9986-9EC2C1992644}"/>
                </c:ext>
              </c:extLst>
            </c:dLbl>
            <c:dLbl>
              <c:idx val="15"/>
              <c:tx>
                <c:rich>
                  <a:bodyPr/>
                  <a:lstStyle/>
                  <a:p>
                    <a:fld id="{40AAC0A9-2014-42B1-A68E-0EDC5965A9DB}"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08B5-430B-9986-9EC2C1992644}"/>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CHG'!$E$4:$T$4</c:f>
                <c:numCache>
                  <c:formatCode>General</c:formatCode>
                  <c:ptCount val="16"/>
                  <c:pt idx="1">
                    <c:v>2.3423838964525018E-2</c:v>
                  </c:pt>
                  <c:pt idx="2">
                    <c:v>3.0266065236325641E-2</c:v>
                  </c:pt>
                  <c:pt idx="3">
                    <c:v>5.2153118874459677E-2</c:v>
                  </c:pt>
                  <c:pt idx="4">
                    <c:v>3.6199342100837653E-2</c:v>
                  </c:pt>
                  <c:pt idx="5">
                    <c:v>0</c:v>
                  </c:pt>
                  <c:pt idx="6">
                    <c:v>0</c:v>
                  </c:pt>
                  <c:pt idx="7">
                    <c:v>0</c:v>
                  </c:pt>
                  <c:pt idx="8">
                    <c:v>0</c:v>
                  </c:pt>
                  <c:pt idx="9">
                    <c:v>0</c:v>
                  </c:pt>
                  <c:pt idx="10">
                    <c:v>0</c:v>
                  </c:pt>
                  <c:pt idx="11">
                    <c:v>0</c:v>
                  </c:pt>
                  <c:pt idx="12">
                    <c:v>0</c:v>
                  </c:pt>
                  <c:pt idx="13">
                    <c:v>0</c:v>
                  </c:pt>
                  <c:pt idx="14">
                    <c:v>0</c:v>
                  </c:pt>
                </c:numCache>
              </c:numRef>
            </c:plus>
            <c:minus>
              <c:numRef>
                <c:f>'Graph format rapport CHG'!$E$4:$T$4</c:f>
                <c:numCache>
                  <c:formatCode>General</c:formatCode>
                  <c:ptCount val="16"/>
                  <c:pt idx="1">
                    <c:v>2.3423838964525018E-2</c:v>
                  </c:pt>
                  <c:pt idx="2">
                    <c:v>3.0266065236325641E-2</c:v>
                  </c:pt>
                  <c:pt idx="3">
                    <c:v>5.2153118874459677E-2</c:v>
                  </c:pt>
                  <c:pt idx="4">
                    <c:v>3.6199342100837653E-2</c:v>
                  </c:pt>
                  <c:pt idx="5">
                    <c:v>0</c:v>
                  </c:pt>
                  <c:pt idx="6">
                    <c:v>0</c:v>
                  </c:pt>
                  <c:pt idx="7">
                    <c:v>0</c:v>
                  </c:pt>
                  <c:pt idx="8">
                    <c:v>0</c:v>
                  </c:pt>
                  <c:pt idx="9">
                    <c:v>0</c:v>
                  </c:pt>
                  <c:pt idx="10">
                    <c:v>0</c:v>
                  </c:pt>
                  <c:pt idx="11">
                    <c:v>0</c:v>
                  </c:pt>
                  <c:pt idx="12">
                    <c:v>0</c:v>
                  </c:pt>
                  <c:pt idx="13">
                    <c:v>0</c:v>
                  </c:pt>
                  <c:pt idx="14">
                    <c:v>0</c:v>
                  </c:pt>
                </c:numCache>
              </c:numRef>
            </c:minus>
          </c:errBars>
          <c:cat>
            <c:strRef>
              <c:f>'Graph format rapport CHG'!$E$2:$T$2</c:f>
              <c:strCache>
                <c:ptCount val="15"/>
                <c:pt idx="1">
                  <c:v>Dutasteride-0,1mg/L</c:v>
                </c:pt>
                <c:pt idx="2">
                  <c:v>Dutasteride-0,25mg/L</c:v>
                </c:pt>
                <c:pt idx="3">
                  <c:v>Dutasteride-0,5mg/L</c:v>
                </c:pt>
                <c:pt idx="4">
                  <c:v>Dutasteride-1mg/L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CHG'!$E$3:$T$3</c:f>
              <c:numCache>
                <c:formatCode>General</c:formatCode>
                <c:ptCount val="16"/>
                <c:pt idx="1">
                  <c:v>0.15403073547342597</c:v>
                </c:pt>
                <c:pt idx="2">
                  <c:v>0.17314720660996874</c:v>
                </c:pt>
                <c:pt idx="3">
                  <c:v>0.21760649230919263</c:v>
                </c:pt>
                <c:pt idx="4">
                  <c:v>0.18024131028716309</c:v>
                </c:pt>
                <c:pt idx="5">
                  <c:v>0</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CHG'!$E$5:$T$5</c15:f>
                <c15:dlblRangeCache>
                  <c:ptCount val="16"/>
                  <c:pt idx="1">
                    <c:v>ns</c:v>
                  </c:pt>
                  <c:pt idx="2">
                    <c:v>ns</c:v>
                  </c:pt>
                  <c:pt idx="3">
                    <c:v>ns</c:v>
                  </c:pt>
                  <c:pt idx="4">
                    <c:v>ns</c:v>
                  </c:pt>
                  <c:pt idx="5">
                    <c:v>#REF!</c:v>
                  </c:pt>
                  <c:pt idx="6">
                    <c:v>#REF!</c:v>
                  </c:pt>
                  <c:pt idx="7">
                    <c:v>#REF!</c:v>
                  </c:pt>
                  <c:pt idx="8">
                    <c:v>#REF!</c:v>
                  </c:pt>
                  <c:pt idx="9">
                    <c:v>#REF!</c:v>
                  </c:pt>
                  <c:pt idx="10">
                    <c:v>#REF!</c:v>
                  </c:pt>
                  <c:pt idx="11">
                    <c:v>#REF!</c:v>
                  </c:pt>
                  <c:pt idx="12">
                    <c:v>#REF!</c:v>
                  </c:pt>
                  <c:pt idx="13">
                    <c:v>#REF!</c:v>
                  </c:pt>
                  <c:pt idx="14">
                    <c:v>#REF!</c:v>
                  </c:pt>
                </c15:dlblRangeCache>
              </c15:datalabelsRange>
            </c:ext>
            <c:ext xmlns:c16="http://schemas.microsoft.com/office/drawing/2014/chart" uri="{C3380CC4-5D6E-409C-BE32-E72D297353CC}">
              <c16:uniqueId val="{00000013-E05A-476A-81E0-9DDAF8947A01}"/>
            </c:ext>
          </c:extLst>
        </c:ser>
        <c:dLbls>
          <c:showLegendKey val="0"/>
          <c:showVal val="0"/>
          <c:showCatName val="0"/>
          <c:showSerName val="0"/>
          <c:showPercent val="0"/>
          <c:showBubbleSize val="0"/>
        </c:dLbls>
        <c:gapWidth val="150"/>
        <c:axId val="434379760"/>
        <c:axId val="434380152"/>
      </c:barChart>
      <c:lineChart>
        <c:grouping val="standard"/>
        <c:varyColors val="0"/>
        <c:ser>
          <c:idx val="1"/>
          <c:order val="1"/>
          <c:tx>
            <c:strRef>
              <c:f>'Graph format rapport CHG'!$D$6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CHG'!$E$6:$T$6</c:f>
              <c:numCache>
                <c:formatCode>General</c:formatCode>
                <c:ptCount val="16"/>
                <c:pt idx="0">
                  <c:v>0.29313487556023021</c:v>
                </c:pt>
                <c:pt idx="1">
                  <c:v>0.29313487556023021</c:v>
                </c:pt>
                <c:pt idx="2">
                  <c:v>0.29313487556023021</c:v>
                </c:pt>
                <c:pt idx="3">
                  <c:v>0.29313487556023021</c:v>
                </c:pt>
                <c:pt idx="4">
                  <c:v>0.29313487556023021</c:v>
                </c:pt>
                <c:pt idx="5">
                  <c:v>0.29313487556023021</c:v>
                </c:pt>
                <c:pt idx="6">
                  <c:v>0.29313487556023021</c:v>
                </c:pt>
                <c:pt idx="7">
                  <c:v>0.29313487556023021</c:v>
                </c:pt>
                <c:pt idx="8">
                  <c:v>0.29313487556023021</c:v>
                </c:pt>
                <c:pt idx="9">
                  <c:v>0.29313487556023021</c:v>
                </c:pt>
                <c:pt idx="10">
                  <c:v>0.29313487556023021</c:v>
                </c:pt>
                <c:pt idx="11">
                  <c:v>0.29313487556023021</c:v>
                </c:pt>
                <c:pt idx="12">
                  <c:v>0.29313487556023021</c:v>
                </c:pt>
                <c:pt idx="13">
                  <c:v>0.29313487556023021</c:v>
                </c:pt>
                <c:pt idx="14">
                  <c:v>0.29313487556023021</c:v>
                </c:pt>
                <c:pt idx="15">
                  <c:v>0.29313487556023021</c:v>
                </c:pt>
              </c:numCache>
            </c:numRef>
          </c:val>
          <c:smooth val="0"/>
          <c:extLst>
            <c:ext xmlns:c16="http://schemas.microsoft.com/office/drawing/2014/chart" uri="{C3380CC4-5D6E-409C-BE32-E72D297353CC}">
              <c16:uniqueId val="{00000014-E05A-476A-81E0-9DDAF8947A01}"/>
            </c:ext>
          </c:extLst>
        </c:ser>
        <c:dLbls>
          <c:showLegendKey val="0"/>
          <c:showVal val="0"/>
          <c:showCatName val="0"/>
          <c:showSerName val="0"/>
          <c:showPercent val="0"/>
          <c:showBubbleSize val="0"/>
        </c:dLbls>
        <c:marker val="1"/>
        <c:smooth val="0"/>
        <c:axId val="434379760"/>
        <c:axId val="434380152"/>
      </c:lineChart>
      <c:dateAx>
        <c:axId val="434379760"/>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0152"/>
        <c:crosses val="autoZero"/>
        <c:auto val="0"/>
        <c:lblOffset val="100"/>
        <c:baseTimeUnit val="days"/>
      </c:dateAx>
      <c:valAx>
        <c:axId val="434380152"/>
        <c:scaling>
          <c:orientation val="minMax"/>
          <c:max val="2"/>
          <c:min val="0"/>
        </c:scaling>
        <c:delete val="0"/>
        <c:axPos val="l"/>
        <c:title>
          <c:tx>
            <c:rich>
              <a:bodyPr/>
              <a:lstStyle/>
              <a:p>
                <a:pPr>
                  <a:defRPr/>
                </a:pPr>
                <a:r>
                  <a:rPr lang="fr-FR"/>
                  <a:t>Fluorescence</a:t>
                </a:r>
              </a:p>
            </c:rich>
          </c:tx>
          <c:layout>
            <c:manualLayout>
              <c:xMode val="edge"/>
              <c:yMode val="edge"/>
              <c:x val="1.0387853349889646E-2"/>
              <c:y val="0.2372296165912457"/>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fr-FR"/>
          </a:p>
        </c:txPr>
        <c:crossAx val="434379760"/>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06615584560167"/>
          <c:y val="2.2855878970184925E-2"/>
          <c:w val="0.80127861233935682"/>
          <c:h val="0.5840841664454864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CHG'!$U$2:$AJ$2</c:f>
              <c:strCache>
                <c:ptCount val="15"/>
                <c:pt idx="1">
                  <c:v>Dutasteride-0,01mg/L + Testostérone</c:v>
                </c:pt>
                <c:pt idx="2">
                  <c:v>Dutasteride-0,1mg/L + Testostérone</c:v>
                </c:pt>
                <c:pt idx="3">
                  <c:v>Dutasteride-0,25mg/L + Testostérone</c:v>
                </c:pt>
                <c:pt idx="4">
                  <c:v>Dutasteride-0,5mg/L + Testostérone</c:v>
                </c:pt>
                <c:pt idx="5">
                  <c:v>Dutasteride-1mg/L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CHG'!$U$8:$AJ$8</c:f>
              <c:numCache>
                <c:formatCode>General</c:formatCode>
                <c:ptCount val="16"/>
                <c:pt idx="0">
                  <c:v>0.20838704961932908</c:v>
                </c:pt>
                <c:pt idx="1">
                  <c:v>0.20838704961932908</c:v>
                </c:pt>
                <c:pt idx="2">
                  <c:v>0.20838704961932908</c:v>
                </c:pt>
                <c:pt idx="3">
                  <c:v>0.20838704961932908</c:v>
                </c:pt>
                <c:pt idx="4">
                  <c:v>0.20838704961932908</c:v>
                </c:pt>
                <c:pt idx="5">
                  <c:v>0.20838704961932908</c:v>
                </c:pt>
                <c:pt idx="6">
                  <c:v>0.20838704961932908</c:v>
                </c:pt>
                <c:pt idx="7">
                  <c:v>0.20838704961932908</c:v>
                </c:pt>
                <c:pt idx="8">
                  <c:v>0.20838704961932908</c:v>
                </c:pt>
                <c:pt idx="9">
                  <c:v>0.20838704961932908</c:v>
                </c:pt>
                <c:pt idx="10">
                  <c:v>0.20838704961932908</c:v>
                </c:pt>
                <c:pt idx="11">
                  <c:v>0.20838704961932908</c:v>
                </c:pt>
                <c:pt idx="12">
                  <c:v>0.20838704961932908</c:v>
                </c:pt>
                <c:pt idx="13">
                  <c:v>0.20838704961932908</c:v>
                </c:pt>
                <c:pt idx="14">
                  <c:v>0.20838704961932908</c:v>
                </c:pt>
                <c:pt idx="15">
                  <c:v>0.20838704961932908</c:v>
                </c:pt>
              </c:numCache>
            </c:numRef>
          </c:val>
          <c:extLst>
            <c:ext xmlns:c16="http://schemas.microsoft.com/office/drawing/2014/chart" uri="{C3380CC4-5D6E-409C-BE32-E72D297353CC}">
              <c16:uniqueId val="{00000000-4CBD-4130-8AB9-F913B66FA2BD}"/>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CHG'!$U$2:$AJ$2</c:f>
              <c:strCache>
                <c:ptCount val="15"/>
                <c:pt idx="1">
                  <c:v>Dutasteride-0,01mg/L + Testostérone</c:v>
                </c:pt>
                <c:pt idx="2">
                  <c:v>Dutasteride-0,1mg/L + Testostérone</c:v>
                </c:pt>
                <c:pt idx="3">
                  <c:v>Dutasteride-0,25mg/L + Testostérone</c:v>
                </c:pt>
                <c:pt idx="4">
                  <c:v>Dutasteride-0,5mg/L + Testostérone</c:v>
                </c:pt>
                <c:pt idx="5">
                  <c:v>Dutasteride-1mg/L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CHG'!$U$9:$AJ$9</c:f>
              <c:numCache>
                <c:formatCode>General</c:formatCode>
                <c:ptCount val="16"/>
                <c:pt idx="0">
                  <c:v>3.5988129421080703</c:v>
                </c:pt>
                <c:pt idx="1">
                  <c:v>3.5988129421080703</c:v>
                </c:pt>
                <c:pt idx="2">
                  <c:v>3.5988129421080703</c:v>
                </c:pt>
                <c:pt idx="3">
                  <c:v>3.5988129421080703</c:v>
                </c:pt>
                <c:pt idx="4">
                  <c:v>3.5988129421080703</c:v>
                </c:pt>
                <c:pt idx="5">
                  <c:v>3.5988129421080703</c:v>
                </c:pt>
                <c:pt idx="6">
                  <c:v>3.5988129421080703</c:v>
                </c:pt>
                <c:pt idx="7">
                  <c:v>3.5988129421080703</c:v>
                </c:pt>
                <c:pt idx="8">
                  <c:v>3.5988129421080703</c:v>
                </c:pt>
                <c:pt idx="9">
                  <c:v>3.5988129421080703</c:v>
                </c:pt>
                <c:pt idx="10">
                  <c:v>3.5988129421080703</c:v>
                </c:pt>
                <c:pt idx="11">
                  <c:v>3.5988129421080703</c:v>
                </c:pt>
                <c:pt idx="12">
                  <c:v>3.5988129421080703</c:v>
                </c:pt>
                <c:pt idx="13">
                  <c:v>3.5988129421080703</c:v>
                </c:pt>
                <c:pt idx="14">
                  <c:v>3.5988129421080703</c:v>
                </c:pt>
                <c:pt idx="15">
                  <c:v>3.5988129421080703</c:v>
                </c:pt>
              </c:numCache>
            </c:numRef>
          </c:val>
          <c:extLst>
            <c:ext xmlns:c16="http://schemas.microsoft.com/office/drawing/2014/chart" uri="{C3380CC4-5D6E-409C-BE32-E72D297353CC}">
              <c16:uniqueId val="{00000001-4CBD-4130-8AB9-F913B66FA2BD}"/>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CHG'!$U$2:$AJ$2</c:f>
              <c:strCache>
                <c:ptCount val="15"/>
                <c:pt idx="1">
                  <c:v>Dutasteride-0,01mg/L + Testostérone</c:v>
                </c:pt>
                <c:pt idx="2">
                  <c:v>Dutasteride-0,1mg/L + Testostérone</c:v>
                </c:pt>
                <c:pt idx="3">
                  <c:v>Dutasteride-0,25mg/L + Testostérone</c:v>
                </c:pt>
                <c:pt idx="4">
                  <c:v>Dutasteride-0,5mg/L + Testostérone</c:v>
                </c:pt>
                <c:pt idx="5">
                  <c:v>Dutasteride-1mg/L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CHG'!$U$10:$AJ$10</c:f>
              <c:numCache>
                <c:formatCode>General</c:formatCode>
                <c:ptCount val="16"/>
                <c:pt idx="0">
                  <c:v>-1.0988129421080703</c:v>
                </c:pt>
                <c:pt idx="1">
                  <c:v>-1.0988129421080703</c:v>
                </c:pt>
                <c:pt idx="2">
                  <c:v>-1.0988129421080703</c:v>
                </c:pt>
                <c:pt idx="3">
                  <c:v>-1.0988129421080703</c:v>
                </c:pt>
                <c:pt idx="4">
                  <c:v>-1.0988129421080703</c:v>
                </c:pt>
                <c:pt idx="5">
                  <c:v>-1.0988129421080703</c:v>
                </c:pt>
                <c:pt idx="6">
                  <c:v>-1.0988129421080703</c:v>
                </c:pt>
                <c:pt idx="7">
                  <c:v>-1.0988129421080703</c:v>
                </c:pt>
                <c:pt idx="8">
                  <c:v>-1.0988129421080703</c:v>
                </c:pt>
                <c:pt idx="9">
                  <c:v>-1.0988129421080703</c:v>
                </c:pt>
                <c:pt idx="10">
                  <c:v>-1.0988129421080703</c:v>
                </c:pt>
                <c:pt idx="11">
                  <c:v>-1.0988129421080703</c:v>
                </c:pt>
                <c:pt idx="12">
                  <c:v>-1.0988129421080703</c:v>
                </c:pt>
                <c:pt idx="13">
                  <c:v>-1.0988129421080703</c:v>
                </c:pt>
                <c:pt idx="14">
                  <c:v>-1.0988129421080703</c:v>
                </c:pt>
                <c:pt idx="15">
                  <c:v>-1.0988129421080703</c:v>
                </c:pt>
              </c:numCache>
            </c:numRef>
          </c:val>
          <c:extLst>
            <c:ext xmlns:c16="http://schemas.microsoft.com/office/drawing/2014/chart" uri="{C3380CC4-5D6E-409C-BE32-E72D297353CC}">
              <c16:uniqueId val="{00000002-4CBD-4130-8AB9-F913B66FA2BD}"/>
            </c:ext>
          </c:extLst>
        </c:ser>
        <c:dLbls>
          <c:showLegendKey val="0"/>
          <c:showVal val="0"/>
          <c:showCatName val="0"/>
          <c:showSerName val="0"/>
          <c:showPercent val="0"/>
          <c:showBubbleSize val="0"/>
        </c:dLbls>
        <c:axId val="434380936"/>
        <c:axId val="434381328"/>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6791D5FE-68FC-4D2B-92D2-B5C9629D3D4F}"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4CBD-4130-8AB9-F913B66FA2BD}"/>
                </c:ext>
              </c:extLst>
            </c:dLbl>
            <c:dLbl>
              <c:idx val="1"/>
              <c:tx>
                <c:rich>
                  <a:bodyPr/>
                  <a:lstStyle/>
                  <a:p>
                    <a:fld id="{2BF54FA5-C7F3-43AF-9910-BC069FF47848}"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BE32-4216-8FED-9A7B81C1A779}"/>
                </c:ext>
              </c:extLst>
            </c:dLbl>
            <c:dLbl>
              <c:idx val="2"/>
              <c:tx>
                <c:rich>
                  <a:bodyPr/>
                  <a:lstStyle/>
                  <a:p>
                    <a:fld id="{A2A173C0-DC71-4F3C-BEC8-AD45897908AA}"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BE32-4216-8FED-9A7B81C1A779}"/>
                </c:ext>
              </c:extLst>
            </c:dLbl>
            <c:dLbl>
              <c:idx val="3"/>
              <c:tx>
                <c:rich>
                  <a:bodyPr/>
                  <a:lstStyle/>
                  <a:p>
                    <a:fld id="{530449CC-0EE4-4B82-8B74-AD645AD72D3B}"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BE32-4216-8FED-9A7B81C1A779}"/>
                </c:ext>
              </c:extLst>
            </c:dLbl>
            <c:dLbl>
              <c:idx val="4"/>
              <c:tx>
                <c:rich>
                  <a:bodyPr/>
                  <a:lstStyle/>
                  <a:p>
                    <a:fld id="{47C3F5B3-A0FF-4E86-93DF-95A2FE35631D}"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BE32-4216-8FED-9A7B81C1A779}"/>
                </c:ext>
              </c:extLst>
            </c:dLbl>
            <c:dLbl>
              <c:idx val="5"/>
              <c:tx>
                <c:rich>
                  <a:bodyPr/>
                  <a:lstStyle/>
                  <a:p>
                    <a:fld id="{AC9249F4-7F70-4320-9CEA-862989E27D85}"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BE32-4216-8FED-9A7B81C1A779}"/>
                </c:ext>
              </c:extLst>
            </c:dLbl>
            <c:dLbl>
              <c:idx val="6"/>
              <c:tx>
                <c:rich>
                  <a:bodyPr/>
                  <a:lstStyle/>
                  <a:p>
                    <a:fld id="{51427E2B-91C8-4B7E-A173-AA0B38B2A0D2}"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BE32-4216-8FED-9A7B81C1A779}"/>
                </c:ext>
              </c:extLst>
            </c:dLbl>
            <c:dLbl>
              <c:idx val="7"/>
              <c:tx>
                <c:rich>
                  <a:bodyPr/>
                  <a:lstStyle/>
                  <a:p>
                    <a:fld id="{F7F50E00-CACC-44FA-9A66-9A747740FAC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BE32-4216-8FED-9A7B81C1A779}"/>
                </c:ext>
              </c:extLst>
            </c:dLbl>
            <c:dLbl>
              <c:idx val="8"/>
              <c:tx>
                <c:rich>
                  <a:bodyPr/>
                  <a:lstStyle/>
                  <a:p>
                    <a:fld id="{3349E8DC-BCF2-42D2-8A19-D4CB38DD1C66}"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BE32-4216-8FED-9A7B81C1A779}"/>
                </c:ext>
              </c:extLst>
            </c:dLbl>
            <c:dLbl>
              <c:idx val="9"/>
              <c:tx>
                <c:rich>
                  <a:bodyPr/>
                  <a:lstStyle/>
                  <a:p>
                    <a:fld id="{0FD684DD-9032-4E04-9112-25CA1B5DB9AA}"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BE32-4216-8FED-9A7B81C1A779}"/>
                </c:ext>
              </c:extLst>
            </c:dLbl>
            <c:dLbl>
              <c:idx val="10"/>
              <c:tx>
                <c:rich>
                  <a:bodyPr/>
                  <a:lstStyle/>
                  <a:p>
                    <a:fld id="{9101DC30-D128-4F1F-B906-ACD75CA3985A}"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BE32-4216-8FED-9A7B81C1A779}"/>
                </c:ext>
              </c:extLst>
            </c:dLbl>
            <c:dLbl>
              <c:idx val="11"/>
              <c:tx>
                <c:rich>
                  <a:bodyPr/>
                  <a:lstStyle/>
                  <a:p>
                    <a:fld id="{86977305-A450-46B6-A2E1-DA532F20EFAD}"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BE32-4216-8FED-9A7B81C1A779}"/>
                </c:ext>
              </c:extLst>
            </c:dLbl>
            <c:dLbl>
              <c:idx val="12"/>
              <c:tx>
                <c:rich>
                  <a:bodyPr/>
                  <a:lstStyle/>
                  <a:p>
                    <a:fld id="{C3971434-3820-45A2-97B9-3953BF9C02FB}"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BE32-4216-8FED-9A7B81C1A779}"/>
                </c:ext>
              </c:extLst>
            </c:dLbl>
            <c:dLbl>
              <c:idx val="13"/>
              <c:tx>
                <c:rich>
                  <a:bodyPr/>
                  <a:lstStyle/>
                  <a:p>
                    <a:fld id="{BE54BC45-54B4-4148-919C-2156F6932987}"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BE32-4216-8FED-9A7B81C1A779}"/>
                </c:ext>
              </c:extLst>
            </c:dLbl>
            <c:dLbl>
              <c:idx val="14"/>
              <c:tx>
                <c:rich>
                  <a:bodyPr/>
                  <a:lstStyle/>
                  <a:p>
                    <a:fld id="{757261F6-858F-406C-9504-D9C4992D1C05}"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BE32-4216-8FED-9A7B81C1A779}"/>
                </c:ext>
              </c:extLst>
            </c:dLbl>
            <c:dLbl>
              <c:idx val="15"/>
              <c:tx>
                <c:rich>
                  <a:bodyPr/>
                  <a:lstStyle/>
                  <a:p>
                    <a:fld id="{F3A91565-504F-4F2A-AB2B-DE6EF5D53688}"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BE32-4216-8FED-9A7B81C1A779}"/>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CHG'!$U$4:$AJ$4</c:f>
                <c:numCache>
                  <c:formatCode>General</c:formatCode>
                  <c:ptCount val="16"/>
                  <c:pt idx="1">
                    <c:v>0.23243385061140623</c:v>
                  </c:pt>
                  <c:pt idx="2">
                    <c:v>0.25063149200075979</c:v>
                  </c:pt>
                  <c:pt idx="3">
                    <c:v>0.27475840564158083</c:v>
                  </c:pt>
                  <c:pt idx="4">
                    <c:v>0.34637005333994625</c:v>
                  </c:pt>
                  <c:pt idx="5">
                    <c:v>0.26470103099030573</c:v>
                  </c:pt>
                  <c:pt idx="6">
                    <c:v>0</c:v>
                  </c:pt>
                  <c:pt idx="7">
                    <c:v>0</c:v>
                  </c:pt>
                  <c:pt idx="8">
                    <c:v>0</c:v>
                  </c:pt>
                  <c:pt idx="9">
                    <c:v>0</c:v>
                  </c:pt>
                  <c:pt idx="10">
                    <c:v>0</c:v>
                  </c:pt>
                  <c:pt idx="11">
                    <c:v>0</c:v>
                  </c:pt>
                  <c:pt idx="12">
                    <c:v>0</c:v>
                  </c:pt>
                  <c:pt idx="13">
                    <c:v>0</c:v>
                  </c:pt>
                  <c:pt idx="14">
                    <c:v>0</c:v>
                  </c:pt>
                </c:numCache>
              </c:numRef>
            </c:plus>
            <c:minus>
              <c:numRef>
                <c:f>'Graph format rapport CHG'!$U$4:$AJ$4</c:f>
                <c:numCache>
                  <c:formatCode>General</c:formatCode>
                  <c:ptCount val="16"/>
                  <c:pt idx="1">
                    <c:v>0.23243385061140623</c:v>
                  </c:pt>
                  <c:pt idx="2">
                    <c:v>0.25063149200075979</c:v>
                  </c:pt>
                  <c:pt idx="3">
                    <c:v>0.27475840564158083</c:v>
                  </c:pt>
                  <c:pt idx="4">
                    <c:v>0.34637005333994625</c:v>
                  </c:pt>
                  <c:pt idx="5">
                    <c:v>0.26470103099030573</c:v>
                  </c:pt>
                  <c:pt idx="6">
                    <c:v>0</c:v>
                  </c:pt>
                  <c:pt idx="7">
                    <c:v>0</c:v>
                  </c:pt>
                  <c:pt idx="8">
                    <c:v>0</c:v>
                  </c:pt>
                  <c:pt idx="9">
                    <c:v>0</c:v>
                  </c:pt>
                  <c:pt idx="10">
                    <c:v>0</c:v>
                  </c:pt>
                  <c:pt idx="11">
                    <c:v>0</c:v>
                  </c:pt>
                  <c:pt idx="12">
                    <c:v>0</c:v>
                  </c:pt>
                  <c:pt idx="13">
                    <c:v>0</c:v>
                  </c:pt>
                  <c:pt idx="14">
                    <c:v>0</c:v>
                  </c:pt>
                </c:numCache>
              </c:numRef>
            </c:minus>
          </c:errBars>
          <c:cat>
            <c:strRef>
              <c:f>'Graph format rapport CHG'!$U$2:$AJ$2</c:f>
              <c:strCache>
                <c:ptCount val="15"/>
                <c:pt idx="1">
                  <c:v>Dutasteride-0,01mg/L + Testostérone</c:v>
                </c:pt>
                <c:pt idx="2">
                  <c:v>Dutasteride-0,1mg/L + Testostérone</c:v>
                </c:pt>
                <c:pt idx="3">
                  <c:v>Dutasteride-0,25mg/L + Testostérone</c:v>
                </c:pt>
                <c:pt idx="4">
                  <c:v>Dutasteride-0,5mg/L + Testostérone</c:v>
                </c:pt>
                <c:pt idx="5">
                  <c:v>Dutasteride-1mg/L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CHG'!$U$3:$AJ$3</c:f>
              <c:numCache>
                <c:formatCode>General</c:formatCode>
                <c:ptCount val="16"/>
                <c:pt idx="1">
                  <c:v>1.3360265048474209</c:v>
                </c:pt>
                <c:pt idx="2">
                  <c:v>1.5242385266923411</c:v>
                </c:pt>
                <c:pt idx="3">
                  <c:v>1.4128480747381722</c:v>
                </c:pt>
                <c:pt idx="4">
                  <c:v>1.9274200989274173</c:v>
                </c:pt>
                <c:pt idx="5">
                  <c:v>1.8674764068179091</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CHG'!$U$5:$AJ$5</c15:f>
                <c15:dlblRangeCache>
                  <c:ptCount val="16"/>
                  <c:pt idx="1">
                    <c:v>ns</c:v>
                  </c:pt>
                  <c:pt idx="2">
                    <c:v>ns</c:v>
                  </c:pt>
                  <c:pt idx="3">
                    <c:v>ns</c:v>
                  </c:pt>
                  <c:pt idx="4">
                    <c:v>ns</c:v>
                  </c:pt>
                  <c:pt idx="5">
                    <c:v>*</c:v>
                  </c:pt>
                  <c:pt idx="6">
                    <c:v>#REF!</c:v>
                  </c:pt>
                  <c:pt idx="7">
                    <c:v>#REF!</c:v>
                  </c:pt>
                  <c:pt idx="8">
                    <c:v>#REF!</c:v>
                  </c:pt>
                  <c:pt idx="9">
                    <c:v>#REF!</c:v>
                  </c:pt>
                  <c:pt idx="10">
                    <c:v>#REF!</c:v>
                  </c:pt>
                  <c:pt idx="11">
                    <c:v>#REF!</c:v>
                  </c:pt>
                  <c:pt idx="12">
                    <c:v>#REF!</c:v>
                  </c:pt>
                  <c:pt idx="13">
                    <c:v>#REF!</c:v>
                  </c:pt>
                  <c:pt idx="14">
                    <c:v>#REF!</c:v>
                  </c:pt>
                </c15:dlblRangeCache>
              </c15:datalabelsRange>
            </c:ext>
            <c:ext xmlns:c16="http://schemas.microsoft.com/office/drawing/2014/chart" uri="{C3380CC4-5D6E-409C-BE32-E72D297353CC}">
              <c16:uniqueId val="{00000013-4CBD-4130-8AB9-F913B66FA2BD}"/>
            </c:ext>
          </c:extLst>
        </c:ser>
        <c:dLbls>
          <c:showLegendKey val="0"/>
          <c:showVal val="0"/>
          <c:showCatName val="0"/>
          <c:showSerName val="0"/>
          <c:showPercent val="0"/>
          <c:showBubbleSize val="0"/>
        </c:dLbls>
        <c:gapWidth val="150"/>
        <c:axId val="434380936"/>
        <c:axId val="434381328"/>
      </c:barChart>
      <c:lineChart>
        <c:grouping val="standard"/>
        <c:varyColors val="0"/>
        <c:ser>
          <c:idx val="2"/>
          <c:order val="1"/>
          <c:tx>
            <c:strRef>
              <c:f>'Graph format rapport CHG'!$D$7</c:f>
              <c:strCache>
                <c:ptCount val="1"/>
                <c:pt idx="0">
                  <c:v>Témoin Testo</c:v>
                </c:pt>
              </c:strCache>
            </c:strRef>
          </c:tx>
          <c:spPr>
            <a:ln>
              <a:solidFill>
                <a:srgbClr val="00B050"/>
              </a:solidFill>
            </a:ln>
          </c:spPr>
          <c:marker>
            <c:symbol val="none"/>
          </c:marker>
          <c:cat>
            <c:strRef>
              <c:f>'Graph format rapport CHG'!$U$2:$AJ$2</c:f>
              <c:strCache>
                <c:ptCount val="15"/>
                <c:pt idx="1">
                  <c:v>Dutasteride-0,01mg/L + Testostérone</c:v>
                </c:pt>
                <c:pt idx="2">
                  <c:v>Dutasteride-0,1mg/L + Testostérone</c:v>
                </c:pt>
                <c:pt idx="3">
                  <c:v>Dutasteride-0,25mg/L + Testostérone</c:v>
                </c:pt>
                <c:pt idx="4">
                  <c:v>Dutasteride-0,5mg/L + Testostérone</c:v>
                </c:pt>
                <c:pt idx="5">
                  <c:v>Dutasteride-1mg/L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CHG'!$U$7:$AJ$7</c:f>
              <c:numCache>
                <c:formatCode>General</c:formatCode>
                <c:ptCount val="16"/>
                <c:pt idx="0">
                  <c:v>0.99999999999999967</c:v>
                </c:pt>
                <c:pt idx="1">
                  <c:v>0.99999999999999967</c:v>
                </c:pt>
                <c:pt idx="2">
                  <c:v>0.99999999999999967</c:v>
                </c:pt>
                <c:pt idx="3">
                  <c:v>0.99999999999999967</c:v>
                </c:pt>
                <c:pt idx="4">
                  <c:v>0.99999999999999967</c:v>
                </c:pt>
                <c:pt idx="5">
                  <c:v>0.99999999999999967</c:v>
                </c:pt>
                <c:pt idx="6">
                  <c:v>0.99999999999999967</c:v>
                </c:pt>
                <c:pt idx="7">
                  <c:v>0.99999999999999967</c:v>
                </c:pt>
                <c:pt idx="8">
                  <c:v>0.99999999999999967</c:v>
                </c:pt>
                <c:pt idx="9">
                  <c:v>0.99999999999999967</c:v>
                </c:pt>
                <c:pt idx="10">
                  <c:v>0.99999999999999967</c:v>
                </c:pt>
                <c:pt idx="11">
                  <c:v>0.99999999999999967</c:v>
                </c:pt>
                <c:pt idx="12">
                  <c:v>0.99999999999999967</c:v>
                </c:pt>
                <c:pt idx="13">
                  <c:v>0.99999999999999967</c:v>
                </c:pt>
                <c:pt idx="14">
                  <c:v>0.99999999999999967</c:v>
                </c:pt>
                <c:pt idx="15">
                  <c:v>0.99999999999999967</c:v>
                </c:pt>
              </c:numCache>
            </c:numRef>
          </c:val>
          <c:smooth val="0"/>
          <c:extLst>
            <c:ext xmlns:c16="http://schemas.microsoft.com/office/drawing/2014/chart" uri="{C3380CC4-5D6E-409C-BE32-E72D297353CC}">
              <c16:uniqueId val="{00000014-4CBD-4130-8AB9-F913B66FA2BD}"/>
            </c:ext>
          </c:extLst>
        </c:ser>
        <c:dLbls>
          <c:showLegendKey val="0"/>
          <c:showVal val="0"/>
          <c:showCatName val="0"/>
          <c:showSerName val="0"/>
          <c:showPercent val="0"/>
          <c:showBubbleSize val="0"/>
        </c:dLbls>
        <c:marker val="1"/>
        <c:smooth val="0"/>
        <c:axId val="434380936"/>
        <c:axId val="434381328"/>
      </c:lineChart>
      <c:dateAx>
        <c:axId val="434380936"/>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1328"/>
        <c:crosses val="autoZero"/>
        <c:auto val="0"/>
        <c:lblOffset val="100"/>
        <c:baseTimeUnit val="days"/>
      </c:dateAx>
      <c:valAx>
        <c:axId val="434381328"/>
        <c:scaling>
          <c:orientation val="minMax"/>
          <c:max val="2"/>
          <c:min val="0"/>
        </c:scaling>
        <c:delete val="0"/>
        <c:axPos val="l"/>
        <c:title>
          <c:tx>
            <c:rich>
              <a:bodyPr/>
              <a:lstStyle/>
              <a:p>
                <a:pPr>
                  <a:defRPr/>
                </a:pPr>
                <a:r>
                  <a:rPr lang="fr-FR"/>
                  <a:t>Fluorescence</a:t>
                </a:r>
              </a:p>
            </c:rich>
          </c:tx>
          <c:layout>
            <c:manualLayout>
              <c:xMode val="edge"/>
              <c:yMode val="edge"/>
              <c:x val="1.5604029236949606E-2"/>
              <c:y val="0.226017570592109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fr-FR"/>
          </a:p>
        </c:txPr>
        <c:crossAx val="434380936"/>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CHG'!$E$2:$T$2</c:f>
              <c:strCache>
                <c:ptCount val="15"/>
                <c:pt idx="1">
                  <c:v>Dutasteride-0,1mg/L</c:v>
                </c:pt>
                <c:pt idx="2">
                  <c:v>Dutasteride-0,25mg/L</c:v>
                </c:pt>
                <c:pt idx="3">
                  <c:v>Dutasteride-0,5mg/L</c:v>
                </c:pt>
                <c:pt idx="4">
                  <c:v>Dutasteride-1mg/L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CHG'!$E$8:$T$8</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E05A-476A-81E0-9DDAF8947A01}"/>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CHG'!$E$2:$T$2</c:f>
              <c:strCache>
                <c:ptCount val="15"/>
                <c:pt idx="1">
                  <c:v>Dutasteride-0,1mg/L</c:v>
                </c:pt>
                <c:pt idx="2">
                  <c:v>Dutasteride-0,25mg/L</c:v>
                </c:pt>
                <c:pt idx="3">
                  <c:v>Dutasteride-0,5mg/L</c:v>
                </c:pt>
                <c:pt idx="4">
                  <c:v>Dutasteride-1mg/L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CHG'!$E$9:$T$9</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E05A-476A-81E0-9DDAF8947A01}"/>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CHG'!$E$2:$T$2</c:f>
              <c:strCache>
                <c:ptCount val="15"/>
                <c:pt idx="1">
                  <c:v>Dutasteride-0,1mg/L</c:v>
                </c:pt>
                <c:pt idx="2">
                  <c:v>Dutasteride-0,25mg/L</c:v>
                </c:pt>
                <c:pt idx="3">
                  <c:v>Dutasteride-0,5mg/L</c:v>
                </c:pt>
                <c:pt idx="4">
                  <c:v>Dutasteride-1mg/L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CHG'!$E$10:$T$10</c:f>
              <c:numCache>
                <c:formatCode>General</c:formatCode>
                <c:ptCount val="16"/>
                <c:pt idx="0">
                  <c:v>2.5</c:v>
                </c:pt>
                <c:pt idx="1">
                  <c:v>2.5</c:v>
                </c:pt>
                <c:pt idx="2">
                  <c:v>2.5</c:v>
                </c:pt>
                <c:pt idx="3">
                  <c:v>2.5</c:v>
                </c:pt>
                <c:pt idx="4">
                  <c:v>2.5</c:v>
                </c:pt>
                <c:pt idx="5">
                  <c:v>2.5</c:v>
                </c:pt>
                <c:pt idx="6">
                  <c:v>2.5</c:v>
                </c:pt>
                <c:pt idx="7">
                  <c:v>2.5</c:v>
                </c:pt>
                <c:pt idx="8">
                  <c:v>2.5</c:v>
                </c:pt>
                <c:pt idx="9">
                  <c:v>2.5</c:v>
                </c:pt>
                <c:pt idx="10">
                  <c:v>2.5</c:v>
                </c:pt>
                <c:pt idx="11">
                  <c:v>2.5</c:v>
                </c:pt>
                <c:pt idx="12">
                  <c:v>2.5</c:v>
                </c:pt>
                <c:pt idx="13">
                  <c:v>2.5</c:v>
                </c:pt>
                <c:pt idx="14">
                  <c:v>2.5</c:v>
                </c:pt>
                <c:pt idx="15">
                  <c:v>2.5</c:v>
                </c:pt>
              </c:numCache>
            </c:numRef>
          </c:val>
          <c:extLst>
            <c:ext xmlns:c16="http://schemas.microsoft.com/office/drawing/2014/chart" uri="{C3380CC4-5D6E-409C-BE32-E72D297353CC}">
              <c16:uniqueId val="{00000002-E05A-476A-81E0-9DDAF8947A01}"/>
            </c:ext>
          </c:extLst>
        </c:ser>
        <c:dLbls>
          <c:showLegendKey val="0"/>
          <c:showVal val="0"/>
          <c:showCatName val="0"/>
          <c:showSerName val="0"/>
          <c:showPercent val="0"/>
          <c:showBubbleSize val="0"/>
        </c:dLbls>
        <c:axId val="434382112"/>
        <c:axId val="434382504"/>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67BDF2FC-0662-42F7-88AA-6E891B8B5467}"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E05A-476A-81E0-9DDAF8947A01}"/>
                </c:ext>
              </c:extLst>
            </c:dLbl>
            <c:dLbl>
              <c:idx val="1"/>
              <c:tx>
                <c:rich>
                  <a:bodyPr/>
                  <a:lstStyle/>
                  <a:p>
                    <a:fld id="{2C0DDA58-F8EC-46E4-913C-9A989922A70F}"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1C6E-4AE4-BE8A-896B67024C51}"/>
                </c:ext>
              </c:extLst>
            </c:dLbl>
            <c:dLbl>
              <c:idx val="2"/>
              <c:tx>
                <c:rich>
                  <a:bodyPr/>
                  <a:lstStyle/>
                  <a:p>
                    <a:fld id="{ED67BA1B-3428-4D2C-8CB9-910D3B65514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1C6E-4AE4-BE8A-896B67024C51}"/>
                </c:ext>
              </c:extLst>
            </c:dLbl>
            <c:dLbl>
              <c:idx val="3"/>
              <c:tx>
                <c:rich>
                  <a:bodyPr/>
                  <a:lstStyle/>
                  <a:p>
                    <a:fld id="{44CFB455-7295-43CF-AAD1-CDBE4D5BFDF3}"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1C6E-4AE4-BE8A-896B67024C51}"/>
                </c:ext>
              </c:extLst>
            </c:dLbl>
            <c:dLbl>
              <c:idx val="4"/>
              <c:tx>
                <c:rich>
                  <a:bodyPr/>
                  <a:lstStyle/>
                  <a:p>
                    <a:fld id="{7BD5AC93-0F92-4A44-9631-A533B20738A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1C6E-4AE4-BE8A-896B67024C51}"/>
                </c:ext>
              </c:extLst>
            </c:dLbl>
            <c:dLbl>
              <c:idx val="5"/>
              <c:tx>
                <c:rich>
                  <a:bodyPr/>
                  <a:lstStyle/>
                  <a:p>
                    <a:fld id="{743F6C5B-2B39-4AE7-8602-31713CC6CBE8}"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1C6E-4AE4-BE8A-896B67024C51}"/>
                </c:ext>
              </c:extLst>
            </c:dLbl>
            <c:dLbl>
              <c:idx val="6"/>
              <c:tx>
                <c:rich>
                  <a:bodyPr/>
                  <a:lstStyle/>
                  <a:p>
                    <a:fld id="{3FB17D63-5354-40AA-A7EF-757C5A8F38D9}"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1C6E-4AE4-BE8A-896B67024C51}"/>
                </c:ext>
              </c:extLst>
            </c:dLbl>
            <c:dLbl>
              <c:idx val="7"/>
              <c:tx>
                <c:rich>
                  <a:bodyPr/>
                  <a:lstStyle/>
                  <a:p>
                    <a:fld id="{CBF61B8F-255E-4090-86D5-D7185CEBA24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1C6E-4AE4-BE8A-896B67024C51}"/>
                </c:ext>
              </c:extLst>
            </c:dLbl>
            <c:dLbl>
              <c:idx val="8"/>
              <c:tx>
                <c:rich>
                  <a:bodyPr/>
                  <a:lstStyle/>
                  <a:p>
                    <a:fld id="{D9ED90B8-B952-4CEE-AED8-15F45D4E2662}"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1C6E-4AE4-BE8A-896B67024C51}"/>
                </c:ext>
              </c:extLst>
            </c:dLbl>
            <c:dLbl>
              <c:idx val="9"/>
              <c:tx>
                <c:rich>
                  <a:bodyPr/>
                  <a:lstStyle/>
                  <a:p>
                    <a:fld id="{DD474289-BB1C-4ABE-9B3B-9C6B9B21949C}"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1C6E-4AE4-BE8A-896B67024C51}"/>
                </c:ext>
              </c:extLst>
            </c:dLbl>
            <c:dLbl>
              <c:idx val="10"/>
              <c:tx>
                <c:rich>
                  <a:bodyPr/>
                  <a:lstStyle/>
                  <a:p>
                    <a:fld id="{AF4EBD5E-20EB-44A1-94B3-8CE59428C20D}"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1C6E-4AE4-BE8A-896B67024C51}"/>
                </c:ext>
              </c:extLst>
            </c:dLbl>
            <c:dLbl>
              <c:idx val="11"/>
              <c:tx>
                <c:rich>
                  <a:bodyPr/>
                  <a:lstStyle/>
                  <a:p>
                    <a:fld id="{83679CE2-A7F9-4997-B80A-11B1F49ED38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1C6E-4AE4-BE8A-896B67024C51}"/>
                </c:ext>
              </c:extLst>
            </c:dLbl>
            <c:dLbl>
              <c:idx val="12"/>
              <c:tx>
                <c:rich>
                  <a:bodyPr/>
                  <a:lstStyle/>
                  <a:p>
                    <a:fld id="{FD028F9E-47F6-4684-AEB6-7C13C611E5E8}"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1C6E-4AE4-BE8A-896B67024C51}"/>
                </c:ext>
              </c:extLst>
            </c:dLbl>
            <c:dLbl>
              <c:idx val="13"/>
              <c:tx>
                <c:rich>
                  <a:bodyPr/>
                  <a:lstStyle/>
                  <a:p>
                    <a:fld id="{42812584-40F2-4672-A25A-A39D756B2DA2}"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1C6E-4AE4-BE8A-896B67024C51}"/>
                </c:ext>
              </c:extLst>
            </c:dLbl>
            <c:dLbl>
              <c:idx val="14"/>
              <c:tx>
                <c:rich>
                  <a:bodyPr/>
                  <a:lstStyle/>
                  <a:p>
                    <a:fld id="{EC1BC710-DDC6-4966-9049-9B1D1B4557EB}"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1C6E-4AE4-BE8A-896B67024C51}"/>
                </c:ext>
              </c:extLst>
            </c:dLbl>
            <c:dLbl>
              <c:idx val="15"/>
              <c:tx>
                <c:rich>
                  <a:bodyPr/>
                  <a:lstStyle/>
                  <a:p>
                    <a:fld id="{FA396178-FD07-4ED1-A3AE-F891322054EC}"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1C6E-4AE4-BE8A-896B67024C51}"/>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CHG'!$E$4:$T$4</c:f>
                <c:numCache>
                  <c:formatCode>General</c:formatCode>
                  <c:ptCount val="16"/>
                  <c:pt idx="1">
                    <c:v>2.3423838964525018E-2</c:v>
                  </c:pt>
                  <c:pt idx="2">
                    <c:v>3.0266065236325641E-2</c:v>
                  </c:pt>
                  <c:pt idx="3">
                    <c:v>5.2153118874459677E-2</c:v>
                  </c:pt>
                  <c:pt idx="4">
                    <c:v>3.6199342100837653E-2</c:v>
                  </c:pt>
                  <c:pt idx="5">
                    <c:v>0</c:v>
                  </c:pt>
                  <c:pt idx="6">
                    <c:v>0</c:v>
                  </c:pt>
                  <c:pt idx="7">
                    <c:v>0</c:v>
                  </c:pt>
                  <c:pt idx="8">
                    <c:v>0</c:v>
                  </c:pt>
                  <c:pt idx="9">
                    <c:v>0</c:v>
                  </c:pt>
                  <c:pt idx="10">
                    <c:v>0</c:v>
                  </c:pt>
                  <c:pt idx="11">
                    <c:v>0</c:v>
                  </c:pt>
                  <c:pt idx="12">
                    <c:v>0</c:v>
                  </c:pt>
                  <c:pt idx="13">
                    <c:v>0</c:v>
                  </c:pt>
                  <c:pt idx="14">
                    <c:v>0</c:v>
                  </c:pt>
                </c:numCache>
              </c:numRef>
            </c:plus>
            <c:minus>
              <c:numRef>
                <c:f>'Graph format rapport CHG'!$E$4:$T$4</c:f>
                <c:numCache>
                  <c:formatCode>General</c:formatCode>
                  <c:ptCount val="16"/>
                  <c:pt idx="1">
                    <c:v>2.3423838964525018E-2</c:v>
                  </c:pt>
                  <c:pt idx="2">
                    <c:v>3.0266065236325641E-2</c:v>
                  </c:pt>
                  <c:pt idx="3">
                    <c:v>5.2153118874459677E-2</c:v>
                  </c:pt>
                  <c:pt idx="4">
                    <c:v>3.6199342100837653E-2</c:v>
                  </c:pt>
                  <c:pt idx="5">
                    <c:v>0</c:v>
                  </c:pt>
                  <c:pt idx="6">
                    <c:v>0</c:v>
                  </c:pt>
                  <c:pt idx="7">
                    <c:v>0</c:v>
                  </c:pt>
                  <c:pt idx="8">
                    <c:v>0</c:v>
                  </c:pt>
                  <c:pt idx="9">
                    <c:v>0</c:v>
                  </c:pt>
                  <c:pt idx="10">
                    <c:v>0</c:v>
                  </c:pt>
                  <c:pt idx="11">
                    <c:v>0</c:v>
                  </c:pt>
                  <c:pt idx="12">
                    <c:v>0</c:v>
                  </c:pt>
                  <c:pt idx="13">
                    <c:v>0</c:v>
                  </c:pt>
                  <c:pt idx="14">
                    <c:v>0</c:v>
                  </c:pt>
                </c:numCache>
              </c:numRef>
            </c:minus>
          </c:errBars>
          <c:cat>
            <c:strRef>
              <c:f>'Graph format rapport CHG'!$E$2:$T$2</c:f>
              <c:strCache>
                <c:ptCount val="15"/>
                <c:pt idx="1">
                  <c:v>Dutasteride-0,1mg/L</c:v>
                </c:pt>
                <c:pt idx="2">
                  <c:v>Dutasteride-0,25mg/L</c:v>
                </c:pt>
                <c:pt idx="3">
                  <c:v>Dutasteride-0,5mg/L</c:v>
                </c:pt>
                <c:pt idx="4">
                  <c:v>Dutasteride-1mg/L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CHG'!$E$3:$T$3</c:f>
              <c:numCache>
                <c:formatCode>General</c:formatCode>
                <c:ptCount val="16"/>
                <c:pt idx="1">
                  <c:v>0.15403073547342597</c:v>
                </c:pt>
                <c:pt idx="2">
                  <c:v>0.17314720660996874</c:v>
                </c:pt>
                <c:pt idx="3">
                  <c:v>0.21760649230919263</c:v>
                </c:pt>
                <c:pt idx="4">
                  <c:v>0.18024131028716309</c:v>
                </c:pt>
                <c:pt idx="5">
                  <c:v>0</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CHG'!$E$5:$T$5</c15:f>
                <c15:dlblRangeCache>
                  <c:ptCount val="16"/>
                  <c:pt idx="1">
                    <c:v>ns</c:v>
                  </c:pt>
                  <c:pt idx="2">
                    <c:v>ns</c:v>
                  </c:pt>
                  <c:pt idx="3">
                    <c:v>ns</c:v>
                  </c:pt>
                  <c:pt idx="4">
                    <c:v>ns</c:v>
                  </c:pt>
                  <c:pt idx="5">
                    <c:v>#REF!</c:v>
                  </c:pt>
                  <c:pt idx="6">
                    <c:v>#REF!</c:v>
                  </c:pt>
                  <c:pt idx="7">
                    <c:v>#REF!</c:v>
                  </c:pt>
                  <c:pt idx="8">
                    <c:v>#REF!</c:v>
                  </c:pt>
                  <c:pt idx="9">
                    <c:v>#REF!</c:v>
                  </c:pt>
                  <c:pt idx="10">
                    <c:v>#REF!</c:v>
                  </c:pt>
                  <c:pt idx="11">
                    <c:v>#REF!</c:v>
                  </c:pt>
                  <c:pt idx="12">
                    <c:v>#REF!</c:v>
                  </c:pt>
                  <c:pt idx="13">
                    <c:v>#REF!</c:v>
                  </c:pt>
                  <c:pt idx="14">
                    <c:v>#REF!</c:v>
                  </c:pt>
                </c15:dlblRangeCache>
              </c15:datalabelsRange>
            </c:ext>
            <c:ext xmlns:c16="http://schemas.microsoft.com/office/drawing/2014/chart" uri="{C3380CC4-5D6E-409C-BE32-E72D297353CC}">
              <c16:uniqueId val="{00000013-E05A-476A-81E0-9DDAF8947A01}"/>
            </c:ext>
          </c:extLst>
        </c:ser>
        <c:dLbls>
          <c:showLegendKey val="0"/>
          <c:showVal val="0"/>
          <c:showCatName val="0"/>
          <c:showSerName val="0"/>
          <c:showPercent val="0"/>
          <c:showBubbleSize val="0"/>
        </c:dLbls>
        <c:gapWidth val="150"/>
        <c:axId val="434382112"/>
        <c:axId val="434382504"/>
      </c:barChart>
      <c:lineChart>
        <c:grouping val="standard"/>
        <c:varyColors val="0"/>
        <c:ser>
          <c:idx val="1"/>
          <c:order val="1"/>
          <c:tx>
            <c:strRef>
              <c:f>'Graph format rapport CHG'!$D$6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CHG'!$E$6:$T$6</c:f>
              <c:numCache>
                <c:formatCode>General</c:formatCode>
                <c:ptCount val="16"/>
                <c:pt idx="0">
                  <c:v>0.29313487556023021</c:v>
                </c:pt>
                <c:pt idx="1">
                  <c:v>0.29313487556023021</c:v>
                </c:pt>
                <c:pt idx="2">
                  <c:v>0.29313487556023021</c:v>
                </c:pt>
                <c:pt idx="3">
                  <c:v>0.29313487556023021</c:v>
                </c:pt>
                <c:pt idx="4">
                  <c:v>0.29313487556023021</c:v>
                </c:pt>
                <c:pt idx="5">
                  <c:v>0.29313487556023021</c:v>
                </c:pt>
                <c:pt idx="6">
                  <c:v>0.29313487556023021</c:v>
                </c:pt>
                <c:pt idx="7">
                  <c:v>0.29313487556023021</c:v>
                </c:pt>
                <c:pt idx="8">
                  <c:v>0.29313487556023021</c:v>
                </c:pt>
                <c:pt idx="9">
                  <c:v>0.29313487556023021</c:v>
                </c:pt>
                <c:pt idx="10">
                  <c:v>0.29313487556023021</c:v>
                </c:pt>
                <c:pt idx="11">
                  <c:v>0.29313487556023021</c:v>
                </c:pt>
                <c:pt idx="12">
                  <c:v>0.29313487556023021</c:v>
                </c:pt>
                <c:pt idx="13">
                  <c:v>0.29313487556023021</c:v>
                </c:pt>
                <c:pt idx="14">
                  <c:v>0.29313487556023021</c:v>
                </c:pt>
                <c:pt idx="15">
                  <c:v>0.29313487556023021</c:v>
                </c:pt>
              </c:numCache>
            </c:numRef>
          </c:val>
          <c:smooth val="0"/>
          <c:extLst>
            <c:ext xmlns:c16="http://schemas.microsoft.com/office/drawing/2014/chart" uri="{C3380CC4-5D6E-409C-BE32-E72D297353CC}">
              <c16:uniqueId val="{00000014-E05A-476A-81E0-9DDAF8947A01}"/>
            </c:ext>
          </c:extLst>
        </c:ser>
        <c:dLbls>
          <c:showLegendKey val="0"/>
          <c:showVal val="0"/>
          <c:showCatName val="0"/>
          <c:showSerName val="0"/>
          <c:showPercent val="0"/>
          <c:showBubbleSize val="0"/>
        </c:dLbls>
        <c:marker val="1"/>
        <c:smooth val="0"/>
        <c:axId val="434382112"/>
        <c:axId val="434382504"/>
      </c:lineChart>
      <c:dateAx>
        <c:axId val="434382112"/>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2504"/>
        <c:crosses val="autoZero"/>
        <c:auto val="0"/>
        <c:lblOffset val="100"/>
        <c:baseTimeUnit val="days"/>
      </c:dateAx>
      <c:valAx>
        <c:axId val="434382504"/>
        <c:scaling>
          <c:orientation val="minMax"/>
          <c:max val="2"/>
          <c:min val="0"/>
        </c:scaling>
        <c:delete val="0"/>
        <c:axPos val="l"/>
        <c:title>
          <c:tx>
            <c:rich>
              <a:bodyPr/>
              <a:lstStyle/>
              <a:p>
                <a:pPr>
                  <a:defRPr/>
                </a:pPr>
                <a:r>
                  <a:rPr lang="fr-FR"/>
                  <a:t>Fluorescence</a:t>
                </a:r>
              </a:p>
            </c:rich>
          </c:tx>
          <c:layout>
            <c:manualLayout>
              <c:xMode val="edge"/>
              <c:yMode val="edge"/>
              <c:x val="1.0387853349889646E-2"/>
              <c:y val="0.2372296165912457"/>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fr-FR"/>
          </a:p>
        </c:txPr>
        <c:crossAx val="434382112"/>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06615584560167"/>
          <c:y val="2.2855878970184925E-2"/>
          <c:w val="0.80127861233935682"/>
          <c:h val="0.5840841664454864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CHG'!$U$2:$AJ$2</c:f>
              <c:strCache>
                <c:ptCount val="15"/>
                <c:pt idx="1">
                  <c:v>Dutasteride-0,01mg/L + Testostérone</c:v>
                </c:pt>
                <c:pt idx="2">
                  <c:v>Dutasteride-0,1mg/L + Testostérone</c:v>
                </c:pt>
                <c:pt idx="3">
                  <c:v>Dutasteride-0,25mg/L + Testostérone</c:v>
                </c:pt>
                <c:pt idx="4">
                  <c:v>Dutasteride-0,5mg/L + Testostérone</c:v>
                </c:pt>
                <c:pt idx="5">
                  <c:v>Dutasteride-1mg/L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CHG'!$U$8:$AJ$8</c:f>
              <c:numCache>
                <c:formatCode>General</c:formatCode>
                <c:ptCount val="16"/>
                <c:pt idx="0">
                  <c:v>0.20838704961932908</c:v>
                </c:pt>
                <c:pt idx="1">
                  <c:v>0.20838704961932908</c:v>
                </c:pt>
                <c:pt idx="2">
                  <c:v>0.20838704961932908</c:v>
                </c:pt>
                <c:pt idx="3">
                  <c:v>0.20838704961932908</c:v>
                </c:pt>
                <c:pt idx="4">
                  <c:v>0.20838704961932908</c:v>
                </c:pt>
                <c:pt idx="5">
                  <c:v>0.20838704961932908</c:v>
                </c:pt>
                <c:pt idx="6">
                  <c:v>0.20838704961932908</c:v>
                </c:pt>
                <c:pt idx="7">
                  <c:v>0.20838704961932908</c:v>
                </c:pt>
                <c:pt idx="8">
                  <c:v>0.20838704961932908</c:v>
                </c:pt>
                <c:pt idx="9">
                  <c:v>0.20838704961932908</c:v>
                </c:pt>
                <c:pt idx="10">
                  <c:v>0.20838704961932908</c:v>
                </c:pt>
                <c:pt idx="11">
                  <c:v>0.20838704961932908</c:v>
                </c:pt>
                <c:pt idx="12">
                  <c:v>0.20838704961932908</c:v>
                </c:pt>
                <c:pt idx="13">
                  <c:v>0.20838704961932908</c:v>
                </c:pt>
                <c:pt idx="14">
                  <c:v>0.20838704961932908</c:v>
                </c:pt>
                <c:pt idx="15">
                  <c:v>0.20838704961932908</c:v>
                </c:pt>
              </c:numCache>
            </c:numRef>
          </c:val>
          <c:extLst>
            <c:ext xmlns:c16="http://schemas.microsoft.com/office/drawing/2014/chart" uri="{C3380CC4-5D6E-409C-BE32-E72D297353CC}">
              <c16:uniqueId val="{00000000-4CBD-4130-8AB9-F913B66FA2BD}"/>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CHG'!$U$2:$AJ$2</c:f>
              <c:strCache>
                <c:ptCount val="15"/>
                <c:pt idx="1">
                  <c:v>Dutasteride-0,01mg/L + Testostérone</c:v>
                </c:pt>
                <c:pt idx="2">
                  <c:v>Dutasteride-0,1mg/L + Testostérone</c:v>
                </c:pt>
                <c:pt idx="3">
                  <c:v>Dutasteride-0,25mg/L + Testostérone</c:v>
                </c:pt>
                <c:pt idx="4">
                  <c:v>Dutasteride-0,5mg/L + Testostérone</c:v>
                </c:pt>
                <c:pt idx="5">
                  <c:v>Dutasteride-1mg/L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CHG'!$U$9:$AJ$9</c:f>
              <c:numCache>
                <c:formatCode>General</c:formatCode>
                <c:ptCount val="16"/>
                <c:pt idx="0">
                  <c:v>3.5988129421080703</c:v>
                </c:pt>
                <c:pt idx="1">
                  <c:v>3.5988129421080703</c:v>
                </c:pt>
                <c:pt idx="2">
                  <c:v>3.5988129421080703</c:v>
                </c:pt>
                <c:pt idx="3">
                  <c:v>3.5988129421080703</c:v>
                </c:pt>
                <c:pt idx="4">
                  <c:v>3.5988129421080703</c:v>
                </c:pt>
                <c:pt idx="5">
                  <c:v>3.5988129421080703</c:v>
                </c:pt>
                <c:pt idx="6">
                  <c:v>3.5988129421080703</c:v>
                </c:pt>
                <c:pt idx="7">
                  <c:v>3.5988129421080703</c:v>
                </c:pt>
                <c:pt idx="8">
                  <c:v>3.5988129421080703</c:v>
                </c:pt>
                <c:pt idx="9">
                  <c:v>3.5988129421080703</c:v>
                </c:pt>
                <c:pt idx="10">
                  <c:v>3.5988129421080703</c:v>
                </c:pt>
                <c:pt idx="11">
                  <c:v>3.5988129421080703</c:v>
                </c:pt>
                <c:pt idx="12">
                  <c:v>3.5988129421080703</c:v>
                </c:pt>
                <c:pt idx="13">
                  <c:v>3.5988129421080703</c:v>
                </c:pt>
                <c:pt idx="14">
                  <c:v>3.5988129421080703</c:v>
                </c:pt>
                <c:pt idx="15">
                  <c:v>3.5988129421080703</c:v>
                </c:pt>
              </c:numCache>
            </c:numRef>
          </c:val>
          <c:extLst>
            <c:ext xmlns:c16="http://schemas.microsoft.com/office/drawing/2014/chart" uri="{C3380CC4-5D6E-409C-BE32-E72D297353CC}">
              <c16:uniqueId val="{00000001-4CBD-4130-8AB9-F913B66FA2BD}"/>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CHG'!$U$2:$AJ$2</c:f>
              <c:strCache>
                <c:ptCount val="15"/>
                <c:pt idx="1">
                  <c:v>Dutasteride-0,01mg/L + Testostérone</c:v>
                </c:pt>
                <c:pt idx="2">
                  <c:v>Dutasteride-0,1mg/L + Testostérone</c:v>
                </c:pt>
                <c:pt idx="3">
                  <c:v>Dutasteride-0,25mg/L + Testostérone</c:v>
                </c:pt>
                <c:pt idx="4">
                  <c:v>Dutasteride-0,5mg/L + Testostérone</c:v>
                </c:pt>
                <c:pt idx="5">
                  <c:v>Dutasteride-1mg/L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CHG'!$U$10:$AJ$10</c:f>
              <c:numCache>
                <c:formatCode>General</c:formatCode>
                <c:ptCount val="16"/>
                <c:pt idx="0">
                  <c:v>-1.0988129421080703</c:v>
                </c:pt>
                <c:pt idx="1">
                  <c:v>-1.0988129421080703</c:v>
                </c:pt>
                <c:pt idx="2">
                  <c:v>-1.0988129421080703</c:v>
                </c:pt>
                <c:pt idx="3">
                  <c:v>-1.0988129421080703</c:v>
                </c:pt>
                <c:pt idx="4">
                  <c:v>-1.0988129421080703</c:v>
                </c:pt>
                <c:pt idx="5">
                  <c:v>-1.0988129421080703</c:v>
                </c:pt>
                <c:pt idx="6">
                  <c:v>-1.0988129421080703</c:v>
                </c:pt>
                <c:pt idx="7">
                  <c:v>-1.0988129421080703</c:v>
                </c:pt>
                <c:pt idx="8">
                  <c:v>-1.0988129421080703</c:v>
                </c:pt>
                <c:pt idx="9">
                  <c:v>-1.0988129421080703</c:v>
                </c:pt>
                <c:pt idx="10">
                  <c:v>-1.0988129421080703</c:v>
                </c:pt>
                <c:pt idx="11">
                  <c:v>-1.0988129421080703</c:v>
                </c:pt>
                <c:pt idx="12">
                  <c:v>-1.0988129421080703</c:v>
                </c:pt>
                <c:pt idx="13">
                  <c:v>-1.0988129421080703</c:v>
                </c:pt>
                <c:pt idx="14">
                  <c:v>-1.0988129421080703</c:v>
                </c:pt>
                <c:pt idx="15">
                  <c:v>-1.0988129421080703</c:v>
                </c:pt>
              </c:numCache>
            </c:numRef>
          </c:val>
          <c:extLst>
            <c:ext xmlns:c16="http://schemas.microsoft.com/office/drawing/2014/chart" uri="{C3380CC4-5D6E-409C-BE32-E72D297353CC}">
              <c16:uniqueId val="{00000002-4CBD-4130-8AB9-F913B66FA2BD}"/>
            </c:ext>
          </c:extLst>
        </c:ser>
        <c:dLbls>
          <c:showLegendKey val="0"/>
          <c:showVal val="0"/>
          <c:showCatName val="0"/>
          <c:showSerName val="0"/>
          <c:showPercent val="0"/>
          <c:showBubbleSize val="0"/>
        </c:dLbls>
        <c:axId val="434383288"/>
        <c:axId val="434383680"/>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2DD39B6B-870F-4D26-80E9-D139EFD93F0F}"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4CBD-4130-8AB9-F913B66FA2BD}"/>
                </c:ext>
              </c:extLst>
            </c:dLbl>
            <c:dLbl>
              <c:idx val="1"/>
              <c:tx>
                <c:rich>
                  <a:bodyPr/>
                  <a:lstStyle/>
                  <a:p>
                    <a:fld id="{BCA9F47B-F3D3-4C30-BD71-00E9F4C9707C}"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BA8E-4D40-9992-A189D0F7FB1C}"/>
                </c:ext>
              </c:extLst>
            </c:dLbl>
            <c:dLbl>
              <c:idx val="2"/>
              <c:tx>
                <c:rich>
                  <a:bodyPr/>
                  <a:lstStyle/>
                  <a:p>
                    <a:fld id="{5E824971-2AED-40D0-AB0E-150AD908ADF7}"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BA8E-4D40-9992-A189D0F7FB1C}"/>
                </c:ext>
              </c:extLst>
            </c:dLbl>
            <c:dLbl>
              <c:idx val="3"/>
              <c:tx>
                <c:rich>
                  <a:bodyPr/>
                  <a:lstStyle/>
                  <a:p>
                    <a:fld id="{33EB3B30-FC16-4DE1-86B5-CEB808B5F5D8}"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BA8E-4D40-9992-A189D0F7FB1C}"/>
                </c:ext>
              </c:extLst>
            </c:dLbl>
            <c:dLbl>
              <c:idx val="4"/>
              <c:tx>
                <c:rich>
                  <a:bodyPr/>
                  <a:lstStyle/>
                  <a:p>
                    <a:fld id="{5F8F0E39-B649-469E-A4C3-79404B80524A}"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BA8E-4D40-9992-A189D0F7FB1C}"/>
                </c:ext>
              </c:extLst>
            </c:dLbl>
            <c:dLbl>
              <c:idx val="5"/>
              <c:tx>
                <c:rich>
                  <a:bodyPr/>
                  <a:lstStyle/>
                  <a:p>
                    <a:fld id="{4CE99ED2-5BCF-4607-8419-BADD410D66F6}"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BA8E-4D40-9992-A189D0F7FB1C}"/>
                </c:ext>
              </c:extLst>
            </c:dLbl>
            <c:dLbl>
              <c:idx val="6"/>
              <c:tx>
                <c:rich>
                  <a:bodyPr/>
                  <a:lstStyle/>
                  <a:p>
                    <a:fld id="{9BC10BD3-778A-415D-8C5B-CF2707A3C0DC}"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BA8E-4D40-9992-A189D0F7FB1C}"/>
                </c:ext>
              </c:extLst>
            </c:dLbl>
            <c:dLbl>
              <c:idx val="7"/>
              <c:tx>
                <c:rich>
                  <a:bodyPr/>
                  <a:lstStyle/>
                  <a:p>
                    <a:fld id="{6EFBBFED-6B5B-420A-B0EA-B31583F0ABBD}"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BA8E-4D40-9992-A189D0F7FB1C}"/>
                </c:ext>
              </c:extLst>
            </c:dLbl>
            <c:dLbl>
              <c:idx val="8"/>
              <c:tx>
                <c:rich>
                  <a:bodyPr/>
                  <a:lstStyle/>
                  <a:p>
                    <a:fld id="{2F714EF1-8D43-4BC7-B154-F8F0F97CAF50}"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BA8E-4D40-9992-A189D0F7FB1C}"/>
                </c:ext>
              </c:extLst>
            </c:dLbl>
            <c:dLbl>
              <c:idx val="9"/>
              <c:tx>
                <c:rich>
                  <a:bodyPr/>
                  <a:lstStyle/>
                  <a:p>
                    <a:fld id="{C99089D6-A1A3-41D9-B9FF-FB52C7477280}"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BA8E-4D40-9992-A189D0F7FB1C}"/>
                </c:ext>
              </c:extLst>
            </c:dLbl>
            <c:dLbl>
              <c:idx val="10"/>
              <c:tx>
                <c:rich>
                  <a:bodyPr/>
                  <a:lstStyle/>
                  <a:p>
                    <a:fld id="{BD3A4504-9C39-479D-A6F1-2690E1FF8591}"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BA8E-4D40-9992-A189D0F7FB1C}"/>
                </c:ext>
              </c:extLst>
            </c:dLbl>
            <c:dLbl>
              <c:idx val="11"/>
              <c:tx>
                <c:rich>
                  <a:bodyPr/>
                  <a:lstStyle/>
                  <a:p>
                    <a:fld id="{982B56A0-68C6-4FAA-85F4-C70EC695D5C8}"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BA8E-4D40-9992-A189D0F7FB1C}"/>
                </c:ext>
              </c:extLst>
            </c:dLbl>
            <c:dLbl>
              <c:idx val="12"/>
              <c:tx>
                <c:rich>
                  <a:bodyPr/>
                  <a:lstStyle/>
                  <a:p>
                    <a:fld id="{F4F54A1E-D75C-413B-B2CC-3057441EABD6}"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BA8E-4D40-9992-A189D0F7FB1C}"/>
                </c:ext>
              </c:extLst>
            </c:dLbl>
            <c:dLbl>
              <c:idx val="13"/>
              <c:tx>
                <c:rich>
                  <a:bodyPr/>
                  <a:lstStyle/>
                  <a:p>
                    <a:fld id="{674A5D69-009A-479F-8AD6-CDFBF52737D0}"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BA8E-4D40-9992-A189D0F7FB1C}"/>
                </c:ext>
              </c:extLst>
            </c:dLbl>
            <c:dLbl>
              <c:idx val="14"/>
              <c:tx>
                <c:rich>
                  <a:bodyPr/>
                  <a:lstStyle/>
                  <a:p>
                    <a:fld id="{76045CD7-4165-4C5D-9B37-7984850099C1}"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BA8E-4D40-9992-A189D0F7FB1C}"/>
                </c:ext>
              </c:extLst>
            </c:dLbl>
            <c:dLbl>
              <c:idx val="15"/>
              <c:tx>
                <c:rich>
                  <a:bodyPr/>
                  <a:lstStyle/>
                  <a:p>
                    <a:fld id="{51219230-4898-46E6-B947-7A1543797311}"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BA8E-4D40-9992-A189D0F7FB1C}"/>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CHG'!$U$4:$AJ$4</c:f>
                <c:numCache>
                  <c:formatCode>General</c:formatCode>
                  <c:ptCount val="16"/>
                  <c:pt idx="1">
                    <c:v>0.23243385061140623</c:v>
                  </c:pt>
                  <c:pt idx="2">
                    <c:v>0.25063149200075979</c:v>
                  </c:pt>
                  <c:pt idx="3">
                    <c:v>0.27475840564158083</c:v>
                  </c:pt>
                  <c:pt idx="4">
                    <c:v>0.34637005333994625</c:v>
                  </c:pt>
                  <c:pt idx="5">
                    <c:v>0.26470103099030573</c:v>
                  </c:pt>
                  <c:pt idx="6">
                    <c:v>0</c:v>
                  </c:pt>
                  <c:pt idx="7">
                    <c:v>0</c:v>
                  </c:pt>
                  <c:pt idx="8">
                    <c:v>0</c:v>
                  </c:pt>
                  <c:pt idx="9">
                    <c:v>0</c:v>
                  </c:pt>
                  <c:pt idx="10">
                    <c:v>0</c:v>
                  </c:pt>
                  <c:pt idx="11">
                    <c:v>0</c:v>
                  </c:pt>
                  <c:pt idx="12">
                    <c:v>0</c:v>
                  </c:pt>
                  <c:pt idx="13">
                    <c:v>0</c:v>
                  </c:pt>
                  <c:pt idx="14">
                    <c:v>0</c:v>
                  </c:pt>
                </c:numCache>
              </c:numRef>
            </c:plus>
            <c:minus>
              <c:numRef>
                <c:f>'Graph format rapport CHG'!$U$4:$AJ$4</c:f>
                <c:numCache>
                  <c:formatCode>General</c:formatCode>
                  <c:ptCount val="16"/>
                  <c:pt idx="1">
                    <c:v>0.23243385061140623</c:v>
                  </c:pt>
                  <c:pt idx="2">
                    <c:v>0.25063149200075979</c:v>
                  </c:pt>
                  <c:pt idx="3">
                    <c:v>0.27475840564158083</c:v>
                  </c:pt>
                  <c:pt idx="4">
                    <c:v>0.34637005333994625</c:v>
                  </c:pt>
                  <c:pt idx="5">
                    <c:v>0.26470103099030573</c:v>
                  </c:pt>
                  <c:pt idx="6">
                    <c:v>0</c:v>
                  </c:pt>
                  <c:pt idx="7">
                    <c:v>0</c:v>
                  </c:pt>
                  <c:pt idx="8">
                    <c:v>0</c:v>
                  </c:pt>
                  <c:pt idx="9">
                    <c:v>0</c:v>
                  </c:pt>
                  <c:pt idx="10">
                    <c:v>0</c:v>
                  </c:pt>
                  <c:pt idx="11">
                    <c:v>0</c:v>
                  </c:pt>
                  <c:pt idx="12">
                    <c:v>0</c:v>
                  </c:pt>
                  <c:pt idx="13">
                    <c:v>0</c:v>
                  </c:pt>
                  <c:pt idx="14">
                    <c:v>0</c:v>
                  </c:pt>
                </c:numCache>
              </c:numRef>
            </c:minus>
          </c:errBars>
          <c:cat>
            <c:strRef>
              <c:f>'Graph format rapport CHG'!$U$2:$AJ$2</c:f>
              <c:strCache>
                <c:ptCount val="15"/>
                <c:pt idx="1">
                  <c:v>Dutasteride-0,01mg/L + Testostérone</c:v>
                </c:pt>
                <c:pt idx="2">
                  <c:v>Dutasteride-0,1mg/L + Testostérone</c:v>
                </c:pt>
                <c:pt idx="3">
                  <c:v>Dutasteride-0,25mg/L + Testostérone</c:v>
                </c:pt>
                <c:pt idx="4">
                  <c:v>Dutasteride-0,5mg/L + Testostérone</c:v>
                </c:pt>
                <c:pt idx="5">
                  <c:v>Dutasteride-1mg/L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CHG'!$U$3:$AJ$3</c:f>
              <c:numCache>
                <c:formatCode>General</c:formatCode>
                <c:ptCount val="16"/>
                <c:pt idx="1">
                  <c:v>1.3360265048474209</c:v>
                </c:pt>
                <c:pt idx="2">
                  <c:v>1.5242385266923411</c:v>
                </c:pt>
                <c:pt idx="3">
                  <c:v>1.4128480747381722</c:v>
                </c:pt>
                <c:pt idx="4">
                  <c:v>1.9274200989274173</c:v>
                </c:pt>
                <c:pt idx="5">
                  <c:v>1.8674764068179091</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CHG'!$U$5:$AJ$5</c15:f>
                <c15:dlblRangeCache>
                  <c:ptCount val="16"/>
                  <c:pt idx="1">
                    <c:v>ns</c:v>
                  </c:pt>
                  <c:pt idx="2">
                    <c:v>ns</c:v>
                  </c:pt>
                  <c:pt idx="3">
                    <c:v>ns</c:v>
                  </c:pt>
                  <c:pt idx="4">
                    <c:v>ns</c:v>
                  </c:pt>
                  <c:pt idx="5">
                    <c:v>*</c:v>
                  </c:pt>
                  <c:pt idx="6">
                    <c:v>#REF!</c:v>
                  </c:pt>
                  <c:pt idx="7">
                    <c:v>#REF!</c:v>
                  </c:pt>
                  <c:pt idx="8">
                    <c:v>#REF!</c:v>
                  </c:pt>
                  <c:pt idx="9">
                    <c:v>#REF!</c:v>
                  </c:pt>
                  <c:pt idx="10">
                    <c:v>#REF!</c:v>
                  </c:pt>
                  <c:pt idx="11">
                    <c:v>#REF!</c:v>
                  </c:pt>
                  <c:pt idx="12">
                    <c:v>#REF!</c:v>
                  </c:pt>
                  <c:pt idx="13">
                    <c:v>#REF!</c:v>
                  </c:pt>
                  <c:pt idx="14">
                    <c:v>#REF!</c:v>
                  </c:pt>
                </c15:dlblRangeCache>
              </c15:datalabelsRange>
            </c:ext>
            <c:ext xmlns:c16="http://schemas.microsoft.com/office/drawing/2014/chart" uri="{C3380CC4-5D6E-409C-BE32-E72D297353CC}">
              <c16:uniqueId val="{00000013-4CBD-4130-8AB9-F913B66FA2BD}"/>
            </c:ext>
          </c:extLst>
        </c:ser>
        <c:dLbls>
          <c:showLegendKey val="0"/>
          <c:showVal val="0"/>
          <c:showCatName val="0"/>
          <c:showSerName val="0"/>
          <c:showPercent val="0"/>
          <c:showBubbleSize val="0"/>
        </c:dLbls>
        <c:gapWidth val="150"/>
        <c:axId val="434383288"/>
        <c:axId val="434383680"/>
      </c:barChart>
      <c:lineChart>
        <c:grouping val="standard"/>
        <c:varyColors val="0"/>
        <c:ser>
          <c:idx val="2"/>
          <c:order val="1"/>
          <c:tx>
            <c:strRef>
              <c:f>'Graph format rapport CHG'!$D$7</c:f>
              <c:strCache>
                <c:ptCount val="1"/>
                <c:pt idx="0">
                  <c:v>Témoin Testo</c:v>
                </c:pt>
              </c:strCache>
            </c:strRef>
          </c:tx>
          <c:spPr>
            <a:ln>
              <a:solidFill>
                <a:srgbClr val="00B050"/>
              </a:solidFill>
            </a:ln>
          </c:spPr>
          <c:marker>
            <c:symbol val="none"/>
          </c:marker>
          <c:cat>
            <c:strRef>
              <c:f>'Graph format rapport CHG'!$U$2:$AJ$2</c:f>
              <c:strCache>
                <c:ptCount val="15"/>
                <c:pt idx="1">
                  <c:v>Dutasteride-0,01mg/L + Testostérone</c:v>
                </c:pt>
                <c:pt idx="2">
                  <c:v>Dutasteride-0,1mg/L + Testostérone</c:v>
                </c:pt>
                <c:pt idx="3">
                  <c:v>Dutasteride-0,25mg/L + Testostérone</c:v>
                </c:pt>
                <c:pt idx="4">
                  <c:v>Dutasteride-0,5mg/L + Testostérone</c:v>
                </c:pt>
                <c:pt idx="5">
                  <c:v>Dutasteride-1mg/L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CHG'!$U$7:$AJ$7</c:f>
              <c:numCache>
                <c:formatCode>General</c:formatCode>
                <c:ptCount val="16"/>
                <c:pt idx="0">
                  <c:v>0.99999999999999967</c:v>
                </c:pt>
                <c:pt idx="1">
                  <c:v>0.99999999999999967</c:v>
                </c:pt>
                <c:pt idx="2">
                  <c:v>0.99999999999999967</c:v>
                </c:pt>
                <c:pt idx="3">
                  <c:v>0.99999999999999967</c:v>
                </c:pt>
                <c:pt idx="4">
                  <c:v>0.99999999999999967</c:v>
                </c:pt>
                <c:pt idx="5">
                  <c:v>0.99999999999999967</c:v>
                </c:pt>
                <c:pt idx="6">
                  <c:v>0.99999999999999967</c:v>
                </c:pt>
                <c:pt idx="7">
                  <c:v>0.99999999999999967</c:v>
                </c:pt>
                <c:pt idx="8">
                  <c:v>0.99999999999999967</c:v>
                </c:pt>
                <c:pt idx="9">
                  <c:v>0.99999999999999967</c:v>
                </c:pt>
                <c:pt idx="10">
                  <c:v>0.99999999999999967</c:v>
                </c:pt>
                <c:pt idx="11">
                  <c:v>0.99999999999999967</c:v>
                </c:pt>
                <c:pt idx="12">
                  <c:v>0.99999999999999967</c:v>
                </c:pt>
                <c:pt idx="13">
                  <c:v>0.99999999999999967</c:v>
                </c:pt>
                <c:pt idx="14">
                  <c:v>0.99999999999999967</c:v>
                </c:pt>
                <c:pt idx="15">
                  <c:v>0.99999999999999967</c:v>
                </c:pt>
              </c:numCache>
            </c:numRef>
          </c:val>
          <c:smooth val="0"/>
          <c:extLst>
            <c:ext xmlns:c16="http://schemas.microsoft.com/office/drawing/2014/chart" uri="{C3380CC4-5D6E-409C-BE32-E72D297353CC}">
              <c16:uniqueId val="{00000014-4CBD-4130-8AB9-F913B66FA2BD}"/>
            </c:ext>
          </c:extLst>
        </c:ser>
        <c:dLbls>
          <c:showLegendKey val="0"/>
          <c:showVal val="0"/>
          <c:showCatName val="0"/>
          <c:showSerName val="0"/>
          <c:showPercent val="0"/>
          <c:showBubbleSize val="0"/>
        </c:dLbls>
        <c:marker val="1"/>
        <c:smooth val="0"/>
        <c:axId val="434383288"/>
        <c:axId val="434383680"/>
      </c:lineChart>
      <c:dateAx>
        <c:axId val="434383288"/>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3680"/>
        <c:crosses val="autoZero"/>
        <c:auto val="0"/>
        <c:lblOffset val="100"/>
        <c:baseTimeUnit val="days"/>
      </c:dateAx>
      <c:valAx>
        <c:axId val="434383680"/>
        <c:scaling>
          <c:orientation val="minMax"/>
          <c:max val="2"/>
          <c:min val="0"/>
        </c:scaling>
        <c:delete val="0"/>
        <c:axPos val="l"/>
        <c:title>
          <c:tx>
            <c:rich>
              <a:bodyPr/>
              <a:lstStyle/>
              <a:p>
                <a:pPr>
                  <a:defRPr/>
                </a:pPr>
                <a:r>
                  <a:rPr lang="fr-FR"/>
                  <a:t>Fluorescence</a:t>
                </a:r>
              </a:p>
            </c:rich>
          </c:tx>
          <c:layout>
            <c:manualLayout>
              <c:xMode val="edge"/>
              <c:yMode val="edge"/>
              <c:x val="1.5604029236949606E-2"/>
              <c:y val="0.226017570592109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fr-FR"/>
          </a:p>
        </c:txPr>
        <c:crossAx val="434383288"/>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1éch'!$E$2:$G$2</c:f>
              <c:strCache>
                <c:ptCount val="2"/>
                <c:pt idx="1">
                  <c:v>Dutasteride-0,1mg/L</c:v>
                </c:pt>
              </c:strCache>
            </c:strRef>
          </c:cat>
          <c:val>
            <c:numRef>
              <c:f>'Graph format rapport CHG 1éch'!$E$8:$G$8</c:f>
              <c:numCache>
                <c:formatCode>General</c:formatCode>
                <c:ptCount val="3"/>
                <c:pt idx="0">
                  <c:v>0</c:v>
                </c:pt>
                <c:pt idx="1">
                  <c:v>0</c:v>
                </c:pt>
                <c:pt idx="2">
                  <c:v>0</c:v>
                </c:pt>
              </c:numCache>
            </c:numRef>
          </c:val>
          <c:extLst>
            <c:ext xmlns:c16="http://schemas.microsoft.com/office/drawing/2014/chart" uri="{C3380CC4-5D6E-409C-BE32-E72D297353CC}">
              <c16:uniqueId val="{00000000-05A9-486D-95E6-8CEA76DDEBDF}"/>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1éch'!$E$2:$G$2</c:f>
              <c:strCache>
                <c:ptCount val="2"/>
                <c:pt idx="1">
                  <c:v>Dutasteride-0,1mg/L</c:v>
                </c:pt>
              </c:strCache>
            </c:strRef>
          </c:cat>
          <c:val>
            <c:numRef>
              <c:f>'Graph format rapport CHG 1éch'!$E$9:$G$9</c:f>
              <c:numCache>
                <c:formatCode>General</c:formatCode>
                <c:ptCount val="3"/>
                <c:pt idx="0">
                  <c:v>0</c:v>
                </c:pt>
                <c:pt idx="1">
                  <c:v>0</c:v>
                </c:pt>
                <c:pt idx="2">
                  <c:v>0</c:v>
                </c:pt>
              </c:numCache>
            </c:numRef>
          </c:val>
          <c:extLst>
            <c:ext xmlns:c16="http://schemas.microsoft.com/office/drawing/2014/chart" uri="{C3380CC4-5D6E-409C-BE32-E72D297353CC}">
              <c16:uniqueId val="{00000001-05A9-486D-95E6-8CEA76DDEBDF}"/>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1éch'!$E$2:$G$2</c:f>
              <c:strCache>
                <c:ptCount val="2"/>
                <c:pt idx="1">
                  <c:v>Dutasteride-0,1mg/L</c:v>
                </c:pt>
              </c:strCache>
            </c:strRef>
          </c:cat>
          <c:val>
            <c:numRef>
              <c:f>'Graph format rapport CHG 1éch'!$E$10:$G$10</c:f>
              <c:numCache>
                <c:formatCode>General</c:formatCode>
                <c:ptCount val="3"/>
                <c:pt idx="0">
                  <c:v>2.5</c:v>
                </c:pt>
                <c:pt idx="1">
                  <c:v>2.5</c:v>
                </c:pt>
                <c:pt idx="2">
                  <c:v>2.5</c:v>
                </c:pt>
              </c:numCache>
            </c:numRef>
          </c:val>
          <c:extLst>
            <c:ext xmlns:c16="http://schemas.microsoft.com/office/drawing/2014/chart" uri="{C3380CC4-5D6E-409C-BE32-E72D297353CC}">
              <c16:uniqueId val="{00000002-05A9-486D-95E6-8CEA76DDEBDF}"/>
            </c:ext>
          </c:extLst>
        </c:ser>
        <c:dLbls>
          <c:showLegendKey val="0"/>
          <c:showVal val="0"/>
          <c:showCatName val="0"/>
          <c:showSerName val="0"/>
          <c:showPercent val="0"/>
          <c:showBubbleSize val="0"/>
        </c:dLbls>
        <c:axId val="434384464"/>
        <c:axId val="434384856"/>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7131CB77-F3B6-429D-8A59-6D0621DDFA24}"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05A9-486D-95E6-8CEA76DDEBDF}"/>
                </c:ext>
              </c:extLst>
            </c:dLbl>
            <c:dLbl>
              <c:idx val="1"/>
              <c:tx>
                <c:rich>
                  <a:bodyPr/>
                  <a:lstStyle/>
                  <a:p>
                    <a:fld id="{C82CBDA4-7FD3-4B1A-A520-EA9A6569D640}"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4076-4183-9788-B9390BF1596B}"/>
                </c:ext>
              </c:extLst>
            </c:dLbl>
            <c:dLbl>
              <c:idx val="2"/>
              <c:tx>
                <c:rich>
                  <a:bodyPr/>
                  <a:lstStyle/>
                  <a:p>
                    <a:fld id="{AE36E9C3-6F2E-4AFC-8F23-75E970D72D9C}"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4076-4183-9788-B9390BF1596B}"/>
                </c:ext>
              </c:extLst>
            </c:dLbl>
            <c:dLbl>
              <c:idx val="15"/>
              <c:tx>
                <c:rich>
                  <a:bodyPr/>
                  <a:lstStyle/>
                  <a:p>
                    <a:fld id="{D6BEB6DA-8213-4180-910B-2E965FB4A6C9}"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05A9-486D-95E6-8CEA76DDEBDF}"/>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1éch'!$E$4:$G$4</c:f>
                <c:numCache>
                  <c:formatCode>General</c:formatCode>
                  <c:ptCount val="3"/>
                  <c:pt idx="1">
                    <c:v>2.3423838964525018E-2</c:v>
                  </c:pt>
                </c:numCache>
              </c:numRef>
            </c:plus>
            <c:minus>
              <c:numRef>
                <c:f>'Graph format rapport CHG 1éch'!$E$4:$G$4</c:f>
                <c:numCache>
                  <c:formatCode>General</c:formatCode>
                  <c:ptCount val="3"/>
                  <c:pt idx="1">
                    <c:v>2.3423838964525018E-2</c:v>
                  </c:pt>
                </c:numCache>
              </c:numRef>
            </c:minus>
          </c:errBars>
          <c:cat>
            <c:strRef>
              <c:f>'Graph format rapport CHG 1éch'!$E$2:$G$2</c:f>
              <c:strCache>
                <c:ptCount val="2"/>
                <c:pt idx="1">
                  <c:v>Dutasteride-0,1mg/L</c:v>
                </c:pt>
              </c:strCache>
            </c:strRef>
          </c:cat>
          <c:val>
            <c:numRef>
              <c:f>'Graph format rapport CHG 1éch'!$E$3:$G$3</c:f>
              <c:numCache>
                <c:formatCode>General</c:formatCode>
                <c:ptCount val="3"/>
                <c:pt idx="1">
                  <c:v>0.15403073547342597</c:v>
                </c:pt>
              </c:numCache>
            </c:numRef>
          </c:val>
          <c:extLst>
            <c:ext xmlns:c15="http://schemas.microsoft.com/office/drawing/2012/chart" uri="{02D57815-91ED-43cb-92C2-25804820EDAC}">
              <c15:datalabelsRange>
                <c15:f>'Graph format rapport CHG 1éch'!$E$5:$G$5</c15:f>
                <c15:dlblRangeCache>
                  <c:ptCount val="3"/>
                  <c:pt idx="1">
                    <c:v>ns</c:v>
                  </c:pt>
                </c15:dlblRangeCache>
              </c15:datalabelsRange>
            </c:ext>
            <c:ext xmlns:c16="http://schemas.microsoft.com/office/drawing/2014/chart" uri="{C3380CC4-5D6E-409C-BE32-E72D297353CC}">
              <c16:uniqueId val="{00000007-05A9-486D-95E6-8CEA76DDEBDF}"/>
            </c:ext>
          </c:extLst>
        </c:ser>
        <c:dLbls>
          <c:showLegendKey val="0"/>
          <c:showVal val="0"/>
          <c:showCatName val="0"/>
          <c:showSerName val="0"/>
          <c:showPercent val="0"/>
          <c:showBubbleSize val="0"/>
        </c:dLbls>
        <c:gapWidth val="150"/>
        <c:axId val="434384464"/>
        <c:axId val="434384856"/>
      </c:barChart>
      <c:lineChart>
        <c:grouping val="standard"/>
        <c:varyColors val="0"/>
        <c:ser>
          <c:idx val="1"/>
          <c:order val="1"/>
          <c:tx>
            <c:strRef>
              <c:f>'Graph format rapport CHG 1éch'!$D$6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 1éch'!$E$6:$G$6</c:f>
              <c:numCache>
                <c:formatCode>General</c:formatCode>
                <c:ptCount val="3"/>
                <c:pt idx="0">
                  <c:v>0.29313487556023021</c:v>
                </c:pt>
                <c:pt idx="1">
                  <c:v>0.29313487556023021</c:v>
                </c:pt>
                <c:pt idx="2">
                  <c:v>0.29313487556023021</c:v>
                </c:pt>
              </c:numCache>
            </c:numRef>
          </c:val>
          <c:smooth val="0"/>
          <c:extLst>
            <c:ext xmlns:c16="http://schemas.microsoft.com/office/drawing/2014/chart" uri="{C3380CC4-5D6E-409C-BE32-E72D297353CC}">
              <c16:uniqueId val="{00000008-05A9-486D-95E6-8CEA76DDEBDF}"/>
            </c:ext>
          </c:extLst>
        </c:ser>
        <c:dLbls>
          <c:showLegendKey val="0"/>
          <c:showVal val="0"/>
          <c:showCatName val="0"/>
          <c:showSerName val="0"/>
          <c:showPercent val="0"/>
          <c:showBubbleSize val="0"/>
        </c:dLbls>
        <c:marker val="1"/>
        <c:smooth val="0"/>
        <c:axId val="434384464"/>
        <c:axId val="434384856"/>
      </c:lineChart>
      <c:dateAx>
        <c:axId val="434384464"/>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4856"/>
        <c:crosses val="autoZero"/>
        <c:auto val="0"/>
        <c:lblOffset val="100"/>
        <c:baseTimeUnit val="days"/>
      </c:dateAx>
      <c:valAx>
        <c:axId val="434384856"/>
        <c:scaling>
          <c:orientation val="minMax"/>
          <c:max val="2"/>
          <c:min val="0"/>
        </c:scaling>
        <c:delete val="0"/>
        <c:axPos val="l"/>
        <c:title>
          <c:tx>
            <c:rich>
              <a:bodyPr/>
              <a:lstStyle/>
              <a:p>
                <a:pPr>
                  <a:defRPr/>
                </a:pPr>
                <a:r>
                  <a:rPr lang="fr-FR"/>
                  <a:t>Fluorescence</a:t>
                </a:r>
              </a:p>
            </c:rich>
          </c:tx>
          <c:layout>
            <c:manualLayout>
              <c:xMode val="edge"/>
              <c:yMode val="edge"/>
              <c:x val="5.1272132203026073E-2"/>
              <c:y val="0.2449311263860379"/>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fr-FR"/>
          </a:p>
        </c:txPr>
        <c:crossAx val="434384464"/>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57480830233223"/>
          <c:y val="4.909851894799426E-2"/>
          <c:w val="0.80127861233935682"/>
          <c:h val="0.5840841664454864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1éch'!$H$2:$J$2</c:f>
              <c:strCache>
                <c:ptCount val="2"/>
                <c:pt idx="1">
                  <c:v>Dutasteride-0,01mg/L + Testostérone</c:v>
                </c:pt>
              </c:strCache>
            </c:strRef>
          </c:cat>
          <c:val>
            <c:numRef>
              <c:f>'Graph format rapport CHG 1éch'!$H$8:$J$8</c:f>
              <c:numCache>
                <c:formatCode>General</c:formatCode>
                <c:ptCount val="3"/>
                <c:pt idx="0">
                  <c:v>0.20838704961932908</c:v>
                </c:pt>
                <c:pt idx="1">
                  <c:v>0.20838704961932908</c:v>
                </c:pt>
                <c:pt idx="2">
                  <c:v>0.20838704961932908</c:v>
                </c:pt>
              </c:numCache>
            </c:numRef>
          </c:val>
          <c:extLst>
            <c:ext xmlns:c16="http://schemas.microsoft.com/office/drawing/2014/chart" uri="{C3380CC4-5D6E-409C-BE32-E72D297353CC}">
              <c16:uniqueId val="{00000000-A40E-4BBB-9D49-DCACE2722908}"/>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1éch'!$H$2:$J$2</c:f>
              <c:strCache>
                <c:ptCount val="2"/>
                <c:pt idx="1">
                  <c:v>Dutasteride-0,01mg/L + Testostérone</c:v>
                </c:pt>
              </c:strCache>
            </c:strRef>
          </c:cat>
          <c:val>
            <c:numRef>
              <c:f>'Graph format rapport CHG 1éch'!$H$9:$J$9</c:f>
              <c:numCache>
                <c:formatCode>General</c:formatCode>
                <c:ptCount val="3"/>
                <c:pt idx="0">
                  <c:v>3.5988129421080703</c:v>
                </c:pt>
                <c:pt idx="1">
                  <c:v>3.5988129421080703</c:v>
                </c:pt>
                <c:pt idx="2">
                  <c:v>3.5988129421080703</c:v>
                </c:pt>
              </c:numCache>
            </c:numRef>
          </c:val>
          <c:extLst>
            <c:ext xmlns:c16="http://schemas.microsoft.com/office/drawing/2014/chart" uri="{C3380CC4-5D6E-409C-BE32-E72D297353CC}">
              <c16:uniqueId val="{00000001-A40E-4BBB-9D49-DCACE2722908}"/>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1éch'!$H$2:$J$2</c:f>
              <c:strCache>
                <c:ptCount val="2"/>
                <c:pt idx="1">
                  <c:v>Dutasteride-0,01mg/L + Testostérone</c:v>
                </c:pt>
              </c:strCache>
            </c:strRef>
          </c:cat>
          <c:val>
            <c:numRef>
              <c:f>'Graph format rapport CHG 1éch'!$H$10:$J$10</c:f>
              <c:numCache>
                <c:formatCode>General</c:formatCode>
                <c:ptCount val="3"/>
                <c:pt idx="0">
                  <c:v>-1.0988129421080703</c:v>
                </c:pt>
                <c:pt idx="1">
                  <c:v>-1.0988129421080703</c:v>
                </c:pt>
                <c:pt idx="2">
                  <c:v>-1.0988129421080703</c:v>
                </c:pt>
              </c:numCache>
            </c:numRef>
          </c:val>
          <c:extLst>
            <c:ext xmlns:c16="http://schemas.microsoft.com/office/drawing/2014/chart" uri="{C3380CC4-5D6E-409C-BE32-E72D297353CC}">
              <c16:uniqueId val="{00000002-A40E-4BBB-9D49-DCACE2722908}"/>
            </c:ext>
          </c:extLst>
        </c:ser>
        <c:dLbls>
          <c:showLegendKey val="0"/>
          <c:showVal val="0"/>
          <c:showCatName val="0"/>
          <c:showSerName val="0"/>
          <c:showPercent val="0"/>
          <c:showBubbleSize val="0"/>
        </c:dLbls>
        <c:axId val="434385640"/>
        <c:axId val="434386032"/>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6219D0BD-57F1-4CF5-9AE9-9ED666E0CD1B}"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A40E-4BBB-9D49-DCACE2722908}"/>
                </c:ext>
              </c:extLst>
            </c:dLbl>
            <c:dLbl>
              <c:idx val="1"/>
              <c:tx>
                <c:rich>
                  <a:bodyPr/>
                  <a:lstStyle/>
                  <a:p>
                    <a:fld id="{E6E26C6B-7853-48CA-9E54-72FC25F2C377}"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AEE9-4347-837C-FBA7D320B8CC}"/>
                </c:ext>
              </c:extLst>
            </c:dLbl>
            <c:dLbl>
              <c:idx val="2"/>
              <c:tx>
                <c:rich>
                  <a:bodyPr/>
                  <a:lstStyle/>
                  <a:p>
                    <a:fld id="{8DA058F2-8C38-4D07-90F0-376C82AE206D}"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AEE9-4347-837C-FBA7D320B8CC}"/>
                </c:ext>
              </c:extLst>
            </c:dLbl>
            <c:dLbl>
              <c:idx val="15"/>
              <c:tx>
                <c:rich>
                  <a:bodyPr/>
                  <a:lstStyle/>
                  <a:p>
                    <a:fld id="{9F88FD52-D771-43D0-B1AB-DADC933A6E67}"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A40E-4BBB-9D49-DCACE2722908}"/>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1éch'!$H$4:$J$4</c:f>
                <c:numCache>
                  <c:formatCode>General</c:formatCode>
                  <c:ptCount val="3"/>
                  <c:pt idx="1">
                    <c:v>0.23243385061140623</c:v>
                  </c:pt>
                </c:numCache>
              </c:numRef>
            </c:plus>
            <c:minus>
              <c:numRef>
                <c:f>'Graph format rapport CHG 1éch'!$H$4:$J$4</c:f>
                <c:numCache>
                  <c:formatCode>General</c:formatCode>
                  <c:ptCount val="3"/>
                  <c:pt idx="1">
                    <c:v>0.23243385061140623</c:v>
                  </c:pt>
                </c:numCache>
              </c:numRef>
            </c:minus>
          </c:errBars>
          <c:cat>
            <c:strRef>
              <c:f>'Graph format rapport CHG 1éch'!$H$2:$J$2</c:f>
              <c:strCache>
                <c:ptCount val="2"/>
                <c:pt idx="1">
                  <c:v>Dutasteride-0,01mg/L + Testostérone</c:v>
                </c:pt>
              </c:strCache>
            </c:strRef>
          </c:cat>
          <c:val>
            <c:numRef>
              <c:f>'Graph format rapport CHG 1éch'!$H$3:$J$3</c:f>
              <c:numCache>
                <c:formatCode>General</c:formatCode>
                <c:ptCount val="3"/>
                <c:pt idx="1">
                  <c:v>1.3360265048474209</c:v>
                </c:pt>
              </c:numCache>
            </c:numRef>
          </c:val>
          <c:extLst>
            <c:ext xmlns:c15="http://schemas.microsoft.com/office/drawing/2012/chart" uri="{02D57815-91ED-43cb-92C2-25804820EDAC}">
              <c15:datalabelsRange>
                <c15:f>'Graph format rapport CHG 1éch'!$H$5:$J$5</c15:f>
                <c15:dlblRangeCache>
                  <c:ptCount val="3"/>
                  <c:pt idx="1">
                    <c:v>ns</c:v>
                  </c:pt>
                </c15:dlblRangeCache>
              </c15:datalabelsRange>
            </c:ext>
            <c:ext xmlns:c16="http://schemas.microsoft.com/office/drawing/2014/chart" uri="{C3380CC4-5D6E-409C-BE32-E72D297353CC}">
              <c16:uniqueId val="{00000007-A40E-4BBB-9D49-DCACE2722908}"/>
            </c:ext>
          </c:extLst>
        </c:ser>
        <c:dLbls>
          <c:showLegendKey val="0"/>
          <c:showVal val="0"/>
          <c:showCatName val="0"/>
          <c:showSerName val="0"/>
          <c:showPercent val="0"/>
          <c:showBubbleSize val="0"/>
        </c:dLbls>
        <c:gapWidth val="150"/>
        <c:axId val="434385640"/>
        <c:axId val="434386032"/>
      </c:barChart>
      <c:lineChart>
        <c:grouping val="standard"/>
        <c:varyColors val="0"/>
        <c:ser>
          <c:idx val="2"/>
          <c:order val="1"/>
          <c:tx>
            <c:strRef>
              <c:f>'Graph format rapport CHG 1éch'!$D$7</c:f>
              <c:strCache>
                <c:ptCount val="1"/>
                <c:pt idx="0">
                  <c:v>Témoin Testo</c:v>
                </c:pt>
              </c:strCache>
            </c:strRef>
          </c:tx>
          <c:spPr>
            <a:ln>
              <a:solidFill>
                <a:srgbClr val="00B050"/>
              </a:solidFill>
            </a:ln>
          </c:spPr>
          <c:marker>
            <c:symbol val="none"/>
          </c:marker>
          <c:cat>
            <c:strRef>
              <c:f>'Graph format rapport CHG 1éch'!$H$2:$J$2</c:f>
              <c:strCache>
                <c:ptCount val="2"/>
                <c:pt idx="1">
                  <c:v>Dutasteride-0,01mg/L + Testostérone</c:v>
                </c:pt>
              </c:strCache>
            </c:strRef>
          </c:cat>
          <c:val>
            <c:numRef>
              <c:f>'Graph format rapport CHG 1éch'!$H$7:$J$7</c:f>
              <c:numCache>
                <c:formatCode>General</c:formatCode>
                <c:ptCount val="3"/>
                <c:pt idx="0">
                  <c:v>0.99999999999999967</c:v>
                </c:pt>
                <c:pt idx="1">
                  <c:v>0.99999999999999967</c:v>
                </c:pt>
                <c:pt idx="2">
                  <c:v>0.99999999999999967</c:v>
                </c:pt>
              </c:numCache>
            </c:numRef>
          </c:val>
          <c:smooth val="0"/>
          <c:extLst>
            <c:ext xmlns:c16="http://schemas.microsoft.com/office/drawing/2014/chart" uri="{C3380CC4-5D6E-409C-BE32-E72D297353CC}">
              <c16:uniqueId val="{00000008-A40E-4BBB-9D49-DCACE2722908}"/>
            </c:ext>
          </c:extLst>
        </c:ser>
        <c:dLbls>
          <c:showLegendKey val="0"/>
          <c:showVal val="0"/>
          <c:showCatName val="0"/>
          <c:showSerName val="0"/>
          <c:showPercent val="0"/>
          <c:showBubbleSize val="0"/>
        </c:dLbls>
        <c:marker val="1"/>
        <c:smooth val="0"/>
        <c:axId val="434385640"/>
        <c:axId val="434386032"/>
      </c:lineChart>
      <c:dateAx>
        <c:axId val="434385640"/>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6032"/>
        <c:crosses val="autoZero"/>
        <c:auto val="0"/>
        <c:lblOffset val="100"/>
        <c:baseTimeUnit val="days"/>
      </c:dateAx>
      <c:valAx>
        <c:axId val="434386032"/>
        <c:scaling>
          <c:orientation val="minMax"/>
          <c:max val="2"/>
          <c:min val="0"/>
        </c:scaling>
        <c:delete val="0"/>
        <c:axPos val="l"/>
        <c:title>
          <c:tx>
            <c:rich>
              <a:bodyPr/>
              <a:lstStyle/>
              <a:p>
                <a:pPr>
                  <a:defRPr/>
                </a:pPr>
                <a:r>
                  <a:rPr lang="fr-FR"/>
                  <a:t>Fluorescence</a:t>
                </a:r>
              </a:p>
            </c:rich>
          </c:tx>
          <c:layout>
            <c:manualLayout>
              <c:xMode val="edge"/>
              <c:yMode val="edge"/>
              <c:x val="4.2815104248701457E-3"/>
              <c:y val="0.21102844522733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fr-FR"/>
          </a:p>
        </c:txPr>
        <c:crossAx val="434385640"/>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1éch'!$E$2:$G$2</c:f>
              <c:strCache>
                <c:ptCount val="2"/>
                <c:pt idx="1">
                  <c:v>Dutasteride-0,1mg/L</c:v>
                </c:pt>
              </c:strCache>
            </c:strRef>
          </c:cat>
          <c:val>
            <c:numRef>
              <c:f>'Graph format rapport CHG 1éch'!$E$8:$G$8</c:f>
              <c:numCache>
                <c:formatCode>General</c:formatCode>
                <c:ptCount val="3"/>
                <c:pt idx="0">
                  <c:v>0</c:v>
                </c:pt>
                <c:pt idx="1">
                  <c:v>0</c:v>
                </c:pt>
                <c:pt idx="2">
                  <c:v>0</c:v>
                </c:pt>
              </c:numCache>
            </c:numRef>
          </c:val>
          <c:extLst>
            <c:ext xmlns:c16="http://schemas.microsoft.com/office/drawing/2014/chart" uri="{C3380CC4-5D6E-409C-BE32-E72D297353CC}">
              <c16:uniqueId val="{00000000-05A9-486D-95E6-8CEA76DDEBDF}"/>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1éch'!$E$2:$G$2</c:f>
              <c:strCache>
                <c:ptCount val="2"/>
                <c:pt idx="1">
                  <c:v>Dutasteride-0,1mg/L</c:v>
                </c:pt>
              </c:strCache>
            </c:strRef>
          </c:cat>
          <c:val>
            <c:numRef>
              <c:f>'Graph format rapport CHG 1éch'!$E$9:$G$9</c:f>
              <c:numCache>
                <c:formatCode>General</c:formatCode>
                <c:ptCount val="3"/>
                <c:pt idx="0">
                  <c:v>0</c:v>
                </c:pt>
                <c:pt idx="1">
                  <c:v>0</c:v>
                </c:pt>
                <c:pt idx="2">
                  <c:v>0</c:v>
                </c:pt>
              </c:numCache>
            </c:numRef>
          </c:val>
          <c:extLst>
            <c:ext xmlns:c16="http://schemas.microsoft.com/office/drawing/2014/chart" uri="{C3380CC4-5D6E-409C-BE32-E72D297353CC}">
              <c16:uniqueId val="{00000001-05A9-486D-95E6-8CEA76DDEBDF}"/>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1éch'!$E$2:$G$2</c:f>
              <c:strCache>
                <c:ptCount val="2"/>
                <c:pt idx="1">
                  <c:v>Dutasteride-0,1mg/L</c:v>
                </c:pt>
              </c:strCache>
            </c:strRef>
          </c:cat>
          <c:val>
            <c:numRef>
              <c:f>'Graph format rapport CHG 1éch'!$E$10:$G$10</c:f>
              <c:numCache>
                <c:formatCode>General</c:formatCode>
                <c:ptCount val="3"/>
                <c:pt idx="0">
                  <c:v>2.5</c:v>
                </c:pt>
                <c:pt idx="1">
                  <c:v>2.5</c:v>
                </c:pt>
                <c:pt idx="2">
                  <c:v>2.5</c:v>
                </c:pt>
              </c:numCache>
            </c:numRef>
          </c:val>
          <c:extLst>
            <c:ext xmlns:c16="http://schemas.microsoft.com/office/drawing/2014/chart" uri="{C3380CC4-5D6E-409C-BE32-E72D297353CC}">
              <c16:uniqueId val="{00000002-05A9-486D-95E6-8CEA76DDEBDF}"/>
            </c:ext>
          </c:extLst>
        </c:ser>
        <c:dLbls>
          <c:showLegendKey val="0"/>
          <c:showVal val="0"/>
          <c:showCatName val="0"/>
          <c:showSerName val="0"/>
          <c:showPercent val="0"/>
          <c:showBubbleSize val="0"/>
        </c:dLbls>
        <c:axId val="434386816"/>
        <c:axId val="434387208"/>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C813BDFE-50E8-46BA-BE99-0F1EE3E9E6B9}"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05A9-486D-95E6-8CEA76DDEBDF}"/>
                </c:ext>
              </c:extLst>
            </c:dLbl>
            <c:dLbl>
              <c:idx val="1"/>
              <c:tx>
                <c:rich>
                  <a:bodyPr/>
                  <a:lstStyle/>
                  <a:p>
                    <a:fld id="{D974C829-33A3-44F0-B257-660FE230F14C}"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3931-4034-B613-D94F9BFA86BA}"/>
                </c:ext>
              </c:extLst>
            </c:dLbl>
            <c:dLbl>
              <c:idx val="2"/>
              <c:tx>
                <c:rich>
                  <a:bodyPr/>
                  <a:lstStyle/>
                  <a:p>
                    <a:fld id="{A3B59618-A826-47EB-9DF0-B55B634A2D28}"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3931-4034-B613-D94F9BFA86BA}"/>
                </c:ext>
              </c:extLst>
            </c:dLbl>
            <c:dLbl>
              <c:idx val="15"/>
              <c:tx>
                <c:rich>
                  <a:bodyPr/>
                  <a:lstStyle/>
                  <a:p>
                    <a:fld id="{D6BEB6DA-8213-4180-910B-2E965FB4A6C9}"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05A9-486D-95E6-8CEA76DDEBDF}"/>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1éch'!$E$4:$G$4</c:f>
                <c:numCache>
                  <c:formatCode>General</c:formatCode>
                  <c:ptCount val="3"/>
                  <c:pt idx="1">
                    <c:v>2.3423838964525018E-2</c:v>
                  </c:pt>
                </c:numCache>
              </c:numRef>
            </c:plus>
            <c:minus>
              <c:numRef>
                <c:f>'Graph format rapport CHG 1éch'!$E$4:$G$4</c:f>
                <c:numCache>
                  <c:formatCode>General</c:formatCode>
                  <c:ptCount val="3"/>
                  <c:pt idx="1">
                    <c:v>2.3423838964525018E-2</c:v>
                  </c:pt>
                </c:numCache>
              </c:numRef>
            </c:minus>
          </c:errBars>
          <c:cat>
            <c:strRef>
              <c:f>'Graph format rapport CHG 1éch'!$E$2:$G$2</c:f>
              <c:strCache>
                <c:ptCount val="2"/>
                <c:pt idx="1">
                  <c:v>Dutasteride-0,1mg/L</c:v>
                </c:pt>
              </c:strCache>
            </c:strRef>
          </c:cat>
          <c:val>
            <c:numRef>
              <c:f>'Graph format rapport CHG 1éch'!$E$3:$G$3</c:f>
              <c:numCache>
                <c:formatCode>General</c:formatCode>
                <c:ptCount val="3"/>
                <c:pt idx="1">
                  <c:v>0.15403073547342597</c:v>
                </c:pt>
              </c:numCache>
            </c:numRef>
          </c:val>
          <c:extLst>
            <c:ext xmlns:c15="http://schemas.microsoft.com/office/drawing/2012/chart" uri="{02D57815-91ED-43cb-92C2-25804820EDAC}">
              <c15:datalabelsRange>
                <c15:f>'Graph format rapport CHG 1éch'!$E$5:$G$5</c15:f>
                <c15:dlblRangeCache>
                  <c:ptCount val="3"/>
                  <c:pt idx="1">
                    <c:v>ns</c:v>
                  </c:pt>
                </c15:dlblRangeCache>
              </c15:datalabelsRange>
            </c:ext>
            <c:ext xmlns:c16="http://schemas.microsoft.com/office/drawing/2014/chart" uri="{C3380CC4-5D6E-409C-BE32-E72D297353CC}">
              <c16:uniqueId val="{00000007-05A9-486D-95E6-8CEA76DDEBDF}"/>
            </c:ext>
          </c:extLst>
        </c:ser>
        <c:dLbls>
          <c:showLegendKey val="0"/>
          <c:showVal val="0"/>
          <c:showCatName val="0"/>
          <c:showSerName val="0"/>
          <c:showPercent val="0"/>
          <c:showBubbleSize val="0"/>
        </c:dLbls>
        <c:gapWidth val="150"/>
        <c:axId val="434386816"/>
        <c:axId val="434387208"/>
      </c:barChart>
      <c:lineChart>
        <c:grouping val="standard"/>
        <c:varyColors val="0"/>
        <c:ser>
          <c:idx val="1"/>
          <c:order val="1"/>
          <c:tx>
            <c:strRef>
              <c:f>'Graph format rapport CHG 1éch'!$D$6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 1éch'!$E$6:$G$6</c:f>
              <c:numCache>
                <c:formatCode>General</c:formatCode>
                <c:ptCount val="3"/>
                <c:pt idx="0">
                  <c:v>0.29313487556023021</c:v>
                </c:pt>
                <c:pt idx="1">
                  <c:v>0.29313487556023021</c:v>
                </c:pt>
                <c:pt idx="2">
                  <c:v>0.29313487556023021</c:v>
                </c:pt>
              </c:numCache>
            </c:numRef>
          </c:val>
          <c:smooth val="0"/>
          <c:extLst>
            <c:ext xmlns:c16="http://schemas.microsoft.com/office/drawing/2014/chart" uri="{C3380CC4-5D6E-409C-BE32-E72D297353CC}">
              <c16:uniqueId val="{00000008-05A9-486D-95E6-8CEA76DDEBDF}"/>
            </c:ext>
          </c:extLst>
        </c:ser>
        <c:dLbls>
          <c:showLegendKey val="0"/>
          <c:showVal val="0"/>
          <c:showCatName val="0"/>
          <c:showSerName val="0"/>
          <c:showPercent val="0"/>
          <c:showBubbleSize val="0"/>
        </c:dLbls>
        <c:marker val="1"/>
        <c:smooth val="0"/>
        <c:axId val="434386816"/>
        <c:axId val="434387208"/>
      </c:lineChart>
      <c:dateAx>
        <c:axId val="434386816"/>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7208"/>
        <c:crosses val="autoZero"/>
        <c:auto val="0"/>
        <c:lblOffset val="100"/>
        <c:baseTimeUnit val="days"/>
      </c:dateAx>
      <c:valAx>
        <c:axId val="434387208"/>
        <c:scaling>
          <c:orientation val="minMax"/>
          <c:max val="2"/>
          <c:min val="0"/>
        </c:scaling>
        <c:delete val="0"/>
        <c:axPos val="l"/>
        <c:title>
          <c:tx>
            <c:rich>
              <a:bodyPr/>
              <a:lstStyle/>
              <a:p>
                <a:pPr>
                  <a:defRPr/>
                </a:pPr>
                <a:r>
                  <a:rPr lang="fr-FR"/>
                  <a:t>Fluorescence</a:t>
                </a:r>
              </a:p>
            </c:rich>
          </c:tx>
          <c:layout>
            <c:manualLayout>
              <c:xMode val="edge"/>
              <c:yMode val="edge"/>
              <c:x val="5.1272132203026073E-2"/>
              <c:y val="0.2449311263860379"/>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fr-FR"/>
          </a:p>
        </c:txPr>
        <c:crossAx val="434386816"/>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06615584560167"/>
          <c:y val="2.2855878970184925E-2"/>
          <c:w val="0.80127861233935682"/>
          <c:h val="0.5840841664454864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1éch'!$H$2:$J$2</c:f>
              <c:strCache>
                <c:ptCount val="2"/>
                <c:pt idx="1">
                  <c:v>Dutasteride-0,01mg/L + Testostérone</c:v>
                </c:pt>
              </c:strCache>
            </c:strRef>
          </c:cat>
          <c:val>
            <c:numRef>
              <c:f>'Graph format rapport CHG 1éch'!$H$8:$J$8</c:f>
              <c:numCache>
                <c:formatCode>General</c:formatCode>
                <c:ptCount val="3"/>
                <c:pt idx="0">
                  <c:v>0.20838704961932908</c:v>
                </c:pt>
                <c:pt idx="1">
                  <c:v>0.20838704961932908</c:v>
                </c:pt>
                <c:pt idx="2">
                  <c:v>0.20838704961932908</c:v>
                </c:pt>
              </c:numCache>
            </c:numRef>
          </c:val>
          <c:extLst>
            <c:ext xmlns:c16="http://schemas.microsoft.com/office/drawing/2014/chart" uri="{C3380CC4-5D6E-409C-BE32-E72D297353CC}">
              <c16:uniqueId val="{00000000-A40E-4BBB-9D49-DCACE2722908}"/>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1éch'!$H$2:$J$2</c:f>
              <c:strCache>
                <c:ptCount val="2"/>
                <c:pt idx="1">
                  <c:v>Dutasteride-0,01mg/L + Testostérone</c:v>
                </c:pt>
              </c:strCache>
            </c:strRef>
          </c:cat>
          <c:val>
            <c:numRef>
              <c:f>'Graph format rapport CHG 1éch'!$H$9:$J$9</c:f>
              <c:numCache>
                <c:formatCode>General</c:formatCode>
                <c:ptCount val="3"/>
                <c:pt idx="0">
                  <c:v>3.5988129421080703</c:v>
                </c:pt>
                <c:pt idx="1">
                  <c:v>3.5988129421080703</c:v>
                </c:pt>
                <c:pt idx="2">
                  <c:v>3.5988129421080703</c:v>
                </c:pt>
              </c:numCache>
            </c:numRef>
          </c:val>
          <c:extLst>
            <c:ext xmlns:c16="http://schemas.microsoft.com/office/drawing/2014/chart" uri="{C3380CC4-5D6E-409C-BE32-E72D297353CC}">
              <c16:uniqueId val="{00000001-A40E-4BBB-9D49-DCACE2722908}"/>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1éch'!$H$2:$J$2</c:f>
              <c:strCache>
                <c:ptCount val="2"/>
                <c:pt idx="1">
                  <c:v>Dutasteride-0,01mg/L + Testostérone</c:v>
                </c:pt>
              </c:strCache>
            </c:strRef>
          </c:cat>
          <c:val>
            <c:numRef>
              <c:f>'Graph format rapport CHG 1éch'!$H$10:$J$10</c:f>
              <c:numCache>
                <c:formatCode>General</c:formatCode>
                <c:ptCount val="3"/>
                <c:pt idx="0">
                  <c:v>-1.0988129421080703</c:v>
                </c:pt>
                <c:pt idx="1">
                  <c:v>-1.0988129421080703</c:v>
                </c:pt>
                <c:pt idx="2">
                  <c:v>-1.0988129421080703</c:v>
                </c:pt>
              </c:numCache>
            </c:numRef>
          </c:val>
          <c:extLst>
            <c:ext xmlns:c16="http://schemas.microsoft.com/office/drawing/2014/chart" uri="{C3380CC4-5D6E-409C-BE32-E72D297353CC}">
              <c16:uniqueId val="{00000002-A40E-4BBB-9D49-DCACE2722908}"/>
            </c:ext>
          </c:extLst>
        </c:ser>
        <c:dLbls>
          <c:showLegendKey val="0"/>
          <c:showVal val="0"/>
          <c:showCatName val="0"/>
          <c:showSerName val="0"/>
          <c:showPercent val="0"/>
          <c:showBubbleSize val="0"/>
        </c:dLbls>
        <c:axId val="434387992"/>
        <c:axId val="434388384"/>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9C4BAC22-3730-4BF5-BD9E-6C5BBDED390B}"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A40E-4BBB-9D49-DCACE2722908}"/>
                </c:ext>
              </c:extLst>
            </c:dLbl>
            <c:dLbl>
              <c:idx val="1"/>
              <c:tx>
                <c:rich>
                  <a:bodyPr/>
                  <a:lstStyle/>
                  <a:p>
                    <a:fld id="{4559B7EA-7599-470A-8E4D-6E68AE430076}"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5EBF-4732-9D62-4A2CE2E5DD11}"/>
                </c:ext>
              </c:extLst>
            </c:dLbl>
            <c:dLbl>
              <c:idx val="2"/>
              <c:tx>
                <c:rich>
                  <a:bodyPr/>
                  <a:lstStyle/>
                  <a:p>
                    <a:fld id="{205591B9-CD92-4C5F-989F-C5876C4151B6}"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5EBF-4732-9D62-4A2CE2E5DD11}"/>
                </c:ext>
              </c:extLst>
            </c:dLbl>
            <c:dLbl>
              <c:idx val="15"/>
              <c:tx>
                <c:rich>
                  <a:bodyPr/>
                  <a:lstStyle/>
                  <a:p>
                    <a:fld id="{9F88FD52-D771-43D0-B1AB-DADC933A6E67}"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A40E-4BBB-9D49-DCACE2722908}"/>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1éch'!$H$4:$J$4</c:f>
                <c:numCache>
                  <c:formatCode>General</c:formatCode>
                  <c:ptCount val="3"/>
                  <c:pt idx="1">
                    <c:v>0.23243385061140623</c:v>
                  </c:pt>
                </c:numCache>
              </c:numRef>
            </c:plus>
            <c:minus>
              <c:numRef>
                <c:f>'Graph format rapport CHG 1éch'!$H$4:$J$4</c:f>
                <c:numCache>
                  <c:formatCode>General</c:formatCode>
                  <c:ptCount val="3"/>
                  <c:pt idx="1">
                    <c:v>0.23243385061140623</c:v>
                  </c:pt>
                </c:numCache>
              </c:numRef>
            </c:minus>
          </c:errBars>
          <c:cat>
            <c:strRef>
              <c:f>'Graph format rapport CHG 1éch'!$H$2:$J$2</c:f>
              <c:strCache>
                <c:ptCount val="2"/>
                <c:pt idx="1">
                  <c:v>Dutasteride-0,01mg/L + Testostérone</c:v>
                </c:pt>
              </c:strCache>
            </c:strRef>
          </c:cat>
          <c:val>
            <c:numRef>
              <c:f>'Graph format rapport CHG 1éch'!$H$3:$J$3</c:f>
              <c:numCache>
                <c:formatCode>General</c:formatCode>
                <c:ptCount val="3"/>
                <c:pt idx="1">
                  <c:v>1.3360265048474209</c:v>
                </c:pt>
              </c:numCache>
            </c:numRef>
          </c:val>
          <c:extLst>
            <c:ext xmlns:c15="http://schemas.microsoft.com/office/drawing/2012/chart" uri="{02D57815-91ED-43cb-92C2-25804820EDAC}">
              <c15:datalabelsRange>
                <c15:f>'Graph format rapport CHG 1éch'!$H$5:$J$5</c15:f>
                <c15:dlblRangeCache>
                  <c:ptCount val="3"/>
                  <c:pt idx="1">
                    <c:v>ns</c:v>
                  </c:pt>
                </c15:dlblRangeCache>
              </c15:datalabelsRange>
            </c:ext>
            <c:ext xmlns:c16="http://schemas.microsoft.com/office/drawing/2014/chart" uri="{C3380CC4-5D6E-409C-BE32-E72D297353CC}">
              <c16:uniqueId val="{00000007-A40E-4BBB-9D49-DCACE2722908}"/>
            </c:ext>
          </c:extLst>
        </c:ser>
        <c:dLbls>
          <c:showLegendKey val="0"/>
          <c:showVal val="0"/>
          <c:showCatName val="0"/>
          <c:showSerName val="0"/>
          <c:showPercent val="0"/>
          <c:showBubbleSize val="0"/>
        </c:dLbls>
        <c:gapWidth val="150"/>
        <c:axId val="434387992"/>
        <c:axId val="434388384"/>
      </c:barChart>
      <c:lineChart>
        <c:grouping val="standard"/>
        <c:varyColors val="0"/>
        <c:ser>
          <c:idx val="2"/>
          <c:order val="1"/>
          <c:tx>
            <c:strRef>
              <c:f>'Graph format rapport CHG 1éch'!$D$7</c:f>
              <c:strCache>
                <c:ptCount val="1"/>
                <c:pt idx="0">
                  <c:v>Témoin Testo</c:v>
                </c:pt>
              </c:strCache>
            </c:strRef>
          </c:tx>
          <c:spPr>
            <a:ln>
              <a:solidFill>
                <a:srgbClr val="00B050"/>
              </a:solidFill>
            </a:ln>
          </c:spPr>
          <c:marker>
            <c:symbol val="none"/>
          </c:marker>
          <c:cat>
            <c:strRef>
              <c:f>'Graph format rapport CHG 1éch'!$H$2:$J$2</c:f>
              <c:strCache>
                <c:ptCount val="2"/>
                <c:pt idx="1">
                  <c:v>Dutasteride-0,01mg/L + Testostérone</c:v>
                </c:pt>
              </c:strCache>
            </c:strRef>
          </c:cat>
          <c:val>
            <c:numRef>
              <c:f>'Graph format rapport CHG 1éch'!$H$7:$J$7</c:f>
              <c:numCache>
                <c:formatCode>General</c:formatCode>
                <c:ptCount val="3"/>
                <c:pt idx="0">
                  <c:v>0.99999999999999967</c:v>
                </c:pt>
                <c:pt idx="1">
                  <c:v>0.99999999999999967</c:v>
                </c:pt>
                <c:pt idx="2">
                  <c:v>0.99999999999999967</c:v>
                </c:pt>
              </c:numCache>
            </c:numRef>
          </c:val>
          <c:smooth val="0"/>
          <c:extLst>
            <c:ext xmlns:c16="http://schemas.microsoft.com/office/drawing/2014/chart" uri="{C3380CC4-5D6E-409C-BE32-E72D297353CC}">
              <c16:uniqueId val="{00000008-A40E-4BBB-9D49-DCACE2722908}"/>
            </c:ext>
          </c:extLst>
        </c:ser>
        <c:dLbls>
          <c:showLegendKey val="0"/>
          <c:showVal val="0"/>
          <c:showCatName val="0"/>
          <c:showSerName val="0"/>
          <c:showPercent val="0"/>
          <c:showBubbleSize val="0"/>
        </c:dLbls>
        <c:marker val="1"/>
        <c:smooth val="0"/>
        <c:axId val="434387992"/>
        <c:axId val="434388384"/>
      </c:lineChart>
      <c:dateAx>
        <c:axId val="434387992"/>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8384"/>
        <c:crosses val="autoZero"/>
        <c:auto val="0"/>
        <c:lblOffset val="100"/>
        <c:baseTimeUnit val="days"/>
      </c:dateAx>
      <c:valAx>
        <c:axId val="434388384"/>
        <c:scaling>
          <c:orientation val="minMax"/>
          <c:max val="2"/>
          <c:min val="0"/>
        </c:scaling>
        <c:delete val="0"/>
        <c:axPos val="l"/>
        <c:title>
          <c:tx>
            <c:rich>
              <a:bodyPr/>
              <a:lstStyle/>
              <a:p>
                <a:pPr>
                  <a:defRPr/>
                </a:pPr>
                <a:r>
                  <a:rPr lang="fr-FR"/>
                  <a:t>Fluorescence</a:t>
                </a:r>
              </a:p>
            </c:rich>
          </c:tx>
          <c:layout>
            <c:manualLayout>
              <c:xMode val="edge"/>
              <c:yMode val="edge"/>
              <c:x val="4.2815104248701457E-3"/>
              <c:y val="0.21102844522733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fr-FR"/>
          </a:p>
        </c:txPr>
        <c:crossAx val="434387992"/>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chartsheets/_rels/sheet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chartsheets/_rels/sheet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chartsheets/_rels/sheet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400-000000000000}">
  <sheetPr/>
  <sheetViews>
    <sheetView zoomScale="122" workbookViewId="0" zoomToFit="1"/>
  </sheetViews>
  <pageMargins left="0.7" right="0.7" top="0.75" bottom="0.75" header="0.3" footer="0.3"/>
  <pageSetup paperSize="9" orientation="landscape" r:id="rId1"/>
  <drawing r:id="rId2"/>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700-000000000000}">
  <sheetPr/>
  <sheetViews>
    <sheetView zoomScale="73" workbookViewId="0" zoomToFit="1"/>
  </sheetViews>
  <pageMargins left="0.7" right="0.7" top="0.75" bottom="0.75" header="0.3" footer="0.3"/>
  <pageSetup paperSize="9" orientation="landscape" r:id="rId1"/>
  <drawing r:id="rId2"/>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A00-000000000000}">
  <sheetPr/>
  <sheetViews>
    <sheetView zoomScale="122" workbookViewId="0" zoomToFit="1"/>
  </sheetViews>
  <pageMargins left="0.7" right="0.7" top="0.75" bottom="0.75" header="0.3" footer="0.3"/>
  <pageSetup paperSize="9" orientation="landscape" r:id="rId1"/>
  <drawing r:id="rId2"/>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C00-000000000000}">
  <sheetPr/>
  <sheetViews>
    <sheetView zoomScale="62" workbookViewId="0" zoomToFit="1"/>
  </sheetViews>
  <pageMargins left="0.7" right="0.7" top="0.75" bottom="0.75" header="0.3" footer="0.3"/>
  <pageSetup paperSize="9" orientation="landscape" r:id="rId1"/>
  <drawing r:id="rId2"/>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8.xml.rels><?xml version="1.0" encoding="UTF-8" standalone="yes"?>
<Relationships xmlns="http://schemas.openxmlformats.org/package/2006/relationships"><Relationship Id="rId3" Type="http://schemas.openxmlformats.org/officeDocument/2006/relationships/image" Target="../media/image1.png"/><Relationship Id="rId7" Type="http://schemas.openxmlformats.org/officeDocument/2006/relationships/chart" Target="../charts/chart8.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7.xml"/><Relationship Id="rId5" Type="http://schemas.openxmlformats.org/officeDocument/2006/relationships/image" Target="../media/image3.png"/><Relationship Id="rId4" Type="http://schemas.openxmlformats.org/officeDocument/2006/relationships/image" Target="../media/image2.png"/></Relationships>
</file>

<file path=xl/drawings/_rels/drawing9.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4"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absoluteAnchor>
    <xdr:pos x="0" y="0"/>
    <xdr:ext cx="9290779" cy="6050717"/>
    <xdr:graphicFrame macro="">
      <xdr:nvGraphicFramePr>
        <xdr:cNvPr id="2" name="Graphique 1">
          <a:extLst>
            <a:ext uri="{FF2B5EF4-FFF2-40B4-BE49-F238E27FC236}">
              <a16:creationId xmlns:a16="http://schemas.microsoft.com/office/drawing/2014/main" id="{00000000-0008-0000-03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c:userShapes xmlns:c="http://schemas.openxmlformats.org/drawingml/2006/chart">
  <cdr:relSizeAnchor xmlns:cdr="http://schemas.openxmlformats.org/drawingml/2006/chartDrawing">
    <cdr:from>
      <cdr:x>0.42494</cdr:x>
      <cdr:y>0.01696</cdr:y>
    </cdr:from>
    <cdr:to>
      <cdr:x>0.59244</cdr:x>
      <cdr:y>0.06852</cdr:y>
    </cdr:to>
    <cdr:sp macro="" textlink="">
      <cdr:nvSpPr>
        <cdr:cNvPr id="2" name="ZoneTexte 1"/>
        <cdr:cNvSpPr txBox="1"/>
      </cdr:nvSpPr>
      <cdr:spPr>
        <a:xfrm xmlns:a="http://schemas.openxmlformats.org/drawingml/2006/main">
          <a:off x="3946365" y="102453"/>
          <a:ext cx="1555576" cy="311496"/>
        </a:xfrm>
        <a:prstGeom xmlns:a="http://schemas.openxmlformats.org/drawingml/2006/main" prst="rect">
          <a:avLst/>
        </a:prstGeom>
      </cdr:spPr>
      <cdr:txBody>
        <a:bodyPr xmlns:a="http://schemas.openxmlformats.org/drawingml/2006/main" vertOverflow="clip" horzOverflow="clip" wrap="square" rtlCol="0">
          <a:spAutoFit/>
        </a:bodyPr>
        <a:lstStyle xmlns:a="http://schemas.openxmlformats.org/drawingml/2006/main"/>
        <a:p xmlns:a="http://schemas.openxmlformats.org/drawingml/2006/main">
          <a:pPr algn="ctr"/>
          <a:r>
            <a:rPr lang="fr-FR" sz="1400" b="1"/>
            <a:t>N° expérience</a:t>
          </a:r>
        </a:p>
      </cdr:txBody>
    </cdr:sp>
  </cdr:relSizeAnchor>
</c:userShapes>
</file>

<file path=xl/drawings/drawing3.xml><?xml version="1.0" encoding="utf-8"?>
<xdr:wsDr xmlns:xdr="http://schemas.openxmlformats.org/drawingml/2006/spreadsheetDrawing" xmlns:a="http://schemas.openxmlformats.org/drawingml/2006/main">
  <xdr:absoluteAnchor>
    <xdr:pos x="0" y="0"/>
    <xdr:ext cx="9277089" cy="6041199"/>
    <xdr:graphicFrame macro="">
      <xdr:nvGraphicFramePr>
        <xdr:cNvPr id="2" name="Graphique 1">
          <a:extLst>
            <a:ext uri="{FF2B5EF4-FFF2-40B4-BE49-F238E27FC236}">
              <a16:creationId xmlns:a16="http://schemas.microsoft.com/office/drawing/2014/main" id="{00000000-0008-0000-06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c:userShapes xmlns:c="http://schemas.openxmlformats.org/drawingml/2006/chart">
  <cdr:relSizeAnchor xmlns:cdr="http://schemas.openxmlformats.org/drawingml/2006/chartDrawing">
    <cdr:from>
      <cdr:x>0.37494</cdr:x>
      <cdr:y>0.01504</cdr:y>
    </cdr:from>
    <cdr:to>
      <cdr:x>0.5575</cdr:x>
      <cdr:y>0.06657</cdr:y>
    </cdr:to>
    <cdr:sp macro="" textlink="">
      <cdr:nvSpPr>
        <cdr:cNvPr id="2" name="ZoneTexte 1"/>
        <cdr:cNvSpPr txBox="1"/>
      </cdr:nvSpPr>
      <cdr:spPr>
        <a:xfrm xmlns:a="http://schemas.openxmlformats.org/drawingml/2006/main">
          <a:off x="3480830" y="90920"/>
          <a:ext cx="1694833" cy="311496"/>
        </a:xfrm>
        <a:prstGeom xmlns:a="http://schemas.openxmlformats.org/drawingml/2006/main" prst="rect">
          <a:avLst/>
        </a:prstGeom>
      </cdr:spPr>
      <cdr:txBody>
        <a:bodyPr xmlns:a="http://schemas.openxmlformats.org/drawingml/2006/main" vertOverflow="clip" horzOverflow="clip" wrap="square" rtlCol="0">
          <a:spAutoFit/>
        </a:bodyPr>
        <a:lstStyle xmlns:a="http://schemas.openxmlformats.org/drawingml/2006/main"/>
        <a:p xmlns:a="http://schemas.openxmlformats.org/drawingml/2006/main">
          <a:pPr algn="ctr"/>
          <a:r>
            <a:rPr lang="fr-FR" sz="1400" b="1"/>
            <a:t>N° expérience</a:t>
          </a:r>
        </a:p>
      </cdr:txBody>
    </cdr:sp>
  </cdr:relSizeAnchor>
</c:userShapes>
</file>

<file path=xl/drawings/drawing5.xml><?xml version="1.0" encoding="utf-8"?>
<xdr:wsDr xmlns:xdr="http://schemas.openxmlformats.org/drawingml/2006/spreadsheetDrawing" xmlns:a="http://schemas.openxmlformats.org/drawingml/2006/main">
  <xdr:absoluteAnchor>
    <xdr:pos x="0" y="0"/>
    <xdr:ext cx="9290779" cy="6050717"/>
    <xdr:graphicFrame macro="">
      <xdr:nvGraphicFramePr>
        <xdr:cNvPr id="2" name="Graphique 1">
          <a:extLst>
            <a:ext uri="{FF2B5EF4-FFF2-40B4-BE49-F238E27FC236}">
              <a16:creationId xmlns:a16="http://schemas.microsoft.com/office/drawing/2014/main" id="{00000000-0008-0000-09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c:userShapes xmlns:c="http://schemas.openxmlformats.org/drawingml/2006/chart">
  <cdr:relSizeAnchor xmlns:cdr="http://schemas.openxmlformats.org/drawingml/2006/chartDrawing">
    <cdr:from>
      <cdr:x>0.37494</cdr:x>
      <cdr:y>0.01504</cdr:y>
    </cdr:from>
    <cdr:to>
      <cdr:x>0.5575</cdr:x>
      <cdr:y>0.0666</cdr:y>
    </cdr:to>
    <cdr:sp macro="" textlink="">
      <cdr:nvSpPr>
        <cdr:cNvPr id="2" name="ZoneTexte 1"/>
        <cdr:cNvSpPr txBox="1"/>
      </cdr:nvSpPr>
      <cdr:spPr>
        <a:xfrm xmlns:a="http://schemas.openxmlformats.org/drawingml/2006/main">
          <a:off x="3482021" y="90854"/>
          <a:ext cx="1695412" cy="311496"/>
        </a:xfrm>
        <a:prstGeom xmlns:a="http://schemas.openxmlformats.org/drawingml/2006/main" prst="rect">
          <a:avLst/>
        </a:prstGeom>
      </cdr:spPr>
      <cdr:txBody>
        <a:bodyPr xmlns:a="http://schemas.openxmlformats.org/drawingml/2006/main" vertOverflow="clip" horzOverflow="clip" wrap="square" rtlCol="0">
          <a:spAutoFit/>
        </a:bodyPr>
        <a:lstStyle xmlns:a="http://schemas.openxmlformats.org/drawingml/2006/main"/>
        <a:p xmlns:a="http://schemas.openxmlformats.org/drawingml/2006/main">
          <a:pPr algn="ctr"/>
          <a:r>
            <a:rPr lang="fr-FR" sz="1400" b="1"/>
            <a:t>N° expérience</a:t>
          </a:r>
        </a:p>
      </cdr:txBody>
    </cdr:sp>
  </cdr:relSizeAnchor>
</c:userShapes>
</file>

<file path=xl/drawings/drawing7.xml><?xml version="1.0" encoding="utf-8"?>
<xdr:wsDr xmlns:xdr="http://schemas.openxmlformats.org/drawingml/2006/spreadsheetDrawing" xmlns:a="http://schemas.openxmlformats.org/drawingml/2006/main">
  <xdr:absoluteAnchor>
    <xdr:pos x="0" y="0"/>
    <xdr:ext cx="9299677" cy="6073468"/>
    <xdr:graphicFrame macro="">
      <xdr:nvGraphicFramePr>
        <xdr:cNvPr id="2" name="Graphique 1">
          <a:extLst>
            <a:ext uri="{FF2B5EF4-FFF2-40B4-BE49-F238E27FC236}">
              <a16:creationId xmlns:a16="http://schemas.microsoft.com/office/drawing/2014/main" id="{00000000-0008-0000-0B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8.xml><?xml version="1.0" encoding="utf-8"?>
<xdr:wsDr xmlns:xdr="http://schemas.openxmlformats.org/drawingml/2006/spreadsheetDrawing" xmlns:a="http://schemas.openxmlformats.org/drawingml/2006/main">
  <xdr:twoCellAnchor editAs="absolute">
    <xdr:from>
      <xdr:col>15</xdr:col>
      <xdr:colOff>384711</xdr:colOff>
      <xdr:row>4</xdr:row>
      <xdr:rowOff>197921</xdr:rowOff>
    </xdr:from>
    <xdr:to>
      <xdr:col>28</xdr:col>
      <xdr:colOff>573972</xdr:colOff>
      <xdr:row>17</xdr:row>
      <xdr:rowOff>43528</xdr:rowOff>
    </xdr:to>
    <xdr:graphicFrame macro="">
      <xdr:nvGraphicFramePr>
        <xdr:cNvPr id="2" name="Graphique 1">
          <a:extLst>
            <a:ext uri="{FF2B5EF4-FFF2-40B4-BE49-F238E27FC236}">
              <a16:creationId xmlns:a16="http://schemas.microsoft.com/office/drawing/2014/main" id="{00000000-0008-0000-0D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15</xdr:col>
      <xdr:colOff>207819</xdr:colOff>
      <xdr:row>33</xdr:row>
      <xdr:rowOff>40820</xdr:rowOff>
    </xdr:from>
    <xdr:to>
      <xdr:col>28</xdr:col>
      <xdr:colOff>397080</xdr:colOff>
      <xdr:row>47</xdr:row>
      <xdr:rowOff>63320</xdr:rowOff>
    </xdr:to>
    <xdr:graphicFrame macro="">
      <xdr:nvGraphicFramePr>
        <xdr:cNvPr id="56" name="Graphique 55">
          <a:extLst>
            <a:ext uri="{FF2B5EF4-FFF2-40B4-BE49-F238E27FC236}">
              <a16:creationId xmlns:a16="http://schemas.microsoft.com/office/drawing/2014/main" id="{00000000-0008-0000-0D00-00003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15</xdr:col>
      <xdr:colOff>289462</xdr:colOff>
      <xdr:row>46</xdr:row>
      <xdr:rowOff>29696</xdr:rowOff>
    </xdr:from>
    <xdr:to>
      <xdr:col>28</xdr:col>
      <xdr:colOff>342269</xdr:colOff>
      <xdr:row>51</xdr:row>
      <xdr:rowOff>106544</xdr:rowOff>
    </xdr:to>
    <xdr:grpSp>
      <xdr:nvGrpSpPr>
        <xdr:cNvPr id="57" name="Groupe 56">
          <a:extLst>
            <a:ext uri="{FF2B5EF4-FFF2-40B4-BE49-F238E27FC236}">
              <a16:creationId xmlns:a16="http://schemas.microsoft.com/office/drawing/2014/main" id="{00000000-0008-0000-0D00-000039000000}"/>
            </a:ext>
          </a:extLst>
        </xdr:cNvPr>
        <xdr:cNvGrpSpPr/>
      </xdr:nvGrpSpPr>
      <xdr:grpSpPr>
        <a:xfrm>
          <a:off x="20382676" y="10062696"/>
          <a:ext cx="8425736" cy="1074705"/>
          <a:chOff x="367064" y="1542965"/>
          <a:chExt cx="7932581" cy="1097383"/>
        </a:xfrm>
      </xdr:grpSpPr>
      <xdr:sp macro="" textlink="">
        <xdr:nvSpPr>
          <xdr:cNvPr id="58" name="Shape 6">
            <a:extLst>
              <a:ext uri="{FF2B5EF4-FFF2-40B4-BE49-F238E27FC236}">
                <a16:creationId xmlns:a16="http://schemas.microsoft.com/office/drawing/2014/main" id="{00000000-0008-0000-0D00-00003A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59" name="Shape 322">
            <a:extLst>
              <a:ext uri="{FF2B5EF4-FFF2-40B4-BE49-F238E27FC236}">
                <a16:creationId xmlns:a16="http://schemas.microsoft.com/office/drawing/2014/main" id="{00000000-0008-0000-0D00-00003B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0" name="Shape 323">
            <a:extLst>
              <a:ext uri="{FF2B5EF4-FFF2-40B4-BE49-F238E27FC236}">
                <a16:creationId xmlns:a16="http://schemas.microsoft.com/office/drawing/2014/main" id="{00000000-0008-0000-0D00-00003C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1" name="Shape 324">
            <a:extLst>
              <a:ext uri="{FF2B5EF4-FFF2-40B4-BE49-F238E27FC236}">
                <a16:creationId xmlns:a16="http://schemas.microsoft.com/office/drawing/2014/main" id="{00000000-0008-0000-0D00-00003D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2" name="Shape 325">
            <a:extLst>
              <a:ext uri="{FF2B5EF4-FFF2-40B4-BE49-F238E27FC236}">
                <a16:creationId xmlns:a16="http://schemas.microsoft.com/office/drawing/2014/main" id="{00000000-0008-0000-0D00-00003E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3" name="Shape 326">
            <a:extLst>
              <a:ext uri="{FF2B5EF4-FFF2-40B4-BE49-F238E27FC236}">
                <a16:creationId xmlns:a16="http://schemas.microsoft.com/office/drawing/2014/main" id="{00000000-0008-0000-0D00-00003F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4" name="Shape 12">
            <a:extLst>
              <a:ext uri="{FF2B5EF4-FFF2-40B4-BE49-F238E27FC236}">
                <a16:creationId xmlns:a16="http://schemas.microsoft.com/office/drawing/2014/main" id="{00000000-0008-0000-0D00-000040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5" name="Shape 327">
            <a:extLst>
              <a:ext uri="{FF2B5EF4-FFF2-40B4-BE49-F238E27FC236}">
                <a16:creationId xmlns:a16="http://schemas.microsoft.com/office/drawing/2014/main" id="{00000000-0008-0000-0D00-000041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6" name="Shape 328">
            <a:extLst>
              <a:ext uri="{FF2B5EF4-FFF2-40B4-BE49-F238E27FC236}">
                <a16:creationId xmlns:a16="http://schemas.microsoft.com/office/drawing/2014/main" id="{00000000-0008-0000-0D00-000042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7" name="Shape 329">
            <a:extLst>
              <a:ext uri="{FF2B5EF4-FFF2-40B4-BE49-F238E27FC236}">
                <a16:creationId xmlns:a16="http://schemas.microsoft.com/office/drawing/2014/main" id="{00000000-0008-0000-0D00-000043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8" name="Shape 330">
            <a:extLst>
              <a:ext uri="{FF2B5EF4-FFF2-40B4-BE49-F238E27FC236}">
                <a16:creationId xmlns:a16="http://schemas.microsoft.com/office/drawing/2014/main" id="{00000000-0008-0000-0D00-000044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9" name="Shape 331">
            <a:extLst>
              <a:ext uri="{FF2B5EF4-FFF2-40B4-BE49-F238E27FC236}">
                <a16:creationId xmlns:a16="http://schemas.microsoft.com/office/drawing/2014/main" id="{00000000-0008-0000-0D00-000045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0" name="Shape 332">
            <a:extLst>
              <a:ext uri="{FF2B5EF4-FFF2-40B4-BE49-F238E27FC236}">
                <a16:creationId xmlns:a16="http://schemas.microsoft.com/office/drawing/2014/main" id="{00000000-0008-0000-0D00-000046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71" name="Picture 308">
            <a:extLst>
              <a:ext uri="{FF2B5EF4-FFF2-40B4-BE49-F238E27FC236}">
                <a16:creationId xmlns:a16="http://schemas.microsoft.com/office/drawing/2014/main" id="{00000000-0008-0000-0D00-000047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72" name="Shape 20">
            <a:extLst>
              <a:ext uri="{FF2B5EF4-FFF2-40B4-BE49-F238E27FC236}">
                <a16:creationId xmlns:a16="http://schemas.microsoft.com/office/drawing/2014/main" id="{00000000-0008-0000-0D00-000048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3" name="Shape 333">
            <a:extLst>
              <a:ext uri="{FF2B5EF4-FFF2-40B4-BE49-F238E27FC236}">
                <a16:creationId xmlns:a16="http://schemas.microsoft.com/office/drawing/2014/main" id="{00000000-0008-0000-0D00-000049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4" name="Rectangle 73">
            <a:extLst>
              <a:ext uri="{FF2B5EF4-FFF2-40B4-BE49-F238E27FC236}">
                <a16:creationId xmlns:a16="http://schemas.microsoft.com/office/drawing/2014/main" id="{00000000-0008-0000-0D00-00004A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75" name="Rectangle 74">
            <a:extLst>
              <a:ext uri="{FF2B5EF4-FFF2-40B4-BE49-F238E27FC236}">
                <a16:creationId xmlns:a16="http://schemas.microsoft.com/office/drawing/2014/main" id="{00000000-0008-0000-0D00-00004B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76" name="Picture 309">
            <a:extLst>
              <a:ext uri="{FF2B5EF4-FFF2-40B4-BE49-F238E27FC236}">
                <a16:creationId xmlns:a16="http://schemas.microsoft.com/office/drawing/2014/main" id="{00000000-0008-0000-0D00-00004C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77" name="Shape 334">
            <a:extLst>
              <a:ext uri="{FF2B5EF4-FFF2-40B4-BE49-F238E27FC236}">
                <a16:creationId xmlns:a16="http://schemas.microsoft.com/office/drawing/2014/main" id="{00000000-0008-0000-0D00-00004D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8" name="Rectangle 77">
            <a:extLst>
              <a:ext uri="{FF2B5EF4-FFF2-40B4-BE49-F238E27FC236}">
                <a16:creationId xmlns:a16="http://schemas.microsoft.com/office/drawing/2014/main" id="{00000000-0008-0000-0D00-00004E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79" name="Picture 311">
            <a:extLst>
              <a:ext uri="{FF2B5EF4-FFF2-40B4-BE49-F238E27FC236}">
                <a16:creationId xmlns:a16="http://schemas.microsoft.com/office/drawing/2014/main" id="{00000000-0008-0000-0D00-00004F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80" name="Shape 30">
            <a:extLst>
              <a:ext uri="{FF2B5EF4-FFF2-40B4-BE49-F238E27FC236}">
                <a16:creationId xmlns:a16="http://schemas.microsoft.com/office/drawing/2014/main" id="{00000000-0008-0000-0D00-000050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1" name="Shape 335">
            <a:extLst>
              <a:ext uri="{FF2B5EF4-FFF2-40B4-BE49-F238E27FC236}">
                <a16:creationId xmlns:a16="http://schemas.microsoft.com/office/drawing/2014/main" id="{00000000-0008-0000-0D00-000051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2" name="Rectangle 81">
            <a:extLst>
              <a:ext uri="{FF2B5EF4-FFF2-40B4-BE49-F238E27FC236}">
                <a16:creationId xmlns:a16="http://schemas.microsoft.com/office/drawing/2014/main" id="{00000000-0008-0000-0D00-000052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83" name="Picture 310">
            <a:extLst>
              <a:ext uri="{FF2B5EF4-FFF2-40B4-BE49-F238E27FC236}">
                <a16:creationId xmlns:a16="http://schemas.microsoft.com/office/drawing/2014/main" id="{00000000-0008-0000-0D00-000053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84" name="Shape 336">
            <a:extLst>
              <a:ext uri="{FF2B5EF4-FFF2-40B4-BE49-F238E27FC236}">
                <a16:creationId xmlns:a16="http://schemas.microsoft.com/office/drawing/2014/main" id="{00000000-0008-0000-0D00-000054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5" name="Rectangle 84">
            <a:extLst>
              <a:ext uri="{FF2B5EF4-FFF2-40B4-BE49-F238E27FC236}">
                <a16:creationId xmlns:a16="http://schemas.microsoft.com/office/drawing/2014/main" id="{00000000-0008-0000-0D00-000055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86" name="Picture 312">
            <a:extLst>
              <a:ext uri="{FF2B5EF4-FFF2-40B4-BE49-F238E27FC236}">
                <a16:creationId xmlns:a16="http://schemas.microsoft.com/office/drawing/2014/main" id="{00000000-0008-0000-0D00-000056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87" name="Shape 337">
            <a:extLst>
              <a:ext uri="{FF2B5EF4-FFF2-40B4-BE49-F238E27FC236}">
                <a16:creationId xmlns:a16="http://schemas.microsoft.com/office/drawing/2014/main" id="{00000000-0008-0000-0D00-000057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8" name="Rectangle 87">
            <a:extLst>
              <a:ext uri="{FF2B5EF4-FFF2-40B4-BE49-F238E27FC236}">
                <a16:creationId xmlns:a16="http://schemas.microsoft.com/office/drawing/2014/main" id="{00000000-0008-0000-0D00-000058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89" name="Rectangle 88">
            <a:extLst>
              <a:ext uri="{FF2B5EF4-FFF2-40B4-BE49-F238E27FC236}">
                <a16:creationId xmlns:a16="http://schemas.microsoft.com/office/drawing/2014/main" id="{00000000-0008-0000-0D00-000059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anti oestrogénique</a:t>
            </a:r>
          </a:p>
        </xdr:txBody>
      </xdr:sp>
      <xdr:sp macro="" textlink="">
        <xdr:nvSpPr>
          <xdr:cNvPr id="90" name="Shape 59">
            <a:extLst>
              <a:ext uri="{FF2B5EF4-FFF2-40B4-BE49-F238E27FC236}">
                <a16:creationId xmlns:a16="http://schemas.microsoft.com/office/drawing/2014/main" id="{00000000-0008-0000-0D00-00005A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91" name="Shape 62">
            <a:extLst>
              <a:ext uri="{FF2B5EF4-FFF2-40B4-BE49-F238E27FC236}">
                <a16:creationId xmlns:a16="http://schemas.microsoft.com/office/drawing/2014/main" id="{00000000-0008-0000-0D00-00005B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2" name="Shape 63">
            <a:extLst>
              <a:ext uri="{FF2B5EF4-FFF2-40B4-BE49-F238E27FC236}">
                <a16:creationId xmlns:a16="http://schemas.microsoft.com/office/drawing/2014/main" id="{00000000-0008-0000-0D00-00005C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3" name="Shape 64">
            <a:extLst>
              <a:ext uri="{FF2B5EF4-FFF2-40B4-BE49-F238E27FC236}">
                <a16:creationId xmlns:a16="http://schemas.microsoft.com/office/drawing/2014/main" id="{00000000-0008-0000-0D00-00005D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4" name="Shape 65">
            <a:extLst>
              <a:ext uri="{FF2B5EF4-FFF2-40B4-BE49-F238E27FC236}">
                <a16:creationId xmlns:a16="http://schemas.microsoft.com/office/drawing/2014/main" id="{00000000-0008-0000-0D00-00005E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5" name="Shape 66">
            <a:extLst>
              <a:ext uri="{FF2B5EF4-FFF2-40B4-BE49-F238E27FC236}">
                <a16:creationId xmlns:a16="http://schemas.microsoft.com/office/drawing/2014/main" id="{00000000-0008-0000-0D00-00005F00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6" name="Shape 67">
            <a:extLst>
              <a:ext uri="{FF2B5EF4-FFF2-40B4-BE49-F238E27FC236}">
                <a16:creationId xmlns:a16="http://schemas.microsoft.com/office/drawing/2014/main" id="{00000000-0008-0000-0D00-00006000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7" name="Shape 68">
            <a:extLst>
              <a:ext uri="{FF2B5EF4-FFF2-40B4-BE49-F238E27FC236}">
                <a16:creationId xmlns:a16="http://schemas.microsoft.com/office/drawing/2014/main" id="{00000000-0008-0000-0D00-00006100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8" name="Shape 69">
            <a:extLst>
              <a:ext uri="{FF2B5EF4-FFF2-40B4-BE49-F238E27FC236}">
                <a16:creationId xmlns:a16="http://schemas.microsoft.com/office/drawing/2014/main" id="{00000000-0008-0000-0D00-00006200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9" name="Shape 70">
            <a:extLst>
              <a:ext uri="{FF2B5EF4-FFF2-40B4-BE49-F238E27FC236}">
                <a16:creationId xmlns:a16="http://schemas.microsoft.com/office/drawing/2014/main" id="{00000000-0008-0000-0D00-00006300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0" name="Shape 71">
            <a:extLst>
              <a:ext uri="{FF2B5EF4-FFF2-40B4-BE49-F238E27FC236}">
                <a16:creationId xmlns:a16="http://schemas.microsoft.com/office/drawing/2014/main" id="{00000000-0008-0000-0D00-00006400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1" name="Shape 72">
            <a:extLst>
              <a:ext uri="{FF2B5EF4-FFF2-40B4-BE49-F238E27FC236}">
                <a16:creationId xmlns:a16="http://schemas.microsoft.com/office/drawing/2014/main" id="{00000000-0008-0000-0D00-00006500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2" name="Shape 73">
            <a:extLst>
              <a:ext uri="{FF2B5EF4-FFF2-40B4-BE49-F238E27FC236}">
                <a16:creationId xmlns:a16="http://schemas.microsoft.com/office/drawing/2014/main" id="{00000000-0008-0000-0D00-00006600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3" name="Shape 74">
            <a:extLst>
              <a:ext uri="{FF2B5EF4-FFF2-40B4-BE49-F238E27FC236}">
                <a16:creationId xmlns:a16="http://schemas.microsoft.com/office/drawing/2014/main" id="{00000000-0008-0000-0D00-00006700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4" name="Shape 75">
            <a:extLst>
              <a:ext uri="{FF2B5EF4-FFF2-40B4-BE49-F238E27FC236}">
                <a16:creationId xmlns:a16="http://schemas.microsoft.com/office/drawing/2014/main" id="{00000000-0008-0000-0D00-00006800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5" name="Shape 76">
            <a:extLst>
              <a:ext uri="{FF2B5EF4-FFF2-40B4-BE49-F238E27FC236}">
                <a16:creationId xmlns:a16="http://schemas.microsoft.com/office/drawing/2014/main" id="{00000000-0008-0000-0D00-00006900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6" name="Shape 77">
            <a:extLst>
              <a:ext uri="{FF2B5EF4-FFF2-40B4-BE49-F238E27FC236}">
                <a16:creationId xmlns:a16="http://schemas.microsoft.com/office/drawing/2014/main" id="{00000000-0008-0000-0D00-00006A00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7" name="Rectangle 106">
            <a:extLst>
              <a:ext uri="{FF2B5EF4-FFF2-40B4-BE49-F238E27FC236}">
                <a16:creationId xmlns:a16="http://schemas.microsoft.com/office/drawing/2014/main" id="{00000000-0008-0000-0D00-00006B00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pro oestrogénique</a:t>
            </a:r>
          </a:p>
        </xdr:txBody>
      </xdr:sp>
      <xdr:sp macro="" textlink="">
        <xdr:nvSpPr>
          <xdr:cNvPr id="108" name="ZoneTexte 55">
            <a:extLst>
              <a:ext uri="{FF2B5EF4-FFF2-40B4-BE49-F238E27FC236}">
                <a16:creationId xmlns:a16="http://schemas.microsoft.com/office/drawing/2014/main" id="{00000000-0008-0000-0D00-00006C00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sp macro="" textlink="">
        <xdr:nvSpPr>
          <xdr:cNvPr id="109" name="ZoneTexte 56">
            <a:extLst>
              <a:ext uri="{FF2B5EF4-FFF2-40B4-BE49-F238E27FC236}">
                <a16:creationId xmlns:a16="http://schemas.microsoft.com/office/drawing/2014/main" id="{00000000-0008-0000-0D00-00006D00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grpSp>
    <xdr:clientData/>
  </xdr:twoCellAnchor>
  <xdr:twoCellAnchor editAs="absolute">
    <xdr:from>
      <xdr:col>15</xdr:col>
      <xdr:colOff>452938</xdr:colOff>
      <xdr:row>15</xdr:row>
      <xdr:rowOff>189512</xdr:rowOff>
    </xdr:from>
    <xdr:to>
      <xdr:col>28</xdr:col>
      <xdr:colOff>505745</xdr:colOff>
      <xdr:row>21</xdr:row>
      <xdr:rowOff>62252</xdr:rowOff>
    </xdr:to>
    <xdr:grpSp>
      <xdr:nvGrpSpPr>
        <xdr:cNvPr id="110" name="Groupe 109">
          <a:extLst>
            <a:ext uri="{FF2B5EF4-FFF2-40B4-BE49-F238E27FC236}">
              <a16:creationId xmlns:a16="http://schemas.microsoft.com/office/drawing/2014/main" id="{00000000-0008-0000-0D00-00006E000000}"/>
            </a:ext>
          </a:extLst>
        </xdr:cNvPr>
        <xdr:cNvGrpSpPr/>
      </xdr:nvGrpSpPr>
      <xdr:grpSpPr>
        <a:xfrm>
          <a:off x="20546152" y="3836226"/>
          <a:ext cx="8425736" cy="1070169"/>
          <a:chOff x="367064" y="1542965"/>
          <a:chExt cx="7932581" cy="1097383"/>
        </a:xfrm>
      </xdr:grpSpPr>
      <xdr:sp macro="" textlink="">
        <xdr:nvSpPr>
          <xdr:cNvPr id="111" name="Shape 6">
            <a:extLst>
              <a:ext uri="{FF2B5EF4-FFF2-40B4-BE49-F238E27FC236}">
                <a16:creationId xmlns:a16="http://schemas.microsoft.com/office/drawing/2014/main" id="{00000000-0008-0000-0D00-00006F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2" name="Shape 322">
            <a:extLst>
              <a:ext uri="{FF2B5EF4-FFF2-40B4-BE49-F238E27FC236}">
                <a16:creationId xmlns:a16="http://schemas.microsoft.com/office/drawing/2014/main" id="{00000000-0008-0000-0D00-000070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3" name="Shape 323">
            <a:extLst>
              <a:ext uri="{FF2B5EF4-FFF2-40B4-BE49-F238E27FC236}">
                <a16:creationId xmlns:a16="http://schemas.microsoft.com/office/drawing/2014/main" id="{00000000-0008-0000-0D00-000071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4" name="Shape 324">
            <a:extLst>
              <a:ext uri="{FF2B5EF4-FFF2-40B4-BE49-F238E27FC236}">
                <a16:creationId xmlns:a16="http://schemas.microsoft.com/office/drawing/2014/main" id="{00000000-0008-0000-0D00-000072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5" name="Shape 325">
            <a:extLst>
              <a:ext uri="{FF2B5EF4-FFF2-40B4-BE49-F238E27FC236}">
                <a16:creationId xmlns:a16="http://schemas.microsoft.com/office/drawing/2014/main" id="{00000000-0008-0000-0D00-000073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6" name="Shape 326">
            <a:extLst>
              <a:ext uri="{FF2B5EF4-FFF2-40B4-BE49-F238E27FC236}">
                <a16:creationId xmlns:a16="http://schemas.microsoft.com/office/drawing/2014/main" id="{00000000-0008-0000-0D00-000074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7" name="Shape 12">
            <a:extLst>
              <a:ext uri="{FF2B5EF4-FFF2-40B4-BE49-F238E27FC236}">
                <a16:creationId xmlns:a16="http://schemas.microsoft.com/office/drawing/2014/main" id="{00000000-0008-0000-0D00-000075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8" name="Shape 327">
            <a:extLst>
              <a:ext uri="{FF2B5EF4-FFF2-40B4-BE49-F238E27FC236}">
                <a16:creationId xmlns:a16="http://schemas.microsoft.com/office/drawing/2014/main" id="{00000000-0008-0000-0D00-000076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9" name="Shape 328">
            <a:extLst>
              <a:ext uri="{FF2B5EF4-FFF2-40B4-BE49-F238E27FC236}">
                <a16:creationId xmlns:a16="http://schemas.microsoft.com/office/drawing/2014/main" id="{00000000-0008-0000-0D00-000077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0" name="Shape 329">
            <a:extLst>
              <a:ext uri="{FF2B5EF4-FFF2-40B4-BE49-F238E27FC236}">
                <a16:creationId xmlns:a16="http://schemas.microsoft.com/office/drawing/2014/main" id="{00000000-0008-0000-0D00-000078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1" name="Shape 330">
            <a:extLst>
              <a:ext uri="{FF2B5EF4-FFF2-40B4-BE49-F238E27FC236}">
                <a16:creationId xmlns:a16="http://schemas.microsoft.com/office/drawing/2014/main" id="{00000000-0008-0000-0D00-000079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2" name="Shape 331">
            <a:extLst>
              <a:ext uri="{FF2B5EF4-FFF2-40B4-BE49-F238E27FC236}">
                <a16:creationId xmlns:a16="http://schemas.microsoft.com/office/drawing/2014/main" id="{00000000-0008-0000-0D00-00007A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3" name="Shape 332">
            <a:extLst>
              <a:ext uri="{FF2B5EF4-FFF2-40B4-BE49-F238E27FC236}">
                <a16:creationId xmlns:a16="http://schemas.microsoft.com/office/drawing/2014/main" id="{00000000-0008-0000-0D00-00007B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124" name="Picture 308">
            <a:extLst>
              <a:ext uri="{FF2B5EF4-FFF2-40B4-BE49-F238E27FC236}">
                <a16:creationId xmlns:a16="http://schemas.microsoft.com/office/drawing/2014/main" id="{00000000-0008-0000-0D00-00007C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125" name="Shape 20">
            <a:extLst>
              <a:ext uri="{FF2B5EF4-FFF2-40B4-BE49-F238E27FC236}">
                <a16:creationId xmlns:a16="http://schemas.microsoft.com/office/drawing/2014/main" id="{00000000-0008-0000-0D00-00007D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6" name="Shape 333">
            <a:extLst>
              <a:ext uri="{FF2B5EF4-FFF2-40B4-BE49-F238E27FC236}">
                <a16:creationId xmlns:a16="http://schemas.microsoft.com/office/drawing/2014/main" id="{00000000-0008-0000-0D00-00007E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7" name="Rectangle 126">
            <a:extLst>
              <a:ext uri="{FF2B5EF4-FFF2-40B4-BE49-F238E27FC236}">
                <a16:creationId xmlns:a16="http://schemas.microsoft.com/office/drawing/2014/main" id="{00000000-0008-0000-0D00-00007F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128" name="Rectangle 127">
            <a:extLst>
              <a:ext uri="{FF2B5EF4-FFF2-40B4-BE49-F238E27FC236}">
                <a16:creationId xmlns:a16="http://schemas.microsoft.com/office/drawing/2014/main" id="{00000000-0008-0000-0D00-000080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29" name="Picture 309">
            <a:extLst>
              <a:ext uri="{FF2B5EF4-FFF2-40B4-BE49-F238E27FC236}">
                <a16:creationId xmlns:a16="http://schemas.microsoft.com/office/drawing/2014/main" id="{00000000-0008-0000-0D00-000081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130" name="Shape 334">
            <a:extLst>
              <a:ext uri="{FF2B5EF4-FFF2-40B4-BE49-F238E27FC236}">
                <a16:creationId xmlns:a16="http://schemas.microsoft.com/office/drawing/2014/main" id="{00000000-0008-0000-0D00-000082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1" name="Rectangle 130">
            <a:extLst>
              <a:ext uri="{FF2B5EF4-FFF2-40B4-BE49-F238E27FC236}">
                <a16:creationId xmlns:a16="http://schemas.microsoft.com/office/drawing/2014/main" id="{00000000-0008-0000-0D00-000083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32" name="Picture 311">
            <a:extLst>
              <a:ext uri="{FF2B5EF4-FFF2-40B4-BE49-F238E27FC236}">
                <a16:creationId xmlns:a16="http://schemas.microsoft.com/office/drawing/2014/main" id="{00000000-0008-0000-0D00-000084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133" name="Shape 30">
            <a:extLst>
              <a:ext uri="{FF2B5EF4-FFF2-40B4-BE49-F238E27FC236}">
                <a16:creationId xmlns:a16="http://schemas.microsoft.com/office/drawing/2014/main" id="{00000000-0008-0000-0D00-000085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4" name="Shape 335">
            <a:extLst>
              <a:ext uri="{FF2B5EF4-FFF2-40B4-BE49-F238E27FC236}">
                <a16:creationId xmlns:a16="http://schemas.microsoft.com/office/drawing/2014/main" id="{00000000-0008-0000-0D00-000086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5" name="Rectangle 134">
            <a:extLst>
              <a:ext uri="{FF2B5EF4-FFF2-40B4-BE49-F238E27FC236}">
                <a16:creationId xmlns:a16="http://schemas.microsoft.com/office/drawing/2014/main" id="{00000000-0008-0000-0D00-000087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36" name="Picture 310">
            <a:extLst>
              <a:ext uri="{FF2B5EF4-FFF2-40B4-BE49-F238E27FC236}">
                <a16:creationId xmlns:a16="http://schemas.microsoft.com/office/drawing/2014/main" id="{00000000-0008-0000-0D00-000088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137" name="Shape 336">
            <a:extLst>
              <a:ext uri="{FF2B5EF4-FFF2-40B4-BE49-F238E27FC236}">
                <a16:creationId xmlns:a16="http://schemas.microsoft.com/office/drawing/2014/main" id="{00000000-0008-0000-0D00-000089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8" name="Rectangle 137">
            <a:extLst>
              <a:ext uri="{FF2B5EF4-FFF2-40B4-BE49-F238E27FC236}">
                <a16:creationId xmlns:a16="http://schemas.microsoft.com/office/drawing/2014/main" id="{00000000-0008-0000-0D00-00008A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139" name="Picture 312">
            <a:extLst>
              <a:ext uri="{FF2B5EF4-FFF2-40B4-BE49-F238E27FC236}">
                <a16:creationId xmlns:a16="http://schemas.microsoft.com/office/drawing/2014/main" id="{00000000-0008-0000-0D00-00008B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140" name="Shape 337">
            <a:extLst>
              <a:ext uri="{FF2B5EF4-FFF2-40B4-BE49-F238E27FC236}">
                <a16:creationId xmlns:a16="http://schemas.microsoft.com/office/drawing/2014/main" id="{00000000-0008-0000-0D00-00008C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1" name="Rectangle 140">
            <a:extLst>
              <a:ext uri="{FF2B5EF4-FFF2-40B4-BE49-F238E27FC236}">
                <a16:creationId xmlns:a16="http://schemas.microsoft.com/office/drawing/2014/main" id="{00000000-0008-0000-0D00-00008D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142" name="Rectangle 141">
            <a:extLst>
              <a:ext uri="{FF2B5EF4-FFF2-40B4-BE49-F238E27FC236}">
                <a16:creationId xmlns:a16="http://schemas.microsoft.com/office/drawing/2014/main" id="{00000000-0008-0000-0D00-00008E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anti oestrogénique</a:t>
            </a:r>
          </a:p>
        </xdr:txBody>
      </xdr:sp>
      <xdr:sp macro="" textlink="">
        <xdr:nvSpPr>
          <xdr:cNvPr id="143" name="Shape 59">
            <a:extLst>
              <a:ext uri="{FF2B5EF4-FFF2-40B4-BE49-F238E27FC236}">
                <a16:creationId xmlns:a16="http://schemas.microsoft.com/office/drawing/2014/main" id="{00000000-0008-0000-0D00-00008F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144" name="Shape 62">
            <a:extLst>
              <a:ext uri="{FF2B5EF4-FFF2-40B4-BE49-F238E27FC236}">
                <a16:creationId xmlns:a16="http://schemas.microsoft.com/office/drawing/2014/main" id="{00000000-0008-0000-0D00-000090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5" name="Shape 63">
            <a:extLst>
              <a:ext uri="{FF2B5EF4-FFF2-40B4-BE49-F238E27FC236}">
                <a16:creationId xmlns:a16="http://schemas.microsoft.com/office/drawing/2014/main" id="{00000000-0008-0000-0D00-000091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6" name="Shape 64">
            <a:extLst>
              <a:ext uri="{FF2B5EF4-FFF2-40B4-BE49-F238E27FC236}">
                <a16:creationId xmlns:a16="http://schemas.microsoft.com/office/drawing/2014/main" id="{00000000-0008-0000-0D00-000092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7" name="Shape 65">
            <a:extLst>
              <a:ext uri="{FF2B5EF4-FFF2-40B4-BE49-F238E27FC236}">
                <a16:creationId xmlns:a16="http://schemas.microsoft.com/office/drawing/2014/main" id="{00000000-0008-0000-0D00-000093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8" name="Shape 66">
            <a:extLst>
              <a:ext uri="{FF2B5EF4-FFF2-40B4-BE49-F238E27FC236}">
                <a16:creationId xmlns:a16="http://schemas.microsoft.com/office/drawing/2014/main" id="{00000000-0008-0000-0D00-00009400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9" name="Shape 67">
            <a:extLst>
              <a:ext uri="{FF2B5EF4-FFF2-40B4-BE49-F238E27FC236}">
                <a16:creationId xmlns:a16="http://schemas.microsoft.com/office/drawing/2014/main" id="{00000000-0008-0000-0D00-00009500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0" name="Shape 68">
            <a:extLst>
              <a:ext uri="{FF2B5EF4-FFF2-40B4-BE49-F238E27FC236}">
                <a16:creationId xmlns:a16="http://schemas.microsoft.com/office/drawing/2014/main" id="{00000000-0008-0000-0D00-00009600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1" name="Shape 69">
            <a:extLst>
              <a:ext uri="{FF2B5EF4-FFF2-40B4-BE49-F238E27FC236}">
                <a16:creationId xmlns:a16="http://schemas.microsoft.com/office/drawing/2014/main" id="{00000000-0008-0000-0D00-00009700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2" name="Shape 70">
            <a:extLst>
              <a:ext uri="{FF2B5EF4-FFF2-40B4-BE49-F238E27FC236}">
                <a16:creationId xmlns:a16="http://schemas.microsoft.com/office/drawing/2014/main" id="{00000000-0008-0000-0D00-00009800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3" name="Shape 71">
            <a:extLst>
              <a:ext uri="{FF2B5EF4-FFF2-40B4-BE49-F238E27FC236}">
                <a16:creationId xmlns:a16="http://schemas.microsoft.com/office/drawing/2014/main" id="{00000000-0008-0000-0D00-00009900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4" name="Shape 72">
            <a:extLst>
              <a:ext uri="{FF2B5EF4-FFF2-40B4-BE49-F238E27FC236}">
                <a16:creationId xmlns:a16="http://schemas.microsoft.com/office/drawing/2014/main" id="{00000000-0008-0000-0D00-00009A00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5" name="Shape 73">
            <a:extLst>
              <a:ext uri="{FF2B5EF4-FFF2-40B4-BE49-F238E27FC236}">
                <a16:creationId xmlns:a16="http://schemas.microsoft.com/office/drawing/2014/main" id="{00000000-0008-0000-0D00-00009B00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6" name="Shape 74">
            <a:extLst>
              <a:ext uri="{FF2B5EF4-FFF2-40B4-BE49-F238E27FC236}">
                <a16:creationId xmlns:a16="http://schemas.microsoft.com/office/drawing/2014/main" id="{00000000-0008-0000-0D00-00009C00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7" name="Shape 75">
            <a:extLst>
              <a:ext uri="{FF2B5EF4-FFF2-40B4-BE49-F238E27FC236}">
                <a16:creationId xmlns:a16="http://schemas.microsoft.com/office/drawing/2014/main" id="{00000000-0008-0000-0D00-00009D00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8" name="Shape 76">
            <a:extLst>
              <a:ext uri="{FF2B5EF4-FFF2-40B4-BE49-F238E27FC236}">
                <a16:creationId xmlns:a16="http://schemas.microsoft.com/office/drawing/2014/main" id="{00000000-0008-0000-0D00-00009E00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9" name="Shape 77">
            <a:extLst>
              <a:ext uri="{FF2B5EF4-FFF2-40B4-BE49-F238E27FC236}">
                <a16:creationId xmlns:a16="http://schemas.microsoft.com/office/drawing/2014/main" id="{00000000-0008-0000-0D00-00009F00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0" name="Rectangle 159">
            <a:extLst>
              <a:ext uri="{FF2B5EF4-FFF2-40B4-BE49-F238E27FC236}">
                <a16:creationId xmlns:a16="http://schemas.microsoft.com/office/drawing/2014/main" id="{00000000-0008-0000-0D00-0000A000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pro oestrogénique</a:t>
            </a:r>
          </a:p>
        </xdr:txBody>
      </xdr:sp>
      <xdr:sp macro="" textlink="">
        <xdr:nvSpPr>
          <xdr:cNvPr id="161" name="ZoneTexte 55">
            <a:extLst>
              <a:ext uri="{FF2B5EF4-FFF2-40B4-BE49-F238E27FC236}">
                <a16:creationId xmlns:a16="http://schemas.microsoft.com/office/drawing/2014/main" id="{00000000-0008-0000-0D00-0000A100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sp macro="" textlink="">
        <xdr:nvSpPr>
          <xdr:cNvPr id="162" name="ZoneTexte 56">
            <a:extLst>
              <a:ext uri="{FF2B5EF4-FFF2-40B4-BE49-F238E27FC236}">
                <a16:creationId xmlns:a16="http://schemas.microsoft.com/office/drawing/2014/main" id="{00000000-0008-0000-0D00-0000A200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grpSp>
    <xdr:clientData/>
  </xdr:twoCellAnchor>
  <xdr:twoCellAnchor editAs="absolute">
    <xdr:from>
      <xdr:col>30</xdr:col>
      <xdr:colOff>95250</xdr:colOff>
      <xdr:row>4</xdr:row>
      <xdr:rowOff>197921</xdr:rowOff>
    </xdr:from>
    <xdr:to>
      <xdr:col>43</xdr:col>
      <xdr:colOff>284512</xdr:colOff>
      <xdr:row>17</xdr:row>
      <xdr:rowOff>43528</xdr:rowOff>
    </xdr:to>
    <xdr:graphicFrame macro="">
      <xdr:nvGraphicFramePr>
        <xdr:cNvPr id="163" name="Graphique 162">
          <a:extLst>
            <a:ext uri="{FF2B5EF4-FFF2-40B4-BE49-F238E27FC236}">
              <a16:creationId xmlns:a16="http://schemas.microsoft.com/office/drawing/2014/main" id="{00000000-0008-0000-0D00-0000A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29</xdr:col>
      <xdr:colOff>530680</xdr:colOff>
      <xdr:row>33</xdr:row>
      <xdr:rowOff>40820</xdr:rowOff>
    </xdr:from>
    <xdr:to>
      <xdr:col>43</xdr:col>
      <xdr:colOff>107620</xdr:colOff>
      <xdr:row>47</xdr:row>
      <xdr:rowOff>63320</xdr:rowOff>
    </xdr:to>
    <xdr:graphicFrame macro="">
      <xdr:nvGraphicFramePr>
        <xdr:cNvPr id="164" name="Graphique 163">
          <a:extLst>
            <a:ext uri="{FF2B5EF4-FFF2-40B4-BE49-F238E27FC236}">
              <a16:creationId xmlns:a16="http://schemas.microsoft.com/office/drawing/2014/main" id="{00000000-0008-0000-0D00-0000A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30</xdr:col>
      <xdr:colOff>1</xdr:colOff>
      <xdr:row>46</xdr:row>
      <xdr:rowOff>29696</xdr:rowOff>
    </xdr:from>
    <xdr:to>
      <xdr:col>43</xdr:col>
      <xdr:colOff>52809</xdr:colOff>
      <xdr:row>51</xdr:row>
      <xdr:rowOff>106544</xdr:rowOff>
    </xdr:to>
    <xdr:grpSp>
      <xdr:nvGrpSpPr>
        <xdr:cNvPr id="165" name="Groupe 164">
          <a:extLst>
            <a:ext uri="{FF2B5EF4-FFF2-40B4-BE49-F238E27FC236}">
              <a16:creationId xmlns:a16="http://schemas.microsoft.com/office/drawing/2014/main" id="{00000000-0008-0000-0D00-0000A5000000}"/>
            </a:ext>
          </a:extLst>
        </xdr:cNvPr>
        <xdr:cNvGrpSpPr/>
      </xdr:nvGrpSpPr>
      <xdr:grpSpPr>
        <a:xfrm>
          <a:off x="29754287" y="10062696"/>
          <a:ext cx="8425736" cy="1074705"/>
          <a:chOff x="367064" y="1542965"/>
          <a:chExt cx="7932581" cy="1097383"/>
        </a:xfrm>
      </xdr:grpSpPr>
      <xdr:sp macro="" textlink="">
        <xdr:nvSpPr>
          <xdr:cNvPr id="166" name="Shape 6">
            <a:extLst>
              <a:ext uri="{FF2B5EF4-FFF2-40B4-BE49-F238E27FC236}">
                <a16:creationId xmlns:a16="http://schemas.microsoft.com/office/drawing/2014/main" id="{00000000-0008-0000-0D00-0000A6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7" name="Shape 322">
            <a:extLst>
              <a:ext uri="{FF2B5EF4-FFF2-40B4-BE49-F238E27FC236}">
                <a16:creationId xmlns:a16="http://schemas.microsoft.com/office/drawing/2014/main" id="{00000000-0008-0000-0D00-0000A7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8" name="Shape 323">
            <a:extLst>
              <a:ext uri="{FF2B5EF4-FFF2-40B4-BE49-F238E27FC236}">
                <a16:creationId xmlns:a16="http://schemas.microsoft.com/office/drawing/2014/main" id="{00000000-0008-0000-0D00-0000A8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9" name="Shape 324">
            <a:extLst>
              <a:ext uri="{FF2B5EF4-FFF2-40B4-BE49-F238E27FC236}">
                <a16:creationId xmlns:a16="http://schemas.microsoft.com/office/drawing/2014/main" id="{00000000-0008-0000-0D00-0000A9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0" name="Shape 325">
            <a:extLst>
              <a:ext uri="{FF2B5EF4-FFF2-40B4-BE49-F238E27FC236}">
                <a16:creationId xmlns:a16="http://schemas.microsoft.com/office/drawing/2014/main" id="{00000000-0008-0000-0D00-0000AA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1" name="Shape 326">
            <a:extLst>
              <a:ext uri="{FF2B5EF4-FFF2-40B4-BE49-F238E27FC236}">
                <a16:creationId xmlns:a16="http://schemas.microsoft.com/office/drawing/2014/main" id="{00000000-0008-0000-0D00-0000AB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2" name="Shape 12">
            <a:extLst>
              <a:ext uri="{FF2B5EF4-FFF2-40B4-BE49-F238E27FC236}">
                <a16:creationId xmlns:a16="http://schemas.microsoft.com/office/drawing/2014/main" id="{00000000-0008-0000-0D00-0000AC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3" name="Shape 327">
            <a:extLst>
              <a:ext uri="{FF2B5EF4-FFF2-40B4-BE49-F238E27FC236}">
                <a16:creationId xmlns:a16="http://schemas.microsoft.com/office/drawing/2014/main" id="{00000000-0008-0000-0D00-0000AD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4" name="Shape 328">
            <a:extLst>
              <a:ext uri="{FF2B5EF4-FFF2-40B4-BE49-F238E27FC236}">
                <a16:creationId xmlns:a16="http://schemas.microsoft.com/office/drawing/2014/main" id="{00000000-0008-0000-0D00-0000AE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5" name="Shape 329">
            <a:extLst>
              <a:ext uri="{FF2B5EF4-FFF2-40B4-BE49-F238E27FC236}">
                <a16:creationId xmlns:a16="http://schemas.microsoft.com/office/drawing/2014/main" id="{00000000-0008-0000-0D00-0000AF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6" name="Shape 330">
            <a:extLst>
              <a:ext uri="{FF2B5EF4-FFF2-40B4-BE49-F238E27FC236}">
                <a16:creationId xmlns:a16="http://schemas.microsoft.com/office/drawing/2014/main" id="{00000000-0008-0000-0D00-0000B0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7" name="Shape 331">
            <a:extLst>
              <a:ext uri="{FF2B5EF4-FFF2-40B4-BE49-F238E27FC236}">
                <a16:creationId xmlns:a16="http://schemas.microsoft.com/office/drawing/2014/main" id="{00000000-0008-0000-0D00-0000B1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8" name="Shape 332">
            <a:extLst>
              <a:ext uri="{FF2B5EF4-FFF2-40B4-BE49-F238E27FC236}">
                <a16:creationId xmlns:a16="http://schemas.microsoft.com/office/drawing/2014/main" id="{00000000-0008-0000-0D00-0000B2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179" name="Picture 308">
            <a:extLst>
              <a:ext uri="{FF2B5EF4-FFF2-40B4-BE49-F238E27FC236}">
                <a16:creationId xmlns:a16="http://schemas.microsoft.com/office/drawing/2014/main" id="{00000000-0008-0000-0D00-0000B3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180" name="Shape 20">
            <a:extLst>
              <a:ext uri="{FF2B5EF4-FFF2-40B4-BE49-F238E27FC236}">
                <a16:creationId xmlns:a16="http://schemas.microsoft.com/office/drawing/2014/main" id="{00000000-0008-0000-0D00-0000B4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1" name="Shape 333">
            <a:extLst>
              <a:ext uri="{FF2B5EF4-FFF2-40B4-BE49-F238E27FC236}">
                <a16:creationId xmlns:a16="http://schemas.microsoft.com/office/drawing/2014/main" id="{00000000-0008-0000-0D00-0000B5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2" name="Rectangle 181">
            <a:extLst>
              <a:ext uri="{FF2B5EF4-FFF2-40B4-BE49-F238E27FC236}">
                <a16:creationId xmlns:a16="http://schemas.microsoft.com/office/drawing/2014/main" id="{00000000-0008-0000-0D00-0000B6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183" name="Rectangle 182">
            <a:extLst>
              <a:ext uri="{FF2B5EF4-FFF2-40B4-BE49-F238E27FC236}">
                <a16:creationId xmlns:a16="http://schemas.microsoft.com/office/drawing/2014/main" id="{00000000-0008-0000-0D00-0000B7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84" name="Picture 309">
            <a:extLst>
              <a:ext uri="{FF2B5EF4-FFF2-40B4-BE49-F238E27FC236}">
                <a16:creationId xmlns:a16="http://schemas.microsoft.com/office/drawing/2014/main" id="{00000000-0008-0000-0D00-0000B8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185" name="Shape 334">
            <a:extLst>
              <a:ext uri="{FF2B5EF4-FFF2-40B4-BE49-F238E27FC236}">
                <a16:creationId xmlns:a16="http://schemas.microsoft.com/office/drawing/2014/main" id="{00000000-0008-0000-0D00-0000B9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6" name="Rectangle 185">
            <a:extLst>
              <a:ext uri="{FF2B5EF4-FFF2-40B4-BE49-F238E27FC236}">
                <a16:creationId xmlns:a16="http://schemas.microsoft.com/office/drawing/2014/main" id="{00000000-0008-0000-0D00-0000BA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87" name="Picture 311">
            <a:extLst>
              <a:ext uri="{FF2B5EF4-FFF2-40B4-BE49-F238E27FC236}">
                <a16:creationId xmlns:a16="http://schemas.microsoft.com/office/drawing/2014/main" id="{00000000-0008-0000-0D00-0000BB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188" name="Shape 30">
            <a:extLst>
              <a:ext uri="{FF2B5EF4-FFF2-40B4-BE49-F238E27FC236}">
                <a16:creationId xmlns:a16="http://schemas.microsoft.com/office/drawing/2014/main" id="{00000000-0008-0000-0D00-0000BC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9" name="Shape 335">
            <a:extLst>
              <a:ext uri="{FF2B5EF4-FFF2-40B4-BE49-F238E27FC236}">
                <a16:creationId xmlns:a16="http://schemas.microsoft.com/office/drawing/2014/main" id="{00000000-0008-0000-0D00-0000BD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90" name="Rectangle 189">
            <a:extLst>
              <a:ext uri="{FF2B5EF4-FFF2-40B4-BE49-F238E27FC236}">
                <a16:creationId xmlns:a16="http://schemas.microsoft.com/office/drawing/2014/main" id="{00000000-0008-0000-0D00-0000BE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91" name="Picture 310">
            <a:extLst>
              <a:ext uri="{FF2B5EF4-FFF2-40B4-BE49-F238E27FC236}">
                <a16:creationId xmlns:a16="http://schemas.microsoft.com/office/drawing/2014/main" id="{00000000-0008-0000-0D00-0000BF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192" name="Shape 336">
            <a:extLst>
              <a:ext uri="{FF2B5EF4-FFF2-40B4-BE49-F238E27FC236}">
                <a16:creationId xmlns:a16="http://schemas.microsoft.com/office/drawing/2014/main" id="{00000000-0008-0000-0D00-0000C0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93" name="Rectangle 192">
            <a:extLst>
              <a:ext uri="{FF2B5EF4-FFF2-40B4-BE49-F238E27FC236}">
                <a16:creationId xmlns:a16="http://schemas.microsoft.com/office/drawing/2014/main" id="{00000000-0008-0000-0D00-0000C1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194" name="Picture 312">
            <a:extLst>
              <a:ext uri="{FF2B5EF4-FFF2-40B4-BE49-F238E27FC236}">
                <a16:creationId xmlns:a16="http://schemas.microsoft.com/office/drawing/2014/main" id="{00000000-0008-0000-0D00-0000C2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195" name="Shape 337">
            <a:extLst>
              <a:ext uri="{FF2B5EF4-FFF2-40B4-BE49-F238E27FC236}">
                <a16:creationId xmlns:a16="http://schemas.microsoft.com/office/drawing/2014/main" id="{00000000-0008-0000-0D00-0000C3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96" name="Rectangle 195">
            <a:extLst>
              <a:ext uri="{FF2B5EF4-FFF2-40B4-BE49-F238E27FC236}">
                <a16:creationId xmlns:a16="http://schemas.microsoft.com/office/drawing/2014/main" id="{00000000-0008-0000-0D00-0000C4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197" name="Rectangle 196">
            <a:extLst>
              <a:ext uri="{FF2B5EF4-FFF2-40B4-BE49-F238E27FC236}">
                <a16:creationId xmlns:a16="http://schemas.microsoft.com/office/drawing/2014/main" id="{00000000-0008-0000-0D00-0000C5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Anti estrogen effect</a:t>
            </a:r>
          </a:p>
        </xdr:txBody>
      </xdr:sp>
      <xdr:sp macro="" textlink="">
        <xdr:nvSpPr>
          <xdr:cNvPr id="198" name="Shape 59">
            <a:extLst>
              <a:ext uri="{FF2B5EF4-FFF2-40B4-BE49-F238E27FC236}">
                <a16:creationId xmlns:a16="http://schemas.microsoft.com/office/drawing/2014/main" id="{00000000-0008-0000-0D00-0000C6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199" name="Shape 62">
            <a:extLst>
              <a:ext uri="{FF2B5EF4-FFF2-40B4-BE49-F238E27FC236}">
                <a16:creationId xmlns:a16="http://schemas.microsoft.com/office/drawing/2014/main" id="{00000000-0008-0000-0D00-0000C7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0" name="Shape 63">
            <a:extLst>
              <a:ext uri="{FF2B5EF4-FFF2-40B4-BE49-F238E27FC236}">
                <a16:creationId xmlns:a16="http://schemas.microsoft.com/office/drawing/2014/main" id="{00000000-0008-0000-0D00-0000C8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1" name="Shape 64">
            <a:extLst>
              <a:ext uri="{FF2B5EF4-FFF2-40B4-BE49-F238E27FC236}">
                <a16:creationId xmlns:a16="http://schemas.microsoft.com/office/drawing/2014/main" id="{00000000-0008-0000-0D00-0000C9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2" name="Shape 65">
            <a:extLst>
              <a:ext uri="{FF2B5EF4-FFF2-40B4-BE49-F238E27FC236}">
                <a16:creationId xmlns:a16="http://schemas.microsoft.com/office/drawing/2014/main" id="{00000000-0008-0000-0D00-0000CA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3" name="Shape 66">
            <a:extLst>
              <a:ext uri="{FF2B5EF4-FFF2-40B4-BE49-F238E27FC236}">
                <a16:creationId xmlns:a16="http://schemas.microsoft.com/office/drawing/2014/main" id="{00000000-0008-0000-0D00-0000CB00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4" name="Shape 67">
            <a:extLst>
              <a:ext uri="{FF2B5EF4-FFF2-40B4-BE49-F238E27FC236}">
                <a16:creationId xmlns:a16="http://schemas.microsoft.com/office/drawing/2014/main" id="{00000000-0008-0000-0D00-0000CC00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5" name="Shape 68">
            <a:extLst>
              <a:ext uri="{FF2B5EF4-FFF2-40B4-BE49-F238E27FC236}">
                <a16:creationId xmlns:a16="http://schemas.microsoft.com/office/drawing/2014/main" id="{00000000-0008-0000-0D00-0000CD00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6" name="Shape 69">
            <a:extLst>
              <a:ext uri="{FF2B5EF4-FFF2-40B4-BE49-F238E27FC236}">
                <a16:creationId xmlns:a16="http://schemas.microsoft.com/office/drawing/2014/main" id="{00000000-0008-0000-0D00-0000CE00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7" name="Shape 70">
            <a:extLst>
              <a:ext uri="{FF2B5EF4-FFF2-40B4-BE49-F238E27FC236}">
                <a16:creationId xmlns:a16="http://schemas.microsoft.com/office/drawing/2014/main" id="{00000000-0008-0000-0D00-0000CF00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8" name="Shape 71">
            <a:extLst>
              <a:ext uri="{FF2B5EF4-FFF2-40B4-BE49-F238E27FC236}">
                <a16:creationId xmlns:a16="http://schemas.microsoft.com/office/drawing/2014/main" id="{00000000-0008-0000-0D00-0000D000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9" name="Shape 72">
            <a:extLst>
              <a:ext uri="{FF2B5EF4-FFF2-40B4-BE49-F238E27FC236}">
                <a16:creationId xmlns:a16="http://schemas.microsoft.com/office/drawing/2014/main" id="{00000000-0008-0000-0D00-0000D100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0" name="Shape 73">
            <a:extLst>
              <a:ext uri="{FF2B5EF4-FFF2-40B4-BE49-F238E27FC236}">
                <a16:creationId xmlns:a16="http://schemas.microsoft.com/office/drawing/2014/main" id="{00000000-0008-0000-0D00-0000D200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1" name="Shape 74">
            <a:extLst>
              <a:ext uri="{FF2B5EF4-FFF2-40B4-BE49-F238E27FC236}">
                <a16:creationId xmlns:a16="http://schemas.microsoft.com/office/drawing/2014/main" id="{00000000-0008-0000-0D00-0000D300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2" name="Shape 75">
            <a:extLst>
              <a:ext uri="{FF2B5EF4-FFF2-40B4-BE49-F238E27FC236}">
                <a16:creationId xmlns:a16="http://schemas.microsoft.com/office/drawing/2014/main" id="{00000000-0008-0000-0D00-0000D400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3" name="Shape 76">
            <a:extLst>
              <a:ext uri="{FF2B5EF4-FFF2-40B4-BE49-F238E27FC236}">
                <a16:creationId xmlns:a16="http://schemas.microsoft.com/office/drawing/2014/main" id="{00000000-0008-0000-0D00-0000D500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4" name="Shape 77">
            <a:extLst>
              <a:ext uri="{FF2B5EF4-FFF2-40B4-BE49-F238E27FC236}">
                <a16:creationId xmlns:a16="http://schemas.microsoft.com/office/drawing/2014/main" id="{00000000-0008-0000-0D00-0000D600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5" name="Rectangle 214">
            <a:extLst>
              <a:ext uri="{FF2B5EF4-FFF2-40B4-BE49-F238E27FC236}">
                <a16:creationId xmlns:a16="http://schemas.microsoft.com/office/drawing/2014/main" id="{00000000-0008-0000-0D00-0000D700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Pro estrogen effect</a:t>
            </a:r>
          </a:p>
        </xdr:txBody>
      </xdr:sp>
      <xdr:sp macro="" textlink="">
        <xdr:nvSpPr>
          <xdr:cNvPr id="216" name="ZoneTexte 55">
            <a:extLst>
              <a:ext uri="{FF2B5EF4-FFF2-40B4-BE49-F238E27FC236}">
                <a16:creationId xmlns:a16="http://schemas.microsoft.com/office/drawing/2014/main" id="{00000000-0008-0000-0D00-0000D800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sp macro="" textlink="">
        <xdr:nvSpPr>
          <xdr:cNvPr id="217" name="ZoneTexte 56">
            <a:extLst>
              <a:ext uri="{FF2B5EF4-FFF2-40B4-BE49-F238E27FC236}">
                <a16:creationId xmlns:a16="http://schemas.microsoft.com/office/drawing/2014/main" id="{00000000-0008-0000-0D00-0000D900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grpSp>
    <xdr:clientData/>
  </xdr:twoCellAnchor>
  <xdr:twoCellAnchor editAs="absolute">
    <xdr:from>
      <xdr:col>30</xdr:col>
      <xdr:colOff>163477</xdr:colOff>
      <xdr:row>15</xdr:row>
      <xdr:rowOff>189512</xdr:rowOff>
    </xdr:from>
    <xdr:to>
      <xdr:col>43</xdr:col>
      <xdr:colOff>216285</xdr:colOff>
      <xdr:row>21</xdr:row>
      <xdr:rowOff>62252</xdr:rowOff>
    </xdr:to>
    <xdr:grpSp>
      <xdr:nvGrpSpPr>
        <xdr:cNvPr id="218" name="Groupe 217">
          <a:extLst>
            <a:ext uri="{FF2B5EF4-FFF2-40B4-BE49-F238E27FC236}">
              <a16:creationId xmlns:a16="http://schemas.microsoft.com/office/drawing/2014/main" id="{00000000-0008-0000-0D00-0000DA000000}"/>
            </a:ext>
          </a:extLst>
        </xdr:cNvPr>
        <xdr:cNvGrpSpPr/>
      </xdr:nvGrpSpPr>
      <xdr:grpSpPr>
        <a:xfrm>
          <a:off x="29917763" y="3836226"/>
          <a:ext cx="8425736" cy="1070169"/>
          <a:chOff x="367064" y="1542965"/>
          <a:chExt cx="7932581" cy="1097383"/>
        </a:xfrm>
      </xdr:grpSpPr>
      <xdr:sp macro="" textlink="">
        <xdr:nvSpPr>
          <xdr:cNvPr id="219" name="Shape 6">
            <a:extLst>
              <a:ext uri="{FF2B5EF4-FFF2-40B4-BE49-F238E27FC236}">
                <a16:creationId xmlns:a16="http://schemas.microsoft.com/office/drawing/2014/main" id="{00000000-0008-0000-0D00-0000DB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0" name="Shape 322">
            <a:extLst>
              <a:ext uri="{FF2B5EF4-FFF2-40B4-BE49-F238E27FC236}">
                <a16:creationId xmlns:a16="http://schemas.microsoft.com/office/drawing/2014/main" id="{00000000-0008-0000-0D00-0000DC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1" name="Shape 323">
            <a:extLst>
              <a:ext uri="{FF2B5EF4-FFF2-40B4-BE49-F238E27FC236}">
                <a16:creationId xmlns:a16="http://schemas.microsoft.com/office/drawing/2014/main" id="{00000000-0008-0000-0D00-0000DD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2" name="Shape 324">
            <a:extLst>
              <a:ext uri="{FF2B5EF4-FFF2-40B4-BE49-F238E27FC236}">
                <a16:creationId xmlns:a16="http://schemas.microsoft.com/office/drawing/2014/main" id="{00000000-0008-0000-0D00-0000DE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3" name="Shape 325">
            <a:extLst>
              <a:ext uri="{FF2B5EF4-FFF2-40B4-BE49-F238E27FC236}">
                <a16:creationId xmlns:a16="http://schemas.microsoft.com/office/drawing/2014/main" id="{00000000-0008-0000-0D00-0000DF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4" name="Shape 326">
            <a:extLst>
              <a:ext uri="{FF2B5EF4-FFF2-40B4-BE49-F238E27FC236}">
                <a16:creationId xmlns:a16="http://schemas.microsoft.com/office/drawing/2014/main" id="{00000000-0008-0000-0D00-0000E0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5" name="Shape 12">
            <a:extLst>
              <a:ext uri="{FF2B5EF4-FFF2-40B4-BE49-F238E27FC236}">
                <a16:creationId xmlns:a16="http://schemas.microsoft.com/office/drawing/2014/main" id="{00000000-0008-0000-0D00-0000E1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6" name="Shape 327">
            <a:extLst>
              <a:ext uri="{FF2B5EF4-FFF2-40B4-BE49-F238E27FC236}">
                <a16:creationId xmlns:a16="http://schemas.microsoft.com/office/drawing/2014/main" id="{00000000-0008-0000-0D00-0000E2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7" name="Shape 328">
            <a:extLst>
              <a:ext uri="{FF2B5EF4-FFF2-40B4-BE49-F238E27FC236}">
                <a16:creationId xmlns:a16="http://schemas.microsoft.com/office/drawing/2014/main" id="{00000000-0008-0000-0D00-0000E3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8" name="Shape 329">
            <a:extLst>
              <a:ext uri="{FF2B5EF4-FFF2-40B4-BE49-F238E27FC236}">
                <a16:creationId xmlns:a16="http://schemas.microsoft.com/office/drawing/2014/main" id="{00000000-0008-0000-0D00-0000E4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9" name="Shape 330">
            <a:extLst>
              <a:ext uri="{FF2B5EF4-FFF2-40B4-BE49-F238E27FC236}">
                <a16:creationId xmlns:a16="http://schemas.microsoft.com/office/drawing/2014/main" id="{00000000-0008-0000-0D00-0000E5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0" name="Shape 331">
            <a:extLst>
              <a:ext uri="{FF2B5EF4-FFF2-40B4-BE49-F238E27FC236}">
                <a16:creationId xmlns:a16="http://schemas.microsoft.com/office/drawing/2014/main" id="{00000000-0008-0000-0D00-0000E6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1" name="Shape 332">
            <a:extLst>
              <a:ext uri="{FF2B5EF4-FFF2-40B4-BE49-F238E27FC236}">
                <a16:creationId xmlns:a16="http://schemas.microsoft.com/office/drawing/2014/main" id="{00000000-0008-0000-0D00-0000E7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232" name="Picture 308">
            <a:extLst>
              <a:ext uri="{FF2B5EF4-FFF2-40B4-BE49-F238E27FC236}">
                <a16:creationId xmlns:a16="http://schemas.microsoft.com/office/drawing/2014/main" id="{00000000-0008-0000-0D00-0000E8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233" name="Shape 20">
            <a:extLst>
              <a:ext uri="{FF2B5EF4-FFF2-40B4-BE49-F238E27FC236}">
                <a16:creationId xmlns:a16="http://schemas.microsoft.com/office/drawing/2014/main" id="{00000000-0008-0000-0D00-0000E9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4" name="Shape 333">
            <a:extLst>
              <a:ext uri="{FF2B5EF4-FFF2-40B4-BE49-F238E27FC236}">
                <a16:creationId xmlns:a16="http://schemas.microsoft.com/office/drawing/2014/main" id="{00000000-0008-0000-0D00-0000EA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5" name="Rectangle 234">
            <a:extLst>
              <a:ext uri="{FF2B5EF4-FFF2-40B4-BE49-F238E27FC236}">
                <a16:creationId xmlns:a16="http://schemas.microsoft.com/office/drawing/2014/main" id="{00000000-0008-0000-0D00-0000EB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236" name="Rectangle 235">
            <a:extLst>
              <a:ext uri="{FF2B5EF4-FFF2-40B4-BE49-F238E27FC236}">
                <a16:creationId xmlns:a16="http://schemas.microsoft.com/office/drawing/2014/main" id="{00000000-0008-0000-0D00-0000EC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237" name="Picture 309">
            <a:extLst>
              <a:ext uri="{FF2B5EF4-FFF2-40B4-BE49-F238E27FC236}">
                <a16:creationId xmlns:a16="http://schemas.microsoft.com/office/drawing/2014/main" id="{00000000-0008-0000-0D00-0000ED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238" name="Shape 334">
            <a:extLst>
              <a:ext uri="{FF2B5EF4-FFF2-40B4-BE49-F238E27FC236}">
                <a16:creationId xmlns:a16="http://schemas.microsoft.com/office/drawing/2014/main" id="{00000000-0008-0000-0D00-0000EE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9" name="Rectangle 238">
            <a:extLst>
              <a:ext uri="{FF2B5EF4-FFF2-40B4-BE49-F238E27FC236}">
                <a16:creationId xmlns:a16="http://schemas.microsoft.com/office/drawing/2014/main" id="{00000000-0008-0000-0D00-0000EF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240" name="Picture 311">
            <a:extLst>
              <a:ext uri="{FF2B5EF4-FFF2-40B4-BE49-F238E27FC236}">
                <a16:creationId xmlns:a16="http://schemas.microsoft.com/office/drawing/2014/main" id="{00000000-0008-0000-0D00-0000F0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241" name="Shape 30">
            <a:extLst>
              <a:ext uri="{FF2B5EF4-FFF2-40B4-BE49-F238E27FC236}">
                <a16:creationId xmlns:a16="http://schemas.microsoft.com/office/drawing/2014/main" id="{00000000-0008-0000-0D00-0000F1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2" name="Shape 335">
            <a:extLst>
              <a:ext uri="{FF2B5EF4-FFF2-40B4-BE49-F238E27FC236}">
                <a16:creationId xmlns:a16="http://schemas.microsoft.com/office/drawing/2014/main" id="{00000000-0008-0000-0D00-0000F2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3" name="Rectangle 242">
            <a:extLst>
              <a:ext uri="{FF2B5EF4-FFF2-40B4-BE49-F238E27FC236}">
                <a16:creationId xmlns:a16="http://schemas.microsoft.com/office/drawing/2014/main" id="{00000000-0008-0000-0D00-0000F3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244" name="Picture 310">
            <a:extLst>
              <a:ext uri="{FF2B5EF4-FFF2-40B4-BE49-F238E27FC236}">
                <a16:creationId xmlns:a16="http://schemas.microsoft.com/office/drawing/2014/main" id="{00000000-0008-0000-0D00-0000F4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245" name="Shape 336">
            <a:extLst>
              <a:ext uri="{FF2B5EF4-FFF2-40B4-BE49-F238E27FC236}">
                <a16:creationId xmlns:a16="http://schemas.microsoft.com/office/drawing/2014/main" id="{00000000-0008-0000-0D00-0000F5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6" name="Rectangle 245">
            <a:extLst>
              <a:ext uri="{FF2B5EF4-FFF2-40B4-BE49-F238E27FC236}">
                <a16:creationId xmlns:a16="http://schemas.microsoft.com/office/drawing/2014/main" id="{00000000-0008-0000-0D00-0000F6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247" name="Picture 312">
            <a:extLst>
              <a:ext uri="{FF2B5EF4-FFF2-40B4-BE49-F238E27FC236}">
                <a16:creationId xmlns:a16="http://schemas.microsoft.com/office/drawing/2014/main" id="{00000000-0008-0000-0D00-0000F7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248" name="Shape 337">
            <a:extLst>
              <a:ext uri="{FF2B5EF4-FFF2-40B4-BE49-F238E27FC236}">
                <a16:creationId xmlns:a16="http://schemas.microsoft.com/office/drawing/2014/main" id="{00000000-0008-0000-0D00-0000F8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9" name="Rectangle 248">
            <a:extLst>
              <a:ext uri="{FF2B5EF4-FFF2-40B4-BE49-F238E27FC236}">
                <a16:creationId xmlns:a16="http://schemas.microsoft.com/office/drawing/2014/main" id="{00000000-0008-0000-0D00-0000F9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250" name="Rectangle 249">
            <a:extLst>
              <a:ext uri="{FF2B5EF4-FFF2-40B4-BE49-F238E27FC236}">
                <a16:creationId xmlns:a16="http://schemas.microsoft.com/office/drawing/2014/main" id="{00000000-0008-0000-0D00-0000FA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Anti estrogen effect</a:t>
            </a:r>
          </a:p>
        </xdr:txBody>
      </xdr:sp>
      <xdr:sp macro="" textlink="">
        <xdr:nvSpPr>
          <xdr:cNvPr id="251" name="Shape 59">
            <a:extLst>
              <a:ext uri="{FF2B5EF4-FFF2-40B4-BE49-F238E27FC236}">
                <a16:creationId xmlns:a16="http://schemas.microsoft.com/office/drawing/2014/main" id="{00000000-0008-0000-0D00-0000FB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252" name="Shape 62">
            <a:extLst>
              <a:ext uri="{FF2B5EF4-FFF2-40B4-BE49-F238E27FC236}">
                <a16:creationId xmlns:a16="http://schemas.microsoft.com/office/drawing/2014/main" id="{00000000-0008-0000-0D00-0000FC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3" name="Shape 63">
            <a:extLst>
              <a:ext uri="{FF2B5EF4-FFF2-40B4-BE49-F238E27FC236}">
                <a16:creationId xmlns:a16="http://schemas.microsoft.com/office/drawing/2014/main" id="{00000000-0008-0000-0D00-0000FD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4" name="Shape 64">
            <a:extLst>
              <a:ext uri="{FF2B5EF4-FFF2-40B4-BE49-F238E27FC236}">
                <a16:creationId xmlns:a16="http://schemas.microsoft.com/office/drawing/2014/main" id="{00000000-0008-0000-0D00-0000FE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5" name="Shape 65">
            <a:extLst>
              <a:ext uri="{FF2B5EF4-FFF2-40B4-BE49-F238E27FC236}">
                <a16:creationId xmlns:a16="http://schemas.microsoft.com/office/drawing/2014/main" id="{00000000-0008-0000-0D00-0000FF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6" name="Shape 66">
            <a:extLst>
              <a:ext uri="{FF2B5EF4-FFF2-40B4-BE49-F238E27FC236}">
                <a16:creationId xmlns:a16="http://schemas.microsoft.com/office/drawing/2014/main" id="{00000000-0008-0000-0D00-00000001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7" name="Shape 67">
            <a:extLst>
              <a:ext uri="{FF2B5EF4-FFF2-40B4-BE49-F238E27FC236}">
                <a16:creationId xmlns:a16="http://schemas.microsoft.com/office/drawing/2014/main" id="{00000000-0008-0000-0D00-00000101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8" name="Shape 68">
            <a:extLst>
              <a:ext uri="{FF2B5EF4-FFF2-40B4-BE49-F238E27FC236}">
                <a16:creationId xmlns:a16="http://schemas.microsoft.com/office/drawing/2014/main" id="{00000000-0008-0000-0D00-00000201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9" name="Shape 69">
            <a:extLst>
              <a:ext uri="{FF2B5EF4-FFF2-40B4-BE49-F238E27FC236}">
                <a16:creationId xmlns:a16="http://schemas.microsoft.com/office/drawing/2014/main" id="{00000000-0008-0000-0D00-00000301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0" name="Shape 70">
            <a:extLst>
              <a:ext uri="{FF2B5EF4-FFF2-40B4-BE49-F238E27FC236}">
                <a16:creationId xmlns:a16="http://schemas.microsoft.com/office/drawing/2014/main" id="{00000000-0008-0000-0D00-00000401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1" name="Shape 71">
            <a:extLst>
              <a:ext uri="{FF2B5EF4-FFF2-40B4-BE49-F238E27FC236}">
                <a16:creationId xmlns:a16="http://schemas.microsoft.com/office/drawing/2014/main" id="{00000000-0008-0000-0D00-00000501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2" name="Shape 72">
            <a:extLst>
              <a:ext uri="{FF2B5EF4-FFF2-40B4-BE49-F238E27FC236}">
                <a16:creationId xmlns:a16="http://schemas.microsoft.com/office/drawing/2014/main" id="{00000000-0008-0000-0D00-00000601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3" name="Shape 73">
            <a:extLst>
              <a:ext uri="{FF2B5EF4-FFF2-40B4-BE49-F238E27FC236}">
                <a16:creationId xmlns:a16="http://schemas.microsoft.com/office/drawing/2014/main" id="{00000000-0008-0000-0D00-00000701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4" name="Shape 74">
            <a:extLst>
              <a:ext uri="{FF2B5EF4-FFF2-40B4-BE49-F238E27FC236}">
                <a16:creationId xmlns:a16="http://schemas.microsoft.com/office/drawing/2014/main" id="{00000000-0008-0000-0D00-00000801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5" name="Shape 75">
            <a:extLst>
              <a:ext uri="{FF2B5EF4-FFF2-40B4-BE49-F238E27FC236}">
                <a16:creationId xmlns:a16="http://schemas.microsoft.com/office/drawing/2014/main" id="{00000000-0008-0000-0D00-00000901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6" name="Shape 76">
            <a:extLst>
              <a:ext uri="{FF2B5EF4-FFF2-40B4-BE49-F238E27FC236}">
                <a16:creationId xmlns:a16="http://schemas.microsoft.com/office/drawing/2014/main" id="{00000000-0008-0000-0D00-00000A01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7" name="Shape 77">
            <a:extLst>
              <a:ext uri="{FF2B5EF4-FFF2-40B4-BE49-F238E27FC236}">
                <a16:creationId xmlns:a16="http://schemas.microsoft.com/office/drawing/2014/main" id="{00000000-0008-0000-0D00-00000B01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8" name="Rectangle 267">
            <a:extLst>
              <a:ext uri="{FF2B5EF4-FFF2-40B4-BE49-F238E27FC236}">
                <a16:creationId xmlns:a16="http://schemas.microsoft.com/office/drawing/2014/main" id="{00000000-0008-0000-0D00-00000C01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Pro estrogen effect</a:t>
            </a:r>
          </a:p>
        </xdr:txBody>
      </xdr:sp>
      <xdr:sp macro="" textlink="">
        <xdr:nvSpPr>
          <xdr:cNvPr id="269" name="ZoneTexte 55">
            <a:extLst>
              <a:ext uri="{FF2B5EF4-FFF2-40B4-BE49-F238E27FC236}">
                <a16:creationId xmlns:a16="http://schemas.microsoft.com/office/drawing/2014/main" id="{00000000-0008-0000-0D00-00000D01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sp macro="" textlink="">
        <xdr:nvSpPr>
          <xdr:cNvPr id="270" name="ZoneTexte 56">
            <a:extLst>
              <a:ext uri="{FF2B5EF4-FFF2-40B4-BE49-F238E27FC236}">
                <a16:creationId xmlns:a16="http://schemas.microsoft.com/office/drawing/2014/main" id="{00000000-0008-0000-0D00-00000E01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grp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164043</xdr:colOff>
      <xdr:row>11</xdr:row>
      <xdr:rowOff>8466</xdr:rowOff>
    </xdr:from>
    <xdr:to>
      <xdr:col>8</xdr:col>
      <xdr:colOff>154781</xdr:colOff>
      <xdr:row>32</xdr:row>
      <xdr:rowOff>95250</xdr:rowOff>
    </xdr:to>
    <xdr:graphicFrame macro="">
      <xdr:nvGraphicFramePr>
        <xdr:cNvPr id="2" name="Graphique 1">
          <a:extLst>
            <a:ext uri="{FF2B5EF4-FFF2-40B4-BE49-F238E27FC236}">
              <a16:creationId xmlns:a16="http://schemas.microsoft.com/office/drawing/2014/main" id="{00000000-0008-0000-0E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8</xdr:col>
      <xdr:colOff>377031</xdr:colOff>
      <xdr:row>11</xdr:row>
      <xdr:rowOff>91810</xdr:rowOff>
    </xdr:from>
    <xdr:to>
      <xdr:col>15</xdr:col>
      <xdr:colOff>398319</xdr:colOff>
      <xdr:row>32</xdr:row>
      <xdr:rowOff>51955</xdr:rowOff>
    </xdr:to>
    <xdr:graphicFrame macro="">
      <xdr:nvGraphicFramePr>
        <xdr:cNvPr id="3" name="Graphique 1">
          <a:extLst>
            <a:ext uri="{FF2B5EF4-FFF2-40B4-BE49-F238E27FC236}">
              <a16:creationId xmlns:a16="http://schemas.microsoft.com/office/drawing/2014/main" id="{00000000-0008-0000-0E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35</xdr:row>
      <xdr:rowOff>0</xdr:rowOff>
    </xdr:from>
    <xdr:to>
      <xdr:col>7</xdr:col>
      <xdr:colOff>984059</xdr:colOff>
      <xdr:row>56</xdr:row>
      <xdr:rowOff>86784</xdr:rowOff>
    </xdr:to>
    <xdr:graphicFrame macro="">
      <xdr:nvGraphicFramePr>
        <xdr:cNvPr id="4" name="Graphique 3">
          <a:extLst>
            <a:ext uri="{FF2B5EF4-FFF2-40B4-BE49-F238E27FC236}">
              <a16:creationId xmlns:a16="http://schemas.microsoft.com/office/drawing/2014/main" id="{00000000-0008-0000-0E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8</xdr:col>
      <xdr:colOff>212988</xdr:colOff>
      <xdr:row>35</xdr:row>
      <xdr:rowOff>83344</xdr:rowOff>
    </xdr:from>
    <xdr:to>
      <xdr:col>15</xdr:col>
      <xdr:colOff>234276</xdr:colOff>
      <xdr:row>56</xdr:row>
      <xdr:rowOff>43489</xdr:rowOff>
    </xdr:to>
    <xdr:graphicFrame macro="">
      <xdr:nvGraphicFramePr>
        <xdr:cNvPr id="5" name="Graphique 1">
          <a:extLst>
            <a:ext uri="{FF2B5EF4-FFF2-40B4-BE49-F238E27FC236}">
              <a16:creationId xmlns:a16="http://schemas.microsoft.com/office/drawing/2014/main" id="{00000000-0008-0000-0E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0.xml><?xml version="1.0" encoding="utf-8"?>
<c:userShapes xmlns:c="http://schemas.openxmlformats.org/drawingml/2006/chart">
  <cdr:absSizeAnchor xmlns:cdr="http://schemas.openxmlformats.org/drawingml/2006/chartDrawing">
    <cdr:from>
      <cdr:x>0.82371</cdr:x>
      <cdr:y>0.55101</cdr:y>
    </cdr:from>
    <cdr:ext cx="796018" cy="436786"/>
    <cdr:sp macro="" textlink="">
      <cdr:nvSpPr>
        <cdr:cNvPr id="4" name="ZoneTexte 1"/>
        <cdr:cNvSpPr txBox="1"/>
      </cdr:nvSpPr>
      <cdr:spPr>
        <a:xfrm xmlns:a="http://schemas.openxmlformats.org/drawingml/2006/main">
          <a:off x="5876731" y="1937227"/>
          <a:ext cx="796018"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fr-FR" sz="1100" b="1">
              <a:solidFill>
                <a:srgbClr val="00B050"/>
              </a:solidFill>
            </a:rPr>
            <a:t>Niveau de référence</a:t>
          </a:r>
        </a:p>
      </cdr:txBody>
    </cdr:sp>
  </cdr:absSizeAnchor>
</c:userShapes>
</file>

<file path=xl/drawings/drawing11.xml><?xml version="1.0" encoding="utf-8"?>
<c:userShapes xmlns:c="http://schemas.openxmlformats.org/drawingml/2006/chart">
  <cdr:absSizeAnchor xmlns:cdr="http://schemas.openxmlformats.org/drawingml/2006/chartDrawing">
    <cdr:from>
      <cdr:x>0.8358</cdr:x>
      <cdr:y>0.20578</cdr:y>
    </cdr:from>
    <cdr:ext cx="850804" cy="436786"/>
    <cdr:sp macro="" textlink="">
      <cdr:nvSpPr>
        <cdr:cNvPr id="4" name="ZoneTexte 1"/>
        <cdr:cNvSpPr txBox="1"/>
      </cdr:nvSpPr>
      <cdr:spPr>
        <a:xfrm xmlns:a="http://schemas.openxmlformats.org/drawingml/2006/main">
          <a:off x="5829311" y="697435"/>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Niveau de référence</a:t>
          </a:r>
        </a:p>
      </cdr:txBody>
    </cdr:sp>
  </cdr:absSizeAnchor>
</c:userShapes>
</file>

<file path=xl/drawings/drawing12.xml><?xml version="1.0" encoding="utf-8"?>
<c:userShapes xmlns:c="http://schemas.openxmlformats.org/drawingml/2006/chart">
  <cdr:absSizeAnchor xmlns:cdr="http://schemas.openxmlformats.org/drawingml/2006/chartDrawing">
    <cdr:from>
      <cdr:x>0.81608</cdr:x>
      <cdr:y>0.54327</cdr:y>
    </cdr:from>
    <cdr:ext cx="796018" cy="436785"/>
    <cdr:sp macro="" textlink="">
      <cdr:nvSpPr>
        <cdr:cNvPr id="4" name="ZoneTexte 1"/>
        <cdr:cNvSpPr txBox="1"/>
      </cdr:nvSpPr>
      <cdr:spPr>
        <a:xfrm xmlns:a="http://schemas.openxmlformats.org/drawingml/2006/main">
          <a:off x="5822303" y="1910013"/>
          <a:ext cx="796018" cy="436785"/>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a:t>
          </a:r>
          <a:r>
            <a:rPr lang="fr-FR" sz="1100" b="1" baseline="0">
              <a:solidFill>
                <a:srgbClr val="00B050"/>
              </a:solidFill>
            </a:rPr>
            <a:t> level</a:t>
          </a:r>
          <a:endParaRPr lang="fr-FR" sz="1100" b="1">
            <a:solidFill>
              <a:srgbClr val="00B050"/>
            </a:solidFill>
          </a:endParaRPr>
        </a:p>
      </cdr:txBody>
    </cdr:sp>
  </cdr:absSizeAnchor>
</c:userShapes>
</file>

<file path=xl/drawings/drawing13.xml><?xml version="1.0" encoding="utf-8"?>
<c:userShapes xmlns:c="http://schemas.openxmlformats.org/drawingml/2006/chart">
  <cdr:absSizeAnchor xmlns:cdr="http://schemas.openxmlformats.org/drawingml/2006/chartDrawing">
    <cdr:from>
      <cdr:x>0.82019</cdr:x>
      <cdr:y>0.2098</cdr:y>
    </cdr:from>
    <cdr:ext cx="850804" cy="436786"/>
    <cdr:sp macro="" textlink="">
      <cdr:nvSpPr>
        <cdr:cNvPr id="4" name="ZoneTexte 1"/>
        <cdr:cNvSpPr txBox="1"/>
      </cdr:nvSpPr>
      <cdr:spPr>
        <a:xfrm xmlns:a="http://schemas.openxmlformats.org/drawingml/2006/main">
          <a:off x="5720455" y="711042"/>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 level</a:t>
          </a:r>
        </a:p>
      </cdr:txBody>
    </cdr:sp>
  </cdr:absSizeAnchor>
</c:userShapes>
</file>

<file path=xl/drawings/drawing14.xml><?xml version="1.0" encoding="utf-8"?>
<xdr:wsDr xmlns:xdr="http://schemas.openxmlformats.org/drawingml/2006/spreadsheetDrawing" xmlns:a="http://schemas.openxmlformats.org/drawingml/2006/main">
  <xdr:twoCellAnchor>
    <xdr:from>
      <xdr:col>0</xdr:col>
      <xdr:colOff>164043</xdr:colOff>
      <xdr:row>11</xdr:row>
      <xdr:rowOff>8466</xdr:rowOff>
    </xdr:from>
    <xdr:to>
      <xdr:col>4</xdr:col>
      <xdr:colOff>122465</xdr:colOff>
      <xdr:row>30</xdr:row>
      <xdr:rowOff>95250</xdr:rowOff>
    </xdr:to>
    <xdr:graphicFrame macro="">
      <xdr:nvGraphicFramePr>
        <xdr:cNvPr id="2" name="Graphique 1">
          <a:extLst>
            <a:ext uri="{FF2B5EF4-FFF2-40B4-BE49-F238E27FC236}">
              <a16:creationId xmlns:a16="http://schemas.microsoft.com/office/drawing/2014/main" id="{00000000-0008-0000-0F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295389</xdr:colOff>
      <xdr:row>11</xdr:row>
      <xdr:rowOff>132631</xdr:rowOff>
    </xdr:from>
    <xdr:to>
      <xdr:col>8</xdr:col>
      <xdr:colOff>340180</xdr:colOff>
      <xdr:row>32</xdr:row>
      <xdr:rowOff>92776</xdr:rowOff>
    </xdr:to>
    <xdr:graphicFrame macro="">
      <xdr:nvGraphicFramePr>
        <xdr:cNvPr id="3" name="Graphique 1">
          <a:extLst>
            <a:ext uri="{FF2B5EF4-FFF2-40B4-BE49-F238E27FC236}">
              <a16:creationId xmlns:a16="http://schemas.microsoft.com/office/drawing/2014/main" id="{00000000-0008-0000-0F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33</xdr:row>
      <xdr:rowOff>0</xdr:rowOff>
    </xdr:from>
    <xdr:to>
      <xdr:col>3</xdr:col>
      <xdr:colOff>870100</xdr:colOff>
      <xdr:row>52</xdr:row>
      <xdr:rowOff>86784</xdr:rowOff>
    </xdr:to>
    <xdr:graphicFrame macro="">
      <xdr:nvGraphicFramePr>
        <xdr:cNvPr id="4" name="Graphique 3">
          <a:extLst>
            <a:ext uri="{FF2B5EF4-FFF2-40B4-BE49-F238E27FC236}">
              <a16:creationId xmlns:a16="http://schemas.microsoft.com/office/drawing/2014/main" id="{00000000-0008-0000-0F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131346</xdr:colOff>
      <xdr:row>33</xdr:row>
      <xdr:rowOff>124165</xdr:rowOff>
    </xdr:from>
    <xdr:to>
      <xdr:col>8</xdr:col>
      <xdr:colOff>176137</xdr:colOff>
      <xdr:row>54</xdr:row>
      <xdr:rowOff>84310</xdr:rowOff>
    </xdr:to>
    <xdr:graphicFrame macro="">
      <xdr:nvGraphicFramePr>
        <xdr:cNvPr id="5" name="Graphique 1">
          <a:extLst>
            <a:ext uri="{FF2B5EF4-FFF2-40B4-BE49-F238E27FC236}">
              <a16:creationId xmlns:a16="http://schemas.microsoft.com/office/drawing/2014/main" id="{00000000-0008-0000-0F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5.xml><?xml version="1.0" encoding="utf-8"?>
<c:userShapes xmlns:c="http://schemas.openxmlformats.org/drawingml/2006/chart">
  <cdr:absSizeAnchor xmlns:cdr="http://schemas.openxmlformats.org/drawingml/2006/chartDrawing">
    <cdr:from>
      <cdr:x>0.65754</cdr:x>
      <cdr:y>0.55369</cdr:y>
    </cdr:from>
    <cdr:ext cx="796018" cy="436786"/>
    <cdr:sp macro="" textlink="">
      <cdr:nvSpPr>
        <cdr:cNvPr id="4" name="ZoneTexte 1"/>
        <cdr:cNvSpPr txBox="1"/>
      </cdr:nvSpPr>
      <cdr:spPr>
        <a:xfrm xmlns:a="http://schemas.openxmlformats.org/drawingml/2006/main">
          <a:off x="2182630" y="1765836"/>
          <a:ext cx="796018"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Niveau de référence</a:t>
          </a:r>
        </a:p>
      </cdr:txBody>
    </cdr:sp>
  </cdr:absSizeAnchor>
</c:userShapes>
</file>

<file path=xl/drawings/drawing16.xml><?xml version="1.0" encoding="utf-8"?>
<c:userShapes xmlns:c="http://schemas.openxmlformats.org/drawingml/2006/chart">
  <cdr:absSizeAnchor xmlns:cdr="http://schemas.openxmlformats.org/drawingml/2006/chartDrawing">
    <cdr:from>
      <cdr:x>0.65829</cdr:x>
      <cdr:y>0.30214</cdr:y>
    </cdr:from>
    <cdr:ext cx="850804" cy="436786"/>
    <cdr:sp macro="" textlink="">
      <cdr:nvSpPr>
        <cdr:cNvPr id="4" name="ZoneTexte 1"/>
        <cdr:cNvSpPr txBox="1"/>
      </cdr:nvSpPr>
      <cdr:spPr>
        <a:xfrm xmlns:a="http://schemas.openxmlformats.org/drawingml/2006/main">
          <a:off x="2215110" y="1024007"/>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Niveau de référence</a:t>
          </a:r>
        </a:p>
      </cdr:txBody>
    </cdr:sp>
  </cdr:absSizeAnchor>
</c:userShapes>
</file>

<file path=xl/drawings/drawing17.xml><?xml version="1.0" encoding="utf-8"?>
<c:userShapes xmlns:c="http://schemas.openxmlformats.org/drawingml/2006/chart">
  <cdr:absSizeAnchor xmlns:cdr="http://schemas.openxmlformats.org/drawingml/2006/chartDrawing">
    <cdr:from>
      <cdr:x>0.67394</cdr:x>
      <cdr:y>0.54089</cdr:y>
    </cdr:from>
    <cdr:ext cx="796018" cy="436786"/>
    <cdr:sp macro="" textlink="">
      <cdr:nvSpPr>
        <cdr:cNvPr id="4" name="ZoneTexte 1"/>
        <cdr:cNvSpPr txBox="1"/>
      </cdr:nvSpPr>
      <cdr:spPr>
        <a:xfrm xmlns:a="http://schemas.openxmlformats.org/drawingml/2006/main">
          <a:off x="2237059" y="1725014"/>
          <a:ext cx="796018"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 level</a:t>
          </a:r>
        </a:p>
      </cdr:txBody>
    </cdr:sp>
  </cdr:absSizeAnchor>
</c:userShapes>
</file>

<file path=xl/drawings/drawing18.xml><?xml version="1.0" encoding="utf-8"?>
<c:userShapes xmlns:c="http://schemas.openxmlformats.org/drawingml/2006/chart">
  <cdr:absSizeAnchor xmlns:cdr="http://schemas.openxmlformats.org/drawingml/2006/chartDrawing">
    <cdr:from>
      <cdr:x>0.65829</cdr:x>
      <cdr:y>0.30214</cdr:y>
    </cdr:from>
    <cdr:ext cx="850804" cy="436786"/>
    <cdr:sp macro="" textlink="">
      <cdr:nvSpPr>
        <cdr:cNvPr id="4" name="ZoneTexte 1"/>
        <cdr:cNvSpPr txBox="1"/>
      </cdr:nvSpPr>
      <cdr:spPr>
        <a:xfrm xmlns:a="http://schemas.openxmlformats.org/drawingml/2006/main">
          <a:off x="2215102" y="1023996"/>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 level</a:t>
          </a:r>
        </a:p>
      </cdr:txBody>
    </cdr:sp>
  </cdr:absSizeAnchor>
</c:userShapes>
</file>

<file path=xl/externalLinks/_rels/externalLink1.xml.rels><?xml version="1.0" encoding="UTF-8" standalone="yes"?>
<Relationships xmlns="http://schemas.openxmlformats.org/package/2006/relationships"><Relationship Id="rId1" Type="http://schemas.openxmlformats.org/officeDocument/2006/relationships/externalLinkPath" Target="/RealStats/RealStats%202013%202016.xla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fig"/>
      <sheetName val="Wilcoxon Table"/>
      <sheetName val="Mann Table"/>
      <sheetName val="Runs Table"/>
      <sheetName val="KS Table"/>
      <sheetName val="KS2 Table"/>
      <sheetName val="Lil Table"/>
      <sheetName val="AD Table"/>
      <sheetName val="SW Table"/>
      <sheetName val="Stud. Q Table"/>
      <sheetName val="Stud. Q Table 2"/>
      <sheetName val="Sp Rho Table"/>
      <sheetName val="Ken Tau Table"/>
      <sheetName val="Durbin Table"/>
      <sheetName val="Dunnett Table"/>
      <sheetName val="Prime"/>
      <sheetName val="RealStats 2013 2016"/>
    </sheetNames>
    <definedNames>
      <definedName name="DPTEST"/>
      <definedName name="MTEST"/>
      <definedName name="SWTEST"/>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eur" refreshedDate="44741.443050462964" createdVersion="6" refreshedVersion="8" minRefreshableVersion="3" recordCount="52" xr:uid="{8DEF666A-6C7D-4C16-AD6D-82242760D5D9}">
  <cacheSource type="worksheet">
    <worksheetSource name="liste_groupe"/>
  </cacheSource>
  <cacheFields count="6">
    <cacheField name="Nom sur le graphique" numFmtId="0">
      <sharedItems count="14">
        <s v="Témoin solvant"/>
        <s v="EE2-22,5ng/L"/>
        <s v="EE2-33,8ng/L"/>
        <s v="EE2-50,6ng/L"/>
        <s v="EE2-76ng/L"/>
        <s v="EE2-114ng/L"/>
        <s v="EE2-170,9ng/L"/>
        <s v="EE2-488ng/L"/>
        <s v=" "/>
        <s v="Testo -30µg/L"/>
        <s v="Testo 30µg/L + EE2 -64ng/L"/>
        <s v="Testo 30µg/L + FAD-10µg/L"/>
        <s v="0-00 + Testostérone"/>
        <s v="Testo 30µg/L + FAD-10mg/L" u="1"/>
      </sharedItems>
    </cacheField>
    <cacheField name="Code WF" numFmtId="0">
      <sharedItems containsBlank="1" containsMixedTypes="1" containsNumber="1" containsInteger="1" minValue="0" maxValue="0" count="3">
        <s v="Témoin"/>
        <m/>
        <n v="0"/>
      </sharedItems>
    </cacheField>
    <cacheField name="Concentration" numFmtId="0">
      <sharedItems containsString="0" containsBlank="1" containsNumber="1" minValue="0" maxValue="488"/>
    </cacheField>
    <cacheField name="Unité" numFmtId="0">
      <sharedItems containsBlank="1" containsMixedTypes="1" containsNumber="1" containsInteger="1" minValue="0" maxValue="0"/>
    </cacheField>
    <cacheField name="Nom de l'échantillon donné par le client" numFmtId="0">
      <sharedItems containsBlank="1" containsMixedTypes="1" containsNumber="1" containsInteger="1" minValue="0" maxValue="0"/>
    </cacheField>
    <cacheField name="Dopage (+Testostérone / + EE2, ….)" numFmtId="0">
      <sharedItems containsBlank="1" count="2">
        <m/>
        <s v=" + Testostérone"/>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eur" refreshedDate="44741.443050578702" createdVersion="5" refreshedVersion="8" minRefreshableVersion="3" recordCount="1710" xr:uid="{00000000-000A-0000-FFFF-FFFF14000000}">
  <cacheSource type="worksheet">
    <worksheetSource name="Tableau467"/>
  </cacheSource>
  <cacheFields count="9">
    <cacheField name="Nom groupe" numFmtId="0">
      <sharedItems count="1">
        <s v=""/>
      </sharedItems>
    </cacheField>
    <cacheField name="N° de valeur" numFmtId="0">
      <sharedItems count="1">
        <e v="#VALUE!"/>
      </sharedItems>
    </cacheField>
    <cacheField name="file name" numFmtId="0">
      <sharedItems containsNonDate="0" containsString="0" containsBlank="1"/>
    </cacheField>
    <cacheField name=" total area " numFmtId="0">
      <sharedItems containsNonDate="0" containsString="0" containsBlank="1"/>
    </cacheField>
    <cacheField name=" mean intensity " numFmtId="0">
      <sharedItems containsNonDate="0" containsString="0" containsBlank="1"/>
    </cacheField>
    <cacheField name=" " numFmtId="0">
      <sharedItems containsNonDate="0" containsString="0" containsBlank="1" count="1">
        <m/>
      </sharedItems>
    </cacheField>
    <cacheField name=" total fluorescence" numFmtId="0">
      <sharedItems containsNonDate="0" containsString="0" containsBlank="1"/>
    </cacheField>
    <cacheField name="         " numFmtId="0">
      <sharedItems containsNonDate="0" containsString="0" containsBlank="1"/>
    </cacheField>
    <cacheField name="nbre de larves"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eur" refreshedDate="44741.443050925925" createdVersion="5" refreshedVersion="8" minRefreshableVersion="3" recordCount="1530" xr:uid="{00000000-000A-0000-FFFF-FFFF10000000}">
  <cacheSource type="worksheet">
    <worksheetSource name="Tableau46"/>
  </cacheSource>
  <cacheFields count="9">
    <cacheField name="Nom groupe" numFmtId="0">
      <sharedItems count="1">
        <s v=""/>
      </sharedItems>
    </cacheField>
    <cacheField name="N° de valeur" numFmtId="0">
      <sharedItems count="1">
        <e v="#VALUE!"/>
      </sharedItems>
    </cacheField>
    <cacheField name="file name" numFmtId="0">
      <sharedItems containsNonDate="0" containsString="0" containsBlank="1"/>
    </cacheField>
    <cacheField name=" total area " numFmtId="0">
      <sharedItems containsNonDate="0" containsString="0" containsBlank="1"/>
    </cacheField>
    <cacheField name=" mean intensity " numFmtId="0">
      <sharedItems containsNonDate="0" containsString="0" containsBlank="1"/>
    </cacheField>
    <cacheField name=" " numFmtId="0">
      <sharedItems containsNonDate="0" containsString="0" containsBlank="1" count="1">
        <m/>
      </sharedItems>
    </cacheField>
    <cacheField name=" total fluorescence" numFmtId="0">
      <sharedItems containsNonDate="0" containsString="0" containsBlank="1"/>
    </cacheField>
    <cacheField name="         " numFmtId="0">
      <sharedItems containsNonDate="0" containsString="0" containsBlank="1"/>
    </cacheField>
    <cacheField name="nbre de larves"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eur" refreshedDate="44741.44305115741" createdVersion="5" refreshedVersion="8" minRefreshableVersion="3" recordCount="1556" xr:uid="{00000000-000A-0000-FFFF-FFFF0C000000}">
  <cacheSource type="worksheet">
    <worksheetSource name="Tableau4"/>
  </cacheSource>
  <cacheFields count="9">
    <cacheField name="Nom groupe" numFmtId="0">
      <sharedItems containsBlank="1" count="2">
        <s v=""/>
        <m u="1"/>
      </sharedItems>
    </cacheField>
    <cacheField name="N° de valeur" numFmtId="0">
      <sharedItems count="1">
        <e v="#VALUE!"/>
      </sharedItems>
    </cacheField>
    <cacheField name="file name" numFmtId="0">
      <sharedItems containsNonDate="0" containsString="0" containsBlank="1"/>
    </cacheField>
    <cacheField name=" total area " numFmtId="0">
      <sharedItems containsNonDate="0" containsString="0" containsBlank="1"/>
    </cacheField>
    <cacheField name=" mean intensity " numFmtId="0">
      <sharedItems containsNonDate="0" containsString="0" containsBlank="1"/>
    </cacheField>
    <cacheField name=" " numFmtId="0">
      <sharedItems containsNonDate="0" containsString="0" containsBlank="1" count="1">
        <m/>
      </sharedItems>
    </cacheField>
    <cacheField name=" total fluorescence" numFmtId="0">
      <sharedItems containsNonDate="0" containsString="0" containsBlank="1"/>
    </cacheField>
    <cacheField name="         " numFmtId="0">
      <sharedItems containsNonDate="0" containsString="0" containsBlank="1"/>
    </cacheField>
    <cacheField name="nbre de larves"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
  <r>
    <x v="0"/>
    <x v="0"/>
    <m/>
    <m/>
    <s v="Témoin solvant"/>
    <x v="0"/>
  </r>
  <r>
    <x v="1"/>
    <x v="0"/>
    <n v="22.5"/>
    <s v="ng/L"/>
    <s v="EE2"/>
    <x v="0"/>
  </r>
  <r>
    <x v="2"/>
    <x v="0"/>
    <n v="33.799999999999997"/>
    <s v="ng/L"/>
    <s v="EE2"/>
    <x v="0"/>
  </r>
  <r>
    <x v="3"/>
    <x v="0"/>
    <n v="50.6"/>
    <s v="ng/L"/>
    <s v="EE2"/>
    <x v="0"/>
  </r>
  <r>
    <x v="4"/>
    <x v="0"/>
    <n v="76"/>
    <s v="ng/L"/>
    <s v="EE2"/>
    <x v="0"/>
  </r>
  <r>
    <x v="5"/>
    <x v="0"/>
    <n v="114"/>
    <s v="ng/L"/>
    <s v="EE2"/>
    <x v="0"/>
  </r>
  <r>
    <x v="6"/>
    <x v="0"/>
    <n v="170.9"/>
    <s v="ng/L"/>
    <s v="EE2"/>
    <x v="0"/>
  </r>
  <r>
    <x v="7"/>
    <x v="0"/>
    <n v="488"/>
    <s v="ng/L"/>
    <s v="EE2"/>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9"/>
    <x v="0"/>
    <n v="30"/>
    <s v="µg/L"/>
    <s v="Testo "/>
    <x v="0"/>
  </r>
  <r>
    <x v="10"/>
    <x v="0"/>
    <n v="64"/>
    <s v="ng/L"/>
    <s v="Testo 30µg/L + EE2 "/>
    <x v="0"/>
  </r>
  <r>
    <x v="11"/>
    <x v="0"/>
    <n v="10"/>
    <s v="µg/L"/>
    <s v="Testo 30µg/L + FAD"/>
    <x v="0"/>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10">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30">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56">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Tableau croisé dynamique3" cacheId="11" applyNumberFormats="0" applyBorderFormats="0" applyFontFormats="0" applyPatternFormats="0" applyAlignmentFormats="0" applyWidthHeightFormats="1" dataCaption="Valeurs" updatedVersion="8" minRefreshableVersion="3" rowGrandTotals="0" colGrandTotals="0" itemPrintTitles="1" createdVersion="5" indent="0" outline="1" outlineData="1" multipleFieldFilters="0">
  <location ref="K3:L5" firstHeaderRow="1" firstDataRow="2" firstDataCol="1" rowPageCount="1" colPageCount="1"/>
  <pivotFields count="9">
    <pivotField axis="axisCol" subtotalTop="0" showAll="0">
      <items count="3">
        <item m="1" x="1"/>
        <item x="0"/>
        <item t="default"/>
      </items>
    </pivotField>
    <pivotField axis="axisRow" subtotalTop="0" showAll="0" sortType="ascending">
      <items count="2">
        <item x="0"/>
        <item t="default"/>
      </items>
    </pivotField>
    <pivotField subtotalTop="0" showAll="0"/>
    <pivotField subtotalTop="0" showAll="0"/>
    <pivotField subtotalTop="0" showAll="0"/>
    <pivotField axis="axisPage" subtotalTop="0" showAll="0">
      <items count="2">
        <item x="0"/>
        <item t="default"/>
      </items>
    </pivotField>
    <pivotField dataField="1" subtotalTop="0" showAll="0"/>
    <pivotField subtotalTop="0" showAll="0"/>
    <pivotField subtotalTop="0" showAll="0"/>
  </pivotFields>
  <rowFields count="1">
    <field x="1"/>
  </rowFields>
  <rowItems count="1">
    <i>
      <x/>
    </i>
  </rowItems>
  <colFields count="1">
    <field x="0"/>
  </colFields>
  <colItems count="1">
    <i>
      <x v="1"/>
    </i>
  </colItems>
  <pageFields count="1">
    <pageField fld="5" hier="-1"/>
  </pageFields>
  <dataFields count="1">
    <dataField name="Moyenne de  total fluorescence" fld="6" subtotal="average" baseField="1"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Tableau croisé dynamique3" cacheId="10" applyNumberFormats="0" applyBorderFormats="0" applyFontFormats="0" applyPatternFormats="0" applyAlignmentFormats="0" applyWidthHeightFormats="1" dataCaption="Valeurs" updatedVersion="8" minRefreshableVersion="3" rowGrandTotals="0" colGrandTotals="0" itemPrintTitles="1" createdVersion="5" indent="0" outline="1" outlineData="1" multipleFieldFilters="0">
  <location ref="K3:L5" firstHeaderRow="1" firstDataRow="2" firstDataCol="1" rowPageCount="1" colPageCount="1"/>
  <pivotFields count="9">
    <pivotField axis="axisCol" subtotalTop="0" showAll="0">
      <items count="2">
        <item x="0"/>
        <item t="default"/>
      </items>
    </pivotField>
    <pivotField axis="axisRow" subtotalTop="0" showAll="0">
      <items count="2">
        <item x="0"/>
        <item t="default"/>
      </items>
    </pivotField>
    <pivotField subtotalTop="0" showAll="0"/>
    <pivotField subtotalTop="0" showAll="0"/>
    <pivotField subtotalTop="0" showAll="0"/>
    <pivotField axis="axisPage" subtotalTop="0" showAll="0">
      <items count="2">
        <item x="0"/>
        <item t="default"/>
      </items>
    </pivotField>
    <pivotField dataField="1" subtotalTop="0" showAll="0"/>
    <pivotField subtotalTop="0" showAll="0"/>
    <pivotField subtotalTop="0" showAll="0"/>
  </pivotFields>
  <rowFields count="1">
    <field x="1"/>
  </rowFields>
  <rowItems count="1">
    <i>
      <x/>
    </i>
  </rowItems>
  <colFields count="1">
    <field x="0"/>
  </colFields>
  <colItems count="1">
    <i>
      <x/>
    </i>
  </colItems>
  <pageFields count="1">
    <pageField fld="5" hier="-1"/>
  </pageFields>
  <dataFields count="1">
    <dataField name="Moyenne de  total fluorescence" fld="6" subtotal="average" baseField="1"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Tableau croisé dynamique3" cacheId="9" applyNumberFormats="0" applyBorderFormats="0" applyFontFormats="0" applyPatternFormats="0" applyAlignmentFormats="0" applyWidthHeightFormats="1" dataCaption="Valeurs" updatedVersion="8" minRefreshableVersion="3" rowGrandTotals="0" colGrandTotals="0" itemPrintTitles="1" createdVersion="5" indent="0" outline="1" outlineData="1" multipleFieldFilters="0">
  <location ref="K3:L5" firstHeaderRow="1" firstDataRow="2" firstDataCol="1" rowPageCount="1" colPageCount="1"/>
  <pivotFields count="9">
    <pivotField axis="axisCol" subtotalTop="0" showAll="0">
      <items count="2">
        <item x="0"/>
        <item t="default"/>
      </items>
    </pivotField>
    <pivotField axis="axisRow" subtotalTop="0" showAll="0">
      <items count="2">
        <item x="0"/>
        <item t="default"/>
      </items>
    </pivotField>
    <pivotField subtotalTop="0" showAll="0"/>
    <pivotField subtotalTop="0" showAll="0"/>
    <pivotField subtotalTop="0" showAll="0"/>
    <pivotField axis="axisPage" subtotalTop="0" showAll="0">
      <items count="2">
        <item x="0"/>
        <item t="default"/>
      </items>
    </pivotField>
    <pivotField dataField="1" subtotalTop="0" showAll="0"/>
    <pivotField subtotalTop="0" showAll="0"/>
    <pivotField subtotalTop="0" showAll="0"/>
  </pivotFields>
  <rowFields count="1">
    <field x="1"/>
  </rowFields>
  <rowItems count="1">
    <i>
      <x/>
    </i>
  </rowItems>
  <colFields count="1">
    <field x="0"/>
  </colFields>
  <colItems count="1">
    <i>
      <x/>
    </i>
  </colItems>
  <pageFields count="1">
    <pageField fld="5" hier="-1"/>
  </pageFields>
  <dataFields count="1">
    <dataField name="Moyenne de  total fluorescence" fld="6" subtotal="average" baseField="1"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BEAF9C9-0BF8-4385-8AFD-DA7A17EBEF6D}" name="Tableau croisé dynamique3" cacheId="8" applyNumberFormats="0" applyBorderFormats="0" applyFontFormats="0" applyPatternFormats="0" applyAlignmentFormats="0" applyWidthHeightFormats="1" dataCaption="Valeurs" updatedVersion="8" minRefreshableVersion="3" rowGrandTotals="0" colGrandTotals="0" itemPrintTitles="1" createdVersion="5" indent="0" outline="1" outlineData="1" multipleFieldFilters="0">
  <location ref="U5:U6" firstHeaderRow="1" firstDataRow="1" firstDataCol="1" rowPageCount="2" colPageCount="1"/>
  <pivotFields count="6">
    <pivotField axis="axisRow" showAll="0" defaultSubtotal="0">
      <items count="14">
        <item x="12"/>
        <item x="8"/>
        <item x="1"/>
        <item x="2"/>
        <item x="3"/>
        <item x="4"/>
        <item x="5"/>
        <item x="6"/>
        <item x="7"/>
        <item x="10"/>
        <item m="1" x="13"/>
        <item x="9"/>
        <item x="0"/>
        <item x="11"/>
      </items>
    </pivotField>
    <pivotField axis="axisPage" multipleItemSelectionAllowed="1" showAll="0" defaultSubtotal="0">
      <items count="3">
        <item x="2"/>
        <item h="1" x="0"/>
        <item x="1"/>
      </items>
    </pivotField>
    <pivotField showAll="0" defaultSubtotal="0"/>
    <pivotField showAll="0" defaultSubtotal="0"/>
    <pivotField showAll="0" defaultSubtotal="0"/>
    <pivotField axis="axisPage" showAll="0" defaultSubtotal="0">
      <items count="2">
        <item x="1"/>
        <item x="0"/>
      </items>
    </pivotField>
  </pivotFields>
  <rowFields count="1">
    <field x="0"/>
  </rowFields>
  <rowItems count="1">
    <i>
      <x/>
    </i>
  </rowItems>
  <colItems count="1">
    <i/>
  </colItems>
  <pageFields count="2">
    <pageField fld="1" hier="-1"/>
    <pageField fld="5" item="0" hier="-1"/>
  </page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B7EBC52-00CD-4364-A425-54249E53BA82}" name="Tableau croisé dynamique2" cacheId="8" applyNumberFormats="0" applyBorderFormats="0" applyFontFormats="0" applyPatternFormats="0" applyAlignmentFormats="0" applyWidthHeightFormats="1" dataCaption="Valeurs" updatedVersion="8" minRefreshableVersion="3" rowGrandTotals="0" colGrandTotals="0" itemPrintTitles="1" createdVersion="5" indent="0" outline="1" outlineData="1" multipleFieldFilters="0">
  <location ref="Q5:Q6" firstHeaderRow="1" firstDataRow="1" firstDataCol="1" rowPageCount="2" colPageCount="1"/>
  <pivotFields count="6">
    <pivotField axis="axisRow" showAll="0" defaultSubtotal="0">
      <items count="14">
        <item x="12"/>
        <item x="8"/>
        <item x="1"/>
        <item x="2"/>
        <item x="3"/>
        <item x="4"/>
        <item x="5"/>
        <item x="6"/>
        <item x="7"/>
        <item x="10"/>
        <item m="1" x="13"/>
        <item x="9"/>
        <item x="0"/>
        <item x="11"/>
      </items>
    </pivotField>
    <pivotField axis="axisPage" multipleItemSelectionAllowed="1" showAll="0" defaultSubtotal="0">
      <items count="3">
        <item x="2"/>
        <item x="1"/>
        <item h="1" x="0"/>
      </items>
    </pivotField>
    <pivotField showAll="0" defaultSubtotal="0"/>
    <pivotField showAll="0" defaultSubtotal="0"/>
    <pivotField showAll="0" defaultSubtotal="0"/>
    <pivotField axis="axisPage" showAll="0" defaultSubtotal="0">
      <items count="2">
        <item x="1"/>
        <item x="0"/>
      </items>
    </pivotField>
  </pivotFields>
  <rowFields count="1">
    <field x="0"/>
  </rowFields>
  <rowItems count="1">
    <i>
      <x v="1"/>
    </i>
  </rowItems>
  <colItems count="1">
    <i/>
  </colItems>
  <pageFields count="2">
    <pageField fld="1" hier="-1"/>
    <pageField fld="5" item="1" hier="-1"/>
  </page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liste_groupe" displayName="liste_groupe" ref="A6:F58" totalsRowShown="0" headerRowDxfId="41" dataDxfId="40" tableBorderDxfId="39">
  <autoFilter ref="A6:F58" xr:uid="{00000000-0009-0000-0100-000001000000}"/>
  <tableColumns count="6">
    <tableColumn id="4" xr3:uid="{00000000-0010-0000-0000-000004000000}" name="Nom sur le graphique" dataDxfId="38">
      <calculatedColumnFormula>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calculatedColumnFormula>
    </tableColumn>
    <tableColumn id="1" xr3:uid="{00000000-0010-0000-0000-000001000000}" name="Code WF" dataDxfId="37">
      <calculatedColumnFormula>A2</calculatedColumnFormula>
    </tableColumn>
    <tableColumn id="2" xr3:uid="{00000000-0010-0000-0000-000002000000}" name="Concentration" dataDxfId="36">
      <calculatedColumnFormula>B2</calculatedColumnFormula>
    </tableColumn>
    <tableColumn id="10" xr3:uid="{00000000-0010-0000-0000-00000A000000}" name="Unité" dataDxfId="35"/>
    <tableColumn id="3" xr3:uid="{00000000-0010-0000-0000-000003000000}" name="Nom de l'échantillon donné par le client" dataDxfId="34">
      <calculatedColumnFormula>C2</calculatedColumnFormula>
    </tableColumn>
    <tableColumn id="9" xr3:uid="{00000000-0010-0000-0000-000009000000}" name="Dopage (+Testostérone / + EE2, ….)" dataDxfId="33"/>
  </tableColumns>
  <tableStyleInfo name="TableStyleLight15"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1000000}" name="Tableau7" displayName="Tableau7" ref="A1:I7" totalsRowShown="0">
  <autoFilter ref="A1:I7" xr:uid="{00000000-0009-0000-0100-000007000000}"/>
  <tableColumns count="9">
    <tableColumn id="1" xr3:uid="{00000000-0010-0000-0100-000001000000}" name="Nom groupe"/>
    <tableColumn id="2" xr3:uid="{00000000-0010-0000-0100-000002000000}" name="N° de valeur"/>
    <tableColumn id="3" xr3:uid="{00000000-0010-0000-0100-000003000000}" name="file name"/>
    <tableColumn id="4" xr3:uid="{00000000-0010-0000-0100-000004000000}" name=" total area "/>
    <tableColumn id="5" xr3:uid="{00000000-0010-0000-0100-000005000000}" name=" mean intensity "/>
    <tableColumn id="6" xr3:uid="{00000000-0010-0000-0100-000006000000}" name=" "/>
    <tableColumn id="7" xr3:uid="{00000000-0010-0000-0100-000007000000}" name=" total fluorescence"/>
    <tableColumn id="8" xr3:uid="{00000000-0010-0000-0100-000008000000}" name="         "/>
    <tableColumn id="9" xr3:uid="{00000000-0010-0000-0100-000009000000}" name="nbre de larve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Tableau4" displayName="Tableau4" ref="A1:I1557" totalsRowShown="0">
  <autoFilter ref="A1:I1557" xr:uid="{00000000-0009-0000-0100-000004000000}"/>
  <tableColumns count="9">
    <tableColumn id="1" xr3:uid="{00000000-0010-0000-0200-000001000000}" name="Nom groupe" dataDxfId="30">
      <calculatedColumnFormula>IFERROR(LEFT(RIGHT(C2,LEN(C2)-SEARCH("@",C2)),SEARCH("/",RIGHT(C2,LEN(C2)-SEARCH("@",C2)-1))),"")</calculatedColumnFormula>
    </tableColumn>
    <tableColumn id="2" xr3:uid="{00000000-0010-0000-0200-000002000000}" name="N° de valeur" dataDxfId="29">
      <calculatedColumnFormula>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calculatedColumnFormula>
    </tableColumn>
    <tableColumn id="3" xr3:uid="{00000000-0010-0000-0200-000003000000}" name="file name"/>
    <tableColumn id="4" xr3:uid="{00000000-0010-0000-0200-000004000000}" name=" total area "/>
    <tableColumn id="5" xr3:uid="{00000000-0010-0000-0200-000005000000}" name=" mean intensity "/>
    <tableColumn id="6" xr3:uid="{00000000-0010-0000-0200-000006000000}" name=" "/>
    <tableColumn id="7" xr3:uid="{00000000-0010-0000-0200-000007000000}" name=" total fluorescence"/>
    <tableColumn id="8" xr3:uid="{00000000-0010-0000-0200-000008000000}" name="         "/>
    <tableColumn id="9" xr3:uid="{00000000-0010-0000-0200-000009000000}" name="nbre de larves"/>
  </tableColumns>
  <tableStyleInfo name="TableStyleLight16"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3000000}" name="Tableau46" displayName="Tableau46" ref="A1:I1531" totalsRowShown="0">
  <autoFilter ref="A1:I1531" xr:uid="{00000000-0009-0000-0100-000005000000}"/>
  <tableColumns count="9">
    <tableColumn id="1" xr3:uid="{00000000-0010-0000-0300-000001000000}" name="Nom groupe" dataDxfId="26">
      <calculatedColumnFormula>IFERROR(LEFT(RIGHT(C2,LEN(C2)-SEARCH("@",C2)),SEARCH("/",RIGHT(C2,LEN(C2)-SEARCH("@",C2)-1))),"")</calculatedColumnFormula>
    </tableColumn>
    <tableColumn id="2" xr3:uid="{00000000-0010-0000-0300-000002000000}" name="N° de valeur" dataDxfId="25">
      <calculatedColumnFormula>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calculatedColumnFormula>
    </tableColumn>
    <tableColumn id="3" xr3:uid="{00000000-0010-0000-0300-000003000000}" name="file name"/>
    <tableColumn id="4" xr3:uid="{00000000-0010-0000-0300-000004000000}" name=" total area "/>
    <tableColumn id="5" xr3:uid="{00000000-0010-0000-0300-000005000000}" name=" mean intensity "/>
    <tableColumn id="6" xr3:uid="{00000000-0010-0000-0300-000006000000}" name=" "/>
    <tableColumn id="7" xr3:uid="{00000000-0010-0000-0300-000007000000}" name=" total fluorescence"/>
    <tableColumn id="8" xr3:uid="{00000000-0010-0000-0300-000008000000}" name="         "/>
    <tableColumn id="9" xr3:uid="{00000000-0010-0000-0300-000009000000}" name="nbre de larves"/>
  </tableColumns>
  <tableStyleInfo name="TableStyleLight16"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4000000}" name="Tableau467" displayName="Tableau467" ref="A1:I1711" totalsRowShown="0">
  <autoFilter ref="A1:I1711" xr:uid="{00000000-0009-0000-0100-000006000000}"/>
  <tableColumns count="9">
    <tableColumn id="1" xr3:uid="{00000000-0010-0000-0400-000001000000}" name="Nom groupe" dataDxfId="22">
      <calculatedColumnFormula>IFERROR(LEFT(RIGHT(C2,LEN(C2)-SEARCH("@",C2)),SEARCH("/",RIGHT(C2,LEN(C2)-SEARCH("@",C2)-1))),"")</calculatedColumnFormula>
    </tableColumn>
    <tableColumn id="2" xr3:uid="{00000000-0010-0000-0400-000002000000}" name="N° de valeur" dataDxfId="21">
      <calculatedColumnFormula>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calculatedColumnFormula>
    </tableColumn>
    <tableColumn id="3" xr3:uid="{00000000-0010-0000-0400-000003000000}" name="file name"/>
    <tableColumn id="4" xr3:uid="{00000000-0010-0000-0400-000004000000}" name=" total area "/>
    <tableColumn id="5" xr3:uid="{00000000-0010-0000-0400-000005000000}" name=" mean intensity "/>
    <tableColumn id="6" xr3:uid="{00000000-0010-0000-0400-000006000000}" name=" "/>
    <tableColumn id="7" xr3:uid="{00000000-0010-0000-0400-000007000000}" name=" total fluorescence"/>
    <tableColumn id="8" xr3:uid="{00000000-0010-0000-0400-000008000000}" name="         "/>
    <tableColumn id="9" xr3:uid="{00000000-0010-0000-0400-000009000000}" name="nbre de larves"/>
  </tableColumns>
  <tableStyleInfo name="TableStyleLight16"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5000000}" name="Tableau2" displayName="Tableau2" ref="A1:G2" totalsRowShown="0" headerRowDxfId="20" dataDxfId="19" tableBorderDxfId="18">
  <autoFilter ref="A1:G2" xr:uid="{00000000-0009-0000-0100-000002000000}"/>
  <tableColumns count="7">
    <tableColumn id="1" xr3:uid="{00000000-0010-0000-0500-000001000000}" name="Description" dataDxfId="17"/>
    <tableColumn id="2" xr3:uid="{00000000-0010-0000-0500-000002000000}" name="Problème" dataDxfId="16"/>
    <tableColumn id="3" xr3:uid="{00000000-0010-0000-0500-000003000000}" name="EqH RAPPORT" dataDxfId="15"/>
    <tableColumn id="4" xr3:uid="{00000000-0010-0000-0500-000004000000}" name="% atteinte du seuil RAPPORT" dataDxfId="14"/>
    <tableColumn id="5" xr3:uid="{00000000-0010-0000-0500-000005000000}" name="Valeur échelle sur graphique RAPPORT" dataDxfId="13"/>
    <tableColumn id="6" xr3:uid="{00000000-0010-0000-0500-000006000000}" name="EqH BASE DE DONNEES" dataDxfId="12"/>
    <tableColumn id="7" xr3:uid="{00000000-0010-0000-0500-000007000000}" name="% BASE DE DONNEES" dataDxfId="11"/>
  </tableColumns>
  <tableStyleInfo name="TableStyleLight15"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6000000}" name="Tableau3" displayName="Tableau3" ref="A1:N15" totalsRowShown="0" headerRowDxfId="10">
  <autoFilter ref="A1:N15" xr:uid="{00000000-0009-0000-0100-000003000000}"/>
  <tableColumns count="14">
    <tableColumn id="1" xr3:uid="{00000000-0010-0000-0600-000001000000}" name="Nom ND">
      <calculatedColumnFormula>Q6</calculatedColumnFormula>
    </tableColumn>
    <tableColumn id="2" xr3:uid="{00000000-0010-0000-0600-000002000000}" name="Nom D" dataDxfId="9">
      <calculatedColumnFormula>U6</calculatedColumnFormula>
    </tableColumn>
    <tableColumn id="3" xr3:uid="{00000000-0010-0000-0600-000003000000}" name="CHG-protocole"/>
    <tableColumn id="4" xr3:uid="{00000000-0010-0000-0600-000004000000}" name="CHG-dilution" dataDxfId="8">
      <calculatedColumnFormula>CONCATENATE(VLOOKUP(Tableau3[[#This Row],[Nom ND]],liste_groupe[],3,FALSE),VLOOKUP(Tableau3[[#This Row],[Nom ND]],liste_groupe[],4,FALSE))</calculatedColumnFormula>
    </tableColumn>
    <tableColumn id="5" xr3:uid="{00000000-0010-0000-0600-000005000000}" name="CHG-induction ND" dataDxfId="7">
      <calculatedColumnFormula>HLOOKUP(Tableau3[[#This Row],[Nom ND]],'pooled normalised values'!$B$74:$V$83,4,FALSE)</calculatedColumnFormula>
    </tableColumn>
    <tableColumn id="6" xr3:uid="{00000000-0010-0000-0600-000006000000}" name="CHG-test ND" dataDxfId="6">
      <calculatedColumnFormula>HLOOKUP(Tableau3[[#This Row],[Nom ND]],'pooled normalised values'!$B$74:$V$83,8,FALSE)</calculatedColumnFormula>
    </tableColumn>
    <tableColumn id="8" xr3:uid="{00000000-0010-0000-0600-000008000000}" name="CHG-EQH ND" dataDxfId="5">
      <calculatedColumnFormula>VLOOKUP(Tableau3[[#This Row],[Nom ND]],'summary results'!$A$6:$N$26,9,FALSE)</calculatedColumnFormula>
    </tableColumn>
    <tableColumn id="9" xr3:uid="{00000000-0010-0000-0600-000009000000}" name="CHG-% atteinte du seuil ND" dataDxfId="4">
      <calculatedColumnFormula>VLOOKUP(Tableau3[[#This Row],[Nom ND]],'summary results'!$A$6:$N$26,11,FALSE)</calculatedColumnFormula>
    </tableColumn>
    <tableColumn id="10" xr3:uid="{00000000-0010-0000-0600-00000A000000}" name="CHG-induction D" dataDxfId="3">
      <calculatedColumnFormula>HLOOKUP(Tableau3[[#This Row],[Nom D]],'pooled normalised values'!$B$74:$V$83,4,FALSE)</calculatedColumnFormula>
    </tableColumn>
    <tableColumn id="11" xr3:uid="{00000000-0010-0000-0600-00000B000000}" name="CHG-test D" dataDxfId="2">
      <calculatedColumnFormula>HLOOKUP(Tableau3[[#This Row],[Nom D]],'pooled normalised values'!$B$74:$V$83,8,FALSE)</calculatedColumnFormula>
    </tableColumn>
    <tableColumn id="13" xr3:uid="{00000000-0010-0000-0600-00000D000000}" name="CHG-EQH D" dataDxfId="1">
      <calculatedColumnFormula>VLOOKUP(Tableau3[[#This Row],[Nom D]],'summary results'!$A$29:$N$51,9,FALSE)</calculatedColumnFormula>
    </tableColumn>
    <tableColumn id="14" xr3:uid="{00000000-0010-0000-0600-00000E000000}" name="CHG-% atteinte seuil D" dataDxfId="0">
      <calculatedColumnFormula>VLOOKUP(Tableau3[[#This Row],[Nom D]],'summary results'!$A$29:$N$51,11,FALSE)</calculatedColumnFormula>
    </tableColumn>
    <tableColumn id="15" xr3:uid="{00000000-0010-0000-0600-00000F000000}" name="CHG-Testo+EE2">
      <calculatedColumnFormula>'summary results'!$G$30</calculatedColumnFormula>
    </tableColumn>
    <tableColumn id="16" xr3:uid="{00000000-0010-0000-0600-000010000000}" name="CHG-Testo+Fad">
      <calculatedColumnFormula>'summary results'!$G$31</calculatedColumnFormula>
    </tableColumn>
  </tableColumns>
  <tableStyleInfo name="TableStyleLight15" showFirstColumn="0" showLastColumn="0" showRowStripes="0"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58"/>
  <sheetViews>
    <sheetView showGridLines="0" zoomScale="55" zoomScaleNormal="55" workbookViewId="0">
      <selection activeCell="B15" sqref="B15:B19"/>
    </sheetView>
  </sheetViews>
  <sheetFormatPr baseColWidth="10" defaultRowHeight="39" customHeight="1" x14ac:dyDescent="0.35"/>
  <cols>
    <col min="1" max="1" width="42" bestFit="1" customWidth="1"/>
    <col min="2" max="2" width="33.81640625" style="44" bestFit="1" customWidth="1"/>
    <col min="3" max="3" width="21.26953125" customWidth="1"/>
    <col min="4" max="4" width="30.453125" customWidth="1"/>
    <col min="5" max="5" width="62.26953125" style="160" bestFit="1" customWidth="1"/>
    <col min="6" max="6" width="56.7265625" bestFit="1" customWidth="1"/>
    <col min="7" max="7" width="19.453125" customWidth="1"/>
    <col min="8" max="8" width="15.26953125" customWidth="1"/>
    <col min="9" max="9" width="18" customWidth="1"/>
    <col min="10" max="10" width="19.54296875" bestFit="1" customWidth="1"/>
  </cols>
  <sheetData>
    <row r="1" spans="1:9" ht="39" customHeight="1" thickBot="1" x14ac:dyDescent="0.4">
      <c r="A1" s="195" t="s">
        <v>36</v>
      </c>
      <c r="B1" s="196"/>
      <c r="C1" s="196"/>
      <c r="D1" s="196"/>
      <c r="E1" s="196"/>
      <c r="F1" s="196"/>
      <c r="G1" s="196"/>
      <c r="H1" s="196"/>
      <c r="I1" s="197"/>
    </row>
    <row r="2" spans="1:9" ht="21" x14ac:dyDescent="0.5">
      <c r="A2" s="188" t="s">
        <v>17</v>
      </c>
      <c r="B2" s="42" t="s">
        <v>115</v>
      </c>
      <c r="C2" s="198"/>
      <c r="D2" s="199"/>
      <c r="E2" s="42" t="s">
        <v>21</v>
      </c>
      <c r="F2" s="210"/>
      <c r="G2" s="211"/>
      <c r="H2" s="211"/>
      <c r="I2" s="212"/>
    </row>
    <row r="3" spans="1:9" ht="21" x14ac:dyDescent="0.5">
      <c r="A3" s="189" t="s">
        <v>18</v>
      </c>
      <c r="B3" s="43" t="s">
        <v>115</v>
      </c>
      <c r="C3" s="200"/>
      <c r="D3" s="201"/>
      <c r="E3" s="43" t="s">
        <v>21</v>
      </c>
      <c r="F3" s="207"/>
      <c r="G3" s="208"/>
      <c r="H3" s="208"/>
      <c r="I3" s="209"/>
    </row>
    <row r="4" spans="1:9" ht="21.5" thickBot="1" x14ac:dyDescent="0.55000000000000004">
      <c r="A4" s="190" t="s">
        <v>22</v>
      </c>
      <c r="B4" s="178" t="s">
        <v>115</v>
      </c>
      <c r="C4" s="202"/>
      <c r="D4" s="203"/>
      <c r="E4" s="178" t="s">
        <v>21</v>
      </c>
      <c r="F4" s="204"/>
      <c r="G4" s="205"/>
      <c r="H4" s="205"/>
      <c r="I4" s="206"/>
    </row>
    <row r="5" spans="1:9" s="1" customFormat="1" ht="65.25" customHeight="1" thickBot="1" x14ac:dyDescent="0.4">
      <c r="A5" s="195" t="s">
        <v>37</v>
      </c>
      <c r="B5" s="196"/>
      <c r="C5" s="196"/>
      <c r="D5" s="196"/>
      <c r="E5" s="196"/>
      <c r="F5" s="196"/>
      <c r="G5" s="196"/>
      <c r="H5" s="196"/>
      <c r="I5" s="197"/>
    </row>
    <row r="6" spans="1:9" s="109" customFormat="1" ht="39" customHeight="1" x14ac:dyDescent="0.5">
      <c r="A6" s="75" t="s">
        <v>35</v>
      </c>
      <c r="B6" s="100" t="s">
        <v>7</v>
      </c>
      <c r="C6" s="64" t="s">
        <v>19</v>
      </c>
      <c r="D6" s="64" t="s">
        <v>75</v>
      </c>
      <c r="E6" s="157" t="s">
        <v>51</v>
      </c>
      <c r="F6" s="108" t="s">
        <v>78</v>
      </c>
    </row>
    <row r="7" spans="1:9" s="166" customFormat="1" ht="39" customHeight="1" x14ac:dyDescent="0.5">
      <c r="A7" s="16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Témoin solvant</v>
      </c>
      <c r="B7" s="162" t="s">
        <v>123</v>
      </c>
      <c r="C7" s="163"/>
      <c r="D7" s="164"/>
      <c r="E7" s="165" t="s">
        <v>125</v>
      </c>
      <c r="F7" s="110"/>
    </row>
    <row r="8" spans="1:9" s="166" customFormat="1" ht="39" customHeight="1" x14ac:dyDescent="0.5">
      <c r="A8" s="16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EE2-22,5ng/L</v>
      </c>
      <c r="B8" s="162" t="s">
        <v>123</v>
      </c>
      <c r="C8" s="163">
        <v>22.5</v>
      </c>
      <c r="D8" s="164" t="s">
        <v>124</v>
      </c>
      <c r="E8" s="165" t="s">
        <v>126</v>
      </c>
      <c r="F8" s="110"/>
    </row>
    <row r="9" spans="1:9" s="166" customFormat="1" ht="39" customHeight="1" x14ac:dyDescent="0.5">
      <c r="A9" s="16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EE2-33,8ng/L</v>
      </c>
      <c r="B9" s="162" t="s">
        <v>123</v>
      </c>
      <c r="C9" s="163">
        <v>33.799999999999997</v>
      </c>
      <c r="D9" s="164" t="s">
        <v>124</v>
      </c>
      <c r="E9" s="165" t="s">
        <v>126</v>
      </c>
      <c r="F9" s="110"/>
    </row>
    <row r="10" spans="1:9" s="166" customFormat="1" ht="39" customHeight="1" x14ac:dyDescent="0.5">
      <c r="A10" s="16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EE2-50,6ng/L</v>
      </c>
      <c r="B10" s="162" t="s">
        <v>123</v>
      </c>
      <c r="C10" s="163">
        <v>50.6</v>
      </c>
      <c r="D10" s="164" t="s">
        <v>124</v>
      </c>
      <c r="E10" s="165" t="s">
        <v>126</v>
      </c>
      <c r="F10" s="110"/>
    </row>
    <row r="11" spans="1:9" s="166" customFormat="1" ht="39" customHeight="1" x14ac:dyDescent="0.5">
      <c r="A11" s="16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EE2-76ng/L</v>
      </c>
      <c r="B11" s="162" t="s">
        <v>123</v>
      </c>
      <c r="C11" s="163">
        <v>76</v>
      </c>
      <c r="D11" s="164" t="s">
        <v>124</v>
      </c>
      <c r="E11" s="165" t="s">
        <v>126</v>
      </c>
      <c r="F11" s="110"/>
    </row>
    <row r="12" spans="1:9" s="166" customFormat="1" ht="39" customHeight="1" x14ac:dyDescent="0.5">
      <c r="A12" s="16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EE2-114ng/L</v>
      </c>
      <c r="B12" s="162" t="s">
        <v>123</v>
      </c>
      <c r="C12" s="163">
        <v>114</v>
      </c>
      <c r="D12" s="164" t="s">
        <v>124</v>
      </c>
      <c r="E12" s="165" t="s">
        <v>126</v>
      </c>
      <c r="F12" s="110"/>
    </row>
    <row r="13" spans="1:9" s="166" customFormat="1" ht="39" customHeight="1" x14ac:dyDescent="0.5">
      <c r="A13" s="16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EE2-170,9ng/L</v>
      </c>
      <c r="B13" s="162" t="s">
        <v>123</v>
      </c>
      <c r="C13" s="163">
        <v>170.9</v>
      </c>
      <c r="D13" s="164" t="s">
        <v>124</v>
      </c>
      <c r="E13" s="165" t="s">
        <v>126</v>
      </c>
      <c r="F13" s="110"/>
    </row>
    <row r="14" spans="1:9" s="166" customFormat="1" ht="39" customHeight="1" x14ac:dyDescent="0.5">
      <c r="A14" s="16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EE2-488ng/L</v>
      </c>
      <c r="B14" s="162" t="s">
        <v>123</v>
      </c>
      <c r="C14" s="163">
        <v>488</v>
      </c>
      <c r="D14" s="164" t="s">
        <v>124</v>
      </c>
      <c r="E14" s="165" t="s">
        <v>126</v>
      </c>
      <c r="F14" s="110"/>
    </row>
    <row r="15" spans="1:9" s="166" customFormat="1" ht="39" customHeight="1" x14ac:dyDescent="0.5">
      <c r="A15" s="16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Dutasteride-0,01mg/L</v>
      </c>
      <c r="B15" s="162" t="s">
        <v>166</v>
      </c>
      <c r="C15" s="163">
        <v>0.01</v>
      </c>
      <c r="D15" s="164" t="s">
        <v>167</v>
      </c>
      <c r="E15" s="165" t="s">
        <v>168</v>
      </c>
      <c r="F15" s="110"/>
    </row>
    <row r="16" spans="1:9" s="111" customFormat="1" ht="39" customHeight="1" x14ac:dyDescent="0.35">
      <c r="A16"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Dutasteride-0,1mg/L</v>
      </c>
      <c r="B16" s="162" t="s">
        <v>166</v>
      </c>
      <c r="C16" s="105">
        <v>0.1</v>
      </c>
      <c r="D16" s="164" t="s">
        <v>167</v>
      </c>
      <c r="E16" s="165" t="s">
        <v>168</v>
      </c>
      <c r="F16" s="110"/>
    </row>
    <row r="17" spans="1:6" s="111" customFormat="1" ht="39" customHeight="1" x14ac:dyDescent="0.35">
      <c r="A17"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Dutasteride-0,25mg/L</v>
      </c>
      <c r="B17" s="162" t="s">
        <v>166</v>
      </c>
      <c r="C17" s="105">
        <v>0.25</v>
      </c>
      <c r="D17" s="164" t="s">
        <v>167</v>
      </c>
      <c r="E17" s="165" t="s">
        <v>168</v>
      </c>
      <c r="F17" s="110"/>
    </row>
    <row r="18" spans="1:6" s="111" customFormat="1" ht="39" customHeight="1" x14ac:dyDescent="0.35">
      <c r="A18"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Dutasteride-0,5mg/L</v>
      </c>
      <c r="B18" s="162" t="s">
        <v>166</v>
      </c>
      <c r="C18" s="105">
        <v>0.5</v>
      </c>
      <c r="D18" s="164" t="s">
        <v>167</v>
      </c>
      <c r="E18" s="165" t="s">
        <v>168</v>
      </c>
      <c r="F18" s="110"/>
    </row>
    <row r="19" spans="1:6" s="111" customFormat="1" ht="39" customHeight="1" x14ac:dyDescent="0.35">
      <c r="A19"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Dutasteride-1mg/L</v>
      </c>
      <c r="B19" s="162" t="s">
        <v>166</v>
      </c>
      <c r="C19" s="105">
        <v>1</v>
      </c>
      <c r="D19" s="164" t="s">
        <v>167</v>
      </c>
      <c r="E19" s="165" t="s">
        <v>168</v>
      </c>
      <c r="F19" s="110"/>
    </row>
    <row r="20" spans="1:6" s="111" customFormat="1" ht="39" customHeight="1" x14ac:dyDescent="0.35">
      <c r="A20"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0" s="40"/>
      <c r="C20" s="105"/>
      <c r="D20" s="105"/>
      <c r="E20" s="40"/>
      <c r="F20" s="110"/>
    </row>
    <row r="21" spans="1:6" s="111" customFormat="1" ht="39" customHeight="1" x14ac:dyDescent="0.35">
      <c r="A21"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1" s="101"/>
      <c r="C21" s="105"/>
      <c r="D21" s="105"/>
      <c r="E21" s="101"/>
      <c r="F21" s="110"/>
    </row>
    <row r="22" spans="1:6" s="111" customFormat="1" ht="39" customHeight="1" x14ac:dyDescent="0.35">
      <c r="A22"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2" s="40"/>
      <c r="C22" s="105"/>
      <c r="D22" s="105"/>
      <c r="E22" s="40"/>
      <c r="F22" s="110"/>
    </row>
    <row r="23" spans="1:6" s="111" customFormat="1" ht="39" customHeight="1" x14ac:dyDescent="0.35">
      <c r="A23"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3" s="101"/>
      <c r="C23" s="105"/>
      <c r="D23" s="105"/>
      <c r="E23" s="101"/>
      <c r="F23" s="110"/>
    </row>
    <row r="24" spans="1:6" s="111" customFormat="1" ht="39" customHeight="1" x14ac:dyDescent="0.35">
      <c r="A24"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4" s="40"/>
      <c r="C24" s="105"/>
      <c r="D24" s="105"/>
      <c r="E24" s="40"/>
      <c r="F24" s="110"/>
    </row>
    <row r="25" spans="1:6" s="111" customFormat="1" ht="39" customHeight="1" x14ac:dyDescent="0.35">
      <c r="A25"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5" s="101"/>
      <c r="C25" s="105"/>
      <c r="D25" s="105"/>
      <c r="E25" s="101"/>
      <c r="F25" s="110"/>
    </row>
    <row r="26" spans="1:6" s="111" customFormat="1" ht="39" customHeight="1" x14ac:dyDescent="0.35">
      <c r="A26"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6" s="40"/>
      <c r="C26" s="105"/>
      <c r="D26" s="105"/>
      <c r="E26" s="40"/>
      <c r="F26" s="110"/>
    </row>
    <row r="27" spans="1:6" s="111" customFormat="1" ht="39" customHeight="1" x14ac:dyDescent="0.35">
      <c r="A27"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7" s="101"/>
      <c r="C27" s="105"/>
      <c r="D27" s="105"/>
      <c r="E27" s="101"/>
      <c r="F27" s="110"/>
    </row>
    <row r="28" spans="1:6" s="111" customFormat="1" ht="39" customHeight="1" x14ac:dyDescent="0.35">
      <c r="A28"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8" s="40"/>
      <c r="C28" s="105"/>
      <c r="D28" s="105"/>
      <c r="E28" s="40"/>
      <c r="F28" s="110"/>
    </row>
    <row r="29" spans="1:6" s="111" customFormat="1" ht="39" customHeight="1" x14ac:dyDescent="0.35">
      <c r="A29"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9" s="101"/>
      <c r="C29" s="105"/>
      <c r="D29" s="105"/>
      <c r="E29" s="101"/>
      <c r="F29" s="110"/>
    </row>
    <row r="30" spans="1:6" s="111" customFormat="1" ht="39" customHeight="1" x14ac:dyDescent="0.35">
      <c r="A30"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0" s="40"/>
      <c r="C30" s="105"/>
      <c r="D30" s="114"/>
      <c r="E30" s="40"/>
      <c r="F30" s="110"/>
    </row>
    <row r="31" spans="1:6" s="111" customFormat="1" ht="39" customHeight="1" x14ac:dyDescent="0.35">
      <c r="A31"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1" s="101"/>
      <c r="C31" s="105"/>
      <c r="D31" s="114"/>
      <c r="E31" s="101"/>
      <c r="F31" s="110"/>
    </row>
    <row r="32" spans="1:6" s="111" customFormat="1" ht="39" customHeight="1" x14ac:dyDescent="0.35">
      <c r="A32"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2" s="40"/>
      <c r="C32" s="105"/>
      <c r="D32" s="114"/>
      <c r="E32" s="40"/>
      <c r="F32" s="110"/>
    </row>
    <row r="33" spans="1:6" s="111" customFormat="1" ht="39" customHeight="1" x14ac:dyDescent="0.35">
      <c r="A33"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3" s="101"/>
      <c r="C33" s="105"/>
      <c r="D33" s="114"/>
      <c r="E33" s="101"/>
      <c r="F33" s="110"/>
    </row>
    <row r="34" spans="1:6" s="111" customFormat="1" ht="39" customHeight="1" x14ac:dyDescent="0.35">
      <c r="A34"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4" s="40"/>
      <c r="C34" s="105"/>
      <c r="D34" s="114"/>
      <c r="E34" s="40"/>
      <c r="F34" s="110"/>
    </row>
    <row r="35" spans="1:6" s="111" customFormat="1" ht="39" customHeight="1" thickBot="1" x14ac:dyDescent="0.4">
      <c r="A35" s="73"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5" s="167"/>
      <c r="C35" s="168"/>
      <c r="D35" s="115"/>
      <c r="E35" s="167"/>
      <c r="F35" s="110"/>
    </row>
    <row r="36" spans="1:6" s="111" customFormat="1" ht="39" customHeight="1" x14ac:dyDescent="0.35">
      <c r="A36" s="169"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Testo -30µg/L</v>
      </c>
      <c r="B36" s="102" t="s">
        <v>123</v>
      </c>
      <c r="C36" s="106">
        <v>30</v>
      </c>
      <c r="D36" s="116" t="s">
        <v>127</v>
      </c>
      <c r="E36" s="158" t="s">
        <v>20</v>
      </c>
      <c r="F36" s="170"/>
    </row>
    <row r="37" spans="1:6" s="111" customFormat="1" ht="39" customHeight="1" thickBot="1" x14ac:dyDescent="0.4">
      <c r="A37" s="17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Testo 30µg/L + EE2 -64ng/L</v>
      </c>
      <c r="B37" s="103" t="s">
        <v>123</v>
      </c>
      <c r="C37" s="107">
        <v>64</v>
      </c>
      <c r="D37" s="117" t="s">
        <v>124</v>
      </c>
      <c r="E37" s="159" t="s">
        <v>128</v>
      </c>
      <c r="F37" s="172"/>
    </row>
    <row r="38" spans="1:6" s="111" customFormat="1" ht="39" customHeight="1" thickBot="1" x14ac:dyDescent="0.4">
      <c r="A38" s="173"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Testo 30µg/L + FAD-10µg/L</v>
      </c>
      <c r="B38" s="174" t="s">
        <v>123</v>
      </c>
      <c r="C38" s="175">
        <v>10</v>
      </c>
      <c r="D38" s="116" t="s">
        <v>127</v>
      </c>
      <c r="E38" s="176" t="s">
        <v>129</v>
      </c>
      <c r="F38" s="177"/>
    </row>
    <row r="39" spans="1:6" s="111" customFormat="1" ht="39" customHeight="1" x14ac:dyDescent="0.35">
      <c r="A39" s="52"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Dutasteride-0,01mg/L + Testostérone</v>
      </c>
      <c r="B39" s="191" t="str">
        <f>B15</f>
        <v>Test</v>
      </c>
      <c r="C39" s="191">
        <f t="shared" ref="C39:E39" si="0">C15</f>
        <v>0.01</v>
      </c>
      <c r="D39" s="191" t="str">
        <f t="shared" si="0"/>
        <v>mg/L</v>
      </c>
      <c r="E39" s="191" t="str">
        <f t="shared" si="0"/>
        <v>Dutasteride</v>
      </c>
      <c r="F39" s="112" t="s">
        <v>50</v>
      </c>
    </row>
    <row r="40" spans="1:6" s="111" customFormat="1" ht="39" customHeight="1" x14ac:dyDescent="0.35">
      <c r="A40"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Dutasteride-0,1mg/L + Testostérone</v>
      </c>
      <c r="B40" s="193" t="str">
        <f t="shared" ref="B40:E40" si="1">B16</f>
        <v>Test</v>
      </c>
      <c r="C40" s="193">
        <f t="shared" si="1"/>
        <v>0.1</v>
      </c>
      <c r="D40" s="193" t="str">
        <f t="shared" si="1"/>
        <v>mg/L</v>
      </c>
      <c r="E40" s="193" t="str">
        <f t="shared" si="1"/>
        <v>Dutasteride</v>
      </c>
      <c r="F40" s="113" t="s">
        <v>50</v>
      </c>
    </row>
    <row r="41" spans="1:6" s="111" customFormat="1" ht="39" customHeight="1" x14ac:dyDescent="0.35">
      <c r="A41"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Dutasteride-0,25mg/L + Testostérone</v>
      </c>
      <c r="B41" s="193" t="str">
        <f t="shared" ref="B41:E41" si="2">B17</f>
        <v>Test</v>
      </c>
      <c r="C41" s="193">
        <f t="shared" si="2"/>
        <v>0.25</v>
      </c>
      <c r="D41" s="193" t="str">
        <f t="shared" si="2"/>
        <v>mg/L</v>
      </c>
      <c r="E41" s="193" t="str">
        <f t="shared" si="2"/>
        <v>Dutasteride</v>
      </c>
      <c r="F41" s="113" t="s">
        <v>50</v>
      </c>
    </row>
    <row r="42" spans="1:6" s="111" customFormat="1" ht="39" customHeight="1" x14ac:dyDescent="0.35">
      <c r="A42"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Dutasteride-0,5mg/L + Testostérone</v>
      </c>
      <c r="B42" s="193" t="str">
        <f t="shared" ref="B42:E42" si="3">B18</f>
        <v>Test</v>
      </c>
      <c r="C42" s="193">
        <f t="shared" si="3"/>
        <v>0.5</v>
      </c>
      <c r="D42" s="193" t="str">
        <f t="shared" si="3"/>
        <v>mg/L</v>
      </c>
      <c r="E42" s="193" t="str">
        <f t="shared" si="3"/>
        <v>Dutasteride</v>
      </c>
      <c r="F42" s="113" t="s">
        <v>50</v>
      </c>
    </row>
    <row r="43" spans="1:6" s="111" customFormat="1" ht="39" customHeight="1" x14ac:dyDescent="0.35">
      <c r="A43"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Dutasteride-1mg/L + Testostérone</v>
      </c>
      <c r="B43" s="193" t="str">
        <f t="shared" ref="B43:E43" si="4">B19</f>
        <v>Test</v>
      </c>
      <c r="C43" s="193">
        <f t="shared" si="4"/>
        <v>1</v>
      </c>
      <c r="D43" s="193" t="str">
        <f t="shared" si="4"/>
        <v>mg/L</v>
      </c>
      <c r="E43" s="193" t="str">
        <f t="shared" si="4"/>
        <v>Dutasteride</v>
      </c>
      <c r="F43" s="113" t="s">
        <v>50</v>
      </c>
    </row>
    <row r="44" spans="1:6" s="111" customFormat="1" ht="39" customHeight="1" x14ac:dyDescent="0.35">
      <c r="A44"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4" s="193">
        <f t="shared" ref="B44:E44" si="5">B20</f>
        <v>0</v>
      </c>
      <c r="C44" s="193">
        <f t="shared" si="5"/>
        <v>0</v>
      </c>
      <c r="D44" s="193">
        <f t="shared" si="5"/>
        <v>0</v>
      </c>
      <c r="E44" s="193">
        <f t="shared" si="5"/>
        <v>0</v>
      </c>
      <c r="F44" s="113" t="s">
        <v>50</v>
      </c>
    </row>
    <row r="45" spans="1:6" s="111" customFormat="1" ht="39" customHeight="1" x14ac:dyDescent="0.35">
      <c r="A45"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5" s="193">
        <f t="shared" ref="B45:E45" si="6">B21</f>
        <v>0</v>
      </c>
      <c r="C45" s="193">
        <f t="shared" si="6"/>
        <v>0</v>
      </c>
      <c r="D45" s="193">
        <f t="shared" si="6"/>
        <v>0</v>
      </c>
      <c r="E45" s="193">
        <f t="shared" si="6"/>
        <v>0</v>
      </c>
      <c r="F45" s="113" t="s">
        <v>50</v>
      </c>
    </row>
    <row r="46" spans="1:6" s="111" customFormat="1" ht="39" customHeight="1" x14ac:dyDescent="0.35">
      <c r="A46"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6" s="193">
        <f t="shared" ref="B46:E46" si="7">B22</f>
        <v>0</v>
      </c>
      <c r="C46" s="193">
        <f t="shared" si="7"/>
        <v>0</v>
      </c>
      <c r="D46" s="193">
        <f t="shared" si="7"/>
        <v>0</v>
      </c>
      <c r="E46" s="193">
        <f t="shared" si="7"/>
        <v>0</v>
      </c>
      <c r="F46" s="113" t="s">
        <v>50</v>
      </c>
    </row>
    <row r="47" spans="1:6" s="111" customFormat="1" ht="39" customHeight="1" x14ac:dyDescent="0.35">
      <c r="A47"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7" s="193">
        <f t="shared" ref="B47:E47" si="8">B23</f>
        <v>0</v>
      </c>
      <c r="C47" s="193">
        <f t="shared" si="8"/>
        <v>0</v>
      </c>
      <c r="D47" s="193">
        <f t="shared" si="8"/>
        <v>0</v>
      </c>
      <c r="E47" s="193">
        <f t="shared" si="8"/>
        <v>0</v>
      </c>
      <c r="F47" s="113" t="s">
        <v>50</v>
      </c>
    </row>
    <row r="48" spans="1:6" s="111" customFormat="1" ht="39" customHeight="1" x14ac:dyDescent="0.35">
      <c r="A48"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8" s="193">
        <f t="shared" ref="B48:E48" si="9">B24</f>
        <v>0</v>
      </c>
      <c r="C48" s="193">
        <f t="shared" si="9"/>
        <v>0</v>
      </c>
      <c r="D48" s="193">
        <f t="shared" si="9"/>
        <v>0</v>
      </c>
      <c r="E48" s="193">
        <f t="shared" si="9"/>
        <v>0</v>
      </c>
      <c r="F48" s="113" t="s">
        <v>50</v>
      </c>
    </row>
    <row r="49" spans="1:6" s="111" customFormat="1" ht="39" customHeight="1" x14ac:dyDescent="0.35">
      <c r="A49"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9" s="193">
        <f t="shared" ref="B49:E49" si="10">B25</f>
        <v>0</v>
      </c>
      <c r="C49" s="193">
        <f t="shared" si="10"/>
        <v>0</v>
      </c>
      <c r="D49" s="193">
        <f t="shared" si="10"/>
        <v>0</v>
      </c>
      <c r="E49" s="193">
        <f t="shared" si="10"/>
        <v>0</v>
      </c>
      <c r="F49" s="113" t="s">
        <v>50</v>
      </c>
    </row>
    <row r="50" spans="1:6" s="111" customFormat="1" ht="39" customHeight="1" x14ac:dyDescent="0.35">
      <c r="A50"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0" s="193">
        <f t="shared" ref="B50:E50" si="11">B26</f>
        <v>0</v>
      </c>
      <c r="C50" s="193">
        <f t="shared" si="11"/>
        <v>0</v>
      </c>
      <c r="D50" s="193">
        <f t="shared" si="11"/>
        <v>0</v>
      </c>
      <c r="E50" s="193">
        <f t="shared" si="11"/>
        <v>0</v>
      </c>
      <c r="F50" s="113" t="s">
        <v>50</v>
      </c>
    </row>
    <row r="51" spans="1:6" s="111" customFormat="1" ht="39" customHeight="1" x14ac:dyDescent="0.35">
      <c r="A51"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1" s="193">
        <f t="shared" ref="B51:E51" si="12">B27</f>
        <v>0</v>
      </c>
      <c r="C51" s="193">
        <f t="shared" si="12"/>
        <v>0</v>
      </c>
      <c r="D51" s="193">
        <f t="shared" si="12"/>
        <v>0</v>
      </c>
      <c r="E51" s="193">
        <f t="shared" si="12"/>
        <v>0</v>
      </c>
      <c r="F51" s="113" t="s">
        <v>50</v>
      </c>
    </row>
    <row r="52" spans="1:6" s="111" customFormat="1" ht="39" customHeight="1" x14ac:dyDescent="0.35">
      <c r="A52"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2" s="193">
        <f t="shared" ref="B52:E52" si="13">B28</f>
        <v>0</v>
      </c>
      <c r="C52" s="193">
        <f t="shared" si="13"/>
        <v>0</v>
      </c>
      <c r="D52" s="193">
        <f t="shared" si="13"/>
        <v>0</v>
      </c>
      <c r="E52" s="193">
        <f t="shared" si="13"/>
        <v>0</v>
      </c>
      <c r="F52" s="113" t="s">
        <v>50</v>
      </c>
    </row>
    <row r="53" spans="1:6" s="111" customFormat="1" ht="39" customHeight="1" x14ac:dyDescent="0.35">
      <c r="A53"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3" s="193">
        <f t="shared" ref="B53:E53" si="14">B29</f>
        <v>0</v>
      </c>
      <c r="C53" s="193">
        <f t="shared" si="14"/>
        <v>0</v>
      </c>
      <c r="D53" s="193">
        <f t="shared" si="14"/>
        <v>0</v>
      </c>
      <c r="E53" s="193">
        <f t="shared" si="14"/>
        <v>0</v>
      </c>
      <c r="F53" s="113" t="s">
        <v>50</v>
      </c>
    </row>
    <row r="54" spans="1:6" s="111" customFormat="1" ht="39" customHeight="1" x14ac:dyDescent="0.35">
      <c r="A54"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4" s="193">
        <f t="shared" ref="B54:E54" si="15">B30</f>
        <v>0</v>
      </c>
      <c r="C54" s="193">
        <f t="shared" si="15"/>
        <v>0</v>
      </c>
      <c r="D54" s="193">
        <f t="shared" si="15"/>
        <v>0</v>
      </c>
      <c r="E54" s="193">
        <f t="shared" si="15"/>
        <v>0</v>
      </c>
      <c r="F54" s="113" t="s">
        <v>50</v>
      </c>
    </row>
    <row r="55" spans="1:6" s="111" customFormat="1" ht="39" customHeight="1" x14ac:dyDescent="0.35">
      <c r="A55"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5" s="193">
        <f t="shared" ref="B55:E55" si="16">B31</f>
        <v>0</v>
      </c>
      <c r="C55" s="193">
        <f t="shared" si="16"/>
        <v>0</v>
      </c>
      <c r="D55" s="193">
        <f t="shared" si="16"/>
        <v>0</v>
      </c>
      <c r="E55" s="193">
        <f t="shared" si="16"/>
        <v>0</v>
      </c>
      <c r="F55" s="113" t="s">
        <v>50</v>
      </c>
    </row>
    <row r="56" spans="1:6" s="111" customFormat="1" ht="39" customHeight="1" x14ac:dyDescent="0.35">
      <c r="A56"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6" s="193">
        <f t="shared" ref="B56:E56" si="17">B32</f>
        <v>0</v>
      </c>
      <c r="C56" s="193">
        <f t="shared" si="17"/>
        <v>0</v>
      </c>
      <c r="D56" s="193">
        <f t="shared" si="17"/>
        <v>0</v>
      </c>
      <c r="E56" s="193">
        <f t="shared" si="17"/>
        <v>0</v>
      </c>
      <c r="F56" s="113" t="s">
        <v>50</v>
      </c>
    </row>
    <row r="57" spans="1:6" s="111" customFormat="1" ht="39" customHeight="1" x14ac:dyDescent="0.35">
      <c r="A57"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7" s="193">
        <f t="shared" ref="B57:E57" si="18">B33</f>
        <v>0</v>
      </c>
      <c r="C57" s="193">
        <f t="shared" si="18"/>
        <v>0</v>
      </c>
      <c r="D57" s="193">
        <f t="shared" si="18"/>
        <v>0</v>
      </c>
      <c r="E57" s="193">
        <f t="shared" si="18"/>
        <v>0</v>
      </c>
      <c r="F57" s="113" t="s">
        <v>50</v>
      </c>
    </row>
    <row r="58" spans="1:6" s="111" customFormat="1" ht="39" customHeight="1" x14ac:dyDescent="0.35">
      <c r="A58" s="10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8" s="192">
        <f t="shared" ref="B58:E58" si="19">B34</f>
        <v>0</v>
      </c>
      <c r="C58" s="192">
        <f t="shared" si="19"/>
        <v>0</v>
      </c>
      <c r="D58" s="192">
        <f t="shared" si="19"/>
        <v>0</v>
      </c>
      <c r="E58" s="192">
        <f t="shared" si="19"/>
        <v>0</v>
      </c>
      <c r="F58" s="113" t="s">
        <v>50</v>
      </c>
    </row>
  </sheetData>
  <protectedRanges>
    <protectedRange sqref="A16:A52 C20:D38 C16:C19" name="Plage1_1"/>
  </protectedRanges>
  <mergeCells count="8">
    <mergeCell ref="A5:I5"/>
    <mergeCell ref="A1:I1"/>
    <mergeCell ref="C2:D2"/>
    <mergeCell ref="C3:D3"/>
    <mergeCell ref="C4:D4"/>
    <mergeCell ref="F4:I4"/>
    <mergeCell ref="F3:I3"/>
    <mergeCell ref="F2:I2"/>
  </mergeCells>
  <dataValidations count="1">
    <dataValidation type="custom" allowBlank="1" showInputMessage="1" showErrorMessage="1" sqref="E7:E38" xr:uid="{E0A8F951-ED76-4488-98E3-F13AD7875916}">
      <formula1>ISERROR(SEARCH("-",E7))=TRUE</formula1>
    </dataValidation>
  </dataValidations>
  <pageMargins left="0.7" right="0.7" top="0.75" bottom="0.75" header="0.3" footer="0.3"/>
  <pageSetup paperSize="9" scale="35" orientation="landscape" r:id="rId1"/>
  <headerFooter>
    <oddHeader>&amp;C&amp;"-,Gras"&amp;20Résultats&amp;R&amp;"-,Gras"&amp;20Page : &amp;P/&amp;P</oddHeader>
  </headerFooter>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7"/>
  <sheetViews>
    <sheetView workbookViewId="0">
      <selection activeCell="D12" sqref="D12"/>
    </sheetView>
  </sheetViews>
  <sheetFormatPr baseColWidth="10" defaultRowHeight="14.5" x14ac:dyDescent="0.35"/>
  <cols>
    <col min="1" max="1" width="14.1796875" customWidth="1"/>
    <col min="2" max="2" width="14" customWidth="1"/>
    <col min="3" max="3" width="11.54296875" customWidth="1"/>
    <col min="4" max="4" width="12.453125" customWidth="1"/>
    <col min="5" max="5" width="17.26953125" customWidth="1"/>
    <col min="7" max="7" width="19.54296875" customWidth="1"/>
    <col min="9" max="9" width="15.7265625" customWidth="1"/>
  </cols>
  <sheetData>
    <row r="1" spans="1:9" x14ac:dyDescent="0.35">
      <c r="A1" t="s">
        <v>107</v>
      </c>
      <c r="B1" t="s">
        <v>108</v>
      </c>
      <c r="C1" t="s">
        <v>109</v>
      </c>
      <c r="D1" t="s">
        <v>110</v>
      </c>
      <c r="E1" t="s">
        <v>111</v>
      </c>
      <c r="F1" t="s">
        <v>112</v>
      </c>
      <c r="G1" t="s">
        <v>113</v>
      </c>
      <c r="H1" t="s">
        <v>117</v>
      </c>
      <c r="I1" t="s">
        <v>118</v>
      </c>
    </row>
    <row r="2" spans="1:9" x14ac:dyDescent="0.35">
      <c r="A2" t="s">
        <v>152</v>
      </c>
      <c r="B2" t="s">
        <v>163</v>
      </c>
      <c r="C2" t="s">
        <v>143</v>
      </c>
      <c r="D2" t="s">
        <v>146</v>
      </c>
      <c r="E2" t="s">
        <v>147</v>
      </c>
      <c r="F2" t="s">
        <v>112</v>
      </c>
      <c r="G2">
        <v>360268</v>
      </c>
    </row>
    <row r="3" spans="1:9" x14ac:dyDescent="0.35">
      <c r="A3" t="s">
        <v>152</v>
      </c>
      <c r="B3" t="s">
        <v>163</v>
      </c>
      <c r="C3" t="s">
        <v>144</v>
      </c>
      <c r="D3" t="s">
        <v>148</v>
      </c>
      <c r="E3" t="s">
        <v>149</v>
      </c>
      <c r="F3" t="s">
        <v>112</v>
      </c>
      <c r="G3">
        <v>372315</v>
      </c>
    </row>
    <row r="4" spans="1:9" x14ac:dyDescent="0.35">
      <c r="A4" t="s">
        <v>152</v>
      </c>
      <c r="B4" t="s">
        <v>163</v>
      </c>
      <c r="C4" t="s">
        <v>145</v>
      </c>
      <c r="D4" t="s">
        <v>150</v>
      </c>
      <c r="E4" t="s">
        <v>151</v>
      </c>
      <c r="F4" t="s">
        <v>112</v>
      </c>
      <c r="G4">
        <v>237626</v>
      </c>
    </row>
    <row r="5" spans="1:9" x14ac:dyDescent="0.35">
      <c r="A5" t="s">
        <v>152</v>
      </c>
      <c r="B5" t="s">
        <v>163</v>
      </c>
      <c r="C5" t="s">
        <v>160</v>
      </c>
      <c r="D5" t="s">
        <v>161</v>
      </c>
      <c r="E5" t="s">
        <v>162</v>
      </c>
      <c r="F5" t="s">
        <v>112</v>
      </c>
      <c r="G5">
        <v>1439015</v>
      </c>
    </row>
    <row r="6" spans="1:9" x14ac:dyDescent="0.35">
      <c r="A6" t="s">
        <v>152</v>
      </c>
      <c r="B6" t="s">
        <v>163</v>
      </c>
      <c r="C6" t="s">
        <v>157</v>
      </c>
      <c r="D6" t="s">
        <v>158</v>
      </c>
      <c r="E6" t="s">
        <v>159</v>
      </c>
      <c r="F6" t="s">
        <v>112</v>
      </c>
      <c r="G6">
        <v>1433586</v>
      </c>
    </row>
    <row r="7" spans="1:9" x14ac:dyDescent="0.35">
      <c r="A7" t="s">
        <v>152</v>
      </c>
      <c r="B7" t="s">
        <v>163</v>
      </c>
      <c r="C7" t="s">
        <v>154</v>
      </c>
      <c r="D7" t="s">
        <v>155</v>
      </c>
      <c r="E7" t="s">
        <v>156</v>
      </c>
      <c r="F7" t="s">
        <v>112</v>
      </c>
      <c r="G7">
        <v>1115346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N1557"/>
  <sheetViews>
    <sheetView showGridLines="0" topLeftCell="A1536" zoomScale="70" zoomScaleNormal="70" workbookViewId="0">
      <selection activeCell="A2" sqref="A2:A1557"/>
    </sheetView>
  </sheetViews>
  <sheetFormatPr baseColWidth="10" defaultColWidth="11.453125" defaultRowHeight="14.5" x14ac:dyDescent="0.35"/>
  <cols>
    <col min="1" max="1" width="15" style="1" customWidth="1"/>
    <col min="2" max="2" width="26.54296875" style="1" customWidth="1"/>
    <col min="3" max="3" width="87.1796875" style="1" bestFit="1" customWidth="1"/>
    <col min="4" max="4" width="14" style="1" customWidth="1"/>
    <col min="5" max="5" width="21.1796875" style="1" customWidth="1"/>
    <col min="6" max="6" width="11.453125" style="1"/>
    <col min="7" max="7" width="21.453125" style="1" customWidth="1"/>
    <col min="8" max="8" width="12.26953125" style="1" customWidth="1"/>
    <col min="9" max="9" width="17.1796875" style="1" customWidth="1"/>
    <col min="10" max="10" width="11.453125" style="1"/>
    <col min="11" max="11" width="5.453125" style="1" customWidth="1"/>
    <col min="12" max="12" width="15.453125" style="1" customWidth="1"/>
    <col min="13" max="14" width="12.81640625" style="1" customWidth="1"/>
    <col min="15" max="20" width="12.26953125" style="1" customWidth="1"/>
    <col min="21" max="21" width="17.453125" style="1" customWidth="1"/>
    <col min="22" max="25" width="12.26953125" style="1" customWidth="1"/>
    <col min="26" max="27" width="15.54296875" style="1" customWidth="1"/>
    <col min="28" max="28" width="14.26953125" style="1" customWidth="1"/>
    <col min="29" max="16384" width="11.453125" style="1"/>
  </cols>
  <sheetData>
    <row r="1" spans="1:144" x14ac:dyDescent="0.35">
      <c r="A1" s="1" t="s">
        <v>107</v>
      </c>
      <c r="B1" s="1" t="s">
        <v>108</v>
      </c>
      <c r="C1" s="1" t="s">
        <v>109</v>
      </c>
      <c r="D1" s="1" t="s">
        <v>110</v>
      </c>
      <c r="E1" s="1" t="s">
        <v>111</v>
      </c>
      <c r="F1" s="1" t="s">
        <v>112</v>
      </c>
      <c r="G1" s="1" t="s">
        <v>113</v>
      </c>
      <c r="H1" s="1" t="s">
        <v>117</v>
      </c>
      <c r="I1" s="1" t="s">
        <v>118</v>
      </c>
      <c r="K1" s="118" t="s">
        <v>112</v>
      </c>
      <c r="L1" s="1" t="s">
        <v>119</v>
      </c>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row>
    <row r="2" spans="1:144" x14ac:dyDescent="0.35">
      <c r="A2" s="1" t="str">
        <f t="shared" ref="A2:A65" si="0">IFERROR(LEFT(RIGHT(C2,LEN(C2)-SEARCH("@",C2)),SEARCH("/",RIGHT(C2,LEN(C2)-SEARCH("@",C2)-1))),"")</f>
        <v/>
      </c>
      <c r="B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 s="152"/>
      <c r="K2" s="156" t="s">
        <v>120</v>
      </c>
      <c r="L2" s="156" t="s">
        <v>121</v>
      </c>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row>
    <row r="3" spans="1:144" x14ac:dyDescent="0.35">
      <c r="A3" s="1" t="str">
        <f t="shared" si="0"/>
        <v/>
      </c>
      <c r="B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3" s="118" t="s">
        <v>153</v>
      </c>
      <c r="L3" s="118" t="s">
        <v>114</v>
      </c>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row>
    <row r="4" spans="1:144" x14ac:dyDescent="0.35">
      <c r="A4" s="1" t="str">
        <f t="shared" si="0"/>
        <v/>
      </c>
      <c r="B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4" s="118" t="s">
        <v>100</v>
      </c>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row>
    <row r="5" spans="1:144" x14ac:dyDescent="0.35">
      <c r="A5" s="1" t="str">
        <f t="shared" si="0"/>
        <v/>
      </c>
      <c r="B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5" s="145" t="s">
        <v>164</v>
      </c>
      <c r="L5" s="44"/>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row>
    <row r="6" spans="1:144" x14ac:dyDescent="0.35">
      <c r="A6" s="1" t="str">
        <f t="shared" si="0"/>
        <v/>
      </c>
      <c r="B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row>
    <row r="7" spans="1:144" x14ac:dyDescent="0.35">
      <c r="A7" s="1" t="str">
        <f t="shared" si="0"/>
        <v/>
      </c>
      <c r="B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row>
    <row r="8" spans="1:144" x14ac:dyDescent="0.35">
      <c r="A8" s="1" t="str">
        <f t="shared" si="0"/>
        <v/>
      </c>
      <c r="B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row>
    <row r="9" spans="1:144" x14ac:dyDescent="0.35">
      <c r="A9" s="1" t="str">
        <f t="shared" si="0"/>
        <v/>
      </c>
      <c r="B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row>
    <row r="10" spans="1:144" x14ac:dyDescent="0.35">
      <c r="A10" s="1" t="str">
        <f t="shared" si="0"/>
        <v/>
      </c>
      <c r="B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row>
    <row r="11" spans="1:144" x14ac:dyDescent="0.35">
      <c r="A11" s="1" t="str">
        <f t="shared" si="0"/>
        <v/>
      </c>
      <c r="B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 spans="1:144" x14ac:dyDescent="0.35">
      <c r="A12" s="1" t="str">
        <f t="shared" si="0"/>
        <v/>
      </c>
      <c r="B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 spans="1:144" x14ac:dyDescent="0.35">
      <c r="A13" s="1" t="str">
        <f t="shared" si="0"/>
        <v/>
      </c>
      <c r="B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 spans="1:144" x14ac:dyDescent="0.35">
      <c r="A14" s="1" t="str">
        <f t="shared" si="0"/>
        <v/>
      </c>
      <c r="B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 spans="1:144" x14ac:dyDescent="0.35">
      <c r="A15" s="1" t="str">
        <f t="shared" si="0"/>
        <v/>
      </c>
      <c r="B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6" spans="1:144" x14ac:dyDescent="0.35">
      <c r="A16" s="1" t="str">
        <f t="shared" si="0"/>
        <v/>
      </c>
      <c r="B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M16"/>
      <c r="N16"/>
      <c r="O16"/>
      <c r="P16"/>
      <c r="Q16"/>
      <c r="R16"/>
      <c r="S16"/>
      <c r="T16"/>
      <c r="U16"/>
      <c r="V16"/>
      <c r="W16"/>
      <c r="X16"/>
      <c r="Y16"/>
      <c r="Z16"/>
      <c r="AA16"/>
      <c r="AB16"/>
      <c r="AC16"/>
      <c r="AD16"/>
      <c r="AE16"/>
      <c r="AF16"/>
      <c r="AG16"/>
      <c r="AH16"/>
    </row>
    <row r="17" spans="1:34" x14ac:dyDescent="0.35">
      <c r="A17" s="1" t="str">
        <f t="shared" si="0"/>
        <v/>
      </c>
      <c r="B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M17"/>
      <c r="N17"/>
      <c r="O17"/>
      <c r="P17"/>
      <c r="Q17"/>
      <c r="R17"/>
      <c r="S17"/>
      <c r="T17"/>
      <c r="U17"/>
      <c r="V17"/>
      <c r="W17"/>
      <c r="X17"/>
      <c r="Y17"/>
      <c r="Z17"/>
      <c r="AA17"/>
      <c r="AB17"/>
      <c r="AC17"/>
      <c r="AD17"/>
      <c r="AE17"/>
      <c r="AF17"/>
      <c r="AG17"/>
      <c r="AH17"/>
    </row>
    <row r="18" spans="1:34" x14ac:dyDescent="0.35">
      <c r="A18" s="1" t="str">
        <f t="shared" si="0"/>
        <v/>
      </c>
      <c r="B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M18"/>
      <c r="N18"/>
      <c r="O18"/>
      <c r="P18"/>
      <c r="Q18"/>
      <c r="R18"/>
      <c r="S18"/>
      <c r="T18"/>
      <c r="U18"/>
      <c r="V18"/>
      <c r="W18"/>
      <c r="X18"/>
      <c r="Y18"/>
      <c r="Z18"/>
      <c r="AA18"/>
      <c r="AB18"/>
      <c r="AC18"/>
      <c r="AD18"/>
      <c r="AE18"/>
      <c r="AF18"/>
      <c r="AG18"/>
      <c r="AH18"/>
    </row>
    <row r="19" spans="1:34" x14ac:dyDescent="0.35">
      <c r="A19" s="1" t="str">
        <f t="shared" si="0"/>
        <v/>
      </c>
      <c r="B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19"/>
      <c r="L19"/>
      <c r="M19"/>
      <c r="N19"/>
      <c r="O19"/>
      <c r="P19"/>
      <c r="Q19"/>
      <c r="R19"/>
      <c r="S19"/>
      <c r="T19"/>
      <c r="U19"/>
      <c r="V19"/>
      <c r="W19"/>
      <c r="X19"/>
      <c r="Y19"/>
      <c r="Z19"/>
      <c r="AA19"/>
      <c r="AB19"/>
      <c r="AC19"/>
      <c r="AD19"/>
      <c r="AE19"/>
      <c r="AF19"/>
      <c r="AG19"/>
      <c r="AH19"/>
    </row>
    <row r="20" spans="1:34" x14ac:dyDescent="0.35">
      <c r="A20" s="1" t="str">
        <f t="shared" si="0"/>
        <v/>
      </c>
      <c r="B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20"/>
      <c r="L20"/>
      <c r="M20"/>
      <c r="N20"/>
      <c r="O20"/>
      <c r="P20"/>
      <c r="Q20"/>
      <c r="R20"/>
      <c r="S20"/>
      <c r="T20"/>
      <c r="U20"/>
      <c r="V20"/>
      <c r="W20"/>
      <c r="X20"/>
      <c r="Y20"/>
      <c r="Z20"/>
      <c r="AA20"/>
      <c r="AB20"/>
      <c r="AC20"/>
      <c r="AD20"/>
      <c r="AE20"/>
      <c r="AF20"/>
      <c r="AG20"/>
      <c r="AH20"/>
    </row>
    <row r="21" spans="1:34" x14ac:dyDescent="0.35">
      <c r="A21" s="1" t="str">
        <f t="shared" si="0"/>
        <v/>
      </c>
      <c r="B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21"/>
      <c r="L21"/>
      <c r="M21"/>
      <c r="N21"/>
      <c r="O21"/>
      <c r="P21"/>
      <c r="Q21"/>
      <c r="R21"/>
      <c r="S21"/>
      <c r="T21"/>
      <c r="U21"/>
      <c r="V21"/>
      <c r="W21"/>
      <c r="X21"/>
      <c r="Y21"/>
      <c r="Z21"/>
      <c r="AA21"/>
      <c r="AB21"/>
      <c r="AC21"/>
      <c r="AD21"/>
      <c r="AE21"/>
      <c r="AF21"/>
      <c r="AG21"/>
      <c r="AH21"/>
    </row>
    <row r="22" spans="1:34" x14ac:dyDescent="0.35">
      <c r="A22" s="1" t="str">
        <f t="shared" si="0"/>
        <v/>
      </c>
      <c r="B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22"/>
      <c r="L22"/>
      <c r="M22"/>
      <c r="N22"/>
      <c r="O22"/>
      <c r="P22"/>
      <c r="Q22"/>
      <c r="R22"/>
      <c r="S22"/>
      <c r="T22"/>
      <c r="U22"/>
      <c r="V22"/>
      <c r="W22"/>
      <c r="X22"/>
      <c r="Y22"/>
      <c r="Z22"/>
      <c r="AA22"/>
      <c r="AB22"/>
      <c r="AC22"/>
      <c r="AD22"/>
      <c r="AE22"/>
      <c r="AF22"/>
      <c r="AG22"/>
      <c r="AH22"/>
    </row>
    <row r="23" spans="1:34" x14ac:dyDescent="0.35">
      <c r="A23" s="1" t="str">
        <f t="shared" si="0"/>
        <v/>
      </c>
      <c r="B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23"/>
      <c r="L23"/>
      <c r="M23"/>
      <c r="N23"/>
      <c r="O23"/>
      <c r="P23"/>
      <c r="Q23"/>
      <c r="R23"/>
      <c r="S23"/>
      <c r="T23"/>
      <c r="U23"/>
      <c r="V23"/>
      <c r="W23"/>
      <c r="X23"/>
      <c r="Y23"/>
      <c r="Z23"/>
      <c r="AA23"/>
      <c r="AB23"/>
      <c r="AC23"/>
      <c r="AD23"/>
      <c r="AE23"/>
      <c r="AF23"/>
      <c r="AG23"/>
      <c r="AH23"/>
    </row>
    <row r="24" spans="1:34" x14ac:dyDescent="0.35">
      <c r="A24" s="1" t="str">
        <f t="shared" si="0"/>
        <v/>
      </c>
      <c r="B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24"/>
      <c r="L24"/>
      <c r="M24"/>
      <c r="N24"/>
      <c r="O24"/>
      <c r="P24"/>
      <c r="Q24"/>
      <c r="R24"/>
      <c r="S24"/>
      <c r="T24"/>
      <c r="U24"/>
      <c r="V24"/>
      <c r="W24"/>
      <c r="X24"/>
      <c r="Y24"/>
      <c r="Z24"/>
      <c r="AA24"/>
      <c r="AB24"/>
      <c r="AC24"/>
      <c r="AD24"/>
      <c r="AE24"/>
      <c r="AF24"/>
      <c r="AG24"/>
      <c r="AH24"/>
    </row>
    <row r="25" spans="1:34" x14ac:dyDescent="0.35">
      <c r="A25" s="1" t="str">
        <f t="shared" si="0"/>
        <v/>
      </c>
      <c r="B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25"/>
      <c r="L25"/>
      <c r="M25"/>
      <c r="N25"/>
      <c r="O25"/>
      <c r="P25"/>
      <c r="Q25"/>
      <c r="R25"/>
      <c r="S25"/>
      <c r="T25"/>
      <c r="U25"/>
      <c r="V25"/>
      <c r="W25"/>
      <c r="X25"/>
      <c r="Y25"/>
      <c r="Z25"/>
      <c r="AA25"/>
      <c r="AB25"/>
      <c r="AC25"/>
      <c r="AD25"/>
      <c r="AE25"/>
      <c r="AF25"/>
      <c r="AG25"/>
      <c r="AH25"/>
    </row>
    <row r="26" spans="1:34" x14ac:dyDescent="0.35">
      <c r="A26" s="1" t="str">
        <f t="shared" si="0"/>
        <v/>
      </c>
      <c r="B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26"/>
      <c r="L26"/>
      <c r="M26"/>
      <c r="N26"/>
      <c r="O26"/>
      <c r="P26"/>
      <c r="Q26"/>
      <c r="R26"/>
      <c r="S26"/>
      <c r="T26"/>
      <c r="U26"/>
      <c r="V26"/>
      <c r="W26"/>
      <c r="X26"/>
      <c r="Y26"/>
      <c r="Z26"/>
      <c r="AA26"/>
      <c r="AB26"/>
      <c r="AC26"/>
      <c r="AD26"/>
      <c r="AE26"/>
      <c r="AF26"/>
      <c r="AG26"/>
      <c r="AH26"/>
    </row>
    <row r="27" spans="1:34" x14ac:dyDescent="0.35">
      <c r="A27" s="1" t="str">
        <f t="shared" si="0"/>
        <v/>
      </c>
      <c r="B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27"/>
      <c r="L27"/>
      <c r="M27"/>
      <c r="N27"/>
      <c r="O27"/>
      <c r="P27"/>
      <c r="Q27"/>
      <c r="R27"/>
      <c r="S27"/>
      <c r="T27"/>
      <c r="U27"/>
      <c r="V27"/>
      <c r="W27"/>
      <c r="X27"/>
      <c r="Y27"/>
      <c r="Z27"/>
      <c r="AA27"/>
      <c r="AB27"/>
      <c r="AC27"/>
      <c r="AD27"/>
      <c r="AE27"/>
      <c r="AF27"/>
      <c r="AG27"/>
      <c r="AH27"/>
    </row>
    <row r="28" spans="1:34" x14ac:dyDescent="0.35">
      <c r="A28" s="1" t="str">
        <f t="shared" si="0"/>
        <v/>
      </c>
      <c r="B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28"/>
      <c r="L28"/>
      <c r="M28"/>
      <c r="N28"/>
      <c r="O28"/>
      <c r="P28"/>
      <c r="Q28"/>
      <c r="R28"/>
      <c r="S28"/>
      <c r="T28"/>
      <c r="U28"/>
      <c r="V28"/>
      <c r="W28"/>
      <c r="X28"/>
      <c r="Y28"/>
      <c r="Z28"/>
      <c r="AA28"/>
      <c r="AB28"/>
      <c r="AC28"/>
      <c r="AD28"/>
      <c r="AE28"/>
      <c r="AF28"/>
      <c r="AG28"/>
      <c r="AH28"/>
    </row>
    <row r="29" spans="1:34" x14ac:dyDescent="0.35">
      <c r="A29" s="1" t="str">
        <f t="shared" si="0"/>
        <v/>
      </c>
      <c r="B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29"/>
      <c r="L29"/>
      <c r="M29"/>
      <c r="N29"/>
      <c r="O29"/>
      <c r="P29"/>
      <c r="Q29"/>
      <c r="R29"/>
      <c r="S29"/>
      <c r="T29"/>
      <c r="U29"/>
      <c r="V29"/>
      <c r="W29"/>
      <c r="X29"/>
      <c r="Y29"/>
      <c r="Z29"/>
      <c r="AA29"/>
      <c r="AB29"/>
      <c r="AC29"/>
      <c r="AD29"/>
      <c r="AE29"/>
      <c r="AF29"/>
      <c r="AG29"/>
      <c r="AH29"/>
    </row>
    <row r="30" spans="1:34" x14ac:dyDescent="0.35">
      <c r="A30" s="1" t="str">
        <f t="shared" si="0"/>
        <v/>
      </c>
      <c r="B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30"/>
      <c r="L30"/>
      <c r="M30"/>
      <c r="N30"/>
      <c r="O30"/>
      <c r="P30"/>
      <c r="Q30"/>
      <c r="R30"/>
      <c r="S30"/>
      <c r="T30"/>
      <c r="U30"/>
      <c r="V30"/>
      <c r="W30"/>
      <c r="X30"/>
      <c r="Y30"/>
      <c r="Z30"/>
      <c r="AA30"/>
      <c r="AB30"/>
      <c r="AC30"/>
      <c r="AD30"/>
      <c r="AE30"/>
      <c r="AF30"/>
      <c r="AG30"/>
      <c r="AH30"/>
    </row>
    <row r="31" spans="1:34" x14ac:dyDescent="0.35">
      <c r="A31" s="1" t="str">
        <f t="shared" si="0"/>
        <v/>
      </c>
      <c r="B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31"/>
      <c r="L31"/>
      <c r="M31"/>
      <c r="N31"/>
      <c r="O31"/>
      <c r="P31"/>
      <c r="Q31"/>
      <c r="R31"/>
      <c r="S31"/>
      <c r="T31"/>
      <c r="U31"/>
      <c r="V31"/>
      <c r="W31"/>
      <c r="X31"/>
      <c r="Y31"/>
      <c r="Z31"/>
      <c r="AA31"/>
      <c r="AB31"/>
      <c r="AC31"/>
      <c r="AD31"/>
      <c r="AE31"/>
      <c r="AF31"/>
      <c r="AG31"/>
      <c r="AH31"/>
    </row>
    <row r="32" spans="1:34" x14ac:dyDescent="0.35">
      <c r="A32" s="1" t="str">
        <f t="shared" si="0"/>
        <v/>
      </c>
      <c r="B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32"/>
      <c r="L32"/>
      <c r="M32"/>
      <c r="N32"/>
      <c r="O32"/>
      <c r="P32"/>
      <c r="Q32"/>
      <c r="R32"/>
      <c r="S32"/>
      <c r="T32"/>
      <c r="U32"/>
      <c r="V32"/>
      <c r="W32"/>
      <c r="X32"/>
      <c r="Y32"/>
      <c r="Z32"/>
      <c r="AA32"/>
      <c r="AB32"/>
      <c r="AC32"/>
      <c r="AD32"/>
      <c r="AE32"/>
      <c r="AF32"/>
      <c r="AG32"/>
      <c r="AH32"/>
    </row>
    <row r="33" spans="1:34" x14ac:dyDescent="0.35">
      <c r="A33" s="1" t="str">
        <f t="shared" si="0"/>
        <v/>
      </c>
      <c r="B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33"/>
      <c r="L33"/>
      <c r="M33"/>
      <c r="N33"/>
      <c r="O33"/>
      <c r="P33"/>
      <c r="Q33"/>
      <c r="R33"/>
      <c r="S33"/>
      <c r="T33"/>
      <c r="U33"/>
      <c r="V33"/>
      <c r="W33"/>
      <c r="X33"/>
      <c r="Y33"/>
      <c r="Z33"/>
      <c r="AA33"/>
      <c r="AB33"/>
      <c r="AC33"/>
      <c r="AD33"/>
      <c r="AE33"/>
      <c r="AF33"/>
      <c r="AG33"/>
      <c r="AH33"/>
    </row>
    <row r="34" spans="1:34" x14ac:dyDescent="0.35">
      <c r="A34" s="1" t="str">
        <f t="shared" si="0"/>
        <v/>
      </c>
      <c r="B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34"/>
      <c r="L34"/>
      <c r="M34"/>
      <c r="N34"/>
      <c r="O34"/>
      <c r="P34"/>
      <c r="Q34"/>
      <c r="R34"/>
      <c r="S34"/>
      <c r="T34"/>
      <c r="U34"/>
      <c r="V34"/>
      <c r="W34"/>
      <c r="X34"/>
      <c r="Y34"/>
      <c r="Z34"/>
      <c r="AA34"/>
      <c r="AB34"/>
      <c r="AC34"/>
      <c r="AD34"/>
      <c r="AE34"/>
      <c r="AF34"/>
      <c r="AG34"/>
      <c r="AH34"/>
    </row>
    <row r="35" spans="1:34" x14ac:dyDescent="0.35">
      <c r="A35" s="1" t="str">
        <f t="shared" si="0"/>
        <v/>
      </c>
      <c r="B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35"/>
      <c r="L35"/>
      <c r="M35"/>
      <c r="N35"/>
      <c r="O35"/>
      <c r="P35"/>
      <c r="Q35"/>
      <c r="R35"/>
      <c r="S35"/>
      <c r="T35"/>
      <c r="U35"/>
      <c r="V35"/>
      <c r="W35"/>
      <c r="X35"/>
      <c r="Y35"/>
      <c r="Z35"/>
      <c r="AA35"/>
      <c r="AB35"/>
      <c r="AC35"/>
      <c r="AD35"/>
      <c r="AE35"/>
      <c r="AF35"/>
      <c r="AG35"/>
      <c r="AH35"/>
    </row>
    <row r="36" spans="1:34" x14ac:dyDescent="0.35">
      <c r="A36" s="1" t="str">
        <f t="shared" si="0"/>
        <v/>
      </c>
      <c r="B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36"/>
      <c r="L36"/>
      <c r="M36"/>
      <c r="N36"/>
      <c r="O36"/>
      <c r="P36"/>
      <c r="Q36"/>
      <c r="R36"/>
      <c r="S36"/>
      <c r="T36"/>
      <c r="U36"/>
      <c r="V36"/>
      <c r="W36"/>
      <c r="X36"/>
      <c r="Y36"/>
      <c r="Z36"/>
      <c r="AA36"/>
      <c r="AB36"/>
      <c r="AC36"/>
      <c r="AD36"/>
      <c r="AE36"/>
      <c r="AF36"/>
      <c r="AG36"/>
      <c r="AH36"/>
    </row>
    <row r="37" spans="1:34" x14ac:dyDescent="0.35">
      <c r="A37" s="1" t="str">
        <f t="shared" si="0"/>
        <v/>
      </c>
      <c r="B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37"/>
      <c r="L37"/>
      <c r="M37"/>
      <c r="N37"/>
      <c r="O37"/>
      <c r="P37"/>
      <c r="Q37"/>
      <c r="R37"/>
      <c r="S37"/>
      <c r="T37"/>
      <c r="U37"/>
      <c r="V37"/>
      <c r="W37"/>
      <c r="X37"/>
      <c r="Y37"/>
      <c r="Z37"/>
      <c r="AA37"/>
      <c r="AB37"/>
      <c r="AC37"/>
      <c r="AD37"/>
      <c r="AE37"/>
      <c r="AF37"/>
      <c r="AG37"/>
      <c r="AH37"/>
    </row>
    <row r="38" spans="1:34" x14ac:dyDescent="0.35">
      <c r="A38" s="1" t="str">
        <f t="shared" si="0"/>
        <v/>
      </c>
      <c r="B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38"/>
      <c r="L38"/>
      <c r="M38"/>
      <c r="N38"/>
      <c r="O38"/>
      <c r="P38"/>
      <c r="Q38"/>
      <c r="R38"/>
      <c r="S38"/>
      <c r="T38"/>
      <c r="U38"/>
      <c r="V38"/>
      <c r="W38"/>
      <c r="X38"/>
      <c r="Y38"/>
      <c r="Z38"/>
      <c r="AA38"/>
      <c r="AB38"/>
      <c r="AC38"/>
      <c r="AD38"/>
      <c r="AE38"/>
      <c r="AF38"/>
      <c r="AG38"/>
      <c r="AH38"/>
    </row>
    <row r="39" spans="1:34" x14ac:dyDescent="0.35">
      <c r="A39" s="1" t="str">
        <f t="shared" si="0"/>
        <v/>
      </c>
      <c r="B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0" spans="1:34" x14ac:dyDescent="0.35">
      <c r="A40" s="1" t="str">
        <f t="shared" si="0"/>
        <v/>
      </c>
      <c r="B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1" spans="1:34" x14ac:dyDescent="0.35">
      <c r="A41" s="1" t="str">
        <f t="shared" si="0"/>
        <v/>
      </c>
      <c r="B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2" spans="1:34" x14ac:dyDescent="0.35">
      <c r="A42" s="1" t="str">
        <f t="shared" si="0"/>
        <v/>
      </c>
      <c r="B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3" spans="1:34" x14ac:dyDescent="0.35">
      <c r="A43" s="1" t="str">
        <f t="shared" si="0"/>
        <v/>
      </c>
      <c r="B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4" spans="1:34" x14ac:dyDescent="0.35">
      <c r="A44" s="1" t="str">
        <f t="shared" si="0"/>
        <v/>
      </c>
      <c r="B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5" spans="1:34" x14ac:dyDescent="0.35">
      <c r="A45" s="1" t="str">
        <f t="shared" si="0"/>
        <v/>
      </c>
      <c r="B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6" spans="1:34" x14ac:dyDescent="0.35">
      <c r="A46" s="1" t="str">
        <f t="shared" si="0"/>
        <v/>
      </c>
      <c r="B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7" spans="1:34" x14ac:dyDescent="0.35">
      <c r="A47" s="1" t="str">
        <f t="shared" si="0"/>
        <v/>
      </c>
      <c r="B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8" spans="1:34" x14ac:dyDescent="0.35">
      <c r="A48" s="1" t="str">
        <f t="shared" si="0"/>
        <v/>
      </c>
      <c r="B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9" spans="1:2" x14ac:dyDescent="0.35">
      <c r="A49" s="1" t="str">
        <f t="shared" si="0"/>
        <v/>
      </c>
      <c r="B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0" spans="1:2" x14ac:dyDescent="0.35">
      <c r="A50" s="1" t="str">
        <f t="shared" si="0"/>
        <v/>
      </c>
      <c r="B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1" spans="1:2" x14ac:dyDescent="0.35">
      <c r="A51" s="1" t="str">
        <f t="shared" si="0"/>
        <v/>
      </c>
      <c r="B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2" spans="1:2" x14ac:dyDescent="0.35">
      <c r="A52" s="1" t="str">
        <f t="shared" si="0"/>
        <v/>
      </c>
      <c r="B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3" spans="1:2" x14ac:dyDescent="0.35">
      <c r="A53" s="1" t="str">
        <f t="shared" si="0"/>
        <v/>
      </c>
      <c r="B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4" spans="1:2" x14ac:dyDescent="0.35">
      <c r="A54" s="1" t="str">
        <f t="shared" si="0"/>
        <v/>
      </c>
      <c r="B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5" spans="1:2" x14ac:dyDescent="0.35">
      <c r="A55" s="1" t="str">
        <f t="shared" si="0"/>
        <v/>
      </c>
      <c r="B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6" spans="1:2" x14ac:dyDescent="0.35">
      <c r="A56" s="1" t="str">
        <f t="shared" si="0"/>
        <v/>
      </c>
      <c r="B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7" spans="1:2" x14ac:dyDescent="0.35">
      <c r="A57" s="1" t="str">
        <f t="shared" si="0"/>
        <v/>
      </c>
      <c r="B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8" spans="1:2" x14ac:dyDescent="0.35">
      <c r="A58" s="1" t="str">
        <f t="shared" si="0"/>
        <v/>
      </c>
      <c r="B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9" spans="1:2" x14ac:dyDescent="0.35">
      <c r="A59" s="1" t="str">
        <f t="shared" si="0"/>
        <v/>
      </c>
      <c r="B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0" spans="1:2" x14ac:dyDescent="0.35">
      <c r="A60" s="1" t="str">
        <f t="shared" si="0"/>
        <v/>
      </c>
      <c r="B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1" spans="1:2" x14ac:dyDescent="0.35">
      <c r="A61" s="1" t="str">
        <f t="shared" si="0"/>
        <v/>
      </c>
      <c r="B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2" spans="1:2" x14ac:dyDescent="0.35">
      <c r="A62" s="1" t="str">
        <f t="shared" si="0"/>
        <v/>
      </c>
      <c r="B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3" spans="1:2" x14ac:dyDescent="0.35">
      <c r="A63" s="1" t="str">
        <f t="shared" si="0"/>
        <v/>
      </c>
      <c r="B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4" spans="1:2" x14ac:dyDescent="0.35">
      <c r="A64" s="1" t="str">
        <f t="shared" si="0"/>
        <v/>
      </c>
      <c r="B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5" spans="1:2" x14ac:dyDescent="0.35">
      <c r="A65" s="1" t="str">
        <f t="shared" si="0"/>
        <v/>
      </c>
      <c r="B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6" spans="1:2" x14ac:dyDescent="0.35">
      <c r="A66" s="1" t="str">
        <f t="shared" ref="A66:A129" si="1">IFERROR(LEFT(RIGHT(C66,LEN(C66)-SEARCH("@",C66)),SEARCH("/",RIGHT(C66,LEN(C66)-SEARCH("@",C66)-1))),"")</f>
        <v/>
      </c>
      <c r="B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7" spans="1:2" x14ac:dyDescent="0.35">
      <c r="A67" s="1" t="str">
        <f t="shared" si="1"/>
        <v/>
      </c>
      <c r="B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8" spans="1:2" x14ac:dyDescent="0.35">
      <c r="A68" s="1" t="str">
        <f t="shared" si="1"/>
        <v/>
      </c>
      <c r="B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 spans="1:2" x14ac:dyDescent="0.35">
      <c r="A69" s="1" t="str">
        <f t="shared" si="1"/>
        <v/>
      </c>
      <c r="B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 spans="1:2" x14ac:dyDescent="0.35">
      <c r="A70" s="1" t="str">
        <f t="shared" si="1"/>
        <v/>
      </c>
      <c r="B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 spans="1:2" x14ac:dyDescent="0.35">
      <c r="A71" s="1" t="str">
        <f t="shared" si="1"/>
        <v/>
      </c>
      <c r="B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 spans="1:2" x14ac:dyDescent="0.35">
      <c r="A72" s="1" t="str">
        <f t="shared" si="1"/>
        <v/>
      </c>
      <c r="B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 spans="1:2" x14ac:dyDescent="0.35">
      <c r="A73" s="1" t="str">
        <f t="shared" si="1"/>
        <v/>
      </c>
      <c r="B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 spans="1:2" x14ac:dyDescent="0.35">
      <c r="A74" s="1" t="str">
        <f t="shared" si="1"/>
        <v/>
      </c>
      <c r="B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 spans="1:2" x14ac:dyDescent="0.35">
      <c r="A75" s="1" t="str">
        <f t="shared" si="1"/>
        <v/>
      </c>
      <c r="B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 spans="1:2" x14ac:dyDescent="0.35">
      <c r="A76" s="1" t="str">
        <f t="shared" si="1"/>
        <v/>
      </c>
      <c r="B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 spans="1:2" x14ac:dyDescent="0.35">
      <c r="A77" s="1" t="str">
        <f t="shared" si="1"/>
        <v/>
      </c>
      <c r="B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 spans="1:2" x14ac:dyDescent="0.35">
      <c r="A78" s="1" t="str">
        <f t="shared" si="1"/>
        <v/>
      </c>
      <c r="B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 spans="1:2" x14ac:dyDescent="0.35">
      <c r="A79" s="1" t="str">
        <f t="shared" si="1"/>
        <v/>
      </c>
      <c r="B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 spans="1:2" x14ac:dyDescent="0.35">
      <c r="A80" s="1" t="str">
        <f t="shared" si="1"/>
        <v/>
      </c>
      <c r="B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 spans="1:2" x14ac:dyDescent="0.35">
      <c r="A81" s="1" t="str">
        <f t="shared" si="1"/>
        <v/>
      </c>
      <c r="B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 spans="1:2" x14ac:dyDescent="0.35">
      <c r="A82" s="1" t="str">
        <f t="shared" si="1"/>
        <v/>
      </c>
      <c r="B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 spans="1:2" x14ac:dyDescent="0.35">
      <c r="A83" s="1" t="str">
        <f t="shared" si="1"/>
        <v/>
      </c>
      <c r="B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 spans="1:2" x14ac:dyDescent="0.35">
      <c r="A84" s="1" t="str">
        <f t="shared" si="1"/>
        <v/>
      </c>
      <c r="B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 spans="1:2" x14ac:dyDescent="0.35">
      <c r="A85" s="1" t="str">
        <f t="shared" si="1"/>
        <v/>
      </c>
      <c r="B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 spans="1:2" x14ac:dyDescent="0.35">
      <c r="A86" s="1" t="str">
        <f t="shared" si="1"/>
        <v/>
      </c>
      <c r="B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 spans="1:2" x14ac:dyDescent="0.35">
      <c r="A87" s="1" t="str">
        <f t="shared" si="1"/>
        <v/>
      </c>
      <c r="B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 spans="1:2" x14ac:dyDescent="0.35">
      <c r="A88" s="1" t="str">
        <f t="shared" si="1"/>
        <v/>
      </c>
      <c r="B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 spans="1:2" x14ac:dyDescent="0.35">
      <c r="A89" s="1" t="str">
        <f t="shared" si="1"/>
        <v/>
      </c>
      <c r="B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 spans="1:2" x14ac:dyDescent="0.35">
      <c r="A90" s="1" t="str">
        <f t="shared" si="1"/>
        <v/>
      </c>
      <c r="B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 spans="1:2" x14ac:dyDescent="0.35">
      <c r="A91" s="1" t="str">
        <f t="shared" si="1"/>
        <v/>
      </c>
      <c r="B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 spans="1:2" x14ac:dyDescent="0.35">
      <c r="A92" s="1" t="str">
        <f t="shared" si="1"/>
        <v/>
      </c>
      <c r="B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 spans="1:2" x14ac:dyDescent="0.35">
      <c r="A93" s="1" t="str">
        <f t="shared" si="1"/>
        <v/>
      </c>
      <c r="B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 spans="1:2" x14ac:dyDescent="0.35">
      <c r="A94" s="1" t="str">
        <f t="shared" si="1"/>
        <v/>
      </c>
      <c r="B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 spans="1:2" x14ac:dyDescent="0.35">
      <c r="A95" s="1" t="str">
        <f t="shared" si="1"/>
        <v/>
      </c>
      <c r="B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 spans="1:2" x14ac:dyDescent="0.35">
      <c r="A96" s="1" t="str">
        <f t="shared" si="1"/>
        <v/>
      </c>
      <c r="B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 spans="1:2" x14ac:dyDescent="0.35">
      <c r="A97" s="1" t="str">
        <f t="shared" si="1"/>
        <v/>
      </c>
      <c r="B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 spans="1:2" x14ac:dyDescent="0.35">
      <c r="A98" s="1" t="str">
        <f t="shared" si="1"/>
        <v/>
      </c>
      <c r="B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 spans="1:2" x14ac:dyDescent="0.35">
      <c r="A99" s="1" t="str">
        <f t="shared" si="1"/>
        <v/>
      </c>
      <c r="B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 spans="1:2" x14ac:dyDescent="0.35">
      <c r="A100" s="1" t="str">
        <f t="shared" si="1"/>
        <v/>
      </c>
      <c r="B1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 spans="1:2" x14ac:dyDescent="0.35">
      <c r="A101" s="1" t="str">
        <f t="shared" si="1"/>
        <v/>
      </c>
      <c r="B1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 spans="1:2" x14ac:dyDescent="0.35">
      <c r="A102" s="1" t="str">
        <f t="shared" si="1"/>
        <v/>
      </c>
      <c r="B1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 spans="1:2" x14ac:dyDescent="0.35">
      <c r="A103" s="1" t="str">
        <f t="shared" si="1"/>
        <v/>
      </c>
      <c r="B1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 spans="1:2" x14ac:dyDescent="0.35">
      <c r="A104" s="1" t="str">
        <f t="shared" si="1"/>
        <v/>
      </c>
      <c r="B1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 spans="1:2" x14ac:dyDescent="0.35">
      <c r="A105" s="1" t="str">
        <f t="shared" si="1"/>
        <v/>
      </c>
      <c r="B1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 spans="1:2" x14ac:dyDescent="0.35">
      <c r="A106" s="1" t="str">
        <f t="shared" si="1"/>
        <v/>
      </c>
      <c r="B1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 spans="1:2" x14ac:dyDescent="0.35">
      <c r="A107" s="1" t="str">
        <f t="shared" si="1"/>
        <v/>
      </c>
      <c r="B1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 spans="1:2" x14ac:dyDescent="0.35">
      <c r="A108" s="1" t="str">
        <f t="shared" si="1"/>
        <v/>
      </c>
      <c r="B1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 spans="1:2" x14ac:dyDescent="0.35">
      <c r="A109" s="1" t="str">
        <f t="shared" si="1"/>
        <v/>
      </c>
      <c r="B1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 spans="1:2" x14ac:dyDescent="0.35">
      <c r="A110" s="1" t="str">
        <f t="shared" si="1"/>
        <v/>
      </c>
      <c r="B1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 spans="1:2" x14ac:dyDescent="0.35">
      <c r="A111" s="1" t="str">
        <f t="shared" si="1"/>
        <v/>
      </c>
      <c r="B1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 spans="1:2" x14ac:dyDescent="0.35">
      <c r="A112" s="1" t="str">
        <f t="shared" si="1"/>
        <v/>
      </c>
      <c r="B1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 spans="1:2" x14ac:dyDescent="0.35">
      <c r="A113" s="1" t="str">
        <f t="shared" si="1"/>
        <v/>
      </c>
      <c r="B1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 spans="1:2" x14ac:dyDescent="0.35">
      <c r="A114" s="1" t="str">
        <f t="shared" si="1"/>
        <v/>
      </c>
      <c r="B1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 spans="1:2" x14ac:dyDescent="0.35">
      <c r="A115" s="1" t="str">
        <f t="shared" si="1"/>
        <v/>
      </c>
      <c r="B1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 spans="1:2" x14ac:dyDescent="0.35">
      <c r="A116" s="1" t="str">
        <f t="shared" si="1"/>
        <v/>
      </c>
      <c r="B1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 spans="1:2" x14ac:dyDescent="0.35">
      <c r="A117" s="1" t="str">
        <f t="shared" si="1"/>
        <v/>
      </c>
      <c r="B1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 spans="1:2" x14ac:dyDescent="0.35">
      <c r="A118" s="1" t="str">
        <f t="shared" si="1"/>
        <v/>
      </c>
      <c r="B1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 spans="1:2" x14ac:dyDescent="0.35">
      <c r="A119" s="1" t="str">
        <f t="shared" si="1"/>
        <v/>
      </c>
      <c r="B1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 spans="1:2" x14ac:dyDescent="0.35">
      <c r="A120" s="1" t="str">
        <f t="shared" si="1"/>
        <v/>
      </c>
      <c r="B1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 spans="1:2" x14ac:dyDescent="0.35">
      <c r="A121" s="1" t="str">
        <f t="shared" si="1"/>
        <v/>
      </c>
      <c r="B1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 spans="1:2" x14ac:dyDescent="0.35">
      <c r="A122" s="1" t="str">
        <f t="shared" si="1"/>
        <v/>
      </c>
      <c r="B1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 spans="1:2" x14ac:dyDescent="0.35">
      <c r="A123" s="1" t="str">
        <f t="shared" si="1"/>
        <v/>
      </c>
      <c r="B1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 spans="1:2" x14ac:dyDescent="0.35">
      <c r="A124" s="1" t="str">
        <f t="shared" si="1"/>
        <v/>
      </c>
      <c r="B1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 spans="1:2" x14ac:dyDescent="0.35">
      <c r="A125" s="1" t="str">
        <f t="shared" si="1"/>
        <v/>
      </c>
      <c r="B1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 spans="1:2" x14ac:dyDescent="0.35">
      <c r="A126" s="1" t="str">
        <f t="shared" si="1"/>
        <v/>
      </c>
      <c r="B1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 spans="1:2" x14ac:dyDescent="0.35">
      <c r="A127" s="1" t="str">
        <f t="shared" si="1"/>
        <v/>
      </c>
      <c r="B1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 spans="1:2" x14ac:dyDescent="0.35">
      <c r="A128" s="1" t="str">
        <f t="shared" si="1"/>
        <v/>
      </c>
      <c r="B1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 spans="1:2" x14ac:dyDescent="0.35">
      <c r="A129" s="1" t="str">
        <f t="shared" si="1"/>
        <v/>
      </c>
      <c r="B1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 spans="1:2" x14ac:dyDescent="0.35">
      <c r="A130" s="1" t="str">
        <f t="shared" ref="A130:A193" si="2">IFERROR(LEFT(RIGHT(C130,LEN(C130)-SEARCH("@",C130)),SEARCH("/",RIGHT(C130,LEN(C130)-SEARCH("@",C130)-1))),"")</f>
        <v/>
      </c>
      <c r="B1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 spans="1:2" x14ac:dyDescent="0.35">
      <c r="A131" s="1" t="str">
        <f t="shared" si="2"/>
        <v/>
      </c>
      <c r="B1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 spans="1:2" x14ac:dyDescent="0.35">
      <c r="A132" s="1" t="str">
        <f t="shared" si="2"/>
        <v/>
      </c>
      <c r="B1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 spans="1:2" x14ac:dyDescent="0.35">
      <c r="A133" s="1" t="str">
        <f t="shared" si="2"/>
        <v/>
      </c>
      <c r="B1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 spans="1:2" x14ac:dyDescent="0.35">
      <c r="A134" s="1" t="str">
        <f t="shared" si="2"/>
        <v/>
      </c>
      <c r="B1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 spans="1:2" x14ac:dyDescent="0.35">
      <c r="A135" s="1" t="str">
        <f t="shared" si="2"/>
        <v/>
      </c>
      <c r="B1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 spans="1:2" x14ac:dyDescent="0.35">
      <c r="A136" s="1" t="str">
        <f t="shared" si="2"/>
        <v/>
      </c>
      <c r="B1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 spans="1:2" x14ac:dyDescent="0.35">
      <c r="A137" s="1" t="str">
        <f t="shared" si="2"/>
        <v/>
      </c>
      <c r="B1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 spans="1:2" x14ac:dyDescent="0.35">
      <c r="A138" s="1" t="str">
        <f t="shared" si="2"/>
        <v/>
      </c>
      <c r="B1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 spans="1:2" x14ac:dyDescent="0.35">
      <c r="A139" s="1" t="str">
        <f t="shared" si="2"/>
        <v/>
      </c>
      <c r="B1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 spans="1:2" x14ac:dyDescent="0.35">
      <c r="A140" s="1" t="str">
        <f t="shared" si="2"/>
        <v/>
      </c>
      <c r="B1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 spans="1:2" x14ac:dyDescent="0.35">
      <c r="A141" s="1" t="str">
        <f t="shared" si="2"/>
        <v/>
      </c>
      <c r="B1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 spans="1:2" x14ac:dyDescent="0.35">
      <c r="A142" s="1" t="str">
        <f t="shared" si="2"/>
        <v/>
      </c>
      <c r="B1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 spans="1:2" x14ac:dyDescent="0.35">
      <c r="A143" s="1" t="str">
        <f t="shared" si="2"/>
        <v/>
      </c>
      <c r="B1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 spans="1:2" x14ac:dyDescent="0.35">
      <c r="A144" s="1" t="str">
        <f t="shared" si="2"/>
        <v/>
      </c>
      <c r="B1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 spans="1:2" x14ac:dyDescent="0.35">
      <c r="A145" s="1" t="str">
        <f t="shared" si="2"/>
        <v/>
      </c>
      <c r="B1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 spans="1:2" x14ac:dyDescent="0.35">
      <c r="A146" s="1" t="str">
        <f t="shared" si="2"/>
        <v/>
      </c>
      <c r="B1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 spans="1:2" x14ac:dyDescent="0.35">
      <c r="A147" s="1" t="str">
        <f t="shared" si="2"/>
        <v/>
      </c>
      <c r="B1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 spans="1:2" x14ac:dyDescent="0.35">
      <c r="A148" s="1" t="str">
        <f t="shared" si="2"/>
        <v/>
      </c>
      <c r="B1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 spans="1:2" x14ac:dyDescent="0.35">
      <c r="A149" s="1" t="str">
        <f t="shared" si="2"/>
        <v/>
      </c>
      <c r="B1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 spans="1:2" x14ac:dyDescent="0.35">
      <c r="A150" s="1" t="str">
        <f t="shared" si="2"/>
        <v/>
      </c>
      <c r="B1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 spans="1:2" x14ac:dyDescent="0.35">
      <c r="A151" s="1" t="str">
        <f t="shared" si="2"/>
        <v/>
      </c>
      <c r="B1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 spans="1:2" x14ac:dyDescent="0.35">
      <c r="A152" s="1" t="str">
        <f t="shared" si="2"/>
        <v/>
      </c>
      <c r="B1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 spans="1:2" x14ac:dyDescent="0.35">
      <c r="A153" s="1" t="str">
        <f t="shared" si="2"/>
        <v/>
      </c>
      <c r="B1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 spans="1:2" x14ac:dyDescent="0.35">
      <c r="A154" s="1" t="str">
        <f t="shared" si="2"/>
        <v/>
      </c>
      <c r="B1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 spans="1:2" x14ac:dyDescent="0.35">
      <c r="A155" s="1" t="str">
        <f t="shared" si="2"/>
        <v/>
      </c>
      <c r="B1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6" spans="1:2" x14ac:dyDescent="0.35">
      <c r="A156" s="1" t="str">
        <f t="shared" si="2"/>
        <v/>
      </c>
      <c r="B1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7" spans="1:2" x14ac:dyDescent="0.35">
      <c r="A157" s="1" t="str">
        <f t="shared" si="2"/>
        <v/>
      </c>
      <c r="B1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8" spans="1:2" x14ac:dyDescent="0.35">
      <c r="A158" s="1" t="str">
        <f t="shared" si="2"/>
        <v/>
      </c>
      <c r="B1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9" spans="1:2" x14ac:dyDescent="0.35">
      <c r="A159" s="1" t="str">
        <f t="shared" si="2"/>
        <v/>
      </c>
      <c r="B1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60" spans="1:2" x14ac:dyDescent="0.35">
      <c r="A160" s="1" t="str">
        <f t="shared" si="2"/>
        <v/>
      </c>
      <c r="B1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61" spans="1:2" x14ac:dyDescent="0.35">
      <c r="A161" s="1" t="str">
        <f t="shared" si="2"/>
        <v/>
      </c>
      <c r="B1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62" spans="1:2" x14ac:dyDescent="0.35">
      <c r="A162" s="1" t="str">
        <f t="shared" si="2"/>
        <v/>
      </c>
      <c r="B1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63" spans="1:2" x14ac:dyDescent="0.35">
      <c r="A163" s="1" t="str">
        <f t="shared" si="2"/>
        <v/>
      </c>
      <c r="B1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64" spans="1:2" x14ac:dyDescent="0.35">
      <c r="A164" s="1" t="str">
        <f t="shared" si="2"/>
        <v/>
      </c>
      <c r="B1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65" spans="1:2" x14ac:dyDescent="0.35">
      <c r="A165" s="1" t="str">
        <f t="shared" si="2"/>
        <v/>
      </c>
      <c r="B1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66" spans="1:2" x14ac:dyDescent="0.35">
      <c r="A166" s="1" t="str">
        <f t="shared" si="2"/>
        <v/>
      </c>
      <c r="B1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67" spans="1:2" x14ac:dyDescent="0.35">
      <c r="A167" s="1" t="str">
        <f t="shared" si="2"/>
        <v/>
      </c>
      <c r="B1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68" spans="1:2" x14ac:dyDescent="0.35">
      <c r="A168" s="1" t="str">
        <f t="shared" si="2"/>
        <v/>
      </c>
      <c r="B1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69" spans="1:2" x14ac:dyDescent="0.35">
      <c r="A169" s="1" t="str">
        <f t="shared" si="2"/>
        <v/>
      </c>
      <c r="B1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70" spans="1:2" x14ac:dyDescent="0.35">
      <c r="A170" s="1" t="str">
        <f t="shared" si="2"/>
        <v/>
      </c>
      <c r="B1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71" spans="1:2" x14ac:dyDescent="0.35">
      <c r="A171" s="1" t="str">
        <f t="shared" si="2"/>
        <v/>
      </c>
      <c r="B1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72" spans="1:2" x14ac:dyDescent="0.35">
      <c r="A172" s="1" t="str">
        <f t="shared" si="2"/>
        <v/>
      </c>
      <c r="B1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73" spans="1:2" x14ac:dyDescent="0.35">
      <c r="A173" s="1" t="str">
        <f t="shared" si="2"/>
        <v/>
      </c>
      <c r="B1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74" spans="1:2" x14ac:dyDescent="0.35">
      <c r="A174" s="1" t="str">
        <f t="shared" si="2"/>
        <v/>
      </c>
      <c r="B1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75" spans="1:2" x14ac:dyDescent="0.35">
      <c r="A175" s="1" t="str">
        <f t="shared" si="2"/>
        <v/>
      </c>
      <c r="B1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76" spans="1:2" x14ac:dyDescent="0.35">
      <c r="A176" s="1" t="str">
        <f t="shared" si="2"/>
        <v/>
      </c>
      <c r="B1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77" spans="1:2" x14ac:dyDescent="0.35">
      <c r="A177" s="1" t="str">
        <f t="shared" si="2"/>
        <v/>
      </c>
      <c r="B1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78" spans="1:2" x14ac:dyDescent="0.35">
      <c r="A178" s="1" t="str">
        <f t="shared" si="2"/>
        <v/>
      </c>
      <c r="B1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79" spans="1:2" x14ac:dyDescent="0.35">
      <c r="A179" s="1" t="str">
        <f t="shared" si="2"/>
        <v/>
      </c>
      <c r="B1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80" spans="1:2" x14ac:dyDescent="0.35">
      <c r="A180" s="1" t="str">
        <f t="shared" si="2"/>
        <v/>
      </c>
      <c r="B1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81" spans="1:2" x14ac:dyDescent="0.35">
      <c r="A181" s="1" t="str">
        <f t="shared" si="2"/>
        <v/>
      </c>
      <c r="B1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82" spans="1:2" x14ac:dyDescent="0.35">
      <c r="A182" s="1" t="str">
        <f t="shared" si="2"/>
        <v/>
      </c>
      <c r="B1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83" spans="1:2" x14ac:dyDescent="0.35">
      <c r="A183" s="1" t="str">
        <f t="shared" si="2"/>
        <v/>
      </c>
      <c r="B1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84" spans="1:2" x14ac:dyDescent="0.35">
      <c r="A184" s="1" t="str">
        <f t="shared" si="2"/>
        <v/>
      </c>
      <c r="B1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85" spans="1:2" x14ac:dyDescent="0.35">
      <c r="A185" s="1" t="str">
        <f t="shared" si="2"/>
        <v/>
      </c>
      <c r="B1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86" spans="1:2" x14ac:dyDescent="0.35">
      <c r="A186" s="1" t="str">
        <f t="shared" si="2"/>
        <v/>
      </c>
      <c r="B1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87" spans="1:2" x14ac:dyDescent="0.35">
      <c r="A187" s="1" t="str">
        <f t="shared" si="2"/>
        <v/>
      </c>
      <c r="B1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88" spans="1:2" x14ac:dyDescent="0.35">
      <c r="A188" s="1" t="str">
        <f t="shared" si="2"/>
        <v/>
      </c>
      <c r="B1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89" spans="1:2" x14ac:dyDescent="0.35">
      <c r="A189" s="1" t="str">
        <f t="shared" si="2"/>
        <v/>
      </c>
      <c r="B1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90" spans="1:2" x14ac:dyDescent="0.35">
      <c r="A190" s="1" t="str">
        <f t="shared" si="2"/>
        <v/>
      </c>
      <c r="B1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91" spans="1:2" x14ac:dyDescent="0.35">
      <c r="A191" s="1" t="str">
        <f t="shared" si="2"/>
        <v/>
      </c>
      <c r="B1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92" spans="1:2" x14ac:dyDescent="0.35">
      <c r="A192" s="1" t="str">
        <f t="shared" si="2"/>
        <v/>
      </c>
      <c r="B1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93" spans="1:2" x14ac:dyDescent="0.35">
      <c r="A193" s="1" t="str">
        <f t="shared" si="2"/>
        <v/>
      </c>
      <c r="B1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94" spans="1:2" x14ac:dyDescent="0.35">
      <c r="A194" s="1" t="str">
        <f t="shared" ref="A194:A257" si="3">IFERROR(LEFT(RIGHT(C194,LEN(C194)-SEARCH("@",C194)),SEARCH("/",RIGHT(C194,LEN(C194)-SEARCH("@",C194)-1))),"")</f>
        <v/>
      </c>
      <c r="B1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95" spans="1:2" x14ac:dyDescent="0.35">
      <c r="A195" s="1" t="str">
        <f t="shared" si="3"/>
        <v/>
      </c>
      <c r="B1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96" spans="1:2" x14ac:dyDescent="0.35">
      <c r="A196" s="1" t="str">
        <f t="shared" si="3"/>
        <v/>
      </c>
      <c r="B1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97" spans="1:2" x14ac:dyDescent="0.35">
      <c r="A197" s="1" t="str">
        <f t="shared" si="3"/>
        <v/>
      </c>
      <c r="B1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98" spans="1:2" x14ac:dyDescent="0.35">
      <c r="A198" s="1" t="str">
        <f t="shared" si="3"/>
        <v/>
      </c>
      <c r="B1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99" spans="1:2" x14ac:dyDescent="0.35">
      <c r="A199" s="1" t="str">
        <f t="shared" si="3"/>
        <v/>
      </c>
      <c r="B1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00" spans="1:2" x14ac:dyDescent="0.35">
      <c r="A200" s="1" t="str">
        <f t="shared" si="3"/>
        <v/>
      </c>
      <c r="B2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01" spans="1:2" x14ac:dyDescent="0.35">
      <c r="A201" s="1" t="str">
        <f t="shared" si="3"/>
        <v/>
      </c>
      <c r="B2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02" spans="1:2" x14ac:dyDescent="0.35">
      <c r="A202" s="1" t="str">
        <f t="shared" si="3"/>
        <v/>
      </c>
      <c r="B2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03" spans="1:2" x14ac:dyDescent="0.35">
      <c r="A203" s="1" t="str">
        <f t="shared" si="3"/>
        <v/>
      </c>
      <c r="B2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04" spans="1:2" x14ac:dyDescent="0.35">
      <c r="A204" s="1" t="str">
        <f t="shared" si="3"/>
        <v/>
      </c>
      <c r="B2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05" spans="1:2" x14ac:dyDescent="0.35">
      <c r="A205" s="1" t="str">
        <f t="shared" si="3"/>
        <v/>
      </c>
      <c r="B2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06" spans="1:2" x14ac:dyDescent="0.35">
      <c r="A206" s="1" t="str">
        <f t="shared" si="3"/>
        <v/>
      </c>
      <c r="B2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07" spans="1:2" x14ac:dyDescent="0.35">
      <c r="A207" s="1" t="str">
        <f t="shared" si="3"/>
        <v/>
      </c>
      <c r="B2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08" spans="1:2" x14ac:dyDescent="0.35">
      <c r="A208" s="1" t="str">
        <f t="shared" si="3"/>
        <v/>
      </c>
      <c r="B2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09" spans="1:2" x14ac:dyDescent="0.35">
      <c r="A209" s="1" t="str">
        <f t="shared" si="3"/>
        <v/>
      </c>
      <c r="B2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10" spans="1:2" x14ac:dyDescent="0.35">
      <c r="A210" s="1" t="str">
        <f t="shared" si="3"/>
        <v/>
      </c>
      <c r="B2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11" spans="1:2" x14ac:dyDescent="0.35">
      <c r="A211" s="1" t="str">
        <f t="shared" si="3"/>
        <v/>
      </c>
      <c r="B2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12" spans="1:2" x14ac:dyDescent="0.35">
      <c r="A212" s="1" t="str">
        <f t="shared" si="3"/>
        <v/>
      </c>
      <c r="B2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13" spans="1:2" x14ac:dyDescent="0.35">
      <c r="A213" s="1" t="str">
        <f t="shared" si="3"/>
        <v/>
      </c>
      <c r="B2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14" spans="1:2" x14ac:dyDescent="0.35">
      <c r="A214" s="1" t="str">
        <f t="shared" si="3"/>
        <v/>
      </c>
      <c r="B2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15" spans="1:2" x14ac:dyDescent="0.35">
      <c r="A215" s="1" t="str">
        <f t="shared" si="3"/>
        <v/>
      </c>
      <c r="B2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16" spans="1:2" x14ac:dyDescent="0.35">
      <c r="A216" s="1" t="str">
        <f t="shared" si="3"/>
        <v/>
      </c>
      <c r="B2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17" spans="1:2" x14ac:dyDescent="0.35">
      <c r="A217" s="1" t="str">
        <f t="shared" si="3"/>
        <v/>
      </c>
      <c r="B2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18" spans="1:2" x14ac:dyDescent="0.35">
      <c r="A218" s="1" t="str">
        <f t="shared" si="3"/>
        <v/>
      </c>
      <c r="B2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19" spans="1:2" x14ac:dyDescent="0.35">
      <c r="A219" s="1" t="str">
        <f t="shared" si="3"/>
        <v/>
      </c>
      <c r="B2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20" spans="1:2" x14ac:dyDescent="0.35">
      <c r="A220" s="1" t="str">
        <f t="shared" si="3"/>
        <v/>
      </c>
      <c r="B2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21" spans="1:2" x14ac:dyDescent="0.35">
      <c r="A221" s="1" t="str">
        <f t="shared" si="3"/>
        <v/>
      </c>
      <c r="B2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22" spans="1:2" x14ac:dyDescent="0.35">
      <c r="A222" s="1" t="str">
        <f t="shared" si="3"/>
        <v/>
      </c>
      <c r="B2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23" spans="1:2" x14ac:dyDescent="0.35">
      <c r="A223" s="1" t="str">
        <f t="shared" si="3"/>
        <v/>
      </c>
      <c r="B2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24" spans="1:2" x14ac:dyDescent="0.35">
      <c r="A224" s="1" t="str">
        <f t="shared" si="3"/>
        <v/>
      </c>
      <c r="B2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25" spans="1:2" x14ac:dyDescent="0.35">
      <c r="A225" s="1" t="str">
        <f t="shared" si="3"/>
        <v/>
      </c>
      <c r="B2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26" spans="1:2" x14ac:dyDescent="0.35">
      <c r="A226" s="1" t="str">
        <f t="shared" si="3"/>
        <v/>
      </c>
      <c r="B2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27" spans="1:2" x14ac:dyDescent="0.35">
      <c r="A227" s="1" t="str">
        <f t="shared" si="3"/>
        <v/>
      </c>
      <c r="B2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28" spans="1:2" x14ac:dyDescent="0.35">
      <c r="A228" s="1" t="str">
        <f t="shared" si="3"/>
        <v/>
      </c>
      <c r="B2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29" spans="1:2" x14ac:dyDescent="0.35">
      <c r="A229" s="1" t="str">
        <f t="shared" si="3"/>
        <v/>
      </c>
      <c r="B2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30" spans="1:2" x14ac:dyDescent="0.35">
      <c r="A230" s="1" t="str">
        <f t="shared" si="3"/>
        <v/>
      </c>
      <c r="B2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31" spans="1:2" x14ac:dyDescent="0.35">
      <c r="A231" s="1" t="str">
        <f t="shared" si="3"/>
        <v/>
      </c>
      <c r="B2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32" spans="1:2" x14ac:dyDescent="0.35">
      <c r="A232" s="1" t="str">
        <f t="shared" si="3"/>
        <v/>
      </c>
      <c r="B2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33" spans="1:2" x14ac:dyDescent="0.35">
      <c r="A233" s="1" t="str">
        <f t="shared" si="3"/>
        <v/>
      </c>
      <c r="B2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34" spans="1:2" x14ac:dyDescent="0.35">
      <c r="A234" s="1" t="str">
        <f t="shared" si="3"/>
        <v/>
      </c>
      <c r="B2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35" spans="1:2" x14ac:dyDescent="0.35">
      <c r="A235" s="1" t="str">
        <f t="shared" si="3"/>
        <v/>
      </c>
      <c r="B2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36" spans="1:2" x14ac:dyDescent="0.35">
      <c r="A236" s="1" t="str">
        <f t="shared" si="3"/>
        <v/>
      </c>
      <c r="B2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37" spans="1:2" x14ac:dyDescent="0.35">
      <c r="A237" s="1" t="str">
        <f t="shared" si="3"/>
        <v/>
      </c>
      <c r="B2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38" spans="1:2" x14ac:dyDescent="0.35">
      <c r="A238" s="1" t="str">
        <f t="shared" si="3"/>
        <v/>
      </c>
      <c r="B2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39" spans="1:2" x14ac:dyDescent="0.35">
      <c r="A239" s="1" t="str">
        <f t="shared" si="3"/>
        <v/>
      </c>
      <c r="B2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40" spans="1:2" x14ac:dyDescent="0.35">
      <c r="A240" s="1" t="str">
        <f t="shared" si="3"/>
        <v/>
      </c>
      <c r="B2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41" spans="1:2" x14ac:dyDescent="0.35">
      <c r="A241" s="1" t="str">
        <f t="shared" si="3"/>
        <v/>
      </c>
      <c r="B2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42" spans="1:2" x14ac:dyDescent="0.35">
      <c r="A242" s="1" t="str">
        <f t="shared" si="3"/>
        <v/>
      </c>
      <c r="B2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43" spans="1:2" x14ac:dyDescent="0.35">
      <c r="A243" s="1" t="str">
        <f t="shared" si="3"/>
        <v/>
      </c>
      <c r="B2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44" spans="1:2" x14ac:dyDescent="0.35">
      <c r="A244" s="1" t="str">
        <f t="shared" si="3"/>
        <v/>
      </c>
      <c r="B2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45" spans="1:2" x14ac:dyDescent="0.35">
      <c r="A245" s="1" t="str">
        <f t="shared" si="3"/>
        <v/>
      </c>
      <c r="B2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46" spans="1:2" x14ac:dyDescent="0.35">
      <c r="A246" s="1" t="str">
        <f t="shared" si="3"/>
        <v/>
      </c>
      <c r="B2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47" spans="1:2" x14ac:dyDescent="0.35">
      <c r="A247" s="1" t="str">
        <f t="shared" si="3"/>
        <v/>
      </c>
      <c r="B2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48" spans="1:2" x14ac:dyDescent="0.35">
      <c r="A248" s="1" t="str">
        <f t="shared" si="3"/>
        <v/>
      </c>
      <c r="B2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49" spans="1:2" x14ac:dyDescent="0.35">
      <c r="A249" s="1" t="str">
        <f t="shared" si="3"/>
        <v/>
      </c>
      <c r="B2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50" spans="1:2" x14ac:dyDescent="0.35">
      <c r="A250" s="1" t="str">
        <f t="shared" si="3"/>
        <v/>
      </c>
      <c r="B2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51" spans="1:2" x14ac:dyDescent="0.35">
      <c r="A251" s="1" t="str">
        <f t="shared" si="3"/>
        <v/>
      </c>
      <c r="B2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52" spans="1:2" x14ac:dyDescent="0.35">
      <c r="A252" s="1" t="str">
        <f t="shared" si="3"/>
        <v/>
      </c>
      <c r="B2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53" spans="1:2" x14ac:dyDescent="0.35">
      <c r="A253" s="1" t="str">
        <f t="shared" si="3"/>
        <v/>
      </c>
      <c r="B2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54" spans="1:2" x14ac:dyDescent="0.35">
      <c r="A254" s="1" t="str">
        <f t="shared" si="3"/>
        <v/>
      </c>
      <c r="B2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55" spans="1:2" x14ac:dyDescent="0.35">
      <c r="A255" s="1" t="str">
        <f t="shared" si="3"/>
        <v/>
      </c>
      <c r="B2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56" spans="1:2" x14ac:dyDescent="0.35">
      <c r="A256" s="1" t="str">
        <f t="shared" si="3"/>
        <v/>
      </c>
      <c r="B2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57" spans="1:2" x14ac:dyDescent="0.35">
      <c r="A257" s="1" t="str">
        <f t="shared" si="3"/>
        <v/>
      </c>
      <c r="B2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58" spans="1:2" x14ac:dyDescent="0.35">
      <c r="A258" s="1" t="str">
        <f t="shared" ref="A258:A321" si="4">IFERROR(LEFT(RIGHT(C258,LEN(C258)-SEARCH("@",C258)),SEARCH("/",RIGHT(C258,LEN(C258)-SEARCH("@",C258)-1))),"")</f>
        <v/>
      </c>
      <c r="B2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59" spans="1:2" x14ac:dyDescent="0.35">
      <c r="A259" s="1" t="str">
        <f t="shared" si="4"/>
        <v/>
      </c>
      <c r="B2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60" spans="1:2" x14ac:dyDescent="0.35">
      <c r="A260" s="1" t="str">
        <f t="shared" si="4"/>
        <v/>
      </c>
      <c r="B2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61" spans="1:2" x14ac:dyDescent="0.35">
      <c r="A261" s="1" t="str">
        <f t="shared" si="4"/>
        <v/>
      </c>
      <c r="B2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62" spans="1:2" x14ac:dyDescent="0.35">
      <c r="A262" s="1" t="str">
        <f t="shared" si="4"/>
        <v/>
      </c>
      <c r="B2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63" spans="1:2" x14ac:dyDescent="0.35">
      <c r="A263" s="1" t="str">
        <f t="shared" si="4"/>
        <v/>
      </c>
      <c r="B2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64" spans="1:2" x14ac:dyDescent="0.35">
      <c r="A264" s="1" t="str">
        <f t="shared" si="4"/>
        <v/>
      </c>
      <c r="B2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65" spans="1:2" x14ac:dyDescent="0.35">
      <c r="A265" s="1" t="str">
        <f t="shared" si="4"/>
        <v/>
      </c>
      <c r="B2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66" spans="1:2" x14ac:dyDescent="0.35">
      <c r="A266" s="1" t="str">
        <f t="shared" si="4"/>
        <v/>
      </c>
      <c r="B2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67" spans="1:2" x14ac:dyDescent="0.35">
      <c r="A267" s="1" t="str">
        <f t="shared" si="4"/>
        <v/>
      </c>
      <c r="B2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68" spans="1:2" x14ac:dyDescent="0.35">
      <c r="A268" s="1" t="str">
        <f t="shared" si="4"/>
        <v/>
      </c>
      <c r="B2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69" spans="1:2" x14ac:dyDescent="0.35">
      <c r="A269" s="1" t="str">
        <f t="shared" si="4"/>
        <v/>
      </c>
      <c r="B2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70" spans="1:2" x14ac:dyDescent="0.35">
      <c r="A270" s="1" t="str">
        <f t="shared" si="4"/>
        <v/>
      </c>
      <c r="B2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71" spans="1:2" x14ac:dyDescent="0.35">
      <c r="A271" s="1" t="str">
        <f t="shared" si="4"/>
        <v/>
      </c>
      <c r="B2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72" spans="1:2" x14ac:dyDescent="0.35">
      <c r="A272" s="1" t="str">
        <f t="shared" si="4"/>
        <v/>
      </c>
      <c r="B2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73" spans="1:2" x14ac:dyDescent="0.35">
      <c r="A273" s="1" t="str">
        <f t="shared" si="4"/>
        <v/>
      </c>
      <c r="B2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74" spans="1:2" x14ac:dyDescent="0.35">
      <c r="A274" s="1" t="str">
        <f t="shared" si="4"/>
        <v/>
      </c>
      <c r="B2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75" spans="1:2" x14ac:dyDescent="0.35">
      <c r="A275" s="1" t="str">
        <f t="shared" si="4"/>
        <v/>
      </c>
      <c r="B2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76" spans="1:2" x14ac:dyDescent="0.35">
      <c r="A276" s="1" t="str">
        <f t="shared" si="4"/>
        <v/>
      </c>
      <c r="B2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77" spans="1:2" x14ac:dyDescent="0.35">
      <c r="A277" s="1" t="str">
        <f t="shared" si="4"/>
        <v/>
      </c>
      <c r="B2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78" spans="1:2" x14ac:dyDescent="0.35">
      <c r="A278" s="1" t="str">
        <f t="shared" si="4"/>
        <v/>
      </c>
      <c r="B2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79" spans="1:2" x14ac:dyDescent="0.35">
      <c r="A279" s="1" t="str">
        <f t="shared" si="4"/>
        <v/>
      </c>
      <c r="B2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80" spans="1:2" x14ac:dyDescent="0.35">
      <c r="A280" s="1" t="str">
        <f t="shared" si="4"/>
        <v/>
      </c>
      <c r="B2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81" spans="1:2" x14ac:dyDescent="0.35">
      <c r="A281" s="1" t="str">
        <f t="shared" si="4"/>
        <v/>
      </c>
      <c r="B2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82" spans="1:2" x14ac:dyDescent="0.35">
      <c r="A282" s="1" t="str">
        <f t="shared" si="4"/>
        <v/>
      </c>
      <c r="B2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83" spans="1:2" x14ac:dyDescent="0.35">
      <c r="A283" s="1" t="str">
        <f t="shared" si="4"/>
        <v/>
      </c>
      <c r="B2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84" spans="1:2" x14ac:dyDescent="0.35">
      <c r="A284" s="1" t="str">
        <f t="shared" si="4"/>
        <v/>
      </c>
      <c r="B2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85" spans="1:2" x14ac:dyDescent="0.35">
      <c r="A285" s="1" t="str">
        <f t="shared" si="4"/>
        <v/>
      </c>
      <c r="B2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86" spans="1:2" x14ac:dyDescent="0.35">
      <c r="A286" s="1" t="str">
        <f t="shared" si="4"/>
        <v/>
      </c>
      <c r="B2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87" spans="1:2" x14ac:dyDescent="0.35">
      <c r="A287" s="1" t="str">
        <f t="shared" si="4"/>
        <v/>
      </c>
      <c r="B2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88" spans="1:2" x14ac:dyDescent="0.35">
      <c r="A288" s="1" t="str">
        <f t="shared" si="4"/>
        <v/>
      </c>
      <c r="B2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89" spans="1:2" x14ac:dyDescent="0.35">
      <c r="A289" s="1" t="str">
        <f t="shared" si="4"/>
        <v/>
      </c>
      <c r="B2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90" spans="1:2" x14ac:dyDescent="0.35">
      <c r="A290" s="1" t="str">
        <f t="shared" si="4"/>
        <v/>
      </c>
      <c r="B2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91" spans="1:2" x14ac:dyDescent="0.35">
      <c r="A291" s="1" t="str">
        <f t="shared" si="4"/>
        <v/>
      </c>
      <c r="B2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92" spans="1:2" x14ac:dyDescent="0.35">
      <c r="A292" s="1" t="str">
        <f t="shared" si="4"/>
        <v/>
      </c>
      <c r="B2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93" spans="1:2" x14ac:dyDescent="0.35">
      <c r="A293" s="1" t="str">
        <f t="shared" si="4"/>
        <v/>
      </c>
      <c r="B2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94" spans="1:2" x14ac:dyDescent="0.35">
      <c r="A294" s="1" t="str">
        <f t="shared" si="4"/>
        <v/>
      </c>
      <c r="B2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95" spans="1:2" x14ac:dyDescent="0.35">
      <c r="A295" s="1" t="str">
        <f t="shared" si="4"/>
        <v/>
      </c>
      <c r="B2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96" spans="1:2" x14ac:dyDescent="0.35">
      <c r="A296" s="1" t="str">
        <f t="shared" si="4"/>
        <v/>
      </c>
      <c r="B2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97" spans="1:2" x14ac:dyDescent="0.35">
      <c r="A297" s="1" t="str">
        <f t="shared" si="4"/>
        <v/>
      </c>
      <c r="B2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98" spans="1:2" x14ac:dyDescent="0.35">
      <c r="A298" s="1" t="str">
        <f t="shared" si="4"/>
        <v/>
      </c>
      <c r="B2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99" spans="1:2" x14ac:dyDescent="0.35">
      <c r="A299" s="1" t="str">
        <f t="shared" si="4"/>
        <v/>
      </c>
      <c r="B2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00" spans="1:2" x14ac:dyDescent="0.35">
      <c r="A300" s="1" t="str">
        <f t="shared" si="4"/>
        <v/>
      </c>
      <c r="B3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01" spans="1:2" x14ac:dyDescent="0.35">
      <c r="A301" s="1" t="str">
        <f t="shared" si="4"/>
        <v/>
      </c>
      <c r="B3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02" spans="1:2" x14ac:dyDescent="0.35">
      <c r="A302" s="1" t="str">
        <f t="shared" si="4"/>
        <v/>
      </c>
      <c r="B3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03" spans="1:2" x14ac:dyDescent="0.35">
      <c r="A303" s="1" t="str">
        <f t="shared" si="4"/>
        <v/>
      </c>
      <c r="B3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04" spans="1:2" x14ac:dyDescent="0.35">
      <c r="A304" s="1" t="str">
        <f t="shared" si="4"/>
        <v/>
      </c>
      <c r="B3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05" spans="1:2" x14ac:dyDescent="0.35">
      <c r="A305" s="1" t="str">
        <f t="shared" si="4"/>
        <v/>
      </c>
      <c r="B3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06" spans="1:2" x14ac:dyDescent="0.35">
      <c r="A306" s="1" t="str">
        <f t="shared" si="4"/>
        <v/>
      </c>
      <c r="B3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07" spans="1:2" x14ac:dyDescent="0.35">
      <c r="A307" s="1" t="str">
        <f t="shared" si="4"/>
        <v/>
      </c>
      <c r="B3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08" spans="1:2" x14ac:dyDescent="0.35">
      <c r="A308" s="1" t="str">
        <f t="shared" si="4"/>
        <v/>
      </c>
      <c r="B3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09" spans="1:2" x14ac:dyDescent="0.35">
      <c r="A309" s="1" t="str">
        <f t="shared" si="4"/>
        <v/>
      </c>
      <c r="B3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10" spans="1:2" x14ac:dyDescent="0.35">
      <c r="A310" s="1" t="str">
        <f t="shared" si="4"/>
        <v/>
      </c>
      <c r="B3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11" spans="1:2" x14ac:dyDescent="0.35">
      <c r="A311" s="1" t="str">
        <f t="shared" si="4"/>
        <v/>
      </c>
      <c r="B3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12" spans="1:2" x14ac:dyDescent="0.35">
      <c r="A312" s="1" t="str">
        <f t="shared" si="4"/>
        <v/>
      </c>
      <c r="B3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13" spans="1:2" x14ac:dyDescent="0.35">
      <c r="A313" s="1" t="str">
        <f t="shared" si="4"/>
        <v/>
      </c>
      <c r="B3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14" spans="1:2" x14ac:dyDescent="0.35">
      <c r="A314" s="1" t="str">
        <f t="shared" si="4"/>
        <v/>
      </c>
      <c r="B3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15" spans="1:2" x14ac:dyDescent="0.35">
      <c r="A315" s="1" t="str">
        <f t="shared" si="4"/>
        <v/>
      </c>
      <c r="B3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16" spans="1:2" x14ac:dyDescent="0.35">
      <c r="A316" s="1" t="str">
        <f t="shared" si="4"/>
        <v/>
      </c>
      <c r="B3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17" spans="1:2" x14ac:dyDescent="0.35">
      <c r="A317" s="1" t="str">
        <f t="shared" si="4"/>
        <v/>
      </c>
      <c r="B3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18" spans="1:2" x14ac:dyDescent="0.35">
      <c r="A318" s="1" t="str">
        <f t="shared" si="4"/>
        <v/>
      </c>
      <c r="B3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19" spans="1:2" x14ac:dyDescent="0.35">
      <c r="A319" s="1" t="str">
        <f t="shared" si="4"/>
        <v/>
      </c>
      <c r="B3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20" spans="1:2" x14ac:dyDescent="0.35">
      <c r="A320" s="1" t="str">
        <f t="shared" si="4"/>
        <v/>
      </c>
      <c r="B3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21" spans="1:2" x14ac:dyDescent="0.35">
      <c r="A321" s="1" t="str">
        <f t="shared" si="4"/>
        <v/>
      </c>
      <c r="B3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22" spans="1:2" x14ac:dyDescent="0.35">
      <c r="A322" s="1" t="str">
        <f t="shared" ref="A322:A385" si="5">IFERROR(LEFT(RIGHT(C322,LEN(C322)-SEARCH("@",C322)),SEARCH("/",RIGHT(C322,LEN(C322)-SEARCH("@",C322)-1))),"")</f>
        <v/>
      </c>
      <c r="B3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23" spans="1:2" x14ac:dyDescent="0.35">
      <c r="A323" s="1" t="str">
        <f t="shared" si="5"/>
        <v/>
      </c>
      <c r="B3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24" spans="1:2" x14ac:dyDescent="0.35">
      <c r="A324" s="1" t="str">
        <f t="shared" si="5"/>
        <v/>
      </c>
      <c r="B3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25" spans="1:2" x14ac:dyDescent="0.35">
      <c r="A325" s="1" t="str">
        <f t="shared" si="5"/>
        <v/>
      </c>
      <c r="B3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26" spans="1:2" x14ac:dyDescent="0.35">
      <c r="A326" s="1" t="str">
        <f t="shared" si="5"/>
        <v/>
      </c>
      <c r="B3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27" spans="1:2" x14ac:dyDescent="0.35">
      <c r="A327" s="1" t="str">
        <f t="shared" si="5"/>
        <v/>
      </c>
      <c r="B3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28" spans="1:2" x14ac:dyDescent="0.35">
      <c r="A328" s="1" t="str">
        <f t="shared" si="5"/>
        <v/>
      </c>
      <c r="B3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29" spans="1:2" x14ac:dyDescent="0.35">
      <c r="A329" s="1" t="str">
        <f t="shared" si="5"/>
        <v/>
      </c>
      <c r="B3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30" spans="1:2" x14ac:dyDescent="0.35">
      <c r="A330" s="1" t="str">
        <f t="shared" si="5"/>
        <v/>
      </c>
      <c r="B3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31" spans="1:2" x14ac:dyDescent="0.35">
      <c r="A331" s="1" t="str">
        <f t="shared" si="5"/>
        <v/>
      </c>
      <c r="B3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32" spans="1:2" x14ac:dyDescent="0.35">
      <c r="A332" s="1" t="str">
        <f t="shared" si="5"/>
        <v/>
      </c>
      <c r="B3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33" spans="1:2" x14ac:dyDescent="0.35">
      <c r="A333" s="1" t="str">
        <f t="shared" si="5"/>
        <v/>
      </c>
      <c r="B3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34" spans="1:2" x14ac:dyDescent="0.35">
      <c r="A334" s="1" t="str">
        <f t="shared" si="5"/>
        <v/>
      </c>
      <c r="B3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35" spans="1:2" x14ac:dyDescent="0.35">
      <c r="A335" s="1" t="str">
        <f t="shared" si="5"/>
        <v/>
      </c>
      <c r="B3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36" spans="1:2" x14ac:dyDescent="0.35">
      <c r="A336" s="1" t="str">
        <f t="shared" si="5"/>
        <v/>
      </c>
      <c r="B3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37" spans="1:2" x14ac:dyDescent="0.35">
      <c r="A337" s="1" t="str">
        <f t="shared" si="5"/>
        <v/>
      </c>
      <c r="B3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38" spans="1:2" x14ac:dyDescent="0.35">
      <c r="A338" s="1" t="str">
        <f t="shared" si="5"/>
        <v/>
      </c>
      <c r="B3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39" spans="1:2" x14ac:dyDescent="0.35">
      <c r="A339" s="1" t="str">
        <f t="shared" si="5"/>
        <v/>
      </c>
      <c r="B3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40" spans="1:2" x14ac:dyDescent="0.35">
      <c r="A340" s="1" t="str">
        <f t="shared" si="5"/>
        <v/>
      </c>
      <c r="B3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41" spans="1:2" x14ac:dyDescent="0.35">
      <c r="A341" s="1" t="str">
        <f t="shared" si="5"/>
        <v/>
      </c>
      <c r="B3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42" spans="1:2" x14ac:dyDescent="0.35">
      <c r="A342" s="1" t="str">
        <f t="shared" si="5"/>
        <v/>
      </c>
      <c r="B3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43" spans="1:2" x14ac:dyDescent="0.35">
      <c r="A343" s="1" t="str">
        <f t="shared" si="5"/>
        <v/>
      </c>
      <c r="B3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44" spans="1:2" x14ac:dyDescent="0.35">
      <c r="A344" s="1" t="str">
        <f t="shared" si="5"/>
        <v/>
      </c>
      <c r="B3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45" spans="1:2" x14ac:dyDescent="0.35">
      <c r="A345" s="1" t="str">
        <f t="shared" si="5"/>
        <v/>
      </c>
      <c r="B3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46" spans="1:2" x14ac:dyDescent="0.35">
      <c r="A346" s="1" t="str">
        <f t="shared" si="5"/>
        <v/>
      </c>
      <c r="B3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47" spans="1:2" x14ac:dyDescent="0.35">
      <c r="A347" s="1" t="str">
        <f t="shared" si="5"/>
        <v/>
      </c>
      <c r="B3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48" spans="1:2" x14ac:dyDescent="0.35">
      <c r="A348" s="1" t="str">
        <f t="shared" si="5"/>
        <v/>
      </c>
      <c r="B3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49" spans="1:2" x14ac:dyDescent="0.35">
      <c r="A349" s="1" t="str">
        <f t="shared" si="5"/>
        <v/>
      </c>
      <c r="B3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50" spans="1:2" x14ac:dyDescent="0.35">
      <c r="A350" s="1" t="str">
        <f t="shared" si="5"/>
        <v/>
      </c>
      <c r="B3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51" spans="1:2" x14ac:dyDescent="0.35">
      <c r="A351" s="1" t="str">
        <f t="shared" si="5"/>
        <v/>
      </c>
      <c r="B3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52" spans="1:2" x14ac:dyDescent="0.35">
      <c r="A352" s="1" t="str">
        <f t="shared" si="5"/>
        <v/>
      </c>
      <c r="B3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53" spans="1:2" x14ac:dyDescent="0.35">
      <c r="A353" s="1" t="str">
        <f t="shared" si="5"/>
        <v/>
      </c>
      <c r="B3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54" spans="1:2" x14ac:dyDescent="0.35">
      <c r="A354" s="1" t="str">
        <f t="shared" si="5"/>
        <v/>
      </c>
      <c r="B3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55" spans="1:2" x14ac:dyDescent="0.35">
      <c r="A355" s="1" t="str">
        <f t="shared" si="5"/>
        <v/>
      </c>
      <c r="B3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56" spans="1:2" x14ac:dyDescent="0.35">
      <c r="A356" s="1" t="str">
        <f t="shared" si="5"/>
        <v/>
      </c>
      <c r="B3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57" spans="1:2" x14ac:dyDescent="0.35">
      <c r="A357" s="1" t="str">
        <f t="shared" si="5"/>
        <v/>
      </c>
      <c r="B3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58" spans="1:2" x14ac:dyDescent="0.35">
      <c r="A358" s="1" t="str">
        <f t="shared" si="5"/>
        <v/>
      </c>
      <c r="B3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59" spans="1:2" x14ac:dyDescent="0.35">
      <c r="A359" s="1" t="str">
        <f t="shared" si="5"/>
        <v/>
      </c>
      <c r="B3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60" spans="1:2" x14ac:dyDescent="0.35">
      <c r="A360" s="1" t="str">
        <f t="shared" si="5"/>
        <v/>
      </c>
      <c r="B3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61" spans="1:2" x14ac:dyDescent="0.35">
      <c r="A361" s="1" t="str">
        <f t="shared" si="5"/>
        <v/>
      </c>
      <c r="B3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62" spans="1:2" x14ac:dyDescent="0.35">
      <c r="A362" s="1" t="str">
        <f t="shared" si="5"/>
        <v/>
      </c>
      <c r="B3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63" spans="1:2" x14ac:dyDescent="0.35">
      <c r="A363" s="1" t="str">
        <f t="shared" si="5"/>
        <v/>
      </c>
      <c r="B3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64" spans="1:2" x14ac:dyDescent="0.35">
      <c r="A364" s="1" t="str">
        <f t="shared" si="5"/>
        <v/>
      </c>
      <c r="B3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65" spans="1:2" x14ac:dyDescent="0.35">
      <c r="A365" s="1" t="str">
        <f t="shared" si="5"/>
        <v/>
      </c>
      <c r="B3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66" spans="1:2" x14ac:dyDescent="0.35">
      <c r="A366" s="1" t="str">
        <f t="shared" si="5"/>
        <v/>
      </c>
      <c r="B3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67" spans="1:2" x14ac:dyDescent="0.35">
      <c r="A367" s="1" t="str">
        <f t="shared" si="5"/>
        <v/>
      </c>
      <c r="B3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68" spans="1:2" x14ac:dyDescent="0.35">
      <c r="A368" s="1" t="str">
        <f t="shared" si="5"/>
        <v/>
      </c>
      <c r="B3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69" spans="1:2" x14ac:dyDescent="0.35">
      <c r="A369" s="1" t="str">
        <f t="shared" si="5"/>
        <v/>
      </c>
      <c r="B3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70" spans="1:2" x14ac:dyDescent="0.35">
      <c r="A370" s="1" t="str">
        <f t="shared" si="5"/>
        <v/>
      </c>
      <c r="B3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71" spans="1:2" x14ac:dyDescent="0.35">
      <c r="A371" s="1" t="str">
        <f t="shared" si="5"/>
        <v/>
      </c>
      <c r="B3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72" spans="1:2" x14ac:dyDescent="0.35">
      <c r="A372" s="1" t="str">
        <f t="shared" si="5"/>
        <v/>
      </c>
      <c r="B3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73" spans="1:2" x14ac:dyDescent="0.35">
      <c r="A373" s="1" t="str">
        <f t="shared" si="5"/>
        <v/>
      </c>
      <c r="B3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74" spans="1:2" x14ac:dyDescent="0.35">
      <c r="A374" s="1" t="str">
        <f t="shared" si="5"/>
        <v/>
      </c>
      <c r="B3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75" spans="1:2" x14ac:dyDescent="0.35">
      <c r="A375" s="1" t="str">
        <f t="shared" si="5"/>
        <v/>
      </c>
      <c r="B3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76" spans="1:2" x14ac:dyDescent="0.35">
      <c r="A376" s="1" t="str">
        <f t="shared" si="5"/>
        <v/>
      </c>
      <c r="B3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77" spans="1:2" x14ac:dyDescent="0.35">
      <c r="A377" s="1" t="str">
        <f t="shared" si="5"/>
        <v/>
      </c>
      <c r="B3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78" spans="1:2" x14ac:dyDescent="0.35">
      <c r="A378" s="1" t="str">
        <f t="shared" si="5"/>
        <v/>
      </c>
      <c r="B3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79" spans="1:2" x14ac:dyDescent="0.35">
      <c r="A379" s="1" t="str">
        <f t="shared" si="5"/>
        <v/>
      </c>
      <c r="B3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80" spans="1:2" x14ac:dyDescent="0.35">
      <c r="A380" s="1" t="str">
        <f t="shared" si="5"/>
        <v/>
      </c>
      <c r="B3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81" spans="1:2" x14ac:dyDescent="0.35">
      <c r="A381" s="1" t="str">
        <f t="shared" si="5"/>
        <v/>
      </c>
      <c r="B3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82" spans="1:2" x14ac:dyDescent="0.35">
      <c r="A382" s="1" t="str">
        <f t="shared" si="5"/>
        <v/>
      </c>
      <c r="B3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83" spans="1:2" x14ac:dyDescent="0.35">
      <c r="A383" s="1" t="str">
        <f t="shared" si="5"/>
        <v/>
      </c>
      <c r="B3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84" spans="1:2" x14ac:dyDescent="0.35">
      <c r="A384" s="1" t="str">
        <f t="shared" si="5"/>
        <v/>
      </c>
      <c r="B3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85" spans="1:2" x14ac:dyDescent="0.35">
      <c r="A385" s="1" t="str">
        <f t="shared" si="5"/>
        <v/>
      </c>
      <c r="B3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86" spans="1:2" x14ac:dyDescent="0.35">
      <c r="A386" s="1" t="str">
        <f t="shared" ref="A386:A449" si="6">IFERROR(LEFT(RIGHT(C386,LEN(C386)-SEARCH("@",C386)),SEARCH("/",RIGHT(C386,LEN(C386)-SEARCH("@",C386)-1))),"")</f>
        <v/>
      </c>
      <c r="B3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87" spans="1:2" x14ac:dyDescent="0.35">
      <c r="A387" s="1" t="str">
        <f t="shared" si="6"/>
        <v/>
      </c>
      <c r="B3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88" spans="1:2" x14ac:dyDescent="0.35">
      <c r="A388" s="1" t="str">
        <f t="shared" si="6"/>
        <v/>
      </c>
      <c r="B3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89" spans="1:2" x14ac:dyDescent="0.35">
      <c r="A389" s="1" t="str">
        <f t="shared" si="6"/>
        <v/>
      </c>
      <c r="B3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90" spans="1:2" x14ac:dyDescent="0.35">
      <c r="A390" s="1" t="str">
        <f t="shared" si="6"/>
        <v/>
      </c>
      <c r="B3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91" spans="1:2" x14ac:dyDescent="0.35">
      <c r="A391" s="1" t="str">
        <f t="shared" si="6"/>
        <v/>
      </c>
      <c r="B3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92" spans="1:2" x14ac:dyDescent="0.35">
      <c r="A392" s="1" t="str">
        <f t="shared" si="6"/>
        <v/>
      </c>
      <c r="B3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93" spans="1:2" x14ac:dyDescent="0.35">
      <c r="A393" s="1" t="str">
        <f t="shared" si="6"/>
        <v/>
      </c>
      <c r="B3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94" spans="1:2" x14ac:dyDescent="0.35">
      <c r="A394" s="1" t="str">
        <f t="shared" si="6"/>
        <v/>
      </c>
      <c r="B3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95" spans="1:2" x14ac:dyDescent="0.35">
      <c r="A395" s="1" t="str">
        <f t="shared" si="6"/>
        <v/>
      </c>
      <c r="B3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96" spans="1:2" x14ac:dyDescent="0.35">
      <c r="A396" s="1" t="str">
        <f t="shared" si="6"/>
        <v/>
      </c>
      <c r="B3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97" spans="1:2" x14ac:dyDescent="0.35">
      <c r="A397" s="1" t="str">
        <f t="shared" si="6"/>
        <v/>
      </c>
      <c r="B3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98" spans="1:2" x14ac:dyDescent="0.35">
      <c r="A398" s="1" t="str">
        <f t="shared" si="6"/>
        <v/>
      </c>
      <c r="B3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99" spans="1:2" x14ac:dyDescent="0.35">
      <c r="A399" s="1" t="str">
        <f t="shared" si="6"/>
        <v/>
      </c>
      <c r="B3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00" spans="1:2" x14ac:dyDescent="0.35">
      <c r="A400" s="1" t="str">
        <f t="shared" si="6"/>
        <v/>
      </c>
      <c r="B4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01" spans="1:2" x14ac:dyDescent="0.35">
      <c r="A401" s="1" t="str">
        <f t="shared" si="6"/>
        <v/>
      </c>
      <c r="B4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02" spans="1:2" x14ac:dyDescent="0.35">
      <c r="A402" s="1" t="str">
        <f t="shared" si="6"/>
        <v/>
      </c>
      <c r="B4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03" spans="1:2" x14ac:dyDescent="0.35">
      <c r="A403" s="1" t="str">
        <f t="shared" si="6"/>
        <v/>
      </c>
      <c r="B4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04" spans="1:2" x14ac:dyDescent="0.35">
      <c r="A404" s="1" t="str">
        <f t="shared" si="6"/>
        <v/>
      </c>
      <c r="B4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05" spans="1:2" x14ac:dyDescent="0.35">
      <c r="A405" s="1" t="str">
        <f t="shared" si="6"/>
        <v/>
      </c>
      <c r="B4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06" spans="1:2" x14ac:dyDescent="0.35">
      <c r="A406" s="1" t="str">
        <f t="shared" si="6"/>
        <v/>
      </c>
      <c r="B4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07" spans="1:2" x14ac:dyDescent="0.35">
      <c r="A407" s="1" t="str">
        <f t="shared" si="6"/>
        <v/>
      </c>
      <c r="B4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08" spans="1:2" x14ac:dyDescent="0.35">
      <c r="A408" s="1" t="str">
        <f t="shared" si="6"/>
        <v/>
      </c>
      <c r="B4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09" spans="1:2" x14ac:dyDescent="0.35">
      <c r="A409" s="1" t="str">
        <f t="shared" si="6"/>
        <v/>
      </c>
      <c r="B4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10" spans="1:2" x14ac:dyDescent="0.35">
      <c r="A410" s="1" t="str">
        <f t="shared" si="6"/>
        <v/>
      </c>
      <c r="B4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11" spans="1:2" x14ac:dyDescent="0.35">
      <c r="A411" s="1" t="str">
        <f t="shared" si="6"/>
        <v/>
      </c>
      <c r="B4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12" spans="1:2" x14ac:dyDescent="0.35">
      <c r="A412" s="1" t="str">
        <f t="shared" si="6"/>
        <v/>
      </c>
      <c r="B4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13" spans="1:2" x14ac:dyDescent="0.35">
      <c r="A413" s="1" t="str">
        <f t="shared" si="6"/>
        <v/>
      </c>
      <c r="B4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14" spans="1:2" x14ac:dyDescent="0.35">
      <c r="A414" s="1" t="str">
        <f t="shared" si="6"/>
        <v/>
      </c>
      <c r="B4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15" spans="1:2" x14ac:dyDescent="0.35">
      <c r="A415" s="1" t="str">
        <f t="shared" si="6"/>
        <v/>
      </c>
      <c r="B4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16" spans="1:2" x14ac:dyDescent="0.35">
      <c r="A416" s="1" t="str">
        <f t="shared" si="6"/>
        <v/>
      </c>
      <c r="B4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17" spans="1:2" x14ac:dyDescent="0.35">
      <c r="A417" s="1" t="str">
        <f t="shared" si="6"/>
        <v/>
      </c>
      <c r="B4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18" spans="1:2" x14ac:dyDescent="0.35">
      <c r="A418" s="1" t="str">
        <f t="shared" si="6"/>
        <v/>
      </c>
      <c r="B4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19" spans="1:2" x14ac:dyDescent="0.35">
      <c r="A419" s="1" t="str">
        <f t="shared" si="6"/>
        <v/>
      </c>
      <c r="B4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20" spans="1:2" x14ac:dyDescent="0.35">
      <c r="A420" s="1" t="str">
        <f t="shared" si="6"/>
        <v/>
      </c>
      <c r="B4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21" spans="1:2" x14ac:dyDescent="0.35">
      <c r="A421" s="1" t="str">
        <f t="shared" si="6"/>
        <v/>
      </c>
      <c r="B4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22" spans="1:2" x14ac:dyDescent="0.35">
      <c r="A422" s="1" t="str">
        <f t="shared" si="6"/>
        <v/>
      </c>
      <c r="B4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23" spans="1:2" x14ac:dyDescent="0.35">
      <c r="A423" s="1" t="str">
        <f t="shared" si="6"/>
        <v/>
      </c>
      <c r="B4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24" spans="1:2" x14ac:dyDescent="0.35">
      <c r="A424" s="1" t="str">
        <f t="shared" si="6"/>
        <v/>
      </c>
      <c r="B4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25" spans="1:2" x14ac:dyDescent="0.35">
      <c r="A425" s="1" t="str">
        <f t="shared" si="6"/>
        <v/>
      </c>
      <c r="B4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26" spans="1:2" x14ac:dyDescent="0.35">
      <c r="A426" s="1" t="str">
        <f t="shared" si="6"/>
        <v/>
      </c>
      <c r="B4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27" spans="1:2" x14ac:dyDescent="0.35">
      <c r="A427" s="1" t="str">
        <f t="shared" si="6"/>
        <v/>
      </c>
      <c r="B4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28" spans="1:2" x14ac:dyDescent="0.35">
      <c r="A428" s="1" t="str">
        <f t="shared" si="6"/>
        <v/>
      </c>
      <c r="B4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29" spans="1:2" x14ac:dyDescent="0.35">
      <c r="A429" s="1" t="str">
        <f t="shared" si="6"/>
        <v/>
      </c>
      <c r="B4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30" spans="1:2" x14ac:dyDescent="0.35">
      <c r="A430" s="1" t="str">
        <f t="shared" si="6"/>
        <v/>
      </c>
      <c r="B4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31" spans="1:2" x14ac:dyDescent="0.35">
      <c r="A431" s="1" t="str">
        <f t="shared" si="6"/>
        <v/>
      </c>
      <c r="B4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32" spans="1:2" x14ac:dyDescent="0.35">
      <c r="A432" s="1" t="str">
        <f t="shared" si="6"/>
        <v/>
      </c>
      <c r="B4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33" spans="1:2" x14ac:dyDescent="0.35">
      <c r="A433" s="1" t="str">
        <f t="shared" si="6"/>
        <v/>
      </c>
      <c r="B4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34" spans="1:2" x14ac:dyDescent="0.35">
      <c r="A434" s="1" t="str">
        <f t="shared" si="6"/>
        <v/>
      </c>
      <c r="B4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35" spans="1:2" x14ac:dyDescent="0.35">
      <c r="A435" s="1" t="str">
        <f t="shared" si="6"/>
        <v/>
      </c>
      <c r="B4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36" spans="1:2" x14ac:dyDescent="0.35">
      <c r="A436" s="1" t="str">
        <f t="shared" si="6"/>
        <v/>
      </c>
      <c r="B4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37" spans="1:2" x14ac:dyDescent="0.35">
      <c r="A437" s="1" t="str">
        <f t="shared" si="6"/>
        <v/>
      </c>
      <c r="B4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38" spans="1:2" x14ac:dyDescent="0.35">
      <c r="A438" s="1" t="str">
        <f t="shared" si="6"/>
        <v/>
      </c>
      <c r="B4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39" spans="1:2" x14ac:dyDescent="0.35">
      <c r="A439" s="1" t="str">
        <f t="shared" si="6"/>
        <v/>
      </c>
      <c r="B4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40" spans="1:2" x14ac:dyDescent="0.35">
      <c r="A440" s="1" t="str">
        <f t="shared" si="6"/>
        <v/>
      </c>
      <c r="B4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41" spans="1:2" x14ac:dyDescent="0.35">
      <c r="A441" s="1" t="str">
        <f t="shared" si="6"/>
        <v/>
      </c>
      <c r="B4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42" spans="1:2" x14ac:dyDescent="0.35">
      <c r="A442" s="1" t="str">
        <f t="shared" si="6"/>
        <v/>
      </c>
      <c r="B4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43" spans="1:2" x14ac:dyDescent="0.35">
      <c r="A443" s="1" t="str">
        <f t="shared" si="6"/>
        <v/>
      </c>
      <c r="B4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44" spans="1:2" x14ac:dyDescent="0.35">
      <c r="A444" s="1" t="str">
        <f t="shared" si="6"/>
        <v/>
      </c>
      <c r="B4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45" spans="1:2" x14ac:dyDescent="0.35">
      <c r="A445" s="1" t="str">
        <f t="shared" si="6"/>
        <v/>
      </c>
      <c r="B4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46" spans="1:2" x14ac:dyDescent="0.35">
      <c r="A446" s="1" t="str">
        <f t="shared" si="6"/>
        <v/>
      </c>
      <c r="B4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47" spans="1:2" x14ac:dyDescent="0.35">
      <c r="A447" s="1" t="str">
        <f t="shared" si="6"/>
        <v/>
      </c>
      <c r="B4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48" spans="1:2" x14ac:dyDescent="0.35">
      <c r="A448" s="1" t="str">
        <f t="shared" si="6"/>
        <v/>
      </c>
      <c r="B4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49" spans="1:2" x14ac:dyDescent="0.35">
      <c r="A449" s="1" t="str">
        <f t="shared" si="6"/>
        <v/>
      </c>
      <c r="B4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50" spans="1:2" x14ac:dyDescent="0.35">
      <c r="A450" s="1" t="str">
        <f t="shared" ref="A450:A513" si="7">IFERROR(LEFT(RIGHT(C450,LEN(C450)-SEARCH("@",C450)),SEARCH("/",RIGHT(C450,LEN(C450)-SEARCH("@",C450)-1))),"")</f>
        <v/>
      </c>
      <c r="B4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51" spans="1:2" x14ac:dyDescent="0.35">
      <c r="A451" s="1" t="str">
        <f t="shared" si="7"/>
        <v/>
      </c>
      <c r="B4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52" spans="1:2" x14ac:dyDescent="0.35">
      <c r="A452" s="1" t="str">
        <f t="shared" si="7"/>
        <v/>
      </c>
      <c r="B4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53" spans="1:2" x14ac:dyDescent="0.35">
      <c r="A453" s="1" t="str">
        <f t="shared" si="7"/>
        <v/>
      </c>
      <c r="B4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54" spans="1:2" x14ac:dyDescent="0.35">
      <c r="A454" s="1" t="str">
        <f t="shared" si="7"/>
        <v/>
      </c>
      <c r="B4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55" spans="1:2" x14ac:dyDescent="0.35">
      <c r="A455" s="1" t="str">
        <f t="shared" si="7"/>
        <v/>
      </c>
      <c r="B4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56" spans="1:2" x14ac:dyDescent="0.35">
      <c r="A456" s="1" t="str">
        <f t="shared" si="7"/>
        <v/>
      </c>
      <c r="B4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57" spans="1:2" x14ac:dyDescent="0.35">
      <c r="A457" s="1" t="str">
        <f t="shared" si="7"/>
        <v/>
      </c>
      <c r="B4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58" spans="1:2" x14ac:dyDescent="0.35">
      <c r="A458" s="1" t="str">
        <f t="shared" si="7"/>
        <v/>
      </c>
      <c r="B4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59" spans="1:2" x14ac:dyDescent="0.35">
      <c r="A459" s="1" t="str">
        <f t="shared" si="7"/>
        <v/>
      </c>
      <c r="B4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60" spans="1:2" x14ac:dyDescent="0.35">
      <c r="A460" s="1" t="str">
        <f t="shared" si="7"/>
        <v/>
      </c>
      <c r="B4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61" spans="1:2" x14ac:dyDescent="0.35">
      <c r="A461" s="1" t="str">
        <f t="shared" si="7"/>
        <v/>
      </c>
      <c r="B4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62" spans="1:2" x14ac:dyDescent="0.35">
      <c r="A462" s="1" t="str">
        <f t="shared" si="7"/>
        <v/>
      </c>
      <c r="B4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63" spans="1:2" x14ac:dyDescent="0.35">
      <c r="A463" s="1" t="str">
        <f t="shared" si="7"/>
        <v/>
      </c>
      <c r="B4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64" spans="1:2" x14ac:dyDescent="0.35">
      <c r="A464" s="1" t="str">
        <f t="shared" si="7"/>
        <v/>
      </c>
      <c r="B4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65" spans="1:2" x14ac:dyDescent="0.35">
      <c r="A465" s="1" t="str">
        <f t="shared" si="7"/>
        <v/>
      </c>
      <c r="B4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66" spans="1:2" x14ac:dyDescent="0.35">
      <c r="A466" s="1" t="str">
        <f t="shared" si="7"/>
        <v/>
      </c>
      <c r="B4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67" spans="1:2" x14ac:dyDescent="0.35">
      <c r="A467" s="1" t="str">
        <f t="shared" si="7"/>
        <v/>
      </c>
      <c r="B4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68" spans="1:2" x14ac:dyDescent="0.35">
      <c r="A468" s="1" t="str">
        <f t="shared" si="7"/>
        <v/>
      </c>
      <c r="B4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69" spans="1:2" x14ac:dyDescent="0.35">
      <c r="A469" s="1" t="str">
        <f t="shared" si="7"/>
        <v/>
      </c>
      <c r="B4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70" spans="1:2" x14ac:dyDescent="0.35">
      <c r="A470" s="1" t="str">
        <f t="shared" si="7"/>
        <v/>
      </c>
      <c r="B4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71" spans="1:2" x14ac:dyDescent="0.35">
      <c r="A471" s="1" t="str">
        <f t="shared" si="7"/>
        <v/>
      </c>
      <c r="B4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72" spans="1:2" x14ac:dyDescent="0.35">
      <c r="A472" s="1" t="str">
        <f t="shared" si="7"/>
        <v/>
      </c>
      <c r="B4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73" spans="1:2" x14ac:dyDescent="0.35">
      <c r="A473" s="1" t="str">
        <f t="shared" si="7"/>
        <v/>
      </c>
      <c r="B4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74" spans="1:2" x14ac:dyDescent="0.35">
      <c r="A474" s="1" t="str">
        <f t="shared" si="7"/>
        <v/>
      </c>
      <c r="B4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75" spans="1:2" x14ac:dyDescent="0.35">
      <c r="A475" s="1" t="str">
        <f t="shared" si="7"/>
        <v/>
      </c>
      <c r="B4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76" spans="1:2" x14ac:dyDescent="0.35">
      <c r="A476" s="1" t="str">
        <f t="shared" si="7"/>
        <v/>
      </c>
      <c r="B4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77" spans="1:2" x14ac:dyDescent="0.35">
      <c r="A477" s="1" t="str">
        <f t="shared" si="7"/>
        <v/>
      </c>
      <c r="B4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78" spans="1:2" x14ac:dyDescent="0.35">
      <c r="A478" s="1" t="str">
        <f t="shared" si="7"/>
        <v/>
      </c>
      <c r="B4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79" spans="1:2" x14ac:dyDescent="0.35">
      <c r="A479" s="1" t="str">
        <f t="shared" si="7"/>
        <v/>
      </c>
      <c r="B4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80" spans="1:2" x14ac:dyDescent="0.35">
      <c r="A480" s="1" t="str">
        <f t="shared" si="7"/>
        <v/>
      </c>
      <c r="B4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81" spans="1:2" x14ac:dyDescent="0.35">
      <c r="A481" s="1" t="str">
        <f t="shared" si="7"/>
        <v/>
      </c>
      <c r="B4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82" spans="1:2" x14ac:dyDescent="0.35">
      <c r="A482" s="1" t="str">
        <f t="shared" si="7"/>
        <v/>
      </c>
      <c r="B4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83" spans="1:2" x14ac:dyDescent="0.35">
      <c r="A483" s="1" t="str">
        <f t="shared" si="7"/>
        <v/>
      </c>
      <c r="B4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84" spans="1:2" x14ac:dyDescent="0.35">
      <c r="A484" s="1" t="str">
        <f t="shared" si="7"/>
        <v/>
      </c>
      <c r="B4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85" spans="1:2" x14ac:dyDescent="0.35">
      <c r="A485" s="1" t="str">
        <f t="shared" si="7"/>
        <v/>
      </c>
      <c r="B4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86" spans="1:2" x14ac:dyDescent="0.35">
      <c r="A486" s="1" t="str">
        <f t="shared" si="7"/>
        <v/>
      </c>
      <c r="B4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87" spans="1:2" x14ac:dyDescent="0.35">
      <c r="A487" s="1" t="str">
        <f t="shared" si="7"/>
        <v/>
      </c>
      <c r="B4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88" spans="1:2" x14ac:dyDescent="0.35">
      <c r="A488" s="1" t="str">
        <f t="shared" si="7"/>
        <v/>
      </c>
      <c r="B4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89" spans="1:2" x14ac:dyDescent="0.35">
      <c r="A489" s="1" t="str">
        <f t="shared" si="7"/>
        <v/>
      </c>
      <c r="B4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90" spans="1:2" x14ac:dyDescent="0.35">
      <c r="A490" s="1" t="str">
        <f t="shared" si="7"/>
        <v/>
      </c>
      <c r="B4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91" spans="1:2" x14ac:dyDescent="0.35">
      <c r="A491" s="1" t="str">
        <f t="shared" si="7"/>
        <v/>
      </c>
      <c r="B4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92" spans="1:2" x14ac:dyDescent="0.35">
      <c r="A492" s="1" t="str">
        <f t="shared" si="7"/>
        <v/>
      </c>
      <c r="B4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93" spans="1:2" x14ac:dyDescent="0.35">
      <c r="A493" s="1" t="str">
        <f t="shared" si="7"/>
        <v/>
      </c>
      <c r="B4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94" spans="1:2" x14ac:dyDescent="0.35">
      <c r="A494" s="1" t="str">
        <f t="shared" si="7"/>
        <v/>
      </c>
      <c r="B4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95" spans="1:2" x14ac:dyDescent="0.35">
      <c r="A495" s="1" t="str">
        <f t="shared" si="7"/>
        <v/>
      </c>
      <c r="B4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96" spans="1:2" x14ac:dyDescent="0.35">
      <c r="A496" s="1" t="str">
        <f t="shared" si="7"/>
        <v/>
      </c>
      <c r="B4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97" spans="1:2" x14ac:dyDescent="0.35">
      <c r="A497" s="1" t="str">
        <f t="shared" si="7"/>
        <v/>
      </c>
      <c r="B4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98" spans="1:2" x14ac:dyDescent="0.35">
      <c r="A498" s="1" t="str">
        <f t="shared" si="7"/>
        <v/>
      </c>
      <c r="B4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99" spans="1:2" x14ac:dyDescent="0.35">
      <c r="A499" s="1" t="str">
        <f t="shared" si="7"/>
        <v/>
      </c>
      <c r="B4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00" spans="1:2" x14ac:dyDescent="0.35">
      <c r="A500" s="1" t="str">
        <f t="shared" si="7"/>
        <v/>
      </c>
      <c r="B5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01" spans="1:2" x14ac:dyDescent="0.35">
      <c r="A501" s="1" t="str">
        <f t="shared" si="7"/>
        <v/>
      </c>
      <c r="B5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02" spans="1:2" x14ac:dyDescent="0.35">
      <c r="A502" s="1" t="str">
        <f t="shared" si="7"/>
        <v/>
      </c>
      <c r="B5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03" spans="1:2" x14ac:dyDescent="0.35">
      <c r="A503" s="1" t="str">
        <f t="shared" si="7"/>
        <v/>
      </c>
      <c r="B5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04" spans="1:2" x14ac:dyDescent="0.35">
      <c r="A504" s="1" t="str">
        <f t="shared" si="7"/>
        <v/>
      </c>
      <c r="B5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05" spans="1:2" x14ac:dyDescent="0.35">
      <c r="A505" s="1" t="str">
        <f t="shared" si="7"/>
        <v/>
      </c>
      <c r="B5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06" spans="1:2" x14ac:dyDescent="0.35">
      <c r="A506" s="1" t="str">
        <f t="shared" si="7"/>
        <v/>
      </c>
      <c r="B5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07" spans="1:2" x14ac:dyDescent="0.35">
      <c r="A507" s="1" t="str">
        <f t="shared" si="7"/>
        <v/>
      </c>
      <c r="B5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08" spans="1:2" x14ac:dyDescent="0.35">
      <c r="A508" s="1" t="str">
        <f t="shared" si="7"/>
        <v/>
      </c>
      <c r="B5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09" spans="1:2" x14ac:dyDescent="0.35">
      <c r="A509" s="1" t="str">
        <f t="shared" si="7"/>
        <v/>
      </c>
      <c r="B5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10" spans="1:2" x14ac:dyDescent="0.35">
      <c r="A510" s="1" t="str">
        <f t="shared" si="7"/>
        <v/>
      </c>
      <c r="B5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11" spans="1:2" x14ac:dyDescent="0.35">
      <c r="A511" s="1" t="str">
        <f t="shared" si="7"/>
        <v/>
      </c>
      <c r="B5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12" spans="1:2" x14ac:dyDescent="0.35">
      <c r="A512" s="1" t="str">
        <f t="shared" si="7"/>
        <v/>
      </c>
      <c r="B5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13" spans="1:2" x14ac:dyDescent="0.35">
      <c r="A513" s="1" t="str">
        <f t="shared" si="7"/>
        <v/>
      </c>
      <c r="B5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14" spans="1:2" x14ac:dyDescent="0.35">
      <c r="A514" s="1" t="str">
        <f t="shared" ref="A514:A577" si="8">IFERROR(LEFT(RIGHT(C514,LEN(C514)-SEARCH("@",C514)),SEARCH("/",RIGHT(C514,LEN(C514)-SEARCH("@",C514)-1))),"")</f>
        <v/>
      </c>
      <c r="B5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15" spans="1:2" x14ac:dyDescent="0.35">
      <c r="A515" s="1" t="str">
        <f t="shared" si="8"/>
        <v/>
      </c>
      <c r="B5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16" spans="1:2" x14ac:dyDescent="0.35">
      <c r="A516" s="1" t="str">
        <f t="shared" si="8"/>
        <v/>
      </c>
      <c r="B5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17" spans="1:2" x14ac:dyDescent="0.35">
      <c r="A517" s="1" t="str">
        <f t="shared" si="8"/>
        <v/>
      </c>
      <c r="B5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18" spans="1:2" x14ac:dyDescent="0.35">
      <c r="A518" s="1" t="str">
        <f t="shared" si="8"/>
        <v/>
      </c>
      <c r="B5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19" spans="1:2" x14ac:dyDescent="0.35">
      <c r="A519" s="1" t="str">
        <f t="shared" si="8"/>
        <v/>
      </c>
      <c r="B5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20" spans="1:2" x14ac:dyDescent="0.35">
      <c r="A520" s="1" t="str">
        <f t="shared" si="8"/>
        <v/>
      </c>
      <c r="B5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21" spans="1:2" x14ac:dyDescent="0.35">
      <c r="A521" s="1" t="str">
        <f t="shared" si="8"/>
        <v/>
      </c>
      <c r="B5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22" spans="1:2" x14ac:dyDescent="0.35">
      <c r="A522" s="1" t="str">
        <f t="shared" si="8"/>
        <v/>
      </c>
      <c r="B5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23" spans="1:2" x14ac:dyDescent="0.35">
      <c r="A523" s="1" t="str">
        <f t="shared" si="8"/>
        <v/>
      </c>
      <c r="B5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24" spans="1:2" x14ac:dyDescent="0.35">
      <c r="A524" s="1" t="str">
        <f t="shared" si="8"/>
        <v/>
      </c>
      <c r="B5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25" spans="1:2" x14ac:dyDescent="0.35">
      <c r="A525" s="1" t="str">
        <f t="shared" si="8"/>
        <v/>
      </c>
      <c r="B5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26" spans="1:2" x14ac:dyDescent="0.35">
      <c r="A526" s="1" t="str">
        <f t="shared" si="8"/>
        <v/>
      </c>
      <c r="B5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27" spans="1:2" x14ac:dyDescent="0.35">
      <c r="A527" s="1" t="str">
        <f t="shared" si="8"/>
        <v/>
      </c>
      <c r="B5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28" spans="1:2" x14ac:dyDescent="0.35">
      <c r="A528" s="1" t="str">
        <f t="shared" si="8"/>
        <v/>
      </c>
      <c r="B5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29" spans="1:2" x14ac:dyDescent="0.35">
      <c r="A529" s="1" t="str">
        <f t="shared" si="8"/>
        <v/>
      </c>
      <c r="B5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30" spans="1:2" x14ac:dyDescent="0.35">
      <c r="A530" s="1" t="str">
        <f t="shared" si="8"/>
        <v/>
      </c>
      <c r="B5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31" spans="1:2" x14ac:dyDescent="0.35">
      <c r="A531" s="1" t="str">
        <f t="shared" si="8"/>
        <v/>
      </c>
      <c r="B5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32" spans="1:2" x14ac:dyDescent="0.35">
      <c r="A532" s="1" t="str">
        <f t="shared" si="8"/>
        <v/>
      </c>
      <c r="B5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33" spans="1:2" x14ac:dyDescent="0.35">
      <c r="A533" s="1" t="str">
        <f t="shared" si="8"/>
        <v/>
      </c>
      <c r="B5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34" spans="1:2" x14ac:dyDescent="0.35">
      <c r="A534" s="1" t="str">
        <f t="shared" si="8"/>
        <v/>
      </c>
      <c r="B5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35" spans="1:2" x14ac:dyDescent="0.35">
      <c r="A535" s="1" t="str">
        <f t="shared" si="8"/>
        <v/>
      </c>
      <c r="B5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36" spans="1:2" x14ac:dyDescent="0.35">
      <c r="A536" s="1" t="str">
        <f t="shared" si="8"/>
        <v/>
      </c>
      <c r="B5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37" spans="1:2" x14ac:dyDescent="0.35">
      <c r="A537" s="1" t="str">
        <f t="shared" si="8"/>
        <v/>
      </c>
      <c r="B5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38" spans="1:2" x14ac:dyDescent="0.35">
      <c r="A538" s="1" t="str">
        <f t="shared" si="8"/>
        <v/>
      </c>
      <c r="B5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39" spans="1:2" x14ac:dyDescent="0.35">
      <c r="A539" s="1" t="str">
        <f t="shared" si="8"/>
        <v/>
      </c>
      <c r="B5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40" spans="1:2" x14ac:dyDescent="0.35">
      <c r="A540" s="1" t="str">
        <f t="shared" si="8"/>
        <v/>
      </c>
      <c r="B5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41" spans="1:2" x14ac:dyDescent="0.35">
      <c r="A541" s="1" t="str">
        <f t="shared" si="8"/>
        <v/>
      </c>
      <c r="B5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42" spans="1:2" x14ac:dyDescent="0.35">
      <c r="A542" s="1" t="str">
        <f t="shared" si="8"/>
        <v/>
      </c>
      <c r="B5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43" spans="1:2" x14ac:dyDescent="0.35">
      <c r="A543" s="1" t="str">
        <f t="shared" si="8"/>
        <v/>
      </c>
      <c r="B5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44" spans="1:2" x14ac:dyDescent="0.35">
      <c r="A544" s="1" t="str">
        <f t="shared" si="8"/>
        <v/>
      </c>
      <c r="B5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45" spans="1:2" x14ac:dyDescent="0.35">
      <c r="A545" s="1" t="str">
        <f t="shared" si="8"/>
        <v/>
      </c>
      <c r="B5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46" spans="1:2" x14ac:dyDescent="0.35">
      <c r="A546" s="1" t="str">
        <f t="shared" si="8"/>
        <v/>
      </c>
      <c r="B5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47" spans="1:2" x14ac:dyDescent="0.35">
      <c r="A547" s="1" t="str">
        <f t="shared" si="8"/>
        <v/>
      </c>
      <c r="B5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48" spans="1:2" x14ac:dyDescent="0.35">
      <c r="A548" s="1" t="str">
        <f t="shared" si="8"/>
        <v/>
      </c>
      <c r="B5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49" spans="1:2" x14ac:dyDescent="0.35">
      <c r="A549" s="1" t="str">
        <f t="shared" si="8"/>
        <v/>
      </c>
      <c r="B5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50" spans="1:2" x14ac:dyDescent="0.35">
      <c r="A550" s="1" t="str">
        <f t="shared" si="8"/>
        <v/>
      </c>
      <c r="B5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51" spans="1:2" x14ac:dyDescent="0.35">
      <c r="A551" s="1" t="str">
        <f t="shared" si="8"/>
        <v/>
      </c>
      <c r="B5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52" spans="1:2" x14ac:dyDescent="0.35">
      <c r="A552" s="1" t="str">
        <f t="shared" si="8"/>
        <v/>
      </c>
      <c r="B5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53" spans="1:2" x14ac:dyDescent="0.35">
      <c r="A553" s="1" t="str">
        <f t="shared" si="8"/>
        <v/>
      </c>
      <c r="B5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54" spans="1:2" x14ac:dyDescent="0.35">
      <c r="A554" s="1" t="str">
        <f t="shared" si="8"/>
        <v/>
      </c>
      <c r="B5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55" spans="1:2" x14ac:dyDescent="0.35">
      <c r="A555" s="1" t="str">
        <f t="shared" si="8"/>
        <v/>
      </c>
      <c r="B5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56" spans="1:2" x14ac:dyDescent="0.35">
      <c r="A556" s="1" t="str">
        <f t="shared" si="8"/>
        <v/>
      </c>
      <c r="B5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57" spans="1:2" x14ac:dyDescent="0.35">
      <c r="A557" s="1" t="str">
        <f t="shared" si="8"/>
        <v/>
      </c>
      <c r="B5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58" spans="1:2" x14ac:dyDescent="0.35">
      <c r="A558" s="1" t="str">
        <f t="shared" si="8"/>
        <v/>
      </c>
      <c r="B5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59" spans="1:2" x14ac:dyDescent="0.35">
      <c r="A559" s="1" t="str">
        <f t="shared" si="8"/>
        <v/>
      </c>
      <c r="B5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60" spans="1:2" x14ac:dyDescent="0.35">
      <c r="A560" s="1" t="str">
        <f t="shared" si="8"/>
        <v/>
      </c>
      <c r="B5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61" spans="1:2" x14ac:dyDescent="0.35">
      <c r="A561" s="1" t="str">
        <f t="shared" si="8"/>
        <v/>
      </c>
      <c r="B5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62" spans="1:2" x14ac:dyDescent="0.35">
      <c r="A562" s="1" t="str">
        <f t="shared" si="8"/>
        <v/>
      </c>
      <c r="B5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63" spans="1:2" x14ac:dyDescent="0.35">
      <c r="A563" s="1" t="str">
        <f t="shared" si="8"/>
        <v/>
      </c>
      <c r="B5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64" spans="1:2" x14ac:dyDescent="0.35">
      <c r="A564" s="1" t="str">
        <f t="shared" si="8"/>
        <v/>
      </c>
      <c r="B5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65" spans="1:2" x14ac:dyDescent="0.35">
      <c r="A565" s="1" t="str">
        <f t="shared" si="8"/>
        <v/>
      </c>
      <c r="B5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66" spans="1:2" x14ac:dyDescent="0.35">
      <c r="A566" s="1" t="str">
        <f t="shared" si="8"/>
        <v/>
      </c>
      <c r="B5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67" spans="1:2" x14ac:dyDescent="0.35">
      <c r="A567" s="1" t="str">
        <f t="shared" si="8"/>
        <v/>
      </c>
      <c r="B5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68" spans="1:2" x14ac:dyDescent="0.35">
      <c r="A568" s="1" t="str">
        <f t="shared" si="8"/>
        <v/>
      </c>
      <c r="B5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69" spans="1:2" x14ac:dyDescent="0.35">
      <c r="A569" s="1" t="str">
        <f t="shared" si="8"/>
        <v/>
      </c>
      <c r="B5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70" spans="1:2" x14ac:dyDescent="0.35">
      <c r="A570" s="1" t="str">
        <f t="shared" si="8"/>
        <v/>
      </c>
      <c r="B5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71" spans="1:2" x14ac:dyDescent="0.35">
      <c r="A571" s="1" t="str">
        <f t="shared" si="8"/>
        <v/>
      </c>
      <c r="B5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72" spans="1:2" x14ac:dyDescent="0.35">
      <c r="A572" s="1" t="str">
        <f t="shared" si="8"/>
        <v/>
      </c>
      <c r="B5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73" spans="1:2" x14ac:dyDescent="0.35">
      <c r="A573" s="1" t="str">
        <f t="shared" si="8"/>
        <v/>
      </c>
      <c r="B5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74" spans="1:2" x14ac:dyDescent="0.35">
      <c r="A574" s="1" t="str">
        <f t="shared" si="8"/>
        <v/>
      </c>
      <c r="B5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75" spans="1:2" x14ac:dyDescent="0.35">
      <c r="A575" s="1" t="str">
        <f t="shared" si="8"/>
        <v/>
      </c>
      <c r="B5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76" spans="1:2" x14ac:dyDescent="0.35">
      <c r="A576" s="1" t="str">
        <f t="shared" si="8"/>
        <v/>
      </c>
      <c r="B5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77" spans="1:2" x14ac:dyDescent="0.35">
      <c r="A577" s="1" t="str">
        <f t="shared" si="8"/>
        <v/>
      </c>
      <c r="B5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78" spans="1:2" x14ac:dyDescent="0.35">
      <c r="A578" s="1" t="str">
        <f t="shared" ref="A578:A641" si="9">IFERROR(LEFT(RIGHT(C578,LEN(C578)-SEARCH("@",C578)),SEARCH("/",RIGHT(C578,LEN(C578)-SEARCH("@",C578)-1))),"")</f>
        <v/>
      </c>
      <c r="B5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79" spans="1:2" x14ac:dyDescent="0.35">
      <c r="A579" s="1" t="str">
        <f t="shared" si="9"/>
        <v/>
      </c>
      <c r="B5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80" spans="1:2" x14ac:dyDescent="0.35">
      <c r="A580" s="1" t="str">
        <f t="shared" si="9"/>
        <v/>
      </c>
      <c r="B5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81" spans="1:2" x14ac:dyDescent="0.35">
      <c r="A581" s="1" t="str">
        <f t="shared" si="9"/>
        <v/>
      </c>
      <c r="B5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82" spans="1:2" x14ac:dyDescent="0.35">
      <c r="A582" s="1" t="str">
        <f t="shared" si="9"/>
        <v/>
      </c>
      <c r="B5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83" spans="1:2" x14ac:dyDescent="0.35">
      <c r="A583" s="1" t="str">
        <f t="shared" si="9"/>
        <v/>
      </c>
      <c r="B5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84" spans="1:2" x14ac:dyDescent="0.35">
      <c r="A584" s="1" t="str">
        <f t="shared" si="9"/>
        <v/>
      </c>
      <c r="B5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85" spans="1:2" x14ac:dyDescent="0.35">
      <c r="A585" s="1" t="str">
        <f t="shared" si="9"/>
        <v/>
      </c>
      <c r="B5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86" spans="1:2" x14ac:dyDescent="0.35">
      <c r="A586" s="1" t="str">
        <f t="shared" si="9"/>
        <v/>
      </c>
      <c r="B5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87" spans="1:2" x14ac:dyDescent="0.35">
      <c r="A587" s="1" t="str">
        <f t="shared" si="9"/>
        <v/>
      </c>
      <c r="B5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88" spans="1:2" x14ac:dyDescent="0.35">
      <c r="A588" s="1" t="str">
        <f t="shared" si="9"/>
        <v/>
      </c>
      <c r="B5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89" spans="1:2" x14ac:dyDescent="0.35">
      <c r="A589" s="1" t="str">
        <f t="shared" si="9"/>
        <v/>
      </c>
      <c r="B5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90" spans="1:2" x14ac:dyDescent="0.35">
      <c r="A590" s="1" t="str">
        <f t="shared" si="9"/>
        <v/>
      </c>
      <c r="B5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91" spans="1:2" x14ac:dyDescent="0.35">
      <c r="A591" s="1" t="str">
        <f t="shared" si="9"/>
        <v/>
      </c>
      <c r="B5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92" spans="1:2" x14ac:dyDescent="0.35">
      <c r="A592" s="1" t="str">
        <f t="shared" si="9"/>
        <v/>
      </c>
      <c r="B5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93" spans="1:2" x14ac:dyDescent="0.35">
      <c r="A593" s="1" t="str">
        <f t="shared" si="9"/>
        <v/>
      </c>
      <c r="B5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94" spans="1:2" x14ac:dyDescent="0.35">
      <c r="A594" s="1" t="str">
        <f t="shared" si="9"/>
        <v/>
      </c>
      <c r="B5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95" spans="1:2" x14ac:dyDescent="0.35">
      <c r="A595" s="1" t="str">
        <f t="shared" si="9"/>
        <v/>
      </c>
      <c r="B5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96" spans="1:2" x14ac:dyDescent="0.35">
      <c r="A596" s="1" t="str">
        <f t="shared" si="9"/>
        <v/>
      </c>
      <c r="B5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97" spans="1:2" x14ac:dyDescent="0.35">
      <c r="A597" s="1" t="str">
        <f t="shared" si="9"/>
        <v/>
      </c>
      <c r="B5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98" spans="1:2" x14ac:dyDescent="0.35">
      <c r="A598" s="1" t="str">
        <f t="shared" si="9"/>
        <v/>
      </c>
      <c r="B5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99" spans="1:2" x14ac:dyDescent="0.35">
      <c r="A599" s="1" t="str">
        <f t="shared" si="9"/>
        <v/>
      </c>
      <c r="B5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00" spans="1:2" x14ac:dyDescent="0.35">
      <c r="A600" s="1" t="str">
        <f t="shared" si="9"/>
        <v/>
      </c>
      <c r="B6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01" spans="1:2" x14ac:dyDescent="0.35">
      <c r="A601" s="1" t="str">
        <f t="shared" si="9"/>
        <v/>
      </c>
      <c r="B6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02" spans="1:2" x14ac:dyDescent="0.35">
      <c r="A602" s="1" t="str">
        <f t="shared" si="9"/>
        <v/>
      </c>
      <c r="B6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03" spans="1:2" x14ac:dyDescent="0.35">
      <c r="A603" s="1" t="str">
        <f t="shared" si="9"/>
        <v/>
      </c>
      <c r="B6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04" spans="1:2" x14ac:dyDescent="0.35">
      <c r="A604" s="1" t="str">
        <f t="shared" si="9"/>
        <v/>
      </c>
      <c r="B6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05" spans="1:2" x14ac:dyDescent="0.35">
      <c r="A605" s="1" t="str">
        <f t="shared" si="9"/>
        <v/>
      </c>
      <c r="B6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06" spans="1:2" x14ac:dyDescent="0.35">
      <c r="A606" s="1" t="str">
        <f t="shared" si="9"/>
        <v/>
      </c>
      <c r="B6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07" spans="1:2" x14ac:dyDescent="0.35">
      <c r="A607" s="1" t="str">
        <f t="shared" si="9"/>
        <v/>
      </c>
      <c r="B6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08" spans="1:2" x14ac:dyDescent="0.35">
      <c r="A608" s="1" t="str">
        <f t="shared" si="9"/>
        <v/>
      </c>
      <c r="B6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09" spans="1:2" x14ac:dyDescent="0.35">
      <c r="A609" s="1" t="str">
        <f t="shared" si="9"/>
        <v/>
      </c>
      <c r="B6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10" spans="1:2" x14ac:dyDescent="0.35">
      <c r="A610" s="1" t="str">
        <f t="shared" si="9"/>
        <v/>
      </c>
      <c r="B6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11" spans="1:2" x14ac:dyDescent="0.35">
      <c r="A611" s="1" t="str">
        <f t="shared" si="9"/>
        <v/>
      </c>
      <c r="B6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12" spans="1:2" x14ac:dyDescent="0.35">
      <c r="A612" s="1" t="str">
        <f t="shared" si="9"/>
        <v/>
      </c>
      <c r="B6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13" spans="1:2" x14ac:dyDescent="0.35">
      <c r="A613" s="1" t="str">
        <f t="shared" si="9"/>
        <v/>
      </c>
      <c r="B6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14" spans="1:2" x14ac:dyDescent="0.35">
      <c r="A614" s="1" t="str">
        <f t="shared" si="9"/>
        <v/>
      </c>
      <c r="B6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15" spans="1:2" x14ac:dyDescent="0.35">
      <c r="A615" s="1" t="str">
        <f t="shared" si="9"/>
        <v/>
      </c>
      <c r="B6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16" spans="1:2" x14ac:dyDescent="0.35">
      <c r="A616" s="1" t="str">
        <f t="shared" si="9"/>
        <v/>
      </c>
      <c r="B6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17" spans="1:2" x14ac:dyDescent="0.35">
      <c r="A617" s="1" t="str">
        <f t="shared" si="9"/>
        <v/>
      </c>
      <c r="B6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18" spans="1:2" x14ac:dyDescent="0.35">
      <c r="A618" s="1" t="str">
        <f t="shared" si="9"/>
        <v/>
      </c>
      <c r="B6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19" spans="1:2" x14ac:dyDescent="0.35">
      <c r="A619" s="1" t="str">
        <f t="shared" si="9"/>
        <v/>
      </c>
      <c r="B6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20" spans="1:2" x14ac:dyDescent="0.35">
      <c r="A620" s="1" t="str">
        <f t="shared" si="9"/>
        <v/>
      </c>
      <c r="B6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21" spans="1:2" x14ac:dyDescent="0.35">
      <c r="A621" s="1" t="str">
        <f t="shared" si="9"/>
        <v/>
      </c>
      <c r="B6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22" spans="1:2" x14ac:dyDescent="0.35">
      <c r="A622" s="1" t="str">
        <f t="shared" si="9"/>
        <v/>
      </c>
      <c r="B6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23" spans="1:2" x14ac:dyDescent="0.35">
      <c r="A623" s="1" t="str">
        <f t="shared" si="9"/>
        <v/>
      </c>
      <c r="B6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24" spans="1:2" x14ac:dyDescent="0.35">
      <c r="A624" s="1" t="str">
        <f t="shared" si="9"/>
        <v/>
      </c>
      <c r="B6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25" spans="1:2" x14ac:dyDescent="0.35">
      <c r="A625" s="1" t="str">
        <f t="shared" si="9"/>
        <v/>
      </c>
      <c r="B6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26" spans="1:2" x14ac:dyDescent="0.35">
      <c r="A626" s="1" t="str">
        <f t="shared" si="9"/>
        <v/>
      </c>
      <c r="B6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27" spans="1:2" x14ac:dyDescent="0.35">
      <c r="A627" s="1" t="str">
        <f t="shared" si="9"/>
        <v/>
      </c>
      <c r="B6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28" spans="1:2" x14ac:dyDescent="0.35">
      <c r="A628" s="1" t="str">
        <f t="shared" si="9"/>
        <v/>
      </c>
      <c r="B6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29" spans="1:2" x14ac:dyDescent="0.35">
      <c r="A629" s="1" t="str">
        <f t="shared" si="9"/>
        <v/>
      </c>
      <c r="B6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30" spans="1:2" x14ac:dyDescent="0.35">
      <c r="A630" s="1" t="str">
        <f t="shared" si="9"/>
        <v/>
      </c>
      <c r="B6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31" spans="1:2" x14ac:dyDescent="0.35">
      <c r="A631" s="1" t="str">
        <f t="shared" si="9"/>
        <v/>
      </c>
      <c r="B6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32" spans="1:2" x14ac:dyDescent="0.35">
      <c r="A632" s="1" t="str">
        <f t="shared" si="9"/>
        <v/>
      </c>
      <c r="B6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33" spans="1:2" x14ac:dyDescent="0.35">
      <c r="A633" s="1" t="str">
        <f t="shared" si="9"/>
        <v/>
      </c>
      <c r="B6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34" spans="1:2" x14ac:dyDescent="0.35">
      <c r="A634" s="1" t="str">
        <f t="shared" si="9"/>
        <v/>
      </c>
      <c r="B6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35" spans="1:2" x14ac:dyDescent="0.35">
      <c r="A635" s="1" t="str">
        <f t="shared" si="9"/>
        <v/>
      </c>
      <c r="B6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36" spans="1:2" x14ac:dyDescent="0.35">
      <c r="A636" s="1" t="str">
        <f t="shared" si="9"/>
        <v/>
      </c>
      <c r="B6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37" spans="1:2" x14ac:dyDescent="0.35">
      <c r="A637" s="1" t="str">
        <f t="shared" si="9"/>
        <v/>
      </c>
      <c r="B6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38" spans="1:2" x14ac:dyDescent="0.35">
      <c r="A638" s="1" t="str">
        <f t="shared" si="9"/>
        <v/>
      </c>
      <c r="B6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39" spans="1:2" x14ac:dyDescent="0.35">
      <c r="A639" s="1" t="str">
        <f t="shared" si="9"/>
        <v/>
      </c>
      <c r="B6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40" spans="1:2" x14ac:dyDescent="0.35">
      <c r="A640" s="1" t="str">
        <f t="shared" si="9"/>
        <v/>
      </c>
      <c r="B6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41" spans="1:2" x14ac:dyDescent="0.35">
      <c r="A641" s="1" t="str">
        <f t="shared" si="9"/>
        <v/>
      </c>
      <c r="B6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42" spans="1:2" x14ac:dyDescent="0.35">
      <c r="A642" s="1" t="str">
        <f t="shared" ref="A642:A705" si="10">IFERROR(LEFT(RIGHT(C642,LEN(C642)-SEARCH("@",C642)),SEARCH("/",RIGHT(C642,LEN(C642)-SEARCH("@",C642)-1))),"")</f>
        <v/>
      </c>
      <c r="B6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43" spans="1:2" x14ac:dyDescent="0.35">
      <c r="A643" s="1" t="str">
        <f t="shared" si="10"/>
        <v/>
      </c>
      <c r="B6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44" spans="1:2" x14ac:dyDescent="0.35">
      <c r="A644" s="1" t="str">
        <f t="shared" si="10"/>
        <v/>
      </c>
      <c r="B6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45" spans="1:2" x14ac:dyDescent="0.35">
      <c r="A645" s="1" t="str">
        <f t="shared" si="10"/>
        <v/>
      </c>
      <c r="B6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46" spans="1:2" x14ac:dyDescent="0.35">
      <c r="A646" s="1" t="str">
        <f t="shared" si="10"/>
        <v/>
      </c>
      <c r="B6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47" spans="1:2" x14ac:dyDescent="0.35">
      <c r="A647" s="1" t="str">
        <f t="shared" si="10"/>
        <v/>
      </c>
      <c r="B6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48" spans="1:2" x14ac:dyDescent="0.35">
      <c r="A648" s="1" t="str">
        <f t="shared" si="10"/>
        <v/>
      </c>
      <c r="B6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49" spans="1:2" x14ac:dyDescent="0.35">
      <c r="A649" s="1" t="str">
        <f t="shared" si="10"/>
        <v/>
      </c>
      <c r="B6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50" spans="1:2" x14ac:dyDescent="0.35">
      <c r="A650" s="1" t="str">
        <f t="shared" si="10"/>
        <v/>
      </c>
      <c r="B6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51" spans="1:2" x14ac:dyDescent="0.35">
      <c r="A651" s="1" t="str">
        <f t="shared" si="10"/>
        <v/>
      </c>
      <c r="B6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52" spans="1:2" x14ac:dyDescent="0.35">
      <c r="A652" s="1" t="str">
        <f t="shared" si="10"/>
        <v/>
      </c>
      <c r="B6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53" spans="1:2" x14ac:dyDescent="0.35">
      <c r="A653" s="1" t="str">
        <f t="shared" si="10"/>
        <v/>
      </c>
      <c r="B6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54" spans="1:2" x14ac:dyDescent="0.35">
      <c r="A654" s="1" t="str">
        <f t="shared" si="10"/>
        <v/>
      </c>
      <c r="B6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55" spans="1:2" x14ac:dyDescent="0.35">
      <c r="A655" s="1" t="str">
        <f t="shared" si="10"/>
        <v/>
      </c>
      <c r="B6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56" spans="1:2" x14ac:dyDescent="0.35">
      <c r="A656" s="1" t="str">
        <f t="shared" si="10"/>
        <v/>
      </c>
      <c r="B6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57" spans="1:2" x14ac:dyDescent="0.35">
      <c r="A657" s="1" t="str">
        <f t="shared" si="10"/>
        <v/>
      </c>
      <c r="B6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58" spans="1:2" x14ac:dyDescent="0.35">
      <c r="A658" s="1" t="str">
        <f t="shared" si="10"/>
        <v/>
      </c>
      <c r="B6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59" spans="1:2" x14ac:dyDescent="0.35">
      <c r="A659" s="1" t="str">
        <f t="shared" si="10"/>
        <v/>
      </c>
      <c r="B6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60" spans="1:2" x14ac:dyDescent="0.35">
      <c r="A660" s="1" t="str">
        <f t="shared" si="10"/>
        <v/>
      </c>
      <c r="B6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61" spans="1:2" x14ac:dyDescent="0.35">
      <c r="A661" s="1" t="str">
        <f t="shared" si="10"/>
        <v/>
      </c>
      <c r="B6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62" spans="1:2" x14ac:dyDescent="0.35">
      <c r="A662" s="1" t="str">
        <f t="shared" si="10"/>
        <v/>
      </c>
      <c r="B6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63" spans="1:2" x14ac:dyDescent="0.35">
      <c r="A663" s="1" t="str">
        <f t="shared" si="10"/>
        <v/>
      </c>
      <c r="B6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64" spans="1:2" x14ac:dyDescent="0.35">
      <c r="A664" s="1" t="str">
        <f t="shared" si="10"/>
        <v/>
      </c>
      <c r="B6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65" spans="1:2" x14ac:dyDescent="0.35">
      <c r="A665" s="1" t="str">
        <f t="shared" si="10"/>
        <v/>
      </c>
      <c r="B6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66" spans="1:2" x14ac:dyDescent="0.35">
      <c r="A666" s="1" t="str">
        <f t="shared" si="10"/>
        <v/>
      </c>
      <c r="B6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67" spans="1:2" x14ac:dyDescent="0.35">
      <c r="A667" s="1" t="str">
        <f t="shared" si="10"/>
        <v/>
      </c>
      <c r="B6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68" spans="1:2" x14ac:dyDescent="0.35">
      <c r="A668" s="1" t="str">
        <f t="shared" si="10"/>
        <v/>
      </c>
      <c r="B6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69" spans="1:2" x14ac:dyDescent="0.35">
      <c r="A669" s="1" t="str">
        <f t="shared" si="10"/>
        <v/>
      </c>
      <c r="B6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70" spans="1:2" x14ac:dyDescent="0.35">
      <c r="A670" s="1" t="str">
        <f t="shared" si="10"/>
        <v/>
      </c>
      <c r="B6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71" spans="1:2" x14ac:dyDescent="0.35">
      <c r="A671" s="1" t="str">
        <f t="shared" si="10"/>
        <v/>
      </c>
      <c r="B6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72" spans="1:2" x14ac:dyDescent="0.35">
      <c r="A672" s="1" t="str">
        <f t="shared" si="10"/>
        <v/>
      </c>
      <c r="B6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73" spans="1:2" x14ac:dyDescent="0.35">
      <c r="A673" s="1" t="str">
        <f t="shared" si="10"/>
        <v/>
      </c>
      <c r="B6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74" spans="1:2" x14ac:dyDescent="0.35">
      <c r="A674" s="1" t="str">
        <f t="shared" si="10"/>
        <v/>
      </c>
      <c r="B6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75" spans="1:2" x14ac:dyDescent="0.35">
      <c r="A675" s="1" t="str">
        <f t="shared" si="10"/>
        <v/>
      </c>
      <c r="B6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76" spans="1:2" x14ac:dyDescent="0.35">
      <c r="A676" s="1" t="str">
        <f t="shared" si="10"/>
        <v/>
      </c>
      <c r="B6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77" spans="1:2" x14ac:dyDescent="0.35">
      <c r="A677" s="1" t="str">
        <f t="shared" si="10"/>
        <v/>
      </c>
      <c r="B6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78" spans="1:2" x14ac:dyDescent="0.35">
      <c r="A678" s="1" t="str">
        <f t="shared" si="10"/>
        <v/>
      </c>
      <c r="B6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79" spans="1:2" x14ac:dyDescent="0.35">
      <c r="A679" s="1" t="str">
        <f t="shared" si="10"/>
        <v/>
      </c>
      <c r="B6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80" spans="1:2" x14ac:dyDescent="0.35">
      <c r="A680" s="1" t="str">
        <f t="shared" si="10"/>
        <v/>
      </c>
      <c r="B6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81" spans="1:2" x14ac:dyDescent="0.35">
      <c r="A681" s="1" t="str">
        <f t="shared" si="10"/>
        <v/>
      </c>
      <c r="B6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82" spans="1:2" x14ac:dyDescent="0.35">
      <c r="A682" s="1" t="str">
        <f t="shared" si="10"/>
        <v/>
      </c>
      <c r="B6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83" spans="1:2" x14ac:dyDescent="0.35">
      <c r="A683" s="1" t="str">
        <f t="shared" si="10"/>
        <v/>
      </c>
      <c r="B6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84" spans="1:2" x14ac:dyDescent="0.35">
      <c r="A684" s="1" t="str">
        <f t="shared" si="10"/>
        <v/>
      </c>
      <c r="B6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85" spans="1:2" x14ac:dyDescent="0.35">
      <c r="A685" s="1" t="str">
        <f t="shared" si="10"/>
        <v/>
      </c>
      <c r="B6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86" spans="1:2" x14ac:dyDescent="0.35">
      <c r="A686" s="1" t="str">
        <f t="shared" si="10"/>
        <v/>
      </c>
      <c r="B6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87" spans="1:2" x14ac:dyDescent="0.35">
      <c r="A687" s="1" t="str">
        <f t="shared" si="10"/>
        <v/>
      </c>
      <c r="B6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88" spans="1:2" x14ac:dyDescent="0.35">
      <c r="A688" s="1" t="str">
        <f t="shared" si="10"/>
        <v/>
      </c>
      <c r="B6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89" spans="1:2" x14ac:dyDescent="0.35">
      <c r="A689" s="1" t="str">
        <f t="shared" si="10"/>
        <v/>
      </c>
      <c r="B6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0" spans="1:2" x14ac:dyDescent="0.35">
      <c r="A690" s="1" t="str">
        <f t="shared" si="10"/>
        <v/>
      </c>
      <c r="B6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1" spans="1:2" x14ac:dyDescent="0.35">
      <c r="A691" s="1" t="str">
        <f t="shared" si="10"/>
        <v/>
      </c>
      <c r="B6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2" spans="1:2" x14ac:dyDescent="0.35">
      <c r="A692" s="1" t="str">
        <f t="shared" si="10"/>
        <v/>
      </c>
      <c r="B6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3" spans="1:2" x14ac:dyDescent="0.35">
      <c r="A693" s="1" t="str">
        <f t="shared" si="10"/>
        <v/>
      </c>
      <c r="B6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4" spans="1:2" x14ac:dyDescent="0.35">
      <c r="A694" s="1" t="str">
        <f t="shared" si="10"/>
        <v/>
      </c>
      <c r="B6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5" spans="1:2" x14ac:dyDescent="0.35">
      <c r="A695" s="1" t="str">
        <f t="shared" si="10"/>
        <v/>
      </c>
      <c r="B6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6" spans="1:2" x14ac:dyDescent="0.35">
      <c r="A696" s="1" t="str">
        <f t="shared" si="10"/>
        <v/>
      </c>
      <c r="B6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7" spans="1:2" x14ac:dyDescent="0.35">
      <c r="A697" s="1" t="str">
        <f t="shared" si="10"/>
        <v/>
      </c>
      <c r="B6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8" spans="1:2" x14ac:dyDescent="0.35">
      <c r="A698" s="1" t="str">
        <f t="shared" si="10"/>
        <v/>
      </c>
      <c r="B6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9" spans="1:2" x14ac:dyDescent="0.35">
      <c r="A699" s="1" t="str">
        <f t="shared" si="10"/>
        <v/>
      </c>
      <c r="B6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0" spans="1:2" x14ac:dyDescent="0.35">
      <c r="A700" s="1" t="str">
        <f t="shared" si="10"/>
        <v/>
      </c>
      <c r="B7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1" spans="1:2" x14ac:dyDescent="0.35">
      <c r="A701" s="1" t="str">
        <f t="shared" si="10"/>
        <v/>
      </c>
      <c r="B7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2" spans="1:2" x14ac:dyDescent="0.35">
      <c r="A702" s="1" t="str">
        <f t="shared" si="10"/>
        <v/>
      </c>
      <c r="B7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3" spans="1:2" x14ac:dyDescent="0.35">
      <c r="A703" s="1" t="str">
        <f t="shared" si="10"/>
        <v/>
      </c>
      <c r="B7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4" spans="1:2" x14ac:dyDescent="0.35">
      <c r="A704" s="1" t="str">
        <f t="shared" si="10"/>
        <v/>
      </c>
      <c r="B7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5" spans="1:2" x14ac:dyDescent="0.35">
      <c r="A705" s="1" t="str">
        <f t="shared" si="10"/>
        <v/>
      </c>
      <c r="B7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6" spans="1:2" x14ac:dyDescent="0.35">
      <c r="A706" s="1" t="str">
        <f t="shared" ref="A706:A769" si="11">IFERROR(LEFT(RIGHT(C706,LEN(C706)-SEARCH("@",C706)),SEARCH("/",RIGHT(C706,LEN(C706)-SEARCH("@",C706)-1))),"")</f>
        <v/>
      </c>
      <c r="B7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7" spans="1:2" x14ac:dyDescent="0.35">
      <c r="A707" s="1" t="str">
        <f t="shared" si="11"/>
        <v/>
      </c>
      <c r="B7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8" spans="1:2" x14ac:dyDescent="0.35">
      <c r="A708" s="1" t="str">
        <f t="shared" si="11"/>
        <v/>
      </c>
      <c r="B7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9" spans="1:2" x14ac:dyDescent="0.35">
      <c r="A709" s="1" t="str">
        <f t="shared" si="11"/>
        <v/>
      </c>
      <c r="B7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0" spans="1:2" x14ac:dyDescent="0.35">
      <c r="A710" s="1" t="str">
        <f t="shared" si="11"/>
        <v/>
      </c>
      <c r="B7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1" spans="1:2" x14ac:dyDescent="0.35">
      <c r="A711" s="1" t="str">
        <f t="shared" si="11"/>
        <v/>
      </c>
      <c r="B7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2" spans="1:2" x14ac:dyDescent="0.35">
      <c r="A712" s="1" t="str">
        <f t="shared" si="11"/>
        <v/>
      </c>
      <c r="B7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3" spans="1:2" x14ac:dyDescent="0.35">
      <c r="A713" s="1" t="str">
        <f t="shared" si="11"/>
        <v/>
      </c>
      <c r="B7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4" spans="1:2" x14ac:dyDescent="0.35">
      <c r="A714" s="1" t="str">
        <f t="shared" si="11"/>
        <v/>
      </c>
      <c r="B7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5" spans="1:2" x14ac:dyDescent="0.35">
      <c r="A715" s="1" t="str">
        <f t="shared" si="11"/>
        <v/>
      </c>
      <c r="B7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6" spans="1:2" x14ac:dyDescent="0.35">
      <c r="A716" s="1" t="str">
        <f t="shared" si="11"/>
        <v/>
      </c>
      <c r="B7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7" spans="1:2" x14ac:dyDescent="0.35">
      <c r="A717" s="1" t="str">
        <f t="shared" si="11"/>
        <v/>
      </c>
      <c r="B7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8" spans="1:2" x14ac:dyDescent="0.35">
      <c r="A718" s="1" t="str">
        <f t="shared" si="11"/>
        <v/>
      </c>
      <c r="B7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9" spans="1:2" x14ac:dyDescent="0.35">
      <c r="A719" s="1" t="str">
        <f t="shared" si="11"/>
        <v/>
      </c>
      <c r="B7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0" spans="1:2" x14ac:dyDescent="0.35">
      <c r="A720" s="1" t="str">
        <f t="shared" si="11"/>
        <v/>
      </c>
      <c r="B7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1" spans="1:2" x14ac:dyDescent="0.35">
      <c r="A721" s="1" t="str">
        <f t="shared" si="11"/>
        <v/>
      </c>
      <c r="B7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2" spans="1:2" x14ac:dyDescent="0.35">
      <c r="A722" s="1" t="str">
        <f t="shared" si="11"/>
        <v/>
      </c>
      <c r="B7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3" spans="1:2" x14ac:dyDescent="0.35">
      <c r="A723" s="1" t="str">
        <f t="shared" si="11"/>
        <v/>
      </c>
      <c r="B7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4" spans="1:2" x14ac:dyDescent="0.35">
      <c r="A724" s="1" t="str">
        <f t="shared" si="11"/>
        <v/>
      </c>
      <c r="B7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5" spans="1:2" x14ac:dyDescent="0.35">
      <c r="A725" s="1" t="str">
        <f t="shared" si="11"/>
        <v/>
      </c>
      <c r="B7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6" spans="1:2" x14ac:dyDescent="0.35">
      <c r="A726" s="1" t="str">
        <f t="shared" si="11"/>
        <v/>
      </c>
      <c r="B7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7" spans="1:2" x14ac:dyDescent="0.35">
      <c r="A727" s="1" t="str">
        <f t="shared" si="11"/>
        <v/>
      </c>
      <c r="B7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8" spans="1:2" x14ac:dyDescent="0.35">
      <c r="A728" s="1" t="str">
        <f t="shared" si="11"/>
        <v/>
      </c>
      <c r="B7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9" spans="1:2" x14ac:dyDescent="0.35">
      <c r="A729" s="1" t="str">
        <f t="shared" si="11"/>
        <v/>
      </c>
      <c r="B7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0" spans="1:2" x14ac:dyDescent="0.35">
      <c r="A730" s="1" t="str">
        <f t="shared" si="11"/>
        <v/>
      </c>
      <c r="B7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1" spans="1:2" x14ac:dyDescent="0.35">
      <c r="A731" s="1" t="str">
        <f t="shared" si="11"/>
        <v/>
      </c>
      <c r="B7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2" spans="1:2" x14ac:dyDescent="0.35">
      <c r="A732" s="1" t="str">
        <f t="shared" si="11"/>
        <v/>
      </c>
      <c r="B7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3" spans="1:2" x14ac:dyDescent="0.35">
      <c r="A733" s="1" t="str">
        <f t="shared" si="11"/>
        <v/>
      </c>
      <c r="B7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4" spans="1:2" x14ac:dyDescent="0.35">
      <c r="A734" s="1" t="str">
        <f t="shared" si="11"/>
        <v/>
      </c>
      <c r="B7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5" spans="1:2" x14ac:dyDescent="0.35">
      <c r="A735" s="1" t="str">
        <f t="shared" si="11"/>
        <v/>
      </c>
      <c r="B7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6" spans="1:2" x14ac:dyDescent="0.35">
      <c r="A736" s="1" t="str">
        <f t="shared" si="11"/>
        <v/>
      </c>
      <c r="B7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7" spans="1:2" x14ac:dyDescent="0.35">
      <c r="A737" s="1" t="str">
        <f t="shared" si="11"/>
        <v/>
      </c>
      <c r="B7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8" spans="1:2" x14ac:dyDescent="0.35">
      <c r="A738" s="1" t="str">
        <f t="shared" si="11"/>
        <v/>
      </c>
      <c r="B7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9" spans="1:2" x14ac:dyDescent="0.35">
      <c r="A739" s="1" t="str">
        <f t="shared" si="11"/>
        <v/>
      </c>
      <c r="B7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0" spans="1:2" x14ac:dyDescent="0.35">
      <c r="A740" s="1" t="str">
        <f t="shared" si="11"/>
        <v/>
      </c>
      <c r="B7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1" spans="1:2" x14ac:dyDescent="0.35">
      <c r="A741" s="1" t="str">
        <f t="shared" si="11"/>
        <v/>
      </c>
      <c r="B7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2" spans="1:2" x14ac:dyDescent="0.35">
      <c r="A742" s="1" t="str">
        <f t="shared" si="11"/>
        <v/>
      </c>
      <c r="B7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3" spans="1:2" x14ac:dyDescent="0.35">
      <c r="A743" s="1" t="str">
        <f t="shared" si="11"/>
        <v/>
      </c>
      <c r="B7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4" spans="1:2" x14ac:dyDescent="0.35">
      <c r="A744" s="1" t="str">
        <f t="shared" si="11"/>
        <v/>
      </c>
      <c r="B7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5" spans="1:2" x14ac:dyDescent="0.35">
      <c r="A745" s="1" t="str">
        <f t="shared" si="11"/>
        <v/>
      </c>
      <c r="B7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6" spans="1:2" x14ac:dyDescent="0.35">
      <c r="A746" s="1" t="str">
        <f t="shared" si="11"/>
        <v/>
      </c>
      <c r="B7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7" spans="1:2" x14ac:dyDescent="0.35">
      <c r="A747" s="1" t="str">
        <f t="shared" si="11"/>
        <v/>
      </c>
      <c r="B7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8" spans="1:2" x14ac:dyDescent="0.35">
      <c r="A748" s="1" t="str">
        <f t="shared" si="11"/>
        <v/>
      </c>
      <c r="B7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9" spans="1:2" x14ac:dyDescent="0.35">
      <c r="A749" s="1" t="str">
        <f t="shared" si="11"/>
        <v/>
      </c>
      <c r="B7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0" spans="1:2" x14ac:dyDescent="0.35">
      <c r="A750" s="1" t="str">
        <f t="shared" si="11"/>
        <v/>
      </c>
      <c r="B7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1" spans="1:2" x14ac:dyDescent="0.35">
      <c r="A751" s="1" t="str">
        <f t="shared" si="11"/>
        <v/>
      </c>
      <c r="B7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2" spans="1:2" x14ac:dyDescent="0.35">
      <c r="A752" s="1" t="str">
        <f t="shared" si="11"/>
        <v/>
      </c>
      <c r="B7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3" spans="1:2" x14ac:dyDescent="0.35">
      <c r="A753" s="1" t="str">
        <f t="shared" si="11"/>
        <v/>
      </c>
      <c r="B7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4" spans="1:2" x14ac:dyDescent="0.35">
      <c r="A754" s="1" t="str">
        <f t="shared" si="11"/>
        <v/>
      </c>
      <c r="B7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5" spans="1:2" x14ac:dyDescent="0.35">
      <c r="A755" s="1" t="str">
        <f t="shared" si="11"/>
        <v/>
      </c>
      <c r="B7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6" spans="1:2" x14ac:dyDescent="0.35">
      <c r="A756" s="1" t="str">
        <f t="shared" si="11"/>
        <v/>
      </c>
      <c r="B7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7" spans="1:2" x14ac:dyDescent="0.35">
      <c r="A757" s="1" t="str">
        <f t="shared" si="11"/>
        <v/>
      </c>
      <c r="B7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8" spans="1:2" x14ac:dyDescent="0.35">
      <c r="A758" s="1" t="str">
        <f t="shared" si="11"/>
        <v/>
      </c>
      <c r="B7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9" spans="1:2" x14ac:dyDescent="0.35">
      <c r="A759" s="1" t="str">
        <f t="shared" si="11"/>
        <v/>
      </c>
      <c r="B7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0" spans="1:2" x14ac:dyDescent="0.35">
      <c r="A760" s="1" t="str">
        <f t="shared" si="11"/>
        <v/>
      </c>
      <c r="B7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1" spans="1:2" x14ac:dyDescent="0.35">
      <c r="A761" s="1" t="str">
        <f t="shared" si="11"/>
        <v/>
      </c>
      <c r="B7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2" spans="1:2" x14ac:dyDescent="0.35">
      <c r="A762" s="1" t="str">
        <f t="shared" si="11"/>
        <v/>
      </c>
      <c r="B7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3" spans="1:2" x14ac:dyDescent="0.35">
      <c r="A763" s="1" t="str">
        <f t="shared" si="11"/>
        <v/>
      </c>
      <c r="B7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4" spans="1:2" x14ac:dyDescent="0.35">
      <c r="A764" s="1" t="str">
        <f t="shared" si="11"/>
        <v/>
      </c>
      <c r="B7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5" spans="1:2" x14ac:dyDescent="0.35">
      <c r="A765" s="1" t="str">
        <f t="shared" si="11"/>
        <v/>
      </c>
      <c r="B7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6" spans="1:2" x14ac:dyDescent="0.35">
      <c r="A766" s="1" t="str">
        <f t="shared" si="11"/>
        <v/>
      </c>
      <c r="B7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7" spans="1:2" x14ac:dyDescent="0.35">
      <c r="A767" s="1" t="str">
        <f t="shared" si="11"/>
        <v/>
      </c>
      <c r="B7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8" spans="1:2" x14ac:dyDescent="0.35">
      <c r="A768" s="1" t="str">
        <f t="shared" si="11"/>
        <v/>
      </c>
      <c r="B7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9" spans="1:2" x14ac:dyDescent="0.35">
      <c r="A769" s="1" t="str">
        <f t="shared" si="11"/>
        <v/>
      </c>
      <c r="B7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0" spans="1:2" x14ac:dyDescent="0.35">
      <c r="A770" s="1" t="str">
        <f t="shared" ref="A770:A833" si="12">IFERROR(LEFT(RIGHT(C770,LEN(C770)-SEARCH("@",C770)),SEARCH("/",RIGHT(C770,LEN(C770)-SEARCH("@",C770)-1))),"")</f>
        <v/>
      </c>
      <c r="B7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1" spans="1:2" x14ac:dyDescent="0.35">
      <c r="A771" s="1" t="str">
        <f t="shared" si="12"/>
        <v/>
      </c>
      <c r="B7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2" spans="1:2" x14ac:dyDescent="0.35">
      <c r="A772" s="1" t="str">
        <f t="shared" si="12"/>
        <v/>
      </c>
      <c r="B7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3" spans="1:2" x14ac:dyDescent="0.35">
      <c r="A773" s="1" t="str">
        <f t="shared" si="12"/>
        <v/>
      </c>
      <c r="B7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4" spans="1:2" x14ac:dyDescent="0.35">
      <c r="A774" s="1" t="str">
        <f t="shared" si="12"/>
        <v/>
      </c>
      <c r="B7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5" spans="1:2" x14ac:dyDescent="0.35">
      <c r="A775" s="1" t="str">
        <f t="shared" si="12"/>
        <v/>
      </c>
      <c r="B7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6" spans="1:2" x14ac:dyDescent="0.35">
      <c r="A776" s="1" t="str">
        <f t="shared" si="12"/>
        <v/>
      </c>
      <c r="B7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7" spans="1:2" x14ac:dyDescent="0.35">
      <c r="A777" s="1" t="str">
        <f t="shared" si="12"/>
        <v/>
      </c>
      <c r="B7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8" spans="1:2" x14ac:dyDescent="0.35">
      <c r="A778" s="1" t="str">
        <f t="shared" si="12"/>
        <v/>
      </c>
      <c r="B7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9" spans="1:2" x14ac:dyDescent="0.35">
      <c r="A779" s="1" t="str">
        <f t="shared" si="12"/>
        <v/>
      </c>
      <c r="B7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0" spans="1:2" x14ac:dyDescent="0.35">
      <c r="A780" s="1" t="str">
        <f t="shared" si="12"/>
        <v/>
      </c>
      <c r="B7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1" spans="1:2" x14ac:dyDescent="0.35">
      <c r="A781" s="1" t="str">
        <f t="shared" si="12"/>
        <v/>
      </c>
      <c r="B7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2" spans="1:2" x14ac:dyDescent="0.35">
      <c r="A782" s="1" t="str">
        <f t="shared" si="12"/>
        <v/>
      </c>
      <c r="B7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3" spans="1:2" x14ac:dyDescent="0.35">
      <c r="A783" s="1" t="str">
        <f t="shared" si="12"/>
        <v/>
      </c>
      <c r="B7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4" spans="1:2" x14ac:dyDescent="0.35">
      <c r="A784" s="1" t="str">
        <f t="shared" si="12"/>
        <v/>
      </c>
      <c r="B7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5" spans="1:2" x14ac:dyDescent="0.35">
      <c r="A785" s="1" t="str">
        <f t="shared" si="12"/>
        <v/>
      </c>
      <c r="B7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6" spans="1:2" x14ac:dyDescent="0.35">
      <c r="A786" s="1" t="str">
        <f t="shared" si="12"/>
        <v/>
      </c>
      <c r="B7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7" spans="1:2" x14ac:dyDescent="0.35">
      <c r="A787" s="1" t="str">
        <f t="shared" si="12"/>
        <v/>
      </c>
      <c r="B7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8" spans="1:2" x14ac:dyDescent="0.35">
      <c r="A788" s="1" t="str">
        <f t="shared" si="12"/>
        <v/>
      </c>
      <c r="B7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9" spans="1:2" x14ac:dyDescent="0.35">
      <c r="A789" s="1" t="str">
        <f t="shared" si="12"/>
        <v/>
      </c>
      <c r="B7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0" spans="1:2" x14ac:dyDescent="0.35">
      <c r="A790" s="1" t="str">
        <f t="shared" si="12"/>
        <v/>
      </c>
      <c r="B7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1" spans="1:2" x14ac:dyDescent="0.35">
      <c r="A791" s="1" t="str">
        <f t="shared" si="12"/>
        <v/>
      </c>
      <c r="B7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2" spans="1:2" x14ac:dyDescent="0.35">
      <c r="A792" s="1" t="str">
        <f t="shared" si="12"/>
        <v/>
      </c>
      <c r="B7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3" spans="1:2" x14ac:dyDescent="0.35">
      <c r="A793" s="1" t="str">
        <f t="shared" si="12"/>
        <v/>
      </c>
      <c r="B7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4" spans="1:2" x14ac:dyDescent="0.35">
      <c r="A794" s="1" t="str">
        <f t="shared" si="12"/>
        <v/>
      </c>
      <c r="B7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5" spans="1:2" x14ac:dyDescent="0.35">
      <c r="A795" s="1" t="str">
        <f t="shared" si="12"/>
        <v/>
      </c>
      <c r="B7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6" spans="1:2" x14ac:dyDescent="0.35">
      <c r="A796" s="1" t="str">
        <f t="shared" si="12"/>
        <v/>
      </c>
      <c r="B7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7" spans="1:2" x14ac:dyDescent="0.35">
      <c r="A797" s="1" t="str">
        <f t="shared" si="12"/>
        <v/>
      </c>
      <c r="B7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8" spans="1:2" x14ac:dyDescent="0.35">
      <c r="A798" s="1" t="str">
        <f t="shared" si="12"/>
        <v/>
      </c>
      <c r="B7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9" spans="1:2" x14ac:dyDescent="0.35">
      <c r="A799" s="1" t="str">
        <f t="shared" si="12"/>
        <v/>
      </c>
      <c r="B7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0" spans="1:2" x14ac:dyDescent="0.35">
      <c r="A800" s="1" t="str">
        <f t="shared" si="12"/>
        <v/>
      </c>
      <c r="B8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1" spans="1:2" x14ac:dyDescent="0.35">
      <c r="A801" s="1" t="str">
        <f t="shared" si="12"/>
        <v/>
      </c>
      <c r="B8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2" spans="1:2" x14ac:dyDescent="0.35">
      <c r="A802" s="1" t="str">
        <f t="shared" si="12"/>
        <v/>
      </c>
      <c r="B8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3" spans="1:2" x14ac:dyDescent="0.35">
      <c r="A803" s="1" t="str">
        <f t="shared" si="12"/>
        <v/>
      </c>
      <c r="B8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4" spans="1:2" x14ac:dyDescent="0.35">
      <c r="A804" s="1" t="str">
        <f t="shared" si="12"/>
        <v/>
      </c>
      <c r="B8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5" spans="1:2" x14ac:dyDescent="0.35">
      <c r="A805" s="1" t="str">
        <f t="shared" si="12"/>
        <v/>
      </c>
      <c r="B8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6" spans="1:2" x14ac:dyDescent="0.35">
      <c r="A806" s="1" t="str">
        <f t="shared" si="12"/>
        <v/>
      </c>
      <c r="B8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7" spans="1:2" x14ac:dyDescent="0.35">
      <c r="A807" s="1" t="str">
        <f t="shared" si="12"/>
        <v/>
      </c>
      <c r="B8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8" spans="1:2" x14ac:dyDescent="0.35">
      <c r="A808" s="1" t="str">
        <f t="shared" si="12"/>
        <v/>
      </c>
      <c r="B8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9" spans="1:2" x14ac:dyDescent="0.35">
      <c r="A809" s="1" t="str">
        <f t="shared" si="12"/>
        <v/>
      </c>
      <c r="B8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0" spans="1:2" x14ac:dyDescent="0.35">
      <c r="A810" s="1" t="str">
        <f t="shared" si="12"/>
        <v/>
      </c>
      <c r="B8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1" spans="1:2" x14ac:dyDescent="0.35">
      <c r="A811" s="1" t="str">
        <f t="shared" si="12"/>
        <v/>
      </c>
      <c r="B8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2" spans="1:2" x14ac:dyDescent="0.35">
      <c r="A812" s="1" t="str">
        <f t="shared" si="12"/>
        <v/>
      </c>
      <c r="B8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3" spans="1:2" x14ac:dyDescent="0.35">
      <c r="A813" s="1" t="str">
        <f t="shared" si="12"/>
        <v/>
      </c>
      <c r="B8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4" spans="1:2" x14ac:dyDescent="0.35">
      <c r="A814" s="1" t="str">
        <f t="shared" si="12"/>
        <v/>
      </c>
      <c r="B8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5" spans="1:2" x14ac:dyDescent="0.35">
      <c r="A815" s="1" t="str">
        <f t="shared" si="12"/>
        <v/>
      </c>
      <c r="B8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6" spans="1:2" x14ac:dyDescent="0.35">
      <c r="A816" s="1" t="str">
        <f t="shared" si="12"/>
        <v/>
      </c>
      <c r="B8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7" spans="1:2" x14ac:dyDescent="0.35">
      <c r="A817" s="1" t="str">
        <f t="shared" si="12"/>
        <v/>
      </c>
      <c r="B8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8" spans="1:2" x14ac:dyDescent="0.35">
      <c r="A818" s="1" t="str">
        <f t="shared" si="12"/>
        <v/>
      </c>
      <c r="B8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9" spans="1:2" x14ac:dyDescent="0.35">
      <c r="A819" s="1" t="str">
        <f t="shared" si="12"/>
        <v/>
      </c>
      <c r="B8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0" spans="1:2" x14ac:dyDescent="0.35">
      <c r="A820" s="1" t="str">
        <f t="shared" si="12"/>
        <v/>
      </c>
      <c r="B8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1" spans="1:2" x14ac:dyDescent="0.35">
      <c r="A821" s="1" t="str">
        <f t="shared" si="12"/>
        <v/>
      </c>
      <c r="B8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2" spans="1:2" x14ac:dyDescent="0.35">
      <c r="A822" s="1" t="str">
        <f t="shared" si="12"/>
        <v/>
      </c>
      <c r="B8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3" spans="1:2" x14ac:dyDescent="0.35">
      <c r="A823" s="1" t="str">
        <f t="shared" si="12"/>
        <v/>
      </c>
      <c r="B8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4" spans="1:2" x14ac:dyDescent="0.35">
      <c r="A824" s="1" t="str">
        <f t="shared" si="12"/>
        <v/>
      </c>
      <c r="B8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5" spans="1:2" x14ac:dyDescent="0.35">
      <c r="A825" s="1" t="str">
        <f t="shared" si="12"/>
        <v/>
      </c>
      <c r="B8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6" spans="1:2" x14ac:dyDescent="0.35">
      <c r="A826" s="1" t="str">
        <f t="shared" si="12"/>
        <v/>
      </c>
      <c r="B8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7" spans="1:2" x14ac:dyDescent="0.35">
      <c r="A827" s="1" t="str">
        <f t="shared" si="12"/>
        <v/>
      </c>
      <c r="B8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8" spans="1:2" x14ac:dyDescent="0.35">
      <c r="A828" s="1" t="str">
        <f t="shared" si="12"/>
        <v/>
      </c>
      <c r="B8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9" spans="1:2" x14ac:dyDescent="0.35">
      <c r="A829" s="1" t="str">
        <f t="shared" si="12"/>
        <v/>
      </c>
      <c r="B8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0" spans="1:2" x14ac:dyDescent="0.35">
      <c r="A830" s="1" t="str">
        <f t="shared" si="12"/>
        <v/>
      </c>
      <c r="B8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1" spans="1:2" x14ac:dyDescent="0.35">
      <c r="A831" s="1" t="str">
        <f t="shared" si="12"/>
        <v/>
      </c>
      <c r="B8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2" spans="1:2" x14ac:dyDescent="0.35">
      <c r="A832" s="1" t="str">
        <f t="shared" si="12"/>
        <v/>
      </c>
      <c r="B8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3" spans="1:2" x14ac:dyDescent="0.35">
      <c r="A833" s="1" t="str">
        <f t="shared" si="12"/>
        <v/>
      </c>
      <c r="B8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4" spans="1:2" x14ac:dyDescent="0.35">
      <c r="A834" s="1" t="str">
        <f t="shared" ref="A834:A897" si="13">IFERROR(LEFT(RIGHT(C834,LEN(C834)-SEARCH("@",C834)),SEARCH("/",RIGHT(C834,LEN(C834)-SEARCH("@",C834)-1))),"")</f>
        <v/>
      </c>
      <c r="B8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5" spans="1:2" x14ac:dyDescent="0.35">
      <c r="A835" s="1" t="str">
        <f t="shared" si="13"/>
        <v/>
      </c>
      <c r="B8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6" spans="1:2" x14ac:dyDescent="0.35">
      <c r="A836" s="1" t="str">
        <f t="shared" si="13"/>
        <v/>
      </c>
      <c r="B8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7" spans="1:2" x14ac:dyDescent="0.35">
      <c r="A837" s="1" t="str">
        <f t="shared" si="13"/>
        <v/>
      </c>
      <c r="B8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8" spans="1:2" x14ac:dyDescent="0.35">
      <c r="A838" s="1" t="str">
        <f t="shared" si="13"/>
        <v/>
      </c>
      <c r="B8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9" spans="1:2" x14ac:dyDescent="0.35">
      <c r="A839" s="1" t="str">
        <f t="shared" si="13"/>
        <v/>
      </c>
      <c r="B8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0" spans="1:2" x14ac:dyDescent="0.35">
      <c r="A840" s="1" t="str">
        <f t="shared" si="13"/>
        <v/>
      </c>
      <c r="B8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1" spans="1:2" x14ac:dyDescent="0.35">
      <c r="A841" s="1" t="str">
        <f t="shared" si="13"/>
        <v/>
      </c>
      <c r="B8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2" spans="1:2" x14ac:dyDescent="0.35">
      <c r="A842" s="1" t="str">
        <f t="shared" si="13"/>
        <v/>
      </c>
      <c r="B8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3" spans="1:2" x14ac:dyDescent="0.35">
      <c r="A843" s="1" t="str">
        <f t="shared" si="13"/>
        <v/>
      </c>
      <c r="B8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4" spans="1:2" x14ac:dyDescent="0.35">
      <c r="A844" s="1" t="str">
        <f t="shared" si="13"/>
        <v/>
      </c>
      <c r="B8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5" spans="1:2" x14ac:dyDescent="0.35">
      <c r="A845" s="1" t="str">
        <f t="shared" si="13"/>
        <v/>
      </c>
      <c r="B8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6" spans="1:2" x14ac:dyDescent="0.35">
      <c r="A846" s="1" t="str">
        <f t="shared" si="13"/>
        <v/>
      </c>
      <c r="B8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7" spans="1:2" x14ac:dyDescent="0.35">
      <c r="A847" s="1" t="str">
        <f t="shared" si="13"/>
        <v/>
      </c>
      <c r="B8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8" spans="1:2" x14ac:dyDescent="0.35">
      <c r="A848" s="1" t="str">
        <f t="shared" si="13"/>
        <v/>
      </c>
      <c r="B8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9" spans="1:2" x14ac:dyDescent="0.35">
      <c r="A849" s="1" t="str">
        <f t="shared" si="13"/>
        <v/>
      </c>
      <c r="B8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0" spans="1:2" x14ac:dyDescent="0.35">
      <c r="A850" s="1" t="str">
        <f t="shared" si="13"/>
        <v/>
      </c>
      <c r="B8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1" spans="1:2" x14ac:dyDescent="0.35">
      <c r="A851" s="1" t="str">
        <f t="shared" si="13"/>
        <v/>
      </c>
      <c r="B8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2" spans="1:2" x14ac:dyDescent="0.35">
      <c r="A852" s="1" t="str">
        <f t="shared" si="13"/>
        <v/>
      </c>
      <c r="B8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3" spans="1:2" x14ac:dyDescent="0.35">
      <c r="A853" s="1" t="str">
        <f t="shared" si="13"/>
        <v/>
      </c>
      <c r="B8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4" spans="1:2" x14ac:dyDescent="0.35">
      <c r="A854" s="1" t="str">
        <f t="shared" si="13"/>
        <v/>
      </c>
      <c r="B8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5" spans="1:2" x14ac:dyDescent="0.35">
      <c r="A855" s="1" t="str">
        <f t="shared" si="13"/>
        <v/>
      </c>
      <c r="B8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6" spans="1:2" x14ac:dyDescent="0.35">
      <c r="A856" s="1" t="str">
        <f t="shared" si="13"/>
        <v/>
      </c>
      <c r="B8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7" spans="1:2" x14ac:dyDescent="0.35">
      <c r="A857" s="1" t="str">
        <f t="shared" si="13"/>
        <v/>
      </c>
      <c r="B8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8" spans="1:2" x14ac:dyDescent="0.35">
      <c r="A858" s="1" t="str">
        <f t="shared" si="13"/>
        <v/>
      </c>
      <c r="B8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9" spans="1:2" x14ac:dyDescent="0.35">
      <c r="A859" s="1" t="str">
        <f t="shared" si="13"/>
        <v/>
      </c>
      <c r="B8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0" spans="1:2" x14ac:dyDescent="0.35">
      <c r="A860" s="1" t="str">
        <f t="shared" si="13"/>
        <v/>
      </c>
      <c r="B8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1" spans="1:2" x14ac:dyDescent="0.35">
      <c r="A861" s="1" t="str">
        <f t="shared" si="13"/>
        <v/>
      </c>
      <c r="B8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2" spans="1:2" x14ac:dyDescent="0.35">
      <c r="A862" s="1" t="str">
        <f t="shared" si="13"/>
        <v/>
      </c>
      <c r="B8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3" spans="1:2" x14ac:dyDescent="0.35">
      <c r="A863" s="1" t="str">
        <f t="shared" si="13"/>
        <v/>
      </c>
      <c r="B8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4" spans="1:2" x14ac:dyDescent="0.35">
      <c r="A864" s="1" t="str">
        <f t="shared" si="13"/>
        <v/>
      </c>
      <c r="B8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5" spans="1:2" x14ac:dyDescent="0.35">
      <c r="A865" s="1" t="str">
        <f t="shared" si="13"/>
        <v/>
      </c>
      <c r="B8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6" spans="1:2" x14ac:dyDescent="0.35">
      <c r="A866" s="1" t="str">
        <f t="shared" si="13"/>
        <v/>
      </c>
      <c r="B8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7" spans="1:2" x14ac:dyDescent="0.35">
      <c r="A867" s="1" t="str">
        <f t="shared" si="13"/>
        <v/>
      </c>
      <c r="B8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8" spans="1:2" x14ac:dyDescent="0.35">
      <c r="A868" s="1" t="str">
        <f t="shared" si="13"/>
        <v/>
      </c>
      <c r="B8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9" spans="1:2" x14ac:dyDescent="0.35">
      <c r="A869" s="1" t="str">
        <f t="shared" si="13"/>
        <v/>
      </c>
      <c r="B8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0" spans="1:2" x14ac:dyDescent="0.35">
      <c r="A870" s="1" t="str">
        <f t="shared" si="13"/>
        <v/>
      </c>
      <c r="B8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1" spans="1:2" x14ac:dyDescent="0.35">
      <c r="A871" s="1" t="str">
        <f t="shared" si="13"/>
        <v/>
      </c>
      <c r="B8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2" spans="1:2" x14ac:dyDescent="0.35">
      <c r="A872" s="1" t="str">
        <f t="shared" si="13"/>
        <v/>
      </c>
      <c r="B8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3" spans="1:2" x14ac:dyDescent="0.35">
      <c r="A873" s="1" t="str">
        <f t="shared" si="13"/>
        <v/>
      </c>
      <c r="B8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4" spans="1:2" x14ac:dyDescent="0.35">
      <c r="A874" s="1" t="str">
        <f t="shared" si="13"/>
        <v/>
      </c>
      <c r="B8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5" spans="1:2" x14ac:dyDescent="0.35">
      <c r="A875" s="1" t="str">
        <f t="shared" si="13"/>
        <v/>
      </c>
      <c r="B8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6" spans="1:2" x14ac:dyDescent="0.35">
      <c r="A876" s="1" t="str">
        <f t="shared" si="13"/>
        <v/>
      </c>
      <c r="B8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7" spans="1:2" x14ac:dyDescent="0.35">
      <c r="A877" s="1" t="str">
        <f t="shared" si="13"/>
        <v/>
      </c>
      <c r="B8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8" spans="1:2" x14ac:dyDescent="0.35">
      <c r="A878" s="1" t="str">
        <f t="shared" si="13"/>
        <v/>
      </c>
      <c r="B8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9" spans="1:2" x14ac:dyDescent="0.35">
      <c r="A879" s="1" t="str">
        <f t="shared" si="13"/>
        <v/>
      </c>
      <c r="B8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0" spans="1:2" x14ac:dyDescent="0.35">
      <c r="A880" s="1" t="str">
        <f t="shared" si="13"/>
        <v/>
      </c>
      <c r="B8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1" spans="1:2" x14ac:dyDescent="0.35">
      <c r="A881" s="1" t="str">
        <f t="shared" si="13"/>
        <v/>
      </c>
      <c r="B8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2" spans="1:2" x14ac:dyDescent="0.35">
      <c r="A882" s="1" t="str">
        <f t="shared" si="13"/>
        <v/>
      </c>
      <c r="B8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3" spans="1:2" x14ac:dyDescent="0.35">
      <c r="A883" s="1" t="str">
        <f t="shared" si="13"/>
        <v/>
      </c>
      <c r="B8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4" spans="1:2" x14ac:dyDescent="0.35">
      <c r="A884" s="1" t="str">
        <f t="shared" si="13"/>
        <v/>
      </c>
      <c r="B8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5" spans="1:2" x14ac:dyDescent="0.35">
      <c r="A885" s="1" t="str">
        <f t="shared" si="13"/>
        <v/>
      </c>
      <c r="B8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6" spans="1:2" x14ac:dyDescent="0.35">
      <c r="A886" s="1" t="str">
        <f t="shared" si="13"/>
        <v/>
      </c>
      <c r="B8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7" spans="1:2" x14ac:dyDescent="0.35">
      <c r="A887" s="1" t="str">
        <f t="shared" si="13"/>
        <v/>
      </c>
      <c r="B8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8" spans="1:2" x14ac:dyDescent="0.35">
      <c r="A888" s="1" t="str">
        <f t="shared" si="13"/>
        <v/>
      </c>
      <c r="B8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9" spans="1:2" x14ac:dyDescent="0.35">
      <c r="A889" s="1" t="str">
        <f t="shared" si="13"/>
        <v/>
      </c>
      <c r="B8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0" spans="1:2" x14ac:dyDescent="0.35">
      <c r="A890" s="1" t="str">
        <f t="shared" si="13"/>
        <v/>
      </c>
      <c r="B8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1" spans="1:2" x14ac:dyDescent="0.35">
      <c r="A891" s="1" t="str">
        <f t="shared" si="13"/>
        <v/>
      </c>
      <c r="B8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2" spans="1:2" x14ac:dyDescent="0.35">
      <c r="A892" s="1" t="str">
        <f t="shared" si="13"/>
        <v/>
      </c>
      <c r="B8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3" spans="1:2" x14ac:dyDescent="0.35">
      <c r="A893" s="1" t="str">
        <f t="shared" si="13"/>
        <v/>
      </c>
      <c r="B8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4" spans="1:2" x14ac:dyDescent="0.35">
      <c r="A894" s="1" t="str">
        <f t="shared" si="13"/>
        <v/>
      </c>
      <c r="B8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5" spans="1:2" x14ac:dyDescent="0.35">
      <c r="A895" s="1" t="str">
        <f t="shared" si="13"/>
        <v/>
      </c>
      <c r="B8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6" spans="1:2" x14ac:dyDescent="0.35">
      <c r="A896" s="1" t="str">
        <f t="shared" si="13"/>
        <v/>
      </c>
      <c r="B8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7" spans="1:2" x14ac:dyDescent="0.35">
      <c r="A897" s="1" t="str">
        <f t="shared" si="13"/>
        <v/>
      </c>
      <c r="B8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8" spans="1:2" x14ac:dyDescent="0.35">
      <c r="A898" s="1" t="str">
        <f t="shared" ref="A898:A961" si="14">IFERROR(LEFT(RIGHT(C898,LEN(C898)-SEARCH("@",C898)),SEARCH("/",RIGHT(C898,LEN(C898)-SEARCH("@",C898)-1))),"")</f>
        <v/>
      </c>
      <c r="B8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9" spans="1:2" x14ac:dyDescent="0.35">
      <c r="A899" s="1" t="str">
        <f t="shared" si="14"/>
        <v/>
      </c>
      <c r="B8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0" spans="1:2" x14ac:dyDescent="0.35">
      <c r="A900" s="1" t="str">
        <f t="shared" si="14"/>
        <v/>
      </c>
      <c r="B9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1" spans="1:2" x14ac:dyDescent="0.35">
      <c r="A901" s="1" t="str">
        <f t="shared" si="14"/>
        <v/>
      </c>
      <c r="B9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2" spans="1:2" x14ac:dyDescent="0.35">
      <c r="A902" s="1" t="str">
        <f t="shared" si="14"/>
        <v/>
      </c>
      <c r="B9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3" spans="1:2" x14ac:dyDescent="0.35">
      <c r="A903" s="1" t="str">
        <f t="shared" si="14"/>
        <v/>
      </c>
      <c r="B9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4" spans="1:2" x14ac:dyDescent="0.35">
      <c r="A904" s="1" t="str">
        <f t="shared" si="14"/>
        <v/>
      </c>
      <c r="B9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5" spans="1:2" x14ac:dyDescent="0.35">
      <c r="A905" s="1" t="str">
        <f t="shared" si="14"/>
        <v/>
      </c>
      <c r="B9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6" spans="1:2" x14ac:dyDescent="0.35">
      <c r="A906" s="1" t="str">
        <f t="shared" si="14"/>
        <v/>
      </c>
      <c r="B9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7" spans="1:2" x14ac:dyDescent="0.35">
      <c r="A907" s="1" t="str">
        <f t="shared" si="14"/>
        <v/>
      </c>
      <c r="B9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8" spans="1:2" x14ac:dyDescent="0.35">
      <c r="A908" s="1" t="str">
        <f t="shared" si="14"/>
        <v/>
      </c>
      <c r="B9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9" spans="1:2" x14ac:dyDescent="0.35">
      <c r="A909" s="1" t="str">
        <f t="shared" si="14"/>
        <v/>
      </c>
      <c r="B9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0" spans="1:2" x14ac:dyDescent="0.35">
      <c r="A910" s="1" t="str">
        <f t="shared" si="14"/>
        <v/>
      </c>
      <c r="B9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1" spans="1:2" x14ac:dyDescent="0.35">
      <c r="A911" s="1" t="str">
        <f t="shared" si="14"/>
        <v/>
      </c>
      <c r="B9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2" spans="1:2" x14ac:dyDescent="0.35">
      <c r="A912" s="1" t="str">
        <f t="shared" si="14"/>
        <v/>
      </c>
      <c r="B9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3" spans="1:2" x14ac:dyDescent="0.35">
      <c r="A913" s="1" t="str">
        <f t="shared" si="14"/>
        <v/>
      </c>
      <c r="B9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4" spans="1:2" x14ac:dyDescent="0.35">
      <c r="A914" s="1" t="str">
        <f t="shared" si="14"/>
        <v/>
      </c>
      <c r="B9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5" spans="1:2" x14ac:dyDescent="0.35">
      <c r="A915" s="1" t="str">
        <f t="shared" si="14"/>
        <v/>
      </c>
      <c r="B9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6" spans="1:2" x14ac:dyDescent="0.35">
      <c r="A916" s="1" t="str">
        <f t="shared" si="14"/>
        <v/>
      </c>
      <c r="B9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7" spans="1:2" x14ac:dyDescent="0.35">
      <c r="A917" s="1" t="str">
        <f t="shared" si="14"/>
        <v/>
      </c>
      <c r="B9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8" spans="1:2" x14ac:dyDescent="0.35">
      <c r="A918" s="1" t="str">
        <f t="shared" si="14"/>
        <v/>
      </c>
      <c r="B9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9" spans="1:2" x14ac:dyDescent="0.35">
      <c r="A919" s="1" t="str">
        <f t="shared" si="14"/>
        <v/>
      </c>
      <c r="B9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0" spans="1:2" x14ac:dyDescent="0.35">
      <c r="A920" s="1" t="str">
        <f t="shared" si="14"/>
        <v/>
      </c>
      <c r="B9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1" spans="1:2" x14ac:dyDescent="0.35">
      <c r="A921" s="1" t="str">
        <f t="shared" si="14"/>
        <v/>
      </c>
      <c r="B9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2" spans="1:2" x14ac:dyDescent="0.35">
      <c r="A922" s="1" t="str">
        <f t="shared" si="14"/>
        <v/>
      </c>
      <c r="B9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3" spans="1:2" x14ac:dyDescent="0.35">
      <c r="A923" s="1" t="str">
        <f t="shared" si="14"/>
        <v/>
      </c>
      <c r="B9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4" spans="1:2" x14ac:dyDescent="0.35">
      <c r="A924" s="1" t="str">
        <f t="shared" si="14"/>
        <v/>
      </c>
      <c r="B9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5" spans="1:2" x14ac:dyDescent="0.35">
      <c r="A925" s="1" t="str">
        <f t="shared" si="14"/>
        <v/>
      </c>
      <c r="B9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6" spans="1:2" x14ac:dyDescent="0.35">
      <c r="A926" s="1" t="str">
        <f t="shared" si="14"/>
        <v/>
      </c>
      <c r="B9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7" spans="1:2" x14ac:dyDescent="0.35">
      <c r="A927" s="1" t="str">
        <f t="shared" si="14"/>
        <v/>
      </c>
      <c r="B9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8" spans="1:2" x14ac:dyDescent="0.35">
      <c r="A928" s="1" t="str">
        <f t="shared" si="14"/>
        <v/>
      </c>
      <c r="B9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9" spans="1:2" x14ac:dyDescent="0.35">
      <c r="A929" s="1" t="str">
        <f t="shared" si="14"/>
        <v/>
      </c>
      <c r="B9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0" spans="1:2" x14ac:dyDescent="0.35">
      <c r="A930" s="1" t="str">
        <f t="shared" si="14"/>
        <v/>
      </c>
      <c r="B9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1" spans="1:2" x14ac:dyDescent="0.35">
      <c r="A931" s="1" t="str">
        <f t="shared" si="14"/>
        <v/>
      </c>
      <c r="B9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2" spans="1:2" x14ac:dyDescent="0.35">
      <c r="A932" s="1" t="str">
        <f t="shared" si="14"/>
        <v/>
      </c>
      <c r="B9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3" spans="1:2" x14ac:dyDescent="0.35">
      <c r="A933" s="1" t="str">
        <f t="shared" si="14"/>
        <v/>
      </c>
      <c r="B9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4" spans="1:2" x14ac:dyDescent="0.35">
      <c r="A934" s="1" t="str">
        <f t="shared" si="14"/>
        <v/>
      </c>
      <c r="B9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5" spans="1:2" x14ac:dyDescent="0.35">
      <c r="A935" s="1" t="str">
        <f t="shared" si="14"/>
        <v/>
      </c>
      <c r="B9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6" spans="1:2" x14ac:dyDescent="0.35">
      <c r="A936" s="1" t="str">
        <f t="shared" si="14"/>
        <v/>
      </c>
      <c r="B9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7" spans="1:2" x14ac:dyDescent="0.35">
      <c r="A937" s="1" t="str">
        <f t="shared" si="14"/>
        <v/>
      </c>
      <c r="B9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8" spans="1:2" x14ac:dyDescent="0.35">
      <c r="A938" s="1" t="str">
        <f t="shared" si="14"/>
        <v/>
      </c>
      <c r="B9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9" spans="1:2" x14ac:dyDescent="0.35">
      <c r="A939" s="1" t="str">
        <f t="shared" si="14"/>
        <v/>
      </c>
      <c r="B9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0" spans="1:2" x14ac:dyDescent="0.35">
      <c r="A940" s="1" t="str">
        <f t="shared" si="14"/>
        <v/>
      </c>
      <c r="B9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1" spans="1:2" x14ac:dyDescent="0.35">
      <c r="A941" s="1" t="str">
        <f t="shared" si="14"/>
        <v/>
      </c>
      <c r="B9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2" spans="1:2" x14ac:dyDescent="0.35">
      <c r="A942" s="1" t="str">
        <f t="shared" si="14"/>
        <v/>
      </c>
      <c r="B9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3" spans="1:2" x14ac:dyDescent="0.35">
      <c r="A943" s="1" t="str">
        <f t="shared" si="14"/>
        <v/>
      </c>
      <c r="B9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4" spans="1:2" x14ac:dyDescent="0.35">
      <c r="A944" s="1" t="str">
        <f t="shared" si="14"/>
        <v/>
      </c>
      <c r="B9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5" spans="1:2" x14ac:dyDescent="0.35">
      <c r="A945" s="1" t="str">
        <f t="shared" si="14"/>
        <v/>
      </c>
      <c r="B9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6" spans="1:2" x14ac:dyDescent="0.35">
      <c r="A946" s="1" t="str">
        <f t="shared" si="14"/>
        <v/>
      </c>
      <c r="B9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7" spans="1:2" x14ac:dyDescent="0.35">
      <c r="A947" s="1" t="str">
        <f t="shared" si="14"/>
        <v/>
      </c>
      <c r="B9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8" spans="1:2" x14ac:dyDescent="0.35">
      <c r="A948" s="1" t="str">
        <f t="shared" si="14"/>
        <v/>
      </c>
      <c r="B9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9" spans="1:2" x14ac:dyDescent="0.35">
      <c r="A949" s="1" t="str">
        <f t="shared" si="14"/>
        <v/>
      </c>
      <c r="B9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0" spans="1:2" x14ac:dyDescent="0.35">
      <c r="A950" s="1" t="str">
        <f t="shared" si="14"/>
        <v/>
      </c>
      <c r="B9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1" spans="1:2" x14ac:dyDescent="0.35">
      <c r="A951" s="1" t="str">
        <f t="shared" si="14"/>
        <v/>
      </c>
      <c r="B9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2" spans="1:2" x14ac:dyDescent="0.35">
      <c r="A952" s="1" t="str">
        <f t="shared" si="14"/>
        <v/>
      </c>
      <c r="B9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3" spans="1:2" x14ac:dyDescent="0.35">
      <c r="A953" s="1" t="str">
        <f t="shared" si="14"/>
        <v/>
      </c>
      <c r="B9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4" spans="1:2" x14ac:dyDescent="0.35">
      <c r="A954" s="1" t="str">
        <f t="shared" si="14"/>
        <v/>
      </c>
      <c r="B9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5" spans="1:2" x14ac:dyDescent="0.35">
      <c r="A955" s="1" t="str">
        <f t="shared" si="14"/>
        <v/>
      </c>
      <c r="B9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6" spans="1:2" x14ac:dyDescent="0.35">
      <c r="A956" s="1" t="str">
        <f t="shared" si="14"/>
        <v/>
      </c>
      <c r="B9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7" spans="1:2" x14ac:dyDescent="0.35">
      <c r="A957" s="1" t="str">
        <f t="shared" si="14"/>
        <v/>
      </c>
      <c r="B9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8" spans="1:2" x14ac:dyDescent="0.35">
      <c r="A958" s="1" t="str">
        <f t="shared" si="14"/>
        <v/>
      </c>
      <c r="B9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9" spans="1:2" x14ac:dyDescent="0.35">
      <c r="A959" s="1" t="str">
        <f t="shared" si="14"/>
        <v/>
      </c>
      <c r="B9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0" spans="1:2" x14ac:dyDescent="0.35">
      <c r="A960" s="1" t="str">
        <f t="shared" si="14"/>
        <v/>
      </c>
      <c r="B9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1" spans="1:2" x14ac:dyDescent="0.35">
      <c r="A961" s="1" t="str">
        <f t="shared" si="14"/>
        <v/>
      </c>
      <c r="B9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2" spans="1:2" x14ac:dyDescent="0.35">
      <c r="A962" s="1" t="str">
        <f t="shared" ref="A962:A1025" si="15">IFERROR(LEFT(RIGHT(C962,LEN(C962)-SEARCH("@",C962)),SEARCH("/",RIGHT(C962,LEN(C962)-SEARCH("@",C962)-1))),"")</f>
        <v/>
      </c>
      <c r="B9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3" spans="1:2" x14ac:dyDescent="0.35">
      <c r="A963" s="1" t="str">
        <f t="shared" si="15"/>
        <v/>
      </c>
      <c r="B9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4" spans="1:2" x14ac:dyDescent="0.35">
      <c r="A964" s="1" t="str">
        <f t="shared" si="15"/>
        <v/>
      </c>
      <c r="B9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5" spans="1:2" x14ac:dyDescent="0.35">
      <c r="A965" s="1" t="str">
        <f t="shared" si="15"/>
        <v/>
      </c>
      <c r="B9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6" spans="1:2" x14ac:dyDescent="0.35">
      <c r="A966" s="1" t="str">
        <f t="shared" si="15"/>
        <v/>
      </c>
      <c r="B9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7" spans="1:2" x14ac:dyDescent="0.35">
      <c r="A967" s="1" t="str">
        <f t="shared" si="15"/>
        <v/>
      </c>
      <c r="B9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8" spans="1:2" x14ac:dyDescent="0.35">
      <c r="A968" s="1" t="str">
        <f t="shared" si="15"/>
        <v/>
      </c>
      <c r="B9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9" spans="1:2" x14ac:dyDescent="0.35">
      <c r="A969" s="1" t="str">
        <f t="shared" si="15"/>
        <v/>
      </c>
      <c r="B9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0" spans="1:2" x14ac:dyDescent="0.35">
      <c r="A970" s="1" t="str">
        <f t="shared" si="15"/>
        <v/>
      </c>
      <c r="B9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1" spans="1:2" x14ac:dyDescent="0.35">
      <c r="A971" s="1" t="str">
        <f t="shared" si="15"/>
        <v/>
      </c>
      <c r="B9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2" spans="1:2" x14ac:dyDescent="0.35">
      <c r="A972" s="1" t="str">
        <f t="shared" si="15"/>
        <v/>
      </c>
      <c r="B9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3" spans="1:2" x14ac:dyDescent="0.35">
      <c r="A973" s="1" t="str">
        <f t="shared" si="15"/>
        <v/>
      </c>
      <c r="B9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4" spans="1:2" x14ac:dyDescent="0.35">
      <c r="A974" s="1" t="str">
        <f t="shared" si="15"/>
        <v/>
      </c>
      <c r="B9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5" spans="1:2" x14ac:dyDescent="0.35">
      <c r="A975" s="1" t="str">
        <f t="shared" si="15"/>
        <v/>
      </c>
      <c r="B9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6" spans="1:2" x14ac:dyDescent="0.35">
      <c r="A976" s="1" t="str">
        <f t="shared" si="15"/>
        <v/>
      </c>
      <c r="B9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7" spans="1:2" x14ac:dyDescent="0.35">
      <c r="A977" s="1" t="str">
        <f t="shared" si="15"/>
        <v/>
      </c>
      <c r="B9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8" spans="1:2" x14ac:dyDescent="0.35">
      <c r="A978" s="1" t="str">
        <f t="shared" si="15"/>
        <v/>
      </c>
      <c r="B9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9" spans="1:2" x14ac:dyDescent="0.35">
      <c r="A979" s="1" t="str">
        <f t="shared" si="15"/>
        <v/>
      </c>
      <c r="B9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0" spans="1:2" x14ac:dyDescent="0.35">
      <c r="A980" s="1" t="str">
        <f t="shared" si="15"/>
        <v/>
      </c>
      <c r="B9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1" spans="1:2" x14ac:dyDescent="0.35">
      <c r="A981" s="1" t="str">
        <f t="shared" si="15"/>
        <v/>
      </c>
      <c r="B9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2" spans="1:2" x14ac:dyDescent="0.35">
      <c r="A982" s="1" t="str">
        <f t="shared" si="15"/>
        <v/>
      </c>
      <c r="B9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3" spans="1:2" x14ac:dyDescent="0.35">
      <c r="A983" s="1" t="str">
        <f t="shared" si="15"/>
        <v/>
      </c>
      <c r="B9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4" spans="1:2" x14ac:dyDescent="0.35">
      <c r="A984" s="1" t="str">
        <f t="shared" si="15"/>
        <v/>
      </c>
      <c r="B9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5" spans="1:2" x14ac:dyDescent="0.35">
      <c r="A985" s="1" t="str">
        <f t="shared" si="15"/>
        <v/>
      </c>
      <c r="B9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6" spans="1:2" x14ac:dyDescent="0.35">
      <c r="A986" s="1" t="str">
        <f t="shared" si="15"/>
        <v/>
      </c>
      <c r="B9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7" spans="1:2" x14ac:dyDescent="0.35">
      <c r="A987" s="1" t="str">
        <f t="shared" si="15"/>
        <v/>
      </c>
      <c r="B9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8" spans="1:2" x14ac:dyDescent="0.35">
      <c r="A988" s="1" t="str">
        <f t="shared" si="15"/>
        <v/>
      </c>
      <c r="B9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9" spans="1:2" x14ac:dyDescent="0.35">
      <c r="A989" s="1" t="str">
        <f t="shared" si="15"/>
        <v/>
      </c>
      <c r="B9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0" spans="1:2" x14ac:dyDescent="0.35">
      <c r="A990" s="1" t="str">
        <f t="shared" si="15"/>
        <v/>
      </c>
      <c r="B9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1" spans="1:2" x14ac:dyDescent="0.35">
      <c r="A991" s="1" t="str">
        <f t="shared" si="15"/>
        <v/>
      </c>
      <c r="B9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2" spans="1:2" x14ac:dyDescent="0.35">
      <c r="A992" s="1" t="str">
        <f t="shared" si="15"/>
        <v/>
      </c>
      <c r="B9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3" spans="1:2" x14ac:dyDescent="0.35">
      <c r="A993" s="1" t="str">
        <f t="shared" si="15"/>
        <v/>
      </c>
      <c r="B9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4" spans="1:2" x14ac:dyDescent="0.35">
      <c r="A994" s="1" t="str">
        <f t="shared" si="15"/>
        <v/>
      </c>
      <c r="B9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5" spans="1:2" x14ac:dyDescent="0.35">
      <c r="A995" s="1" t="str">
        <f t="shared" si="15"/>
        <v/>
      </c>
      <c r="B9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6" spans="1:2" x14ac:dyDescent="0.35">
      <c r="A996" s="1" t="str">
        <f t="shared" si="15"/>
        <v/>
      </c>
      <c r="B9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7" spans="1:2" x14ac:dyDescent="0.35">
      <c r="A997" s="1" t="str">
        <f t="shared" si="15"/>
        <v/>
      </c>
      <c r="B9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8" spans="1:2" x14ac:dyDescent="0.35">
      <c r="A998" s="1" t="str">
        <f t="shared" si="15"/>
        <v/>
      </c>
      <c r="B9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9" spans="1:2" x14ac:dyDescent="0.35">
      <c r="A999" s="1" t="str">
        <f t="shared" si="15"/>
        <v/>
      </c>
      <c r="B9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0" spans="1:2" x14ac:dyDescent="0.35">
      <c r="A1000" s="1" t="str">
        <f t="shared" si="15"/>
        <v/>
      </c>
      <c r="B10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1" spans="1:2" x14ac:dyDescent="0.35">
      <c r="A1001" s="1" t="str">
        <f t="shared" si="15"/>
        <v/>
      </c>
      <c r="B10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2" spans="1:2" x14ac:dyDescent="0.35">
      <c r="A1002" s="1" t="str">
        <f t="shared" si="15"/>
        <v/>
      </c>
      <c r="B10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3" spans="1:2" x14ac:dyDescent="0.35">
      <c r="A1003" s="1" t="str">
        <f t="shared" si="15"/>
        <v/>
      </c>
      <c r="B10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4" spans="1:2" x14ac:dyDescent="0.35">
      <c r="A1004" s="1" t="str">
        <f t="shared" si="15"/>
        <v/>
      </c>
      <c r="B10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5" spans="1:2" x14ac:dyDescent="0.35">
      <c r="A1005" s="1" t="str">
        <f t="shared" si="15"/>
        <v/>
      </c>
      <c r="B10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6" spans="1:2" x14ac:dyDescent="0.35">
      <c r="A1006" s="1" t="str">
        <f t="shared" si="15"/>
        <v/>
      </c>
      <c r="B10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7" spans="1:2" x14ac:dyDescent="0.35">
      <c r="A1007" s="1" t="str">
        <f t="shared" si="15"/>
        <v/>
      </c>
      <c r="B10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8" spans="1:2" x14ac:dyDescent="0.35">
      <c r="A1008" s="1" t="str">
        <f t="shared" si="15"/>
        <v/>
      </c>
      <c r="B10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9" spans="1:2" x14ac:dyDescent="0.35">
      <c r="A1009" s="1" t="str">
        <f t="shared" si="15"/>
        <v/>
      </c>
      <c r="B10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0" spans="1:2" x14ac:dyDescent="0.35">
      <c r="A1010" s="1" t="str">
        <f t="shared" si="15"/>
        <v/>
      </c>
      <c r="B10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1" spans="1:2" x14ac:dyDescent="0.35">
      <c r="A1011" s="1" t="str">
        <f t="shared" si="15"/>
        <v/>
      </c>
      <c r="B10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2" spans="1:2" x14ac:dyDescent="0.35">
      <c r="A1012" s="1" t="str">
        <f t="shared" si="15"/>
        <v/>
      </c>
      <c r="B10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3" spans="1:2" x14ac:dyDescent="0.35">
      <c r="A1013" s="1" t="str">
        <f t="shared" si="15"/>
        <v/>
      </c>
      <c r="B10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4" spans="1:2" x14ac:dyDescent="0.35">
      <c r="A1014" s="1" t="str">
        <f t="shared" si="15"/>
        <v/>
      </c>
      <c r="B10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5" spans="1:2" x14ac:dyDescent="0.35">
      <c r="A1015" s="1" t="str">
        <f t="shared" si="15"/>
        <v/>
      </c>
      <c r="B10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6" spans="1:2" x14ac:dyDescent="0.35">
      <c r="A1016" s="1" t="str">
        <f t="shared" si="15"/>
        <v/>
      </c>
      <c r="B10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7" spans="1:2" x14ac:dyDescent="0.35">
      <c r="A1017" s="1" t="str">
        <f t="shared" si="15"/>
        <v/>
      </c>
      <c r="B10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8" spans="1:2" x14ac:dyDescent="0.35">
      <c r="A1018" s="1" t="str">
        <f t="shared" si="15"/>
        <v/>
      </c>
      <c r="B10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9" spans="1:2" x14ac:dyDescent="0.35">
      <c r="A1019" s="1" t="str">
        <f t="shared" si="15"/>
        <v/>
      </c>
      <c r="B10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0" spans="1:2" x14ac:dyDescent="0.35">
      <c r="A1020" s="1" t="str">
        <f t="shared" si="15"/>
        <v/>
      </c>
      <c r="B10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1" spans="1:2" x14ac:dyDescent="0.35">
      <c r="A1021" s="1" t="str">
        <f t="shared" si="15"/>
        <v/>
      </c>
      <c r="B10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2" spans="1:2" x14ac:dyDescent="0.35">
      <c r="A1022" s="1" t="str">
        <f t="shared" si="15"/>
        <v/>
      </c>
      <c r="B10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3" spans="1:2" x14ac:dyDescent="0.35">
      <c r="A1023" s="1" t="str">
        <f t="shared" si="15"/>
        <v/>
      </c>
      <c r="B10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4" spans="1:2" x14ac:dyDescent="0.35">
      <c r="A1024" s="1" t="str">
        <f t="shared" si="15"/>
        <v/>
      </c>
      <c r="B10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5" spans="1:2" x14ac:dyDescent="0.35">
      <c r="A1025" s="1" t="str">
        <f t="shared" si="15"/>
        <v/>
      </c>
      <c r="B10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6" spans="1:2" x14ac:dyDescent="0.35">
      <c r="A1026" s="1" t="str">
        <f t="shared" ref="A1026:A1089" si="16">IFERROR(LEFT(RIGHT(C1026,LEN(C1026)-SEARCH("@",C1026)),SEARCH("/",RIGHT(C1026,LEN(C1026)-SEARCH("@",C1026)-1))),"")</f>
        <v/>
      </c>
      <c r="B10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7" spans="1:2" x14ac:dyDescent="0.35">
      <c r="A1027" s="1" t="str">
        <f t="shared" si="16"/>
        <v/>
      </c>
      <c r="B10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8" spans="1:2" x14ac:dyDescent="0.35">
      <c r="A1028" s="1" t="str">
        <f t="shared" si="16"/>
        <v/>
      </c>
      <c r="B10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9" spans="1:2" x14ac:dyDescent="0.35">
      <c r="A1029" s="1" t="str">
        <f t="shared" si="16"/>
        <v/>
      </c>
      <c r="B10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0" spans="1:2" x14ac:dyDescent="0.35">
      <c r="A1030" s="1" t="str">
        <f t="shared" si="16"/>
        <v/>
      </c>
      <c r="B10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1" spans="1:2" x14ac:dyDescent="0.35">
      <c r="A1031" s="1" t="str">
        <f t="shared" si="16"/>
        <v/>
      </c>
      <c r="B10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2" spans="1:2" x14ac:dyDescent="0.35">
      <c r="A1032" s="1" t="str">
        <f t="shared" si="16"/>
        <v/>
      </c>
      <c r="B10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3" spans="1:2" x14ac:dyDescent="0.35">
      <c r="A1033" s="1" t="str">
        <f t="shared" si="16"/>
        <v/>
      </c>
      <c r="B10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4" spans="1:2" x14ac:dyDescent="0.35">
      <c r="A1034" s="1" t="str">
        <f t="shared" si="16"/>
        <v/>
      </c>
      <c r="B10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5" spans="1:2" x14ac:dyDescent="0.35">
      <c r="A1035" s="1" t="str">
        <f t="shared" si="16"/>
        <v/>
      </c>
      <c r="B10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6" spans="1:2" x14ac:dyDescent="0.35">
      <c r="A1036" s="1" t="str">
        <f t="shared" si="16"/>
        <v/>
      </c>
      <c r="B10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7" spans="1:2" x14ac:dyDescent="0.35">
      <c r="A1037" s="1" t="str">
        <f t="shared" si="16"/>
        <v/>
      </c>
      <c r="B10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8" spans="1:2" x14ac:dyDescent="0.35">
      <c r="A1038" s="1" t="str">
        <f t="shared" si="16"/>
        <v/>
      </c>
      <c r="B10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9" spans="1:2" x14ac:dyDescent="0.35">
      <c r="A1039" s="1" t="str">
        <f t="shared" si="16"/>
        <v/>
      </c>
      <c r="B10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0" spans="1:2" x14ac:dyDescent="0.35">
      <c r="A1040" s="1" t="str">
        <f t="shared" si="16"/>
        <v/>
      </c>
      <c r="B10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1" spans="1:2" x14ac:dyDescent="0.35">
      <c r="A1041" s="1" t="str">
        <f t="shared" si="16"/>
        <v/>
      </c>
      <c r="B10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2" spans="1:2" x14ac:dyDescent="0.35">
      <c r="A1042" s="1" t="str">
        <f t="shared" si="16"/>
        <v/>
      </c>
      <c r="B10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3" spans="1:2" x14ac:dyDescent="0.35">
      <c r="A1043" s="1" t="str">
        <f t="shared" si="16"/>
        <v/>
      </c>
      <c r="B10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4" spans="1:2" x14ac:dyDescent="0.35">
      <c r="A1044" s="1" t="str">
        <f t="shared" si="16"/>
        <v/>
      </c>
      <c r="B10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5" spans="1:2" x14ac:dyDescent="0.35">
      <c r="A1045" s="1" t="str">
        <f t="shared" si="16"/>
        <v/>
      </c>
      <c r="B10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6" spans="1:2" x14ac:dyDescent="0.35">
      <c r="A1046" s="1" t="str">
        <f t="shared" si="16"/>
        <v/>
      </c>
      <c r="B10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7" spans="1:2" x14ac:dyDescent="0.35">
      <c r="A1047" s="1" t="str">
        <f t="shared" si="16"/>
        <v/>
      </c>
      <c r="B10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8" spans="1:2" x14ac:dyDescent="0.35">
      <c r="A1048" s="1" t="str">
        <f t="shared" si="16"/>
        <v/>
      </c>
      <c r="B10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9" spans="1:2" x14ac:dyDescent="0.35">
      <c r="A1049" s="1" t="str">
        <f t="shared" si="16"/>
        <v/>
      </c>
      <c r="B10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0" spans="1:2" x14ac:dyDescent="0.35">
      <c r="A1050" s="1" t="str">
        <f t="shared" si="16"/>
        <v/>
      </c>
      <c r="B10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1" spans="1:2" x14ac:dyDescent="0.35">
      <c r="A1051" s="1" t="str">
        <f t="shared" si="16"/>
        <v/>
      </c>
      <c r="B10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2" spans="1:2" x14ac:dyDescent="0.35">
      <c r="A1052" s="1" t="str">
        <f t="shared" si="16"/>
        <v/>
      </c>
      <c r="B10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3" spans="1:2" x14ac:dyDescent="0.35">
      <c r="A1053" s="1" t="str">
        <f t="shared" si="16"/>
        <v/>
      </c>
      <c r="B10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4" spans="1:2" x14ac:dyDescent="0.35">
      <c r="A1054" s="1" t="str">
        <f t="shared" si="16"/>
        <v/>
      </c>
      <c r="B10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5" spans="1:2" x14ac:dyDescent="0.35">
      <c r="A1055" s="1" t="str">
        <f t="shared" si="16"/>
        <v/>
      </c>
      <c r="B10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6" spans="1:2" x14ac:dyDescent="0.35">
      <c r="A1056" s="1" t="str">
        <f t="shared" si="16"/>
        <v/>
      </c>
      <c r="B10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7" spans="1:2" x14ac:dyDescent="0.35">
      <c r="A1057" s="1" t="str">
        <f t="shared" si="16"/>
        <v/>
      </c>
      <c r="B10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8" spans="1:2" x14ac:dyDescent="0.35">
      <c r="A1058" s="1" t="str">
        <f t="shared" si="16"/>
        <v/>
      </c>
      <c r="B10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9" spans="1:2" x14ac:dyDescent="0.35">
      <c r="A1059" s="1" t="str">
        <f t="shared" si="16"/>
        <v/>
      </c>
      <c r="B10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0" spans="1:2" x14ac:dyDescent="0.35">
      <c r="A1060" s="1" t="str">
        <f t="shared" si="16"/>
        <v/>
      </c>
      <c r="B10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1" spans="1:2" x14ac:dyDescent="0.35">
      <c r="A1061" s="1" t="str">
        <f t="shared" si="16"/>
        <v/>
      </c>
      <c r="B10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2" spans="1:2" x14ac:dyDescent="0.35">
      <c r="A1062" s="1" t="str">
        <f t="shared" si="16"/>
        <v/>
      </c>
      <c r="B10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3" spans="1:2" x14ac:dyDescent="0.35">
      <c r="A1063" s="1" t="str">
        <f t="shared" si="16"/>
        <v/>
      </c>
      <c r="B10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4" spans="1:2" x14ac:dyDescent="0.35">
      <c r="A1064" s="1" t="str">
        <f t="shared" si="16"/>
        <v/>
      </c>
      <c r="B10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5" spans="1:2" x14ac:dyDescent="0.35">
      <c r="A1065" s="1" t="str">
        <f t="shared" si="16"/>
        <v/>
      </c>
      <c r="B10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6" spans="1:2" x14ac:dyDescent="0.35">
      <c r="A1066" s="1" t="str">
        <f t="shared" si="16"/>
        <v/>
      </c>
      <c r="B10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7" spans="1:2" x14ac:dyDescent="0.35">
      <c r="A1067" s="1" t="str">
        <f t="shared" si="16"/>
        <v/>
      </c>
      <c r="B10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8" spans="1:2" x14ac:dyDescent="0.35">
      <c r="A1068" s="1" t="str">
        <f t="shared" si="16"/>
        <v/>
      </c>
      <c r="B10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9" spans="1:2" x14ac:dyDescent="0.35">
      <c r="A1069" s="1" t="str">
        <f t="shared" si="16"/>
        <v/>
      </c>
      <c r="B10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0" spans="1:2" x14ac:dyDescent="0.35">
      <c r="A1070" s="1" t="str">
        <f t="shared" si="16"/>
        <v/>
      </c>
      <c r="B10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1" spans="1:2" x14ac:dyDescent="0.35">
      <c r="A1071" s="1" t="str">
        <f t="shared" si="16"/>
        <v/>
      </c>
      <c r="B10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2" spans="1:2" x14ac:dyDescent="0.35">
      <c r="A1072" s="1" t="str">
        <f t="shared" si="16"/>
        <v/>
      </c>
      <c r="B10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3" spans="1:2" x14ac:dyDescent="0.35">
      <c r="A1073" s="1" t="str">
        <f t="shared" si="16"/>
        <v/>
      </c>
      <c r="B10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4" spans="1:2" x14ac:dyDescent="0.35">
      <c r="A1074" s="1" t="str">
        <f t="shared" si="16"/>
        <v/>
      </c>
      <c r="B10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5" spans="1:2" x14ac:dyDescent="0.35">
      <c r="A1075" s="1" t="str">
        <f t="shared" si="16"/>
        <v/>
      </c>
      <c r="B10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6" spans="1:2" x14ac:dyDescent="0.35">
      <c r="A1076" s="1" t="str">
        <f t="shared" si="16"/>
        <v/>
      </c>
      <c r="B10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7" spans="1:2" x14ac:dyDescent="0.35">
      <c r="A1077" s="1" t="str">
        <f t="shared" si="16"/>
        <v/>
      </c>
      <c r="B10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8" spans="1:2" x14ac:dyDescent="0.35">
      <c r="A1078" s="1" t="str">
        <f t="shared" si="16"/>
        <v/>
      </c>
      <c r="B10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9" spans="1:2" x14ac:dyDescent="0.35">
      <c r="A1079" s="1" t="str">
        <f t="shared" si="16"/>
        <v/>
      </c>
      <c r="B10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0" spans="1:2" x14ac:dyDescent="0.35">
      <c r="A1080" s="1" t="str">
        <f t="shared" si="16"/>
        <v/>
      </c>
      <c r="B10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1" spans="1:2" x14ac:dyDescent="0.35">
      <c r="A1081" s="1" t="str">
        <f t="shared" si="16"/>
        <v/>
      </c>
      <c r="B10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2" spans="1:2" x14ac:dyDescent="0.35">
      <c r="A1082" s="1" t="str">
        <f t="shared" si="16"/>
        <v/>
      </c>
      <c r="B10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3" spans="1:2" x14ac:dyDescent="0.35">
      <c r="A1083" s="1" t="str">
        <f t="shared" si="16"/>
        <v/>
      </c>
      <c r="B10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4" spans="1:2" x14ac:dyDescent="0.35">
      <c r="A1084" s="1" t="str">
        <f t="shared" si="16"/>
        <v/>
      </c>
      <c r="B10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5" spans="1:2" x14ac:dyDescent="0.35">
      <c r="A1085" s="1" t="str">
        <f t="shared" si="16"/>
        <v/>
      </c>
      <c r="B10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6" spans="1:2" x14ac:dyDescent="0.35">
      <c r="A1086" s="1" t="str">
        <f t="shared" si="16"/>
        <v/>
      </c>
      <c r="B10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7" spans="1:2" x14ac:dyDescent="0.35">
      <c r="A1087" s="1" t="str">
        <f t="shared" si="16"/>
        <v/>
      </c>
      <c r="B10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8" spans="1:2" x14ac:dyDescent="0.35">
      <c r="A1088" s="1" t="str">
        <f t="shared" si="16"/>
        <v/>
      </c>
      <c r="B10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9" spans="1:2" x14ac:dyDescent="0.35">
      <c r="A1089" s="1" t="str">
        <f t="shared" si="16"/>
        <v/>
      </c>
      <c r="B10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0" spans="1:2" x14ac:dyDescent="0.35">
      <c r="A1090" s="1" t="str">
        <f t="shared" ref="A1090:A1153" si="17">IFERROR(LEFT(RIGHT(C1090,LEN(C1090)-SEARCH("@",C1090)),SEARCH("/",RIGHT(C1090,LEN(C1090)-SEARCH("@",C1090)-1))),"")</f>
        <v/>
      </c>
      <c r="B10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1" spans="1:2" x14ac:dyDescent="0.35">
      <c r="A1091" s="1" t="str">
        <f t="shared" si="17"/>
        <v/>
      </c>
      <c r="B10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2" spans="1:2" x14ac:dyDescent="0.35">
      <c r="A1092" s="1" t="str">
        <f t="shared" si="17"/>
        <v/>
      </c>
      <c r="B10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3" spans="1:2" x14ac:dyDescent="0.35">
      <c r="A1093" s="1" t="str">
        <f t="shared" si="17"/>
        <v/>
      </c>
      <c r="B10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4" spans="1:2" x14ac:dyDescent="0.35">
      <c r="A1094" s="1" t="str">
        <f t="shared" si="17"/>
        <v/>
      </c>
      <c r="B10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5" spans="1:2" x14ac:dyDescent="0.35">
      <c r="A1095" s="1" t="str">
        <f t="shared" si="17"/>
        <v/>
      </c>
      <c r="B10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6" spans="1:2" x14ac:dyDescent="0.35">
      <c r="A1096" s="1" t="str">
        <f t="shared" si="17"/>
        <v/>
      </c>
      <c r="B10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7" spans="1:2" x14ac:dyDescent="0.35">
      <c r="A1097" s="1" t="str">
        <f t="shared" si="17"/>
        <v/>
      </c>
      <c r="B10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8" spans="1:2" x14ac:dyDescent="0.35">
      <c r="A1098" s="1" t="str">
        <f t="shared" si="17"/>
        <v/>
      </c>
      <c r="B10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9" spans="1:2" x14ac:dyDescent="0.35">
      <c r="A1099" s="1" t="str">
        <f t="shared" si="17"/>
        <v/>
      </c>
      <c r="B10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0" spans="1:2" x14ac:dyDescent="0.35">
      <c r="A1100" s="1" t="str">
        <f t="shared" si="17"/>
        <v/>
      </c>
      <c r="B11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1" spans="1:2" x14ac:dyDescent="0.35">
      <c r="A1101" s="1" t="str">
        <f t="shared" si="17"/>
        <v/>
      </c>
      <c r="B11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2" spans="1:2" x14ac:dyDescent="0.35">
      <c r="A1102" s="1" t="str">
        <f t="shared" si="17"/>
        <v/>
      </c>
      <c r="B11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3" spans="1:2" x14ac:dyDescent="0.35">
      <c r="A1103" s="1" t="str">
        <f t="shared" si="17"/>
        <v/>
      </c>
      <c r="B11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4" spans="1:2" x14ac:dyDescent="0.35">
      <c r="A1104" s="1" t="str">
        <f t="shared" si="17"/>
        <v/>
      </c>
      <c r="B11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5" spans="1:2" x14ac:dyDescent="0.35">
      <c r="A1105" s="1" t="str">
        <f t="shared" si="17"/>
        <v/>
      </c>
      <c r="B11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6" spans="1:2" x14ac:dyDescent="0.35">
      <c r="A1106" s="1" t="str">
        <f t="shared" si="17"/>
        <v/>
      </c>
      <c r="B11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7" spans="1:2" x14ac:dyDescent="0.35">
      <c r="A1107" s="1" t="str">
        <f t="shared" si="17"/>
        <v/>
      </c>
      <c r="B11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8" spans="1:2" x14ac:dyDescent="0.35">
      <c r="A1108" s="1" t="str">
        <f t="shared" si="17"/>
        <v/>
      </c>
      <c r="B11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9" spans="1:2" x14ac:dyDescent="0.35">
      <c r="A1109" s="1" t="str">
        <f t="shared" si="17"/>
        <v/>
      </c>
      <c r="B11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0" spans="1:2" x14ac:dyDescent="0.35">
      <c r="A1110" s="1" t="str">
        <f t="shared" si="17"/>
        <v/>
      </c>
      <c r="B11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1" spans="1:2" x14ac:dyDescent="0.35">
      <c r="A1111" s="1" t="str">
        <f t="shared" si="17"/>
        <v/>
      </c>
      <c r="B11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2" spans="1:2" x14ac:dyDescent="0.35">
      <c r="A1112" s="1" t="str">
        <f t="shared" si="17"/>
        <v/>
      </c>
      <c r="B11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3" spans="1:2" x14ac:dyDescent="0.35">
      <c r="A1113" s="1" t="str">
        <f t="shared" si="17"/>
        <v/>
      </c>
      <c r="B11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4" spans="1:2" x14ac:dyDescent="0.35">
      <c r="A1114" s="1" t="str">
        <f t="shared" si="17"/>
        <v/>
      </c>
      <c r="B11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5" spans="1:2" x14ac:dyDescent="0.35">
      <c r="A1115" s="1" t="str">
        <f t="shared" si="17"/>
        <v/>
      </c>
      <c r="B11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6" spans="1:2" x14ac:dyDescent="0.35">
      <c r="A1116" s="1" t="str">
        <f t="shared" si="17"/>
        <v/>
      </c>
      <c r="B11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7" spans="1:2" x14ac:dyDescent="0.35">
      <c r="A1117" s="1" t="str">
        <f t="shared" si="17"/>
        <v/>
      </c>
      <c r="B11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8" spans="1:2" x14ac:dyDescent="0.35">
      <c r="A1118" s="1" t="str">
        <f t="shared" si="17"/>
        <v/>
      </c>
      <c r="B11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9" spans="1:2" x14ac:dyDescent="0.35">
      <c r="A1119" s="1" t="str">
        <f t="shared" si="17"/>
        <v/>
      </c>
      <c r="B11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0" spans="1:2" x14ac:dyDescent="0.35">
      <c r="A1120" s="1" t="str">
        <f t="shared" si="17"/>
        <v/>
      </c>
      <c r="B11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1" spans="1:2" x14ac:dyDescent="0.35">
      <c r="A1121" s="1" t="str">
        <f t="shared" si="17"/>
        <v/>
      </c>
      <c r="B11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2" spans="1:2" x14ac:dyDescent="0.35">
      <c r="A1122" s="1" t="str">
        <f t="shared" si="17"/>
        <v/>
      </c>
      <c r="B11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3" spans="1:2" x14ac:dyDescent="0.35">
      <c r="A1123" s="1" t="str">
        <f t="shared" si="17"/>
        <v/>
      </c>
      <c r="B11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4" spans="1:2" x14ac:dyDescent="0.35">
      <c r="A1124" s="1" t="str">
        <f t="shared" si="17"/>
        <v/>
      </c>
      <c r="B11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5" spans="1:2" x14ac:dyDescent="0.35">
      <c r="A1125" s="1" t="str">
        <f t="shared" si="17"/>
        <v/>
      </c>
      <c r="B11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6" spans="1:2" x14ac:dyDescent="0.35">
      <c r="A1126" s="1" t="str">
        <f t="shared" si="17"/>
        <v/>
      </c>
      <c r="B11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7" spans="1:2" x14ac:dyDescent="0.35">
      <c r="A1127" s="1" t="str">
        <f t="shared" si="17"/>
        <v/>
      </c>
      <c r="B11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8" spans="1:2" x14ac:dyDescent="0.35">
      <c r="A1128" s="1" t="str">
        <f t="shared" si="17"/>
        <v/>
      </c>
      <c r="B11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9" spans="1:2" x14ac:dyDescent="0.35">
      <c r="A1129" s="1" t="str">
        <f t="shared" si="17"/>
        <v/>
      </c>
      <c r="B11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0" spans="1:2" x14ac:dyDescent="0.35">
      <c r="A1130" s="1" t="str">
        <f t="shared" si="17"/>
        <v/>
      </c>
      <c r="B11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1" spans="1:2" x14ac:dyDescent="0.35">
      <c r="A1131" s="1" t="str">
        <f t="shared" si="17"/>
        <v/>
      </c>
      <c r="B11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2" spans="1:2" x14ac:dyDescent="0.35">
      <c r="A1132" s="1" t="str">
        <f t="shared" si="17"/>
        <v/>
      </c>
      <c r="B11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3" spans="1:2" x14ac:dyDescent="0.35">
      <c r="A1133" s="1" t="str">
        <f t="shared" si="17"/>
        <v/>
      </c>
      <c r="B11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4" spans="1:2" x14ac:dyDescent="0.35">
      <c r="A1134" s="1" t="str">
        <f t="shared" si="17"/>
        <v/>
      </c>
      <c r="B11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5" spans="1:2" x14ac:dyDescent="0.35">
      <c r="A1135" s="1" t="str">
        <f t="shared" si="17"/>
        <v/>
      </c>
      <c r="B11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6" spans="1:2" x14ac:dyDescent="0.35">
      <c r="A1136" s="1" t="str">
        <f t="shared" si="17"/>
        <v/>
      </c>
      <c r="B11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7" spans="1:2" x14ac:dyDescent="0.35">
      <c r="A1137" s="1" t="str">
        <f t="shared" si="17"/>
        <v/>
      </c>
      <c r="B11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8" spans="1:2" x14ac:dyDescent="0.35">
      <c r="A1138" s="1" t="str">
        <f t="shared" si="17"/>
        <v/>
      </c>
      <c r="B11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9" spans="1:2" x14ac:dyDescent="0.35">
      <c r="A1139" s="1" t="str">
        <f t="shared" si="17"/>
        <v/>
      </c>
      <c r="B11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0" spans="1:2" x14ac:dyDescent="0.35">
      <c r="A1140" s="1" t="str">
        <f t="shared" si="17"/>
        <v/>
      </c>
      <c r="B11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1" spans="1:2" x14ac:dyDescent="0.35">
      <c r="A1141" s="1" t="str">
        <f t="shared" si="17"/>
        <v/>
      </c>
      <c r="B11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2" spans="1:2" x14ac:dyDescent="0.35">
      <c r="A1142" s="1" t="str">
        <f t="shared" si="17"/>
        <v/>
      </c>
      <c r="B11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3" spans="1:2" x14ac:dyDescent="0.35">
      <c r="A1143" s="1" t="str">
        <f t="shared" si="17"/>
        <v/>
      </c>
      <c r="B11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4" spans="1:2" x14ac:dyDescent="0.35">
      <c r="A1144" s="1" t="str">
        <f t="shared" si="17"/>
        <v/>
      </c>
      <c r="B11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5" spans="1:2" x14ac:dyDescent="0.35">
      <c r="A1145" s="1" t="str">
        <f t="shared" si="17"/>
        <v/>
      </c>
      <c r="B11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6" spans="1:2" x14ac:dyDescent="0.35">
      <c r="A1146" s="1" t="str">
        <f t="shared" si="17"/>
        <v/>
      </c>
      <c r="B11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7" spans="1:2" x14ac:dyDescent="0.35">
      <c r="A1147" s="1" t="str">
        <f t="shared" si="17"/>
        <v/>
      </c>
      <c r="B11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8" spans="1:2" x14ac:dyDescent="0.35">
      <c r="A1148" s="1" t="str">
        <f t="shared" si="17"/>
        <v/>
      </c>
      <c r="B11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9" spans="1:2" x14ac:dyDescent="0.35">
      <c r="A1149" s="1" t="str">
        <f t="shared" si="17"/>
        <v/>
      </c>
      <c r="B11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0" spans="1:2" x14ac:dyDescent="0.35">
      <c r="A1150" s="1" t="str">
        <f t="shared" si="17"/>
        <v/>
      </c>
      <c r="B11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1" spans="1:2" x14ac:dyDescent="0.35">
      <c r="A1151" s="1" t="str">
        <f t="shared" si="17"/>
        <v/>
      </c>
      <c r="B11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2" spans="1:2" x14ac:dyDescent="0.35">
      <c r="A1152" s="1" t="str">
        <f t="shared" si="17"/>
        <v/>
      </c>
      <c r="B11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3" spans="1:2" x14ac:dyDescent="0.35">
      <c r="A1153" s="1" t="str">
        <f t="shared" si="17"/>
        <v/>
      </c>
      <c r="B11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4" spans="1:2" x14ac:dyDescent="0.35">
      <c r="A1154" s="1" t="str">
        <f t="shared" ref="A1154:A1217" si="18">IFERROR(LEFT(RIGHT(C1154,LEN(C1154)-SEARCH("@",C1154)),SEARCH("/",RIGHT(C1154,LEN(C1154)-SEARCH("@",C1154)-1))),"")</f>
        <v/>
      </c>
      <c r="B11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5" spans="1:2" x14ac:dyDescent="0.35">
      <c r="A1155" s="1" t="str">
        <f t="shared" si="18"/>
        <v/>
      </c>
      <c r="B11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6" spans="1:2" x14ac:dyDescent="0.35">
      <c r="A1156" s="1" t="str">
        <f t="shared" si="18"/>
        <v/>
      </c>
      <c r="B11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7" spans="1:2" x14ac:dyDescent="0.35">
      <c r="A1157" s="1" t="str">
        <f t="shared" si="18"/>
        <v/>
      </c>
      <c r="B11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8" spans="1:2" x14ac:dyDescent="0.35">
      <c r="A1158" s="1" t="str">
        <f t="shared" si="18"/>
        <v/>
      </c>
      <c r="B11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9" spans="1:2" x14ac:dyDescent="0.35">
      <c r="A1159" s="1" t="str">
        <f t="shared" si="18"/>
        <v/>
      </c>
      <c r="B11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0" spans="1:2" x14ac:dyDescent="0.35">
      <c r="A1160" s="1" t="str">
        <f t="shared" si="18"/>
        <v/>
      </c>
      <c r="B11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1" spans="1:2" x14ac:dyDescent="0.35">
      <c r="A1161" s="1" t="str">
        <f t="shared" si="18"/>
        <v/>
      </c>
      <c r="B11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2" spans="1:2" x14ac:dyDescent="0.35">
      <c r="A1162" s="1" t="str">
        <f t="shared" si="18"/>
        <v/>
      </c>
      <c r="B11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3" spans="1:2" x14ac:dyDescent="0.35">
      <c r="A1163" s="1" t="str">
        <f t="shared" si="18"/>
        <v/>
      </c>
      <c r="B11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4" spans="1:2" x14ac:dyDescent="0.35">
      <c r="A1164" s="1" t="str">
        <f t="shared" si="18"/>
        <v/>
      </c>
      <c r="B11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5" spans="1:2" x14ac:dyDescent="0.35">
      <c r="A1165" s="1" t="str">
        <f t="shared" si="18"/>
        <v/>
      </c>
      <c r="B11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6" spans="1:2" x14ac:dyDescent="0.35">
      <c r="A1166" s="1" t="str">
        <f t="shared" si="18"/>
        <v/>
      </c>
      <c r="B11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7" spans="1:2" x14ac:dyDescent="0.35">
      <c r="A1167" s="1" t="str">
        <f t="shared" si="18"/>
        <v/>
      </c>
      <c r="B11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8" spans="1:2" x14ac:dyDescent="0.35">
      <c r="A1168" s="1" t="str">
        <f t="shared" si="18"/>
        <v/>
      </c>
      <c r="B11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9" spans="1:2" x14ac:dyDescent="0.35">
      <c r="A1169" s="1" t="str">
        <f t="shared" si="18"/>
        <v/>
      </c>
      <c r="B11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0" spans="1:2" x14ac:dyDescent="0.35">
      <c r="A1170" s="1" t="str">
        <f t="shared" si="18"/>
        <v/>
      </c>
      <c r="B11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1" spans="1:2" x14ac:dyDescent="0.35">
      <c r="A1171" s="1" t="str">
        <f t="shared" si="18"/>
        <v/>
      </c>
      <c r="B11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2" spans="1:2" x14ac:dyDescent="0.35">
      <c r="A1172" s="1" t="str">
        <f t="shared" si="18"/>
        <v/>
      </c>
      <c r="B11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3" spans="1:2" x14ac:dyDescent="0.35">
      <c r="A1173" s="1" t="str">
        <f t="shared" si="18"/>
        <v/>
      </c>
      <c r="B11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4" spans="1:2" x14ac:dyDescent="0.35">
      <c r="A1174" s="1" t="str">
        <f t="shared" si="18"/>
        <v/>
      </c>
      <c r="B11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5" spans="1:2" x14ac:dyDescent="0.35">
      <c r="A1175" s="1" t="str">
        <f t="shared" si="18"/>
        <v/>
      </c>
      <c r="B11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6" spans="1:2" x14ac:dyDescent="0.35">
      <c r="A1176" s="1" t="str">
        <f t="shared" si="18"/>
        <v/>
      </c>
      <c r="B11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7" spans="1:2" x14ac:dyDescent="0.35">
      <c r="A1177" s="1" t="str">
        <f t="shared" si="18"/>
        <v/>
      </c>
      <c r="B11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8" spans="1:2" x14ac:dyDescent="0.35">
      <c r="A1178" s="1" t="str">
        <f t="shared" si="18"/>
        <v/>
      </c>
      <c r="B11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9" spans="1:2" x14ac:dyDescent="0.35">
      <c r="A1179" s="1" t="str">
        <f t="shared" si="18"/>
        <v/>
      </c>
      <c r="B11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0" spans="1:2" x14ac:dyDescent="0.35">
      <c r="A1180" s="1" t="str">
        <f t="shared" si="18"/>
        <v/>
      </c>
      <c r="B11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1" spans="1:2" x14ac:dyDescent="0.35">
      <c r="A1181" s="1" t="str">
        <f t="shared" si="18"/>
        <v/>
      </c>
      <c r="B11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2" spans="1:2" x14ac:dyDescent="0.35">
      <c r="A1182" s="1" t="str">
        <f t="shared" si="18"/>
        <v/>
      </c>
      <c r="B11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3" spans="1:2" x14ac:dyDescent="0.35">
      <c r="A1183" s="1" t="str">
        <f t="shared" si="18"/>
        <v/>
      </c>
      <c r="B11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4" spans="1:2" x14ac:dyDescent="0.35">
      <c r="A1184" s="1" t="str">
        <f t="shared" si="18"/>
        <v/>
      </c>
      <c r="B11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5" spans="1:2" x14ac:dyDescent="0.35">
      <c r="A1185" s="1" t="str">
        <f t="shared" si="18"/>
        <v/>
      </c>
      <c r="B11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6" spans="1:2" x14ac:dyDescent="0.35">
      <c r="A1186" s="1" t="str">
        <f t="shared" si="18"/>
        <v/>
      </c>
      <c r="B11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7" spans="1:2" x14ac:dyDescent="0.35">
      <c r="A1187" s="1" t="str">
        <f t="shared" si="18"/>
        <v/>
      </c>
      <c r="B11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8" spans="1:2" x14ac:dyDescent="0.35">
      <c r="A1188" s="1" t="str">
        <f t="shared" si="18"/>
        <v/>
      </c>
      <c r="B11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9" spans="1:2" x14ac:dyDescent="0.35">
      <c r="A1189" s="1" t="str">
        <f t="shared" si="18"/>
        <v/>
      </c>
      <c r="B11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0" spans="1:2" x14ac:dyDescent="0.35">
      <c r="A1190" s="1" t="str">
        <f t="shared" si="18"/>
        <v/>
      </c>
      <c r="B11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1" spans="1:2" x14ac:dyDescent="0.35">
      <c r="A1191" s="1" t="str">
        <f t="shared" si="18"/>
        <v/>
      </c>
      <c r="B11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2" spans="1:2" x14ac:dyDescent="0.35">
      <c r="A1192" s="1" t="str">
        <f t="shared" si="18"/>
        <v/>
      </c>
      <c r="B11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3" spans="1:2" x14ac:dyDescent="0.35">
      <c r="A1193" s="1" t="str">
        <f t="shared" si="18"/>
        <v/>
      </c>
      <c r="B11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4" spans="1:2" x14ac:dyDescent="0.35">
      <c r="A1194" s="1" t="str">
        <f t="shared" si="18"/>
        <v/>
      </c>
      <c r="B11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5" spans="1:2" x14ac:dyDescent="0.35">
      <c r="A1195" s="1" t="str">
        <f t="shared" si="18"/>
        <v/>
      </c>
      <c r="B11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6" spans="1:2" x14ac:dyDescent="0.35">
      <c r="A1196" s="1" t="str">
        <f t="shared" si="18"/>
        <v/>
      </c>
      <c r="B11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7" spans="1:2" x14ac:dyDescent="0.35">
      <c r="A1197" s="1" t="str">
        <f t="shared" si="18"/>
        <v/>
      </c>
      <c r="B11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8" spans="1:2" x14ac:dyDescent="0.35">
      <c r="A1198" s="1" t="str">
        <f t="shared" si="18"/>
        <v/>
      </c>
      <c r="B11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9" spans="1:2" x14ac:dyDescent="0.35">
      <c r="A1199" s="1" t="str">
        <f t="shared" si="18"/>
        <v/>
      </c>
      <c r="B11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0" spans="1:2" x14ac:dyDescent="0.35">
      <c r="A1200" s="1" t="str">
        <f t="shared" si="18"/>
        <v/>
      </c>
      <c r="B12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1" spans="1:2" x14ac:dyDescent="0.35">
      <c r="A1201" s="1" t="str">
        <f t="shared" si="18"/>
        <v/>
      </c>
      <c r="B12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2" spans="1:2" x14ac:dyDescent="0.35">
      <c r="A1202" s="1" t="str">
        <f t="shared" si="18"/>
        <v/>
      </c>
      <c r="B12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3" spans="1:2" x14ac:dyDescent="0.35">
      <c r="A1203" s="1" t="str">
        <f t="shared" si="18"/>
        <v/>
      </c>
      <c r="B12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4" spans="1:2" x14ac:dyDescent="0.35">
      <c r="A1204" s="1" t="str">
        <f t="shared" si="18"/>
        <v/>
      </c>
      <c r="B12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5" spans="1:2" x14ac:dyDescent="0.35">
      <c r="A1205" s="1" t="str">
        <f t="shared" si="18"/>
        <v/>
      </c>
      <c r="B12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6" spans="1:2" x14ac:dyDescent="0.35">
      <c r="A1206" s="1" t="str">
        <f t="shared" si="18"/>
        <v/>
      </c>
      <c r="B12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7" spans="1:2" x14ac:dyDescent="0.35">
      <c r="A1207" s="1" t="str">
        <f t="shared" si="18"/>
        <v/>
      </c>
      <c r="B12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8" spans="1:2" x14ac:dyDescent="0.35">
      <c r="A1208" s="1" t="str">
        <f t="shared" si="18"/>
        <v/>
      </c>
      <c r="B12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9" spans="1:2" x14ac:dyDescent="0.35">
      <c r="A1209" s="1" t="str">
        <f t="shared" si="18"/>
        <v/>
      </c>
      <c r="B12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0" spans="1:2" x14ac:dyDescent="0.35">
      <c r="A1210" s="1" t="str">
        <f t="shared" si="18"/>
        <v/>
      </c>
      <c r="B12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1" spans="1:2" x14ac:dyDescent="0.35">
      <c r="A1211" s="1" t="str">
        <f t="shared" si="18"/>
        <v/>
      </c>
      <c r="B12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2" spans="1:2" x14ac:dyDescent="0.35">
      <c r="A1212" s="1" t="str">
        <f t="shared" si="18"/>
        <v/>
      </c>
      <c r="B12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3" spans="1:2" x14ac:dyDescent="0.35">
      <c r="A1213" s="1" t="str">
        <f t="shared" si="18"/>
        <v/>
      </c>
      <c r="B12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4" spans="1:2" x14ac:dyDescent="0.35">
      <c r="A1214" s="1" t="str">
        <f t="shared" si="18"/>
        <v/>
      </c>
      <c r="B12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5" spans="1:2" x14ac:dyDescent="0.35">
      <c r="A1215" s="1" t="str">
        <f t="shared" si="18"/>
        <v/>
      </c>
      <c r="B12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6" spans="1:2" x14ac:dyDescent="0.35">
      <c r="A1216" s="1" t="str">
        <f t="shared" si="18"/>
        <v/>
      </c>
      <c r="B12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7" spans="1:2" x14ac:dyDescent="0.35">
      <c r="A1217" s="1" t="str">
        <f t="shared" si="18"/>
        <v/>
      </c>
      <c r="B12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8" spans="1:2" x14ac:dyDescent="0.35">
      <c r="A1218" s="1" t="str">
        <f t="shared" ref="A1218:A1281" si="19">IFERROR(LEFT(RIGHT(C1218,LEN(C1218)-SEARCH("@",C1218)),SEARCH("/",RIGHT(C1218,LEN(C1218)-SEARCH("@",C1218)-1))),"")</f>
        <v/>
      </c>
      <c r="B12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9" spans="1:2" x14ac:dyDescent="0.35">
      <c r="A1219" s="1" t="str">
        <f t="shared" si="19"/>
        <v/>
      </c>
      <c r="B12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0" spans="1:2" x14ac:dyDescent="0.35">
      <c r="A1220" s="1" t="str">
        <f t="shared" si="19"/>
        <v/>
      </c>
      <c r="B12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1" spans="1:2" x14ac:dyDescent="0.35">
      <c r="A1221" s="1" t="str">
        <f t="shared" si="19"/>
        <v/>
      </c>
      <c r="B12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2" spans="1:2" x14ac:dyDescent="0.35">
      <c r="A1222" s="1" t="str">
        <f t="shared" si="19"/>
        <v/>
      </c>
      <c r="B12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3" spans="1:2" x14ac:dyDescent="0.35">
      <c r="A1223" s="1" t="str">
        <f t="shared" si="19"/>
        <v/>
      </c>
      <c r="B12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4" spans="1:2" x14ac:dyDescent="0.35">
      <c r="A1224" s="1" t="str">
        <f t="shared" si="19"/>
        <v/>
      </c>
      <c r="B12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5" spans="1:2" x14ac:dyDescent="0.35">
      <c r="A1225" s="1" t="str">
        <f t="shared" si="19"/>
        <v/>
      </c>
      <c r="B12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6" spans="1:2" x14ac:dyDescent="0.35">
      <c r="A1226" s="1" t="str">
        <f t="shared" si="19"/>
        <v/>
      </c>
      <c r="B12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7" spans="1:2" x14ac:dyDescent="0.35">
      <c r="A1227" s="1" t="str">
        <f t="shared" si="19"/>
        <v/>
      </c>
      <c r="B12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8" spans="1:2" x14ac:dyDescent="0.35">
      <c r="A1228" s="1" t="str">
        <f t="shared" si="19"/>
        <v/>
      </c>
      <c r="B12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9" spans="1:2" x14ac:dyDescent="0.35">
      <c r="A1229" s="1" t="str">
        <f t="shared" si="19"/>
        <v/>
      </c>
      <c r="B12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0" spans="1:2" x14ac:dyDescent="0.35">
      <c r="A1230" s="1" t="str">
        <f t="shared" si="19"/>
        <v/>
      </c>
      <c r="B12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1" spans="1:2" x14ac:dyDescent="0.35">
      <c r="A1231" s="1" t="str">
        <f t="shared" si="19"/>
        <v/>
      </c>
      <c r="B12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2" spans="1:2" x14ac:dyDescent="0.35">
      <c r="A1232" s="1" t="str">
        <f t="shared" si="19"/>
        <v/>
      </c>
      <c r="B12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3" spans="1:2" x14ac:dyDescent="0.35">
      <c r="A1233" s="1" t="str">
        <f t="shared" si="19"/>
        <v/>
      </c>
      <c r="B12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4" spans="1:2" x14ac:dyDescent="0.35">
      <c r="A1234" s="1" t="str">
        <f t="shared" si="19"/>
        <v/>
      </c>
      <c r="B12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5" spans="1:2" x14ac:dyDescent="0.35">
      <c r="A1235" s="1" t="str">
        <f t="shared" si="19"/>
        <v/>
      </c>
      <c r="B12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6" spans="1:2" x14ac:dyDescent="0.35">
      <c r="A1236" s="1" t="str">
        <f t="shared" si="19"/>
        <v/>
      </c>
      <c r="B12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7" spans="1:2" x14ac:dyDescent="0.35">
      <c r="A1237" s="1" t="str">
        <f t="shared" si="19"/>
        <v/>
      </c>
      <c r="B12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8" spans="1:2" x14ac:dyDescent="0.35">
      <c r="A1238" s="1" t="str">
        <f t="shared" si="19"/>
        <v/>
      </c>
      <c r="B12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9" spans="1:2" x14ac:dyDescent="0.35">
      <c r="A1239" s="1" t="str">
        <f t="shared" si="19"/>
        <v/>
      </c>
      <c r="B12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0" spans="1:2" x14ac:dyDescent="0.35">
      <c r="A1240" s="1" t="str">
        <f t="shared" si="19"/>
        <v/>
      </c>
      <c r="B12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1" spans="1:2" x14ac:dyDescent="0.35">
      <c r="A1241" s="1" t="str">
        <f t="shared" si="19"/>
        <v/>
      </c>
      <c r="B12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2" spans="1:2" x14ac:dyDescent="0.35">
      <c r="A1242" s="1" t="str">
        <f t="shared" si="19"/>
        <v/>
      </c>
      <c r="B12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3" spans="1:2" x14ac:dyDescent="0.35">
      <c r="A1243" s="1" t="str">
        <f t="shared" si="19"/>
        <v/>
      </c>
      <c r="B12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4" spans="1:2" x14ac:dyDescent="0.35">
      <c r="A1244" s="1" t="str">
        <f t="shared" si="19"/>
        <v/>
      </c>
      <c r="B12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5" spans="1:2" x14ac:dyDescent="0.35">
      <c r="A1245" s="1" t="str">
        <f t="shared" si="19"/>
        <v/>
      </c>
      <c r="B12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6" spans="1:2" x14ac:dyDescent="0.35">
      <c r="A1246" s="1" t="str">
        <f t="shared" si="19"/>
        <v/>
      </c>
      <c r="B12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7" spans="1:2" x14ac:dyDescent="0.35">
      <c r="A1247" s="1" t="str">
        <f t="shared" si="19"/>
        <v/>
      </c>
      <c r="B12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8" spans="1:2" x14ac:dyDescent="0.35">
      <c r="A1248" s="1" t="str">
        <f t="shared" si="19"/>
        <v/>
      </c>
      <c r="B12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9" spans="1:2" x14ac:dyDescent="0.35">
      <c r="A1249" s="1" t="str">
        <f t="shared" si="19"/>
        <v/>
      </c>
      <c r="B12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0" spans="1:2" x14ac:dyDescent="0.35">
      <c r="A1250" s="1" t="str">
        <f t="shared" si="19"/>
        <v/>
      </c>
      <c r="B12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1" spans="1:2" x14ac:dyDescent="0.35">
      <c r="A1251" s="1" t="str">
        <f t="shared" si="19"/>
        <v/>
      </c>
      <c r="B12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2" spans="1:2" x14ac:dyDescent="0.35">
      <c r="A1252" s="1" t="str">
        <f t="shared" si="19"/>
        <v/>
      </c>
      <c r="B12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3" spans="1:2" x14ac:dyDescent="0.35">
      <c r="A1253" s="1" t="str">
        <f t="shared" si="19"/>
        <v/>
      </c>
      <c r="B12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4" spans="1:2" x14ac:dyDescent="0.35">
      <c r="A1254" s="1" t="str">
        <f t="shared" si="19"/>
        <v/>
      </c>
      <c r="B12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5" spans="1:2" x14ac:dyDescent="0.35">
      <c r="A1255" s="1" t="str">
        <f t="shared" si="19"/>
        <v/>
      </c>
      <c r="B12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6" spans="1:2" x14ac:dyDescent="0.35">
      <c r="A1256" s="1" t="str">
        <f t="shared" si="19"/>
        <v/>
      </c>
      <c r="B12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7" spans="1:2" x14ac:dyDescent="0.35">
      <c r="A1257" s="1" t="str">
        <f t="shared" si="19"/>
        <v/>
      </c>
      <c r="B12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8" spans="1:2" x14ac:dyDescent="0.35">
      <c r="A1258" s="1" t="str">
        <f t="shared" si="19"/>
        <v/>
      </c>
      <c r="B12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9" spans="1:2" x14ac:dyDescent="0.35">
      <c r="A1259" s="1" t="str">
        <f t="shared" si="19"/>
        <v/>
      </c>
      <c r="B12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0" spans="1:2" x14ac:dyDescent="0.35">
      <c r="A1260" s="1" t="str">
        <f t="shared" si="19"/>
        <v/>
      </c>
      <c r="B12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1" spans="1:2" x14ac:dyDescent="0.35">
      <c r="A1261" s="1" t="str">
        <f t="shared" si="19"/>
        <v/>
      </c>
      <c r="B12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2" spans="1:2" x14ac:dyDescent="0.35">
      <c r="A1262" s="1" t="str">
        <f t="shared" si="19"/>
        <v/>
      </c>
      <c r="B12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3" spans="1:2" x14ac:dyDescent="0.35">
      <c r="A1263" s="1" t="str">
        <f t="shared" si="19"/>
        <v/>
      </c>
      <c r="B12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4" spans="1:2" x14ac:dyDescent="0.35">
      <c r="A1264" s="1" t="str">
        <f t="shared" si="19"/>
        <v/>
      </c>
      <c r="B12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5" spans="1:2" x14ac:dyDescent="0.35">
      <c r="A1265" s="1" t="str">
        <f t="shared" si="19"/>
        <v/>
      </c>
      <c r="B12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6" spans="1:2" x14ac:dyDescent="0.35">
      <c r="A1266" s="1" t="str">
        <f t="shared" si="19"/>
        <v/>
      </c>
      <c r="B12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7" spans="1:2" x14ac:dyDescent="0.35">
      <c r="A1267" s="1" t="str">
        <f t="shared" si="19"/>
        <v/>
      </c>
      <c r="B12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8" spans="1:2" x14ac:dyDescent="0.35">
      <c r="A1268" s="1" t="str">
        <f t="shared" si="19"/>
        <v/>
      </c>
      <c r="B12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9" spans="1:2" x14ac:dyDescent="0.35">
      <c r="A1269" s="1" t="str">
        <f t="shared" si="19"/>
        <v/>
      </c>
      <c r="B12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0" spans="1:2" x14ac:dyDescent="0.35">
      <c r="A1270" s="1" t="str">
        <f t="shared" si="19"/>
        <v/>
      </c>
      <c r="B12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1" spans="1:2" x14ac:dyDescent="0.35">
      <c r="A1271" s="1" t="str">
        <f t="shared" si="19"/>
        <v/>
      </c>
      <c r="B12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2" spans="1:2" x14ac:dyDescent="0.35">
      <c r="A1272" s="1" t="str">
        <f t="shared" si="19"/>
        <v/>
      </c>
      <c r="B12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3" spans="1:2" x14ac:dyDescent="0.35">
      <c r="A1273" s="1" t="str">
        <f t="shared" si="19"/>
        <v/>
      </c>
      <c r="B12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4" spans="1:2" x14ac:dyDescent="0.35">
      <c r="A1274" s="1" t="str">
        <f t="shared" si="19"/>
        <v/>
      </c>
      <c r="B12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5" spans="1:2" x14ac:dyDescent="0.35">
      <c r="A1275" s="1" t="str">
        <f t="shared" si="19"/>
        <v/>
      </c>
      <c r="B12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6" spans="1:2" x14ac:dyDescent="0.35">
      <c r="A1276" s="1" t="str">
        <f t="shared" si="19"/>
        <v/>
      </c>
      <c r="B12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7" spans="1:2" x14ac:dyDescent="0.35">
      <c r="A1277" s="1" t="str">
        <f t="shared" si="19"/>
        <v/>
      </c>
      <c r="B12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8" spans="1:2" x14ac:dyDescent="0.35">
      <c r="A1278" s="1" t="str">
        <f t="shared" si="19"/>
        <v/>
      </c>
      <c r="B12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9" spans="1:2" x14ac:dyDescent="0.35">
      <c r="A1279" s="1" t="str">
        <f t="shared" si="19"/>
        <v/>
      </c>
      <c r="B12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0" spans="1:2" x14ac:dyDescent="0.35">
      <c r="A1280" s="1" t="str">
        <f t="shared" si="19"/>
        <v/>
      </c>
      <c r="B12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1" spans="1:2" x14ac:dyDescent="0.35">
      <c r="A1281" s="1" t="str">
        <f t="shared" si="19"/>
        <v/>
      </c>
      <c r="B12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2" spans="1:2" x14ac:dyDescent="0.35">
      <c r="A1282" s="1" t="str">
        <f t="shared" ref="A1282:A1345" si="20">IFERROR(LEFT(RIGHT(C1282,LEN(C1282)-SEARCH("@",C1282)),SEARCH("/",RIGHT(C1282,LEN(C1282)-SEARCH("@",C1282)-1))),"")</f>
        <v/>
      </c>
      <c r="B12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3" spans="1:2" x14ac:dyDescent="0.35">
      <c r="A1283" s="1" t="str">
        <f t="shared" si="20"/>
        <v/>
      </c>
      <c r="B12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4" spans="1:2" x14ac:dyDescent="0.35">
      <c r="A1284" s="1" t="str">
        <f t="shared" si="20"/>
        <v/>
      </c>
      <c r="B12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5" spans="1:2" x14ac:dyDescent="0.35">
      <c r="A1285" s="1" t="str">
        <f t="shared" si="20"/>
        <v/>
      </c>
      <c r="B12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6" spans="1:2" x14ac:dyDescent="0.35">
      <c r="A1286" s="1" t="str">
        <f t="shared" si="20"/>
        <v/>
      </c>
      <c r="B12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7" spans="1:2" x14ac:dyDescent="0.35">
      <c r="A1287" s="1" t="str">
        <f t="shared" si="20"/>
        <v/>
      </c>
      <c r="B12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8" spans="1:2" x14ac:dyDescent="0.35">
      <c r="A1288" s="1" t="str">
        <f t="shared" si="20"/>
        <v/>
      </c>
      <c r="B12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9" spans="1:2" x14ac:dyDescent="0.35">
      <c r="A1289" s="1" t="str">
        <f t="shared" si="20"/>
        <v/>
      </c>
      <c r="B12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0" spans="1:2" x14ac:dyDescent="0.35">
      <c r="A1290" s="1" t="str">
        <f t="shared" si="20"/>
        <v/>
      </c>
      <c r="B12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1" spans="1:2" x14ac:dyDescent="0.35">
      <c r="A1291" s="1" t="str">
        <f t="shared" si="20"/>
        <v/>
      </c>
      <c r="B12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2" spans="1:2" x14ac:dyDescent="0.35">
      <c r="A1292" s="1" t="str">
        <f t="shared" si="20"/>
        <v/>
      </c>
      <c r="B12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3" spans="1:2" x14ac:dyDescent="0.35">
      <c r="A1293" s="1" t="str">
        <f t="shared" si="20"/>
        <v/>
      </c>
      <c r="B12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4" spans="1:2" x14ac:dyDescent="0.35">
      <c r="A1294" s="1" t="str">
        <f t="shared" si="20"/>
        <v/>
      </c>
      <c r="B12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5" spans="1:2" x14ac:dyDescent="0.35">
      <c r="A1295" s="1" t="str">
        <f t="shared" si="20"/>
        <v/>
      </c>
      <c r="B12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6" spans="1:2" x14ac:dyDescent="0.35">
      <c r="A1296" s="1" t="str">
        <f t="shared" si="20"/>
        <v/>
      </c>
      <c r="B12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7" spans="1:2" x14ac:dyDescent="0.35">
      <c r="A1297" s="1" t="str">
        <f t="shared" si="20"/>
        <v/>
      </c>
      <c r="B12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8" spans="1:2" x14ac:dyDescent="0.35">
      <c r="A1298" s="1" t="str">
        <f t="shared" si="20"/>
        <v/>
      </c>
      <c r="B12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9" spans="1:2" x14ac:dyDescent="0.35">
      <c r="A1299" s="1" t="str">
        <f t="shared" si="20"/>
        <v/>
      </c>
      <c r="B12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0" spans="1:2" x14ac:dyDescent="0.35">
      <c r="A1300" s="1" t="str">
        <f t="shared" si="20"/>
        <v/>
      </c>
      <c r="B13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1" spans="1:2" x14ac:dyDescent="0.35">
      <c r="A1301" s="1" t="str">
        <f t="shared" si="20"/>
        <v/>
      </c>
      <c r="B13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2" spans="1:2" x14ac:dyDescent="0.35">
      <c r="A1302" s="1" t="str">
        <f t="shared" si="20"/>
        <v/>
      </c>
      <c r="B13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3" spans="1:2" x14ac:dyDescent="0.35">
      <c r="A1303" s="1" t="str">
        <f t="shared" si="20"/>
        <v/>
      </c>
      <c r="B13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4" spans="1:2" x14ac:dyDescent="0.35">
      <c r="A1304" s="1" t="str">
        <f t="shared" si="20"/>
        <v/>
      </c>
      <c r="B13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5" spans="1:2" x14ac:dyDescent="0.35">
      <c r="A1305" s="1" t="str">
        <f t="shared" si="20"/>
        <v/>
      </c>
      <c r="B13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6" spans="1:2" x14ac:dyDescent="0.35">
      <c r="A1306" s="1" t="str">
        <f t="shared" si="20"/>
        <v/>
      </c>
      <c r="B13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7" spans="1:2" x14ac:dyDescent="0.35">
      <c r="A1307" s="1" t="str">
        <f t="shared" si="20"/>
        <v/>
      </c>
      <c r="B13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8" spans="1:2" x14ac:dyDescent="0.35">
      <c r="A1308" s="1" t="str">
        <f t="shared" si="20"/>
        <v/>
      </c>
      <c r="B13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9" spans="1:2" x14ac:dyDescent="0.35">
      <c r="A1309" s="1" t="str">
        <f t="shared" si="20"/>
        <v/>
      </c>
      <c r="B13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0" spans="1:2" x14ac:dyDescent="0.35">
      <c r="A1310" s="1" t="str">
        <f t="shared" si="20"/>
        <v/>
      </c>
      <c r="B13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1" spans="1:2" x14ac:dyDescent="0.35">
      <c r="A1311" s="1" t="str">
        <f t="shared" si="20"/>
        <v/>
      </c>
      <c r="B13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2" spans="1:2" x14ac:dyDescent="0.35">
      <c r="A1312" s="1" t="str">
        <f t="shared" si="20"/>
        <v/>
      </c>
      <c r="B13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3" spans="1:2" x14ac:dyDescent="0.35">
      <c r="A1313" s="1" t="str">
        <f t="shared" si="20"/>
        <v/>
      </c>
      <c r="B13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4" spans="1:2" x14ac:dyDescent="0.35">
      <c r="A1314" s="1" t="str">
        <f t="shared" si="20"/>
        <v/>
      </c>
      <c r="B13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5" spans="1:2" x14ac:dyDescent="0.35">
      <c r="A1315" s="1" t="str">
        <f t="shared" si="20"/>
        <v/>
      </c>
      <c r="B13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6" spans="1:2" x14ac:dyDescent="0.35">
      <c r="A1316" s="1" t="str">
        <f t="shared" si="20"/>
        <v/>
      </c>
      <c r="B13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7" spans="1:2" x14ac:dyDescent="0.35">
      <c r="A1317" s="1" t="str">
        <f t="shared" si="20"/>
        <v/>
      </c>
      <c r="B13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8" spans="1:2" x14ac:dyDescent="0.35">
      <c r="A1318" s="1" t="str">
        <f t="shared" si="20"/>
        <v/>
      </c>
      <c r="B13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9" spans="1:2" x14ac:dyDescent="0.35">
      <c r="A1319" s="1" t="str">
        <f t="shared" si="20"/>
        <v/>
      </c>
      <c r="B13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0" spans="1:2" x14ac:dyDescent="0.35">
      <c r="A1320" s="1" t="str">
        <f t="shared" si="20"/>
        <v/>
      </c>
      <c r="B13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1" spans="1:2" x14ac:dyDescent="0.35">
      <c r="A1321" s="1" t="str">
        <f t="shared" si="20"/>
        <v/>
      </c>
      <c r="B13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2" spans="1:2" x14ac:dyDescent="0.35">
      <c r="A1322" s="1" t="str">
        <f t="shared" si="20"/>
        <v/>
      </c>
      <c r="B13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3" spans="1:2" x14ac:dyDescent="0.35">
      <c r="A1323" s="1" t="str">
        <f t="shared" si="20"/>
        <v/>
      </c>
      <c r="B13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4" spans="1:2" x14ac:dyDescent="0.35">
      <c r="A1324" s="1" t="str">
        <f t="shared" si="20"/>
        <v/>
      </c>
      <c r="B13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5" spans="1:2" x14ac:dyDescent="0.35">
      <c r="A1325" s="1" t="str">
        <f t="shared" si="20"/>
        <v/>
      </c>
      <c r="B13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6" spans="1:2" x14ac:dyDescent="0.35">
      <c r="A1326" s="1" t="str">
        <f t="shared" si="20"/>
        <v/>
      </c>
      <c r="B13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7" spans="1:2" x14ac:dyDescent="0.35">
      <c r="A1327" s="1" t="str">
        <f t="shared" si="20"/>
        <v/>
      </c>
      <c r="B13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8" spans="1:2" x14ac:dyDescent="0.35">
      <c r="A1328" s="1" t="str">
        <f t="shared" si="20"/>
        <v/>
      </c>
      <c r="B13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9" spans="1:2" x14ac:dyDescent="0.35">
      <c r="A1329" s="1" t="str">
        <f t="shared" si="20"/>
        <v/>
      </c>
      <c r="B13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0" spans="1:2" x14ac:dyDescent="0.35">
      <c r="A1330" s="1" t="str">
        <f t="shared" si="20"/>
        <v/>
      </c>
      <c r="B13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1" spans="1:2" x14ac:dyDescent="0.35">
      <c r="A1331" s="1" t="str">
        <f t="shared" si="20"/>
        <v/>
      </c>
      <c r="B13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2" spans="1:2" x14ac:dyDescent="0.35">
      <c r="A1332" s="1" t="str">
        <f t="shared" si="20"/>
        <v/>
      </c>
      <c r="B13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3" spans="1:2" x14ac:dyDescent="0.35">
      <c r="A1333" s="1" t="str">
        <f t="shared" si="20"/>
        <v/>
      </c>
      <c r="B13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4" spans="1:2" x14ac:dyDescent="0.35">
      <c r="A1334" s="1" t="str">
        <f t="shared" si="20"/>
        <v/>
      </c>
      <c r="B13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5" spans="1:2" x14ac:dyDescent="0.35">
      <c r="A1335" s="1" t="str">
        <f t="shared" si="20"/>
        <v/>
      </c>
      <c r="B13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6" spans="1:2" x14ac:dyDescent="0.35">
      <c r="A1336" s="1" t="str">
        <f t="shared" si="20"/>
        <v/>
      </c>
      <c r="B13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7" spans="1:2" x14ac:dyDescent="0.35">
      <c r="A1337" s="1" t="str">
        <f t="shared" si="20"/>
        <v/>
      </c>
      <c r="B13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8" spans="1:2" x14ac:dyDescent="0.35">
      <c r="A1338" s="1" t="str">
        <f t="shared" si="20"/>
        <v/>
      </c>
      <c r="B13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9" spans="1:2" x14ac:dyDescent="0.35">
      <c r="A1339" s="1" t="str">
        <f t="shared" si="20"/>
        <v/>
      </c>
      <c r="B13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0" spans="1:2" x14ac:dyDescent="0.35">
      <c r="A1340" s="1" t="str">
        <f t="shared" si="20"/>
        <v/>
      </c>
      <c r="B13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1" spans="1:2" x14ac:dyDescent="0.35">
      <c r="A1341" s="1" t="str">
        <f t="shared" si="20"/>
        <v/>
      </c>
      <c r="B13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2" spans="1:2" x14ac:dyDescent="0.35">
      <c r="A1342" s="1" t="str">
        <f t="shared" si="20"/>
        <v/>
      </c>
      <c r="B13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3" spans="1:2" x14ac:dyDescent="0.35">
      <c r="A1343" s="1" t="str">
        <f t="shared" si="20"/>
        <v/>
      </c>
      <c r="B13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4" spans="1:2" x14ac:dyDescent="0.35">
      <c r="A1344" s="1" t="str">
        <f t="shared" si="20"/>
        <v/>
      </c>
      <c r="B13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5" spans="1:2" x14ac:dyDescent="0.35">
      <c r="A1345" s="1" t="str">
        <f t="shared" si="20"/>
        <v/>
      </c>
      <c r="B13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6" spans="1:2" x14ac:dyDescent="0.35">
      <c r="A1346" s="1" t="str">
        <f t="shared" ref="A1346:A1409" si="21">IFERROR(LEFT(RIGHT(C1346,LEN(C1346)-SEARCH("@",C1346)),SEARCH("/",RIGHT(C1346,LEN(C1346)-SEARCH("@",C1346)-1))),"")</f>
        <v/>
      </c>
      <c r="B13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7" spans="1:2" x14ac:dyDescent="0.35">
      <c r="A1347" s="1" t="str">
        <f t="shared" si="21"/>
        <v/>
      </c>
      <c r="B13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8" spans="1:2" x14ac:dyDescent="0.35">
      <c r="A1348" s="1" t="str">
        <f t="shared" si="21"/>
        <v/>
      </c>
      <c r="B13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9" spans="1:2" x14ac:dyDescent="0.35">
      <c r="A1349" s="1" t="str">
        <f t="shared" si="21"/>
        <v/>
      </c>
      <c r="B13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0" spans="1:2" x14ac:dyDescent="0.35">
      <c r="A1350" s="1" t="str">
        <f t="shared" si="21"/>
        <v/>
      </c>
      <c r="B13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1" spans="1:2" x14ac:dyDescent="0.35">
      <c r="A1351" s="1" t="str">
        <f t="shared" si="21"/>
        <v/>
      </c>
      <c r="B13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2" spans="1:2" x14ac:dyDescent="0.35">
      <c r="A1352" s="1" t="str">
        <f t="shared" si="21"/>
        <v/>
      </c>
      <c r="B13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3" spans="1:2" x14ac:dyDescent="0.35">
      <c r="A1353" s="1" t="str">
        <f t="shared" si="21"/>
        <v/>
      </c>
      <c r="B13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4" spans="1:2" x14ac:dyDescent="0.35">
      <c r="A1354" s="1" t="str">
        <f t="shared" si="21"/>
        <v/>
      </c>
      <c r="B13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5" spans="1:2" x14ac:dyDescent="0.35">
      <c r="A1355" s="1" t="str">
        <f t="shared" si="21"/>
        <v/>
      </c>
      <c r="B13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6" spans="1:2" x14ac:dyDescent="0.35">
      <c r="A1356" s="1" t="str">
        <f t="shared" si="21"/>
        <v/>
      </c>
      <c r="B13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7" spans="1:2" x14ac:dyDescent="0.35">
      <c r="A1357" s="1" t="str">
        <f t="shared" si="21"/>
        <v/>
      </c>
      <c r="B13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8" spans="1:2" x14ac:dyDescent="0.35">
      <c r="A1358" s="1" t="str">
        <f t="shared" si="21"/>
        <v/>
      </c>
      <c r="B13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9" spans="1:2" x14ac:dyDescent="0.35">
      <c r="A1359" s="1" t="str">
        <f t="shared" si="21"/>
        <v/>
      </c>
      <c r="B13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0" spans="1:2" x14ac:dyDescent="0.35">
      <c r="A1360" s="1" t="str">
        <f t="shared" si="21"/>
        <v/>
      </c>
      <c r="B13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1" spans="1:2" x14ac:dyDescent="0.35">
      <c r="A1361" s="1" t="str">
        <f t="shared" si="21"/>
        <v/>
      </c>
      <c r="B13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2" spans="1:2" x14ac:dyDescent="0.35">
      <c r="A1362" s="1" t="str">
        <f t="shared" si="21"/>
        <v/>
      </c>
      <c r="B13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3" spans="1:2" x14ac:dyDescent="0.35">
      <c r="A1363" s="1" t="str">
        <f t="shared" si="21"/>
        <v/>
      </c>
      <c r="B13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4" spans="1:2" x14ac:dyDescent="0.35">
      <c r="A1364" s="1" t="str">
        <f t="shared" si="21"/>
        <v/>
      </c>
      <c r="B13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5" spans="1:2" x14ac:dyDescent="0.35">
      <c r="A1365" s="1" t="str">
        <f t="shared" si="21"/>
        <v/>
      </c>
      <c r="B13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6" spans="1:2" x14ac:dyDescent="0.35">
      <c r="A1366" s="1" t="str">
        <f t="shared" si="21"/>
        <v/>
      </c>
      <c r="B13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7" spans="1:2" x14ac:dyDescent="0.35">
      <c r="A1367" s="1" t="str">
        <f t="shared" si="21"/>
        <v/>
      </c>
      <c r="B13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8" spans="1:2" x14ac:dyDescent="0.35">
      <c r="A1368" s="1" t="str">
        <f t="shared" si="21"/>
        <v/>
      </c>
      <c r="B13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9" spans="1:2" x14ac:dyDescent="0.35">
      <c r="A1369" s="1" t="str">
        <f t="shared" si="21"/>
        <v/>
      </c>
      <c r="B13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0" spans="1:2" x14ac:dyDescent="0.35">
      <c r="A1370" s="1" t="str">
        <f t="shared" si="21"/>
        <v/>
      </c>
      <c r="B13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1" spans="1:2" x14ac:dyDescent="0.35">
      <c r="A1371" s="1" t="str">
        <f t="shared" si="21"/>
        <v/>
      </c>
      <c r="B13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2" spans="1:2" x14ac:dyDescent="0.35">
      <c r="A1372" s="1" t="str">
        <f t="shared" si="21"/>
        <v/>
      </c>
      <c r="B13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3" spans="1:2" x14ac:dyDescent="0.35">
      <c r="A1373" s="1" t="str">
        <f t="shared" si="21"/>
        <v/>
      </c>
      <c r="B13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4" spans="1:2" x14ac:dyDescent="0.35">
      <c r="A1374" s="1" t="str">
        <f t="shared" si="21"/>
        <v/>
      </c>
      <c r="B13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5" spans="1:2" x14ac:dyDescent="0.35">
      <c r="A1375" s="1" t="str">
        <f t="shared" si="21"/>
        <v/>
      </c>
      <c r="B13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6" spans="1:2" x14ac:dyDescent="0.35">
      <c r="A1376" s="1" t="str">
        <f t="shared" si="21"/>
        <v/>
      </c>
      <c r="B13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7" spans="1:2" x14ac:dyDescent="0.35">
      <c r="A1377" s="1" t="str">
        <f t="shared" si="21"/>
        <v/>
      </c>
      <c r="B13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8" spans="1:2" x14ac:dyDescent="0.35">
      <c r="A1378" s="1" t="str">
        <f t="shared" si="21"/>
        <v/>
      </c>
      <c r="B13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9" spans="1:2" x14ac:dyDescent="0.35">
      <c r="A1379" s="1" t="str">
        <f t="shared" si="21"/>
        <v/>
      </c>
      <c r="B13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0" spans="1:2" x14ac:dyDescent="0.35">
      <c r="A1380" s="1" t="str">
        <f t="shared" si="21"/>
        <v/>
      </c>
      <c r="B13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1" spans="1:2" x14ac:dyDescent="0.35">
      <c r="A1381" s="1" t="str">
        <f t="shared" si="21"/>
        <v/>
      </c>
      <c r="B13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2" spans="1:2" x14ac:dyDescent="0.35">
      <c r="A1382" s="1" t="str">
        <f t="shared" si="21"/>
        <v/>
      </c>
      <c r="B13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3" spans="1:2" x14ac:dyDescent="0.35">
      <c r="A1383" s="1" t="str">
        <f t="shared" si="21"/>
        <v/>
      </c>
      <c r="B13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4" spans="1:2" x14ac:dyDescent="0.35">
      <c r="A1384" s="1" t="str">
        <f t="shared" si="21"/>
        <v/>
      </c>
      <c r="B13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5" spans="1:2" x14ac:dyDescent="0.35">
      <c r="A1385" s="1" t="str">
        <f t="shared" si="21"/>
        <v/>
      </c>
      <c r="B13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6" spans="1:2" x14ac:dyDescent="0.35">
      <c r="A1386" s="1" t="str">
        <f t="shared" si="21"/>
        <v/>
      </c>
      <c r="B13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7" spans="1:2" x14ac:dyDescent="0.35">
      <c r="A1387" s="1" t="str">
        <f t="shared" si="21"/>
        <v/>
      </c>
      <c r="B13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8" spans="1:2" x14ac:dyDescent="0.35">
      <c r="A1388" s="1" t="str">
        <f t="shared" si="21"/>
        <v/>
      </c>
      <c r="B13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9" spans="1:2" x14ac:dyDescent="0.35">
      <c r="A1389" s="1" t="str">
        <f t="shared" si="21"/>
        <v/>
      </c>
      <c r="B13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0" spans="1:2" x14ac:dyDescent="0.35">
      <c r="A1390" s="1" t="str">
        <f t="shared" si="21"/>
        <v/>
      </c>
      <c r="B13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1" spans="1:2" x14ac:dyDescent="0.35">
      <c r="A1391" s="1" t="str">
        <f t="shared" si="21"/>
        <v/>
      </c>
      <c r="B13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2" spans="1:2" x14ac:dyDescent="0.35">
      <c r="A1392" s="1" t="str">
        <f t="shared" si="21"/>
        <v/>
      </c>
      <c r="B13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3" spans="1:2" x14ac:dyDescent="0.35">
      <c r="A1393" s="1" t="str">
        <f t="shared" si="21"/>
        <v/>
      </c>
      <c r="B13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4" spans="1:2" x14ac:dyDescent="0.35">
      <c r="A1394" s="1" t="str">
        <f t="shared" si="21"/>
        <v/>
      </c>
      <c r="B13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5" spans="1:2" x14ac:dyDescent="0.35">
      <c r="A1395" s="1" t="str">
        <f t="shared" si="21"/>
        <v/>
      </c>
      <c r="B13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6" spans="1:2" x14ac:dyDescent="0.35">
      <c r="A1396" s="1" t="str">
        <f t="shared" si="21"/>
        <v/>
      </c>
      <c r="B13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7" spans="1:2" x14ac:dyDescent="0.35">
      <c r="A1397" s="1" t="str">
        <f t="shared" si="21"/>
        <v/>
      </c>
      <c r="B13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8" spans="1:2" x14ac:dyDescent="0.35">
      <c r="A1398" s="1" t="str">
        <f t="shared" si="21"/>
        <v/>
      </c>
      <c r="B13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9" spans="1:2" x14ac:dyDescent="0.35">
      <c r="A1399" s="1" t="str">
        <f t="shared" si="21"/>
        <v/>
      </c>
      <c r="B13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0" spans="1:2" x14ac:dyDescent="0.35">
      <c r="A1400" s="1" t="str">
        <f t="shared" si="21"/>
        <v/>
      </c>
      <c r="B14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1" spans="1:2" x14ac:dyDescent="0.35">
      <c r="A1401" s="1" t="str">
        <f t="shared" si="21"/>
        <v/>
      </c>
      <c r="B14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2" spans="1:2" x14ac:dyDescent="0.35">
      <c r="A1402" s="1" t="str">
        <f t="shared" si="21"/>
        <v/>
      </c>
      <c r="B14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3" spans="1:2" x14ac:dyDescent="0.35">
      <c r="A1403" s="1" t="str">
        <f t="shared" si="21"/>
        <v/>
      </c>
      <c r="B14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4" spans="1:2" x14ac:dyDescent="0.35">
      <c r="A1404" s="1" t="str">
        <f t="shared" si="21"/>
        <v/>
      </c>
      <c r="B14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5" spans="1:2" x14ac:dyDescent="0.35">
      <c r="A1405" s="1" t="str">
        <f t="shared" si="21"/>
        <v/>
      </c>
      <c r="B14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6" spans="1:2" x14ac:dyDescent="0.35">
      <c r="A1406" s="1" t="str">
        <f t="shared" si="21"/>
        <v/>
      </c>
      <c r="B14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7" spans="1:2" x14ac:dyDescent="0.35">
      <c r="A1407" s="1" t="str">
        <f t="shared" si="21"/>
        <v/>
      </c>
      <c r="B14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8" spans="1:2" x14ac:dyDescent="0.35">
      <c r="A1408" s="1" t="str">
        <f t="shared" si="21"/>
        <v/>
      </c>
      <c r="B14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9" spans="1:2" x14ac:dyDescent="0.35">
      <c r="A1409" s="1" t="str">
        <f t="shared" si="21"/>
        <v/>
      </c>
      <c r="B14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0" spans="1:2" x14ac:dyDescent="0.35">
      <c r="A1410" s="1" t="str">
        <f t="shared" ref="A1410:A1473" si="22">IFERROR(LEFT(RIGHT(C1410,LEN(C1410)-SEARCH("@",C1410)),SEARCH("/",RIGHT(C1410,LEN(C1410)-SEARCH("@",C1410)-1))),"")</f>
        <v/>
      </c>
      <c r="B14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1" spans="1:2" x14ac:dyDescent="0.35">
      <c r="A1411" s="1" t="str">
        <f t="shared" si="22"/>
        <v/>
      </c>
      <c r="B14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2" spans="1:2" x14ac:dyDescent="0.35">
      <c r="A1412" s="1" t="str">
        <f t="shared" si="22"/>
        <v/>
      </c>
      <c r="B14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3" spans="1:2" x14ac:dyDescent="0.35">
      <c r="A1413" s="1" t="str">
        <f t="shared" si="22"/>
        <v/>
      </c>
      <c r="B14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4" spans="1:2" x14ac:dyDescent="0.35">
      <c r="A1414" s="1" t="str">
        <f t="shared" si="22"/>
        <v/>
      </c>
      <c r="B14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5" spans="1:2" x14ac:dyDescent="0.35">
      <c r="A1415" s="1" t="str">
        <f t="shared" si="22"/>
        <v/>
      </c>
      <c r="B14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6" spans="1:2" x14ac:dyDescent="0.35">
      <c r="A1416" s="1" t="str">
        <f t="shared" si="22"/>
        <v/>
      </c>
      <c r="B14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7" spans="1:2" x14ac:dyDescent="0.35">
      <c r="A1417" s="1" t="str">
        <f t="shared" si="22"/>
        <v/>
      </c>
      <c r="B14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8" spans="1:2" x14ac:dyDescent="0.35">
      <c r="A1418" s="1" t="str">
        <f t="shared" si="22"/>
        <v/>
      </c>
      <c r="B14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9" spans="1:2" x14ac:dyDescent="0.35">
      <c r="A1419" s="1" t="str">
        <f t="shared" si="22"/>
        <v/>
      </c>
      <c r="B14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0" spans="1:2" x14ac:dyDescent="0.35">
      <c r="A1420" s="1" t="str">
        <f t="shared" si="22"/>
        <v/>
      </c>
      <c r="B14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1" spans="1:2" x14ac:dyDescent="0.35">
      <c r="A1421" s="1" t="str">
        <f t="shared" si="22"/>
        <v/>
      </c>
      <c r="B14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2" spans="1:2" x14ac:dyDescent="0.35">
      <c r="A1422" s="1" t="str">
        <f t="shared" si="22"/>
        <v/>
      </c>
      <c r="B14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3" spans="1:2" x14ac:dyDescent="0.35">
      <c r="A1423" s="1" t="str">
        <f t="shared" si="22"/>
        <v/>
      </c>
      <c r="B14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4" spans="1:2" x14ac:dyDescent="0.35">
      <c r="A1424" s="1" t="str">
        <f t="shared" si="22"/>
        <v/>
      </c>
      <c r="B14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5" spans="1:2" x14ac:dyDescent="0.35">
      <c r="A1425" s="1" t="str">
        <f t="shared" si="22"/>
        <v/>
      </c>
      <c r="B14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6" spans="1:2" x14ac:dyDescent="0.35">
      <c r="A1426" s="1" t="str">
        <f t="shared" si="22"/>
        <v/>
      </c>
      <c r="B14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7" spans="1:2" x14ac:dyDescent="0.35">
      <c r="A1427" s="1" t="str">
        <f t="shared" si="22"/>
        <v/>
      </c>
      <c r="B14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8" spans="1:2" x14ac:dyDescent="0.35">
      <c r="A1428" s="1" t="str">
        <f t="shared" si="22"/>
        <v/>
      </c>
      <c r="B14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9" spans="1:2" x14ac:dyDescent="0.35">
      <c r="A1429" s="1" t="str">
        <f t="shared" si="22"/>
        <v/>
      </c>
      <c r="B14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0" spans="1:2" x14ac:dyDescent="0.35">
      <c r="A1430" s="1" t="str">
        <f t="shared" si="22"/>
        <v/>
      </c>
      <c r="B14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1" spans="1:2" x14ac:dyDescent="0.35">
      <c r="A1431" s="1" t="str">
        <f t="shared" si="22"/>
        <v/>
      </c>
      <c r="B14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2" spans="1:2" x14ac:dyDescent="0.35">
      <c r="A1432" s="1" t="str">
        <f t="shared" si="22"/>
        <v/>
      </c>
      <c r="B14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3" spans="1:2" x14ac:dyDescent="0.35">
      <c r="A1433" s="1" t="str">
        <f t="shared" si="22"/>
        <v/>
      </c>
      <c r="B14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4" spans="1:2" x14ac:dyDescent="0.35">
      <c r="A1434" s="1" t="str">
        <f t="shared" si="22"/>
        <v/>
      </c>
      <c r="B14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5" spans="1:2" x14ac:dyDescent="0.35">
      <c r="A1435" s="1" t="str">
        <f t="shared" si="22"/>
        <v/>
      </c>
      <c r="B14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6" spans="1:2" x14ac:dyDescent="0.35">
      <c r="A1436" s="1" t="str">
        <f t="shared" si="22"/>
        <v/>
      </c>
      <c r="B14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7" spans="1:2" x14ac:dyDescent="0.35">
      <c r="A1437" s="1" t="str">
        <f t="shared" si="22"/>
        <v/>
      </c>
      <c r="B14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8" spans="1:2" x14ac:dyDescent="0.35">
      <c r="A1438" s="1" t="str">
        <f t="shared" si="22"/>
        <v/>
      </c>
      <c r="B14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9" spans="1:2" x14ac:dyDescent="0.35">
      <c r="A1439" s="1" t="str">
        <f t="shared" si="22"/>
        <v/>
      </c>
      <c r="B14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0" spans="1:2" x14ac:dyDescent="0.35">
      <c r="A1440" s="1" t="str">
        <f t="shared" si="22"/>
        <v/>
      </c>
      <c r="B14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1" spans="1:2" x14ac:dyDescent="0.35">
      <c r="A1441" s="1" t="str">
        <f t="shared" si="22"/>
        <v/>
      </c>
      <c r="B14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2" spans="1:2" x14ac:dyDescent="0.35">
      <c r="A1442" s="1" t="str">
        <f t="shared" si="22"/>
        <v/>
      </c>
      <c r="B14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3" spans="1:2" x14ac:dyDescent="0.35">
      <c r="A1443" s="1" t="str">
        <f t="shared" si="22"/>
        <v/>
      </c>
      <c r="B14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4" spans="1:2" x14ac:dyDescent="0.35">
      <c r="A1444" s="1" t="str">
        <f t="shared" si="22"/>
        <v/>
      </c>
      <c r="B14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5" spans="1:2" x14ac:dyDescent="0.35">
      <c r="A1445" s="1" t="str">
        <f t="shared" si="22"/>
        <v/>
      </c>
      <c r="B14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6" spans="1:2" x14ac:dyDescent="0.35">
      <c r="A1446" s="1" t="str">
        <f t="shared" si="22"/>
        <v/>
      </c>
      <c r="B14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7" spans="1:2" x14ac:dyDescent="0.35">
      <c r="A1447" s="1" t="str">
        <f t="shared" si="22"/>
        <v/>
      </c>
      <c r="B14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8" spans="1:2" x14ac:dyDescent="0.35">
      <c r="A1448" s="1" t="str">
        <f t="shared" si="22"/>
        <v/>
      </c>
      <c r="B14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9" spans="1:2" x14ac:dyDescent="0.35">
      <c r="A1449" s="1" t="str">
        <f t="shared" si="22"/>
        <v/>
      </c>
      <c r="B14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0" spans="1:2" x14ac:dyDescent="0.35">
      <c r="A1450" s="1" t="str">
        <f t="shared" si="22"/>
        <v/>
      </c>
      <c r="B14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1" spans="1:2" x14ac:dyDescent="0.35">
      <c r="A1451" s="1" t="str">
        <f t="shared" si="22"/>
        <v/>
      </c>
      <c r="B14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2" spans="1:2" x14ac:dyDescent="0.35">
      <c r="A1452" s="1" t="str">
        <f t="shared" si="22"/>
        <v/>
      </c>
      <c r="B14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3" spans="1:2" x14ac:dyDescent="0.35">
      <c r="A1453" s="1" t="str">
        <f t="shared" si="22"/>
        <v/>
      </c>
      <c r="B14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4" spans="1:2" x14ac:dyDescent="0.35">
      <c r="A1454" s="1" t="str">
        <f t="shared" si="22"/>
        <v/>
      </c>
      <c r="B14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5" spans="1:2" x14ac:dyDescent="0.35">
      <c r="A1455" s="1" t="str">
        <f t="shared" si="22"/>
        <v/>
      </c>
      <c r="B14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6" spans="1:2" x14ac:dyDescent="0.35">
      <c r="A1456" s="1" t="str">
        <f t="shared" si="22"/>
        <v/>
      </c>
      <c r="B14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7" spans="1:2" x14ac:dyDescent="0.35">
      <c r="A1457" s="1" t="str">
        <f t="shared" si="22"/>
        <v/>
      </c>
      <c r="B14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8" spans="1:2" x14ac:dyDescent="0.35">
      <c r="A1458" s="1" t="str">
        <f t="shared" si="22"/>
        <v/>
      </c>
      <c r="B14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9" spans="1:2" x14ac:dyDescent="0.35">
      <c r="A1459" s="1" t="str">
        <f t="shared" si="22"/>
        <v/>
      </c>
      <c r="B14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0" spans="1:2" x14ac:dyDescent="0.35">
      <c r="A1460" s="1" t="str">
        <f t="shared" si="22"/>
        <v/>
      </c>
      <c r="B14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1" spans="1:2" x14ac:dyDescent="0.35">
      <c r="A1461" s="1" t="str">
        <f t="shared" si="22"/>
        <v/>
      </c>
      <c r="B14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2" spans="1:2" x14ac:dyDescent="0.35">
      <c r="A1462" s="1" t="str">
        <f t="shared" si="22"/>
        <v/>
      </c>
      <c r="B14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3" spans="1:2" x14ac:dyDescent="0.35">
      <c r="A1463" s="1" t="str">
        <f t="shared" si="22"/>
        <v/>
      </c>
      <c r="B14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4" spans="1:2" x14ac:dyDescent="0.35">
      <c r="A1464" s="1" t="str">
        <f t="shared" si="22"/>
        <v/>
      </c>
      <c r="B14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5" spans="1:2" x14ac:dyDescent="0.35">
      <c r="A1465" s="1" t="str">
        <f t="shared" si="22"/>
        <v/>
      </c>
      <c r="B14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6" spans="1:2" x14ac:dyDescent="0.35">
      <c r="A1466" s="1" t="str">
        <f t="shared" si="22"/>
        <v/>
      </c>
      <c r="B14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7" spans="1:2" x14ac:dyDescent="0.35">
      <c r="A1467" s="1" t="str">
        <f t="shared" si="22"/>
        <v/>
      </c>
      <c r="B14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8" spans="1:2" x14ac:dyDescent="0.35">
      <c r="A1468" s="1" t="str">
        <f t="shared" si="22"/>
        <v/>
      </c>
      <c r="B14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9" spans="1:2" x14ac:dyDescent="0.35">
      <c r="A1469" s="1" t="str">
        <f t="shared" si="22"/>
        <v/>
      </c>
      <c r="B14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0" spans="1:2" x14ac:dyDescent="0.35">
      <c r="A1470" s="1" t="str">
        <f t="shared" si="22"/>
        <v/>
      </c>
      <c r="B14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1" spans="1:2" x14ac:dyDescent="0.35">
      <c r="A1471" s="1" t="str">
        <f t="shared" si="22"/>
        <v/>
      </c>
      <c r="B14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2" spans="1:2" x14ac:dyDescent="0.35">
      <c r="A1472" s="1" t="str">
        <f t="shared" si="22"/>
        <v/>
      </c>
      <c r="B14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3" spans="1:2" x14ac:dyDescent="0.35">
      <c r="A1473" s="1" t="str">
        <f t="shared" si="22"/>
        <v/>
      </c>
      <c r="B14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4" spans="1:2" x14ac:dyDescent="0.35">
      <c r="A1474" s="1" t="str">
        <f t="shared" ref="A1474:A1537" si="23">IFERROR(LEFT(RIGHT(C1474,LEN(C1474)-SEARCH("@",C1474)),SEARCH("/",RIGHT(C1474,LEN(C1474)-SEARCH("@",C1474)-1))),"")</f>
        <v/>
      </c>
      <c r="B14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5" spans="1:2" x14ac:dyDescent="0.35">
      <c r="A1475" s="1" t="str">
        <f t="shared" si="23"/>
        <v/>
      </c>
      <c r="B14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6" spans="1:2" x14ac:dyDescent="0.35">
      <c r="A1476" s="1" t="str">
        <f t="shared" si="23"/>
        <v/>
      </c>
      <c r="B14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7" spans="1:2" x14ac:dyDescent="0.35">
      <c r="A1477" s="1" t="str">
        <f t="shared" si="23"/>
        <v/>
      </c>
      <c r="B14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8" spans="1:2" x14ac:dyDescent="0.35">
      <c r="A1478" s="1" t="str">
        <f t="shared" si="23"/>
        <v/>
      </c>
      <c r="B14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9" spans="1:2" x14ac:dyDescent="0.35">
      <c r="A1479" s="1" t="str">
        <f t="shared" si="23"/>
        <v/>
      </c>
      <c r="B14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0" spans="1:2" x14ac:dyDescent="0.35">
      <c r="A1480" s="1" t="str">
        <f t="shared" si="23"/>
        <v/>
      </c>
      <c r="B14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1" spans="1:2" x14ac:dyDescent="0.35">
      <c r="A1481" s="1" t="str">
        <f t="shared" si="23"/>
        <v/>
      </c>
      <c r="B14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2" spans="1:2" x14ac:dyDescent="0.35">
      <c r="A1482" s="1" t="str">
        <f t="shared" si="23"/>
        <v/>
      </c>
      <c r="B14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3" spans="1:2" x14ac:dyDescent="0.35">
      <c r="A1483" s="1" t="str">
        <f t="shared" si="23"/>
        <v/>
      </c>
      <c r="B14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4" spans="1:2" x14ac:dyDescent="0.35">
      <c r="A1484" s="1" t="str">
        <f t="shared" si="23"/>
        <v/>
      </c>
      <c r="B14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5" spans="1:2" x14ac:dyDescent="0.35">
      <c r="A1485" s="1" t="str">
        <f t="shared" si="23"/>
        <v/>
      </c>
      <c r="B14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6" spans="1:2" x14ac:dyDescent="0.35">
      <c r="A1486" s="1" t="str">
        <f t="shared" si="23"/>
        <v/>
      </c>
      <c r="B14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7" spans="1:2" x14ac:dyDescent="0.35">
      <c r="A1487" s="1" t="str">
        <f t="shared" si="23"/>
        <v/>
      </c>
      <c r="B14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8" spans="1:2" x14ac:dyDescent="0.35">
      <c r="A1488" s="1" t="str">
        <f t="shared" si="23"/>
        <v/>
      </c>
      <c r="B14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9" spans="1:2" x14ac:dyDescent="0.35">
      <c r="A1489" s="1" t="str">
        <f t="shared" si="23"/>
        <v/>
      </c>
      <c r="B14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0" spans="1:2" x14ac:dyDescent="0.35">
      <c r="A1490" s="1" t="str">
        <f t="shared" si="23"/>
        <v/>
      </c>
      <c r="B14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1" spans="1:2" x14ac:dyDescent="0.35">
      <c r="A1491" s="1" t="str">
        <f t="shared" si="23"/>
        <v/>
      </c>
      <c r="B14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2" spans="1:2" x14ac:dyDescent="0.35">
      <c r="A1492" s="1" t="str">
        <f t="shared" si="23"/>
        <v/>
      </c>
      <c r="B14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3" spans="1:2" x14ac:dyDescent="0.35">
      <c r="A1493" s="1" t="str">
        <f t="shared" si="23"/>
        <v/>
      </c>
      <c r="B14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4" spans="1:2" x14ac:dyDescent="0.35">
      <c r="A1494" s="1" t="str">
        <f t="shared" si="23"/>
        <v/>
      </c>
      <c r="B14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5" spans="1:2" x14ac:dyDescent="0.35">
      <c r="A1495" s="1" t="str">
        <f t="shared" si="23"/>
        <v/>
      </c>
      <c r="B14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6" spans="1:2" x14ac:dyDescent="0.35">
      <c r="A1496" s="1" t="str">
        <f t="shared" si="23"/>
        <v/>
      </c>
      <c r="B14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7" spans="1:2" x14ac:dyDescent="0.35">
      <c r="A1497" s="1" t="str">
        <f t="shared" si="23"/>
        <v/>
      </c>
      <c r="B14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8" spans="1:2" x14ac:dyDescent="0.35">
      <c r="A1498" s="1" t="str">
        <f t="shared" si="23"/>
        <v/>
      </c>
      <c r="B14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9" spans="1:2" x14ac:dyDescent="0.35">
      <c r="A1499" s="1" t="str">
        <f t="shared" si="23"/>
        <v/>
      </c>
      <c r="B14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0" spans="1:2" x14ac:dyDescent="0.35">
      <c r="A1500" s="1" t="str">
        <f t="shared" si="23"/>
        <v/>
      </c>
      <c r="B15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1" spans="1:2" x14ac:dyDescent="0.35">
      <c r="A1501" s="1" t="str">
        <f t="shared" si="23"/>
        <v/>
      </c>
      <c r="B15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2" spans="1:2" x14ac:dyDescent="0.35">
      <c r="A1502" s="1" t="str">
        <f t="shared" si="23"/>
        <v/>
      </c>
      <c r="B15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3" spans="1:2" x14ac:dyDescent="0.35">
      <c r="A1503" s="1" t="str">
        <f t="shared" si="23"/>
        <v/>
      </c>
      <c r="B15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4" spans="1:2" x14ac:dyDescent="0.35">
      <c r="A1504" s="1" t="str">
        <f t="shared" si="23"/>
        <v/>
      </c>
      <c r="B15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5" spans="1:2" x14ac:dyDescent="0.35">
      <c r="A1505" s="1" t="str">
        <f t="shared" si="23"/>
        <v/>
      </c>
      <c r="B15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6" spans="1:2" x14ac:dyDescent="0.35">
      <c r="A1506" s="1" t="str">
        <f t="shared" si="23"/>
        <v/>
      </c>
      <c r="B15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7" spans="1:2" x14ac:dyDescent="0.35">
      <c r="A1507" s="1" t="str">
        <f t="shared" si="23"/>
        <v/>
      </c>
      <c r="B15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8" spans="1:2" x14ac:dyDescent="0.35">
      <c r="A1508" s="1" t="str">
        <f t="shared" si="23"/>
        <v/>
      </c>
      <c r="B15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9" spans="1:2" x14ac:dyDescent="0.35">
      <c r="A1509" s="1" t="str">
        <f t="shared" si="23"/>
        <v/>
      </c>
      <c r="B15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0" spans="1:2" x14ac:dyDescent="0.35">
      <c r="A1510" s="1" t="str">
        <f t="shared" si="23"/>
        <v/>
      </c>
      <c r="B15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1" spans="1:2" x14ac:dyDescent="0.35">
      <c r="A1511" s="1" t="str">
        <f t="shared" si="23"/>
        <v/>
      </c>
      <c r="B15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2" spans="1:2" x14ac:dyDescent="0.35">
      <c r="A1512" s="1" t="str">
        <f t="shared" si="23"/>
        <v/>
      </c>
      <c r="B15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3" spans="1:2" x14ac:dyDescent="0.35">
      <c r="A1513" s="1" t="str">
        <f t="shared" si="23"/>
        <v/>
      </c>
      <c r="B15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4" spans="1:2" x14ac:dyDescent="0.35">
      <c r="A1514" s="1" t="str">
        <f t="shared" si="23"/>
        <v/>
      </c>
      <c r="B15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5" spans="1:2" x14ac:dyDescent="0.35">
      <c r="A1515" s="1" t="str">
        <f t="shared" si="23"/>
        <v/>
      </c>
      <c r="B15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6" spans="1:2" x14ac:dyDescent="0.35">
      <c r="A1516" s="1" t="str">
        <f t="shared" si="23"/>
        <v/>
      </c>
      <c r="B15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7" spans="1:2" x14ac:dyDescent="0.35">
      <c r="A1517" s="1" t="str">
        <f t="shared" si="23"/>
        <v/>
      </c>
      <c r="B15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8" spans="1:2" x14ac:dyDescent="0.35">
      <c r="A1518" s="1" t="str">
        <f t="shared" si="23"/>
        <v/>
      </c>
      <c r="B15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9" spans="1:2" x14ac:dyDescent="0.35">
      <c r="A1519" s="1" t="str">
        <f t="shared" si="23"/>
        <v/>
      </c>
      <c r="B15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0" spans="1:2" x14ac:dyDescent="0.35">
      <c r="A1520" s="1" t="str">
        <f t="shared" si="23"/>
        <v/>
      </c>
      <c r="B15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1" spans="1:2" x14ac:dyDescent="0.35">
      <c r="A1521" s="1" t="str">
        <f t="shared" si="23"/>
        <v/>
      </c>
      <c r="B15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2" spans="1:2" x14ac:dyDescent="0.35">
      <c r="A1522" s="1" t="str">
        <f t="shared" si="23"/>
        <v/>
      </c>
      <c r="B15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3" spans="1:2" x14ac:dyDescent="0.35">
      <c r="A1523" s="1" t="str">
        <f t="shared" si="23"/>
        <v/>
      </c>
      <c r="B15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4" spans="1:2" x14ac:dyDescent="0.35">
      <c r="A1524" s="1" t="str">
        <f t="shared" si="23"/>
        <v/>
      </c>
      <c r="B15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5" spans="1:2" x14ac:dyDescent="0.35">
      <c r="A1525" s="1" t="str">
        <f t="shared" si="23"/>
        <v/>
      </c>
      <c r="B15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6" spans="1:2" x14ac:dyDescent="0.35">
      <c r="A1526" s="1" t="str">
        <f t="shared" si="23"/>
        <v/>
      </c>
      <c r="B15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7" spans="1:2" x14ac:dyDescent="0.35">
      <c r="A1527" s="1" t="str">
        <f t="shared" si="23"/>
        <v/>
      </c>
      <c r="B15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8" spans="1:2" x14ac:dyDescent="0.35">
      <c r="A1528" s="1" t="str">
        <f t="shared" si="23"/>
        <v/>
      </c>
      <c r="B15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9" spans="1:2" x14ac:dyDescent="0.35">
      <c r="A1529" s="1" t="str">
        <f t="shared" si="23"/>
        <v/>
      </c>
      <c r="B15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0" spans="1:2" x14ac:dyDescent="0.35">
      <c r="A1530" s="1" t="str">
        <f t="shared" si="23"/>
        <v/>
      </c>
      <c r="B15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1" spans="1:2" x14ac:dyDescent="0.35">
      <c r="A1531" s="1" t="str">
        <f t="shared" si="23"/>
        <v/>
      </c>
      <c r="B15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2" spans="1:2" x14ac:dyDescent="0.35">
      <c r="A1532" s="1" t="str">
        <f t="shared" si="23"/>
        <v/>
      </c>
      <c r="B15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3" spans="1:2" x14ac:dyDescent="0.35">
      <c r="A1533" s="1" t="str">
        <f t="shared" si="23"/>
        <v/>
      </c>
      <c r="B15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4" spans="1:2" x14ac:dyDescent="0.35">
      <c r="A1534" s="1" t="str">
        <f t="shared" si="23"/>
        <v/>
      </c>
      <c r="B15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5" spans="1:2" x14ac:dyDescent="0.35">
      <c r="A1535" s="1" t="str">
        <f t="shared" si="23"/>
        <v/>
      </c>
      <c r="B15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6" spans="1:2" x14ac:dyDescent="0.35">
      <c r="A1536" s="1" t="str">
        <f t="shared" si="23"/>
        <v/>
      </c>
      <c r="B15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7" spans="1:2" x14ac:dyDescent="0.35">
      <c r="A1537" s="1" t="str">
        <f t="shared" si="23"/>
        <v/>
      </c>
      <c r="B15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8" spans="1:2" x14ac:dyDescent="0.35">
      <c r="A1538" s="1" t="str">
        <f t="shared" ref="A1538:A1557" si="24">IFERROR(LEFT(RIGHT(C1538,LEN(C1538)-SEARCH("@",C1538)),SEARCH("/",RIGHT(C1538,LEN(C1538)-SEARCH("@",C1538)-1))),"")</f>
        <v/>
      </c>
      <c r="B15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9" spans="1:2" x14ac:dyDescent="0.35">
      <c r="A1539" s="1" t="str">
        <f t="shared" si="24"/>
        <v/>
      </c>
      <c r="B15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0" spans="1:2" x14ac:dyDescent="0.35">
      <c r="A1540" s="1" t="str">
        <f t="shared" si="24"/>
        <v/>
      </c>
      <c r="B15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1" spans="1:2" x14ac:dyDescent="0.35">
      <c r="A1541" s="1" t="str">
        <f t="shared" si="24"/>
        <v/>
      </c>
      <c r="B15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2" spans="1:2" x14ac:dyDescent="0.35">
      <c r="A1542" s="1" t="str">
        <f t="shared" si="24"/>
        <v/>
      </c>
      <c r="B15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3" spans="1:2" x14ac:dyDescent="0.35">
      <c r="A1543" s="1" t="str">
        <f t="shared" si="24"/>
        <v/>
      </c>
      <c r="B15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4" spans="1:2" x14ac:dyDescent="0.35">
      <c r="A1544" s="1" t="str">
        <f t="shared" si="24"/>
        <v/>
      </c>
      <c r="B15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5" spans="1:2" x14ac:dyDescent="0.35">
      <c r="A1545" s="1" t="str">
        <f t="shared" si="24"/>
        <v/>
      </c>
      <c r="B15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6" spans="1:2" x14ac:dyDescent="0.35">
      <c r="A1546" s="1" t="str">
        <f t="shared" si="24"/>
        <v/>
      </c>
      <c r="B15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7" spans="1:2" x14ac:dyDescent="0.35">
      <c r="A1547" s="1" t="str">
        <f t="shared" si="24"/>
        <v/>
      </c>
      <c r="B15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8" spans="1:2" x14ac:dyDescent="0.35">
      <c r="A1548" s="1" t="str">
        <f t="shared" si="24"/>
        <v/>
      </c>
      <c r="B15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9" spans="1:2" x14ac:dyDescent="0.35">
      <c r="A1549" s="1" t="str">
        <f t="shared" si="24"/>
        <v/>
      </c>
      <c r="B15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0" spans="1:2" x14ac:dyDescent="0.35">
      <c r="A1550" s="1" t="str">
        <f t="shared" si="24"/>
        <v/>
      </c>
      <c r="B15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1" spans="1:2" x14ac:dyDescent="0.35">
      <c r="A1551" s="1" t="str">
        <f t="shared" si="24"/>
        <v/>
      </c>
      <c r="B15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2" spans="1:2" x14ac:dyDescent="0.35">
      <c r="A1552" s="1" t="str">
        <f t="shared" si="24"/>
        <v/>
      </c>
      <c r="B15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3" spans="1:2" x14ac:dyDescent="0.35">
      <c r="A1553" s="1" t="str">
        <f t="shared" si="24"/>
        <v/>
      </c>
      <c r="B15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4" spans="1:2" x14ac:dyDescent="0.35">
      <c r="A1554" s="1" t="str">
        <f t="shared" si="24"/>
        <v/>
      </c>
      <c r="B15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5" spans="1:2" x14ac:dyDescent="0.35">
      <c r="A1555" s="1" t="str">
        <f t="shared" si="24"/>
        <v/>
      </c>
      <c r="B15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6" spans="1:2" x14ac:dyDescent="0.35">
      <c r="A1556" s="1" t="str">
        <f t="shared" si="24"/>
        <v/>
      </c>
      <c r="B15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7" spans="1:2" x14ac:dyDescent="0.35">
      <c r="A1557" s="1" t="str">
        <f t="shared" si="24"/>
        <v/>
      </c>
      <c r="B15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sheetData>
  <conditionalFormatting sqref="M11:XFD11 A1:J2 A1558:XFD1048576 AI18:XFD38 C39:XFD1557 C11:K11 C3:J10 EO1:XFD10 C19:K38 K5 C12:XFD13 C14:J18 M14:XFD17 K1:L4 A3:B1557">
    <cfRule type="containsText" dxfId="32" priority="1" operator="containsText" text="ERREUR">
      <formula>NOT(ISERROR(SEARCH("ERREUR",A1)))</formula>
    </cfRule>
    <cfRule type="containsText" dxfId="31" priority="2" operator="containsText" text="OK">
      <formula>NOT(ISERROR(SEARCH("OK",A1)))</formula>
    </cfRule>
  </conditionalFormatting>
  <pageMargins left="0.7" right="0.7" top="0.75" bottom="0.75" header="0.3" footer="0.3"/>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74"/>
  <sheetViews>
    <sheetView showGridLines="0" zoomScale="60" zoomScaleNormal="60" zoomScaleSheetLayoutView="40" zoomScalePageLayoutView="30" workbookViewId="0">
      <pane xSplit="1" topLeftCell="I1" activePane="topRight" state="frozen"/>
      <selection pane="topRight" activeCell="J17" sqref="J17"/>
    </sheetView>
  </sheetViews>
  <sheetFormatPr baseColWidth="10" defaultColWidth="9.1796875" defaultRowHeight="14.5" x14ac:dyDescent="0.35"/>
  <cols>
    <col min="1" max="1" width="29.54296875" style="1" customWidth="1"/>
    <col min="2" max="2" width="14.81640625" style="1" customWidth="1"/>
    <col min="3" max="5" width="25.81640625" style="1" bestFit="1" customWidth="1"/>
    <col min="6" max="8" width="26.453125" style="1" bestFit="1" customWidth="1"/>
    <col min="9" max="9" width="26.453125" style="1" customWidth="1"/>
    <col min="10" max="10" width="25.81640625" style="1" bestFit="1" customWidth="1"/>
    <col min="11" max="11" width="26.453125" style="1" bestFit="1" customWidth="1"/>
    <col min="12" max="13" width="26.453125" style="1" customWidth="1"/>
    <col min="14" max="14" width="18.26953125" bestFit="1" customWidth="1"/>
    <col min="15" max="15" width="14.81640625" customWidth="1"/>
    <col min="16" max="16" width="17.7265625" customWidth="1"/>
    <col min="17" max="18" width="25.81640625" bestFit="1" customWidth="1"/>
    <col min="19" max="22" width="25.81640625" style="1" customWidth="1"/>
  </cols>
  <sheetData>
    <row r="1" spans="1:22" s="1" customFormat="1" ht="26.5" thickBot="1" x14ac:dyDescent="0.65">
      <c r="A1" s="213" t="s">
        <v>40</v>
      </c>
      <c r="B1" s="214"/>
      <c r="C1" s="214"/>
      <c r="D1" s="214"/>
      <c r="E1" s="214"/>
      <c r="F1" s="214"/>
      <c r="G1" s="214"/>
      <c r="H1" s="214"/>
      <c r="I1" s="214"/>
      <c r="J1" s="214"/>
      <c r="K1" s="214"/>
      <c r="L1" s="214"/>
      <c r="M1" s="214"/>
      <c r="N1" s="214"/>
      <c r="O1" s="214"/>
      <c r="P1" s="214"/>
      <c r="Q1" s="214"/>
      <c r="R1" s="214"/>
      <c r="S1" s="214"/>
      <c r="T1" s="214"/>
      <c r="U1" s="214"/>
      <c r="V1" s="214"/>
    </row>
    <row r="2" spans="1:22" ht="15" thickBot="1" x14ac:dyDescent="0.4">
      <c r="A2"/>
      <c r="B2"/>
      <c r="C2"/>
      <c r="D2"/>
      <c r="E2"/>
      <c r="F2"/>
      <c r="G2"/>
      <c r="H2"/>
      <c r="I2"/>
      <c r="J2"/>
      <c r="K2"/>
      <c r="L2"/>
      <c r="M2"/>
      <c r="S2"/>
      <c r="T2"/>
      <c r="U2"/>
      <c r="V2"/>
    </row>
    <row r="3" spans="1:22" ht="15" thickBot="1" x14ac:dyDescent="0.4">
      <c r="A3" s="51" t="s">
        <v>17</v>
      </c>
      <c r="B3" s="221" t="s">
        <v>6</v>
      </c>
      <c r="C3" s="222"/>
      <c r="D3" s="222"/>
      <c r="E3" s="222"/>
      <c r="F3" s="222"/>
      <c r="G3" s="222"/>
      <c r="H3" s="222"/>
      <c r="I3" s="222"/>
      <c r="J3" s="222"/>
      <c r="K3" s="222"/>
      <c r="L3" s="222"/>
      <c r="M3" s="222"/>
      <c r="O3" s="221" t="s">
        <v>3</v>
      </c>
      <c r="P3" s="222"/>
      <c r="Q3" s="222"/>
      <c r="R3" s="222"/>
      <c r="S3" s="222"/>
      <c r="T3" s="222"/>
      <c r="U3" s="222"/>
      <c r="V3" s="222"/>
    </row>
    <row r="4" spans="1:22" x14ac:dyDescent="0.35">
      <c r="A4" s="34" t="s">
        <v>41</v>
      </c>
      <c r="B4" s="35" t="str">
        <f>'Page de garde'!A7</f>
        <v>Témoin solvant</v>
      </c>
      <c r="C4" s="35" t="str">
        <f>'Page de garde'!A9</f>
        <v>EE2-33,8ng/L</v>
      </c>
      <c r="D4" s="35" t="str">
        <f>'Page de garde'!A10</f>
        <v>EE2-50,6ng/L</v>
      </c>
      <c r="E4" s="35" t="str">
        <f>'Page de garde'!A11</f>
        <v>EE2-76ng/L</v>
      </c>
      <c r="F4" s="35" t="str">
        <f>'Page de garde'!A12</f>
        <v>EE2-114ng/L</v>
      </c>
      <c r="G4" s="35" t="str">
        <f>'Page de garde'!A13</f>
        <v>EE2-170,9ng/L</v>
      </c>
      <c r="H4" s="35" t="str">
        <f>'Page de garde'!A14</f>
        <v>EE2-488ng/L</v>
      </c>
      <c r="I4" s="35" t="str">
        <f>'Page de garde'!A15</f>
        <v>Dutasteride-0,01mg/L</v>
      </c>
      <c r="J4" s="35" t="str">
        <f>'Page de garde'!A16</f>
        <v>Dutasteride-0,1mg/L</v>
      </c>
      <c r="K4" s="35" t="str">
        <f>'Page de garde'!A17</f>
        <v>Dutasteride-0,25mg/L</v>
      </c>
      <c r="L4" s="35" t="str">
        <f>'Page de garde'!A18</f>
        <v>Dutasteride-0,5mg/L</v>
      </c>
      <c r="M4" s="35" t="str">
        <f>'Page de garde'!A19</f>
        <v>Dutasteride-1mg/L</v>
      </c>
      <c r="N4" s="3"/>
      <c r="O4" s="36" t="str">
        <f>'Page de garde'!A36</f>
        <v>Testo -30µg/L</v>
      </c>
      <c r="P4" s="36" t="str">
        <f>'Page de garde'!A37</f>
        <v>Testo 30µg/L + EE2 -64ng/L</v>
      </c>
      <c r="Q4" s="36" t="str">
        <f>'Page de garde'!A38</f>
        <v>Testo 30µg/L + FAD-10µg/L</v>
      </c>
      <c r="R4" s="36" t="str">
        <f>'Page de garde'!A39</f>
        <v>Dutasteride-0,01mg/L + Testostérone</v>
      </c>
      <c r="S4" s="36" t="str">
        <f>'Page de garde'!A40</f>
        <v>Dutasteride-0,1mg/L + Testostérone</v>
      </c>
      <c r="T4" s="36" t="str">
        <f>'Page de garde'!A41</f>
        <v>Dutasteride-0,25mg/L + Testostérone</v>
      </c>
      <c r="U4" s="36" t="str">
        <f>'Page de garde'!A42</f>
        <v>Dutasteride-0,5mg/L + Testostérone</v>
      </c>
      <c r="V4" s="36" t="str">
        <f>'Page de garde'!A43</f>
        <v>Dutasteride-1mg/L + Testostérone</v>
      </c>
    </row>
    <row r="5" spans="1:22" x14ac:dyDescent="0.35">
      <c r="A5" s="217" t="s">
        <v>33</v>
      </c>
      <c r="B5" s="1">
        <v>281422</v>
      </c>
      <c r="C5" s="1">
        <v>754823</v>
      </c>
      <c r="D5" s="1">
        <v>2632700</v>
      </c>
      <c r="E5" s="1">
        <v>1940236</v>
      </c>
      <c r="F5" s="1">
        <v>5470229</v>
      </c>
      <c r="G5" s="1">
        <v>4631692</v>
      </c>
      <c r="H5" s="1">
        <v>7835846</v>
      </c>
      <c r="I5" s="1">
        <v>505778</v>
      </c>
      <c r="J5" s="1">
        <v>120237</v>
      </c>
      <c r="K5" s="1">
        <v>15868</v>
      </c>
      <c r="L5" s="1">
        <v>676954</v>
      </c>
      <c r="M5" s="1">
        <v>665765</v>
      </c>
      <c r="N5" s="3"/>
      <c r="O5" s="1">
        <v>1400262</v>
      </c>
      <c r="P5" s="1">
        <v>5131008</v>
      </c>
      <c r="Q5" s="1">
        <v>135029</v>
      </c>
      <c r="R5" s="1">
        <v>387475</v>
      </c>
      <c r="S5" s="1">
        <v>473565</v>
      </c>
      <c r="T5" s="1">
        <v>3402280</v>
      </c>
      <c r="U5" s="1">
        <v>3255905</v>
      </c>
      <c r="V5" s="1">
        <v>825200</v>
      </c>
    </row>
    <row r="6" spans="1:22" x14ac:dyDescent="0.35">
      <c r="A6" s="218"/>
      <c r="B6" s="1">
        <v>554830</v>
      </c>
      <c r="C6" s="1">
        <v>238123</v>
      </c>
      <c r="D6" s="1">
        <v>867823</v>
      </c>
      <c r="E6" s="1">
        <v>4282068</v>
      </c>
      <c r="F6" s="1">
        <v>3543125</v>
      </c>
      <c r="G6" s="1">
        <v>4757362</v>
      </c>
      <c r="H6" s="1">
        <v>9864183</v>
      </c>
      <c r="I6" s="1">
        <v>116559</v>
      </c>
      <c r="J6" s="1">
        <v>53364</v>
      </c>
      <c r="K6" s="1">
        <v>149954</v>
      </c>
      <c r="L6" s="1">
        <v>284478</v>
      </c>
      <c r="M6" s="1">
        <v>270050</v>
      </c>
      <c r="N6" s="3"/>
      <c r="O6" s="1">
        <v>1405185</v>
      </c>
      <c r="P6" s="1">
        <v>10843677</v>
      </c>
      <c r="Q6" s="1">
        <v>147996</v>
      </c>
      <c r="R6" s="1">
        <v>3258882</v>
      </c>
      <c r="S6" s="1">
        <v>3800495</v>
      </c>
      <c r="T6" s="1">
        <v>455635</v>
      </c>
      <c r="U6" s="1">
        <v>1471209</v>
      </c>
      <c r="V6" s="1">
        <v>1499500</v>
      </c>
    </row>
    <row r="7" spans="1:22" x14ac:dyDescent="0.35">
      <c r="A7" s="218"/>
      <c r="B7" s="1">
        <v>837873</v>
      </c>
      <c r="C7" s="1">
        <v>468218</v>
      </c>
      <c r="D7" s="1">
        <v>1342792</v>
      </c>
      <c r="E7" s="1">
        <v>1443277</v>
      </c>
      <c r="F7" s="1">
        <v>3187311</v>
      </c>
      <c r="G7" s="1">
        <v>7745067</v>
      </c>
      <c r="H7" s="1">
        <v>8698460</v>
      </c>
      <c r="I7" s="1">
        <v>288760</v>
      </c>
      <c r="J7" s="1">
        <v>383108</v>
      </c>
      <c r="K7" s="1">
        <v>429474</v>
      </c>
      <c r="L7" s="1">
        <v>1396337</v>
      </c>
      <c r="M7" s="1">
        <v>135160</v>
      </c>
      <c r="N7" s="3"/>
      <c r="O7" s="1">
        <v>669449</v>
      </c>
      <c r="P7" s="1">
        <v>7175321</v>
      </c>
      <c r="Q7" s="1">
        <v>66182</v>
      </c>
      <c r="R7" s="1">
        <v>1023816</v>
      </c>
      <c r="S7" s="1">
        <v>1666617</v>
      </c>
      <c r="T7" s="1">
        <v>1452784</v>
      </c>
      <c r="U7" s="1">
        <v>1906411</v>
      </c>
      <c r="V7" s="1">
        <v>1711690</v>
      </c>
    </row>
    <row r="8" spans="1:22" x14ac:dyDescent="0.35">
      <c r="A8" s="218"/>
      <c r="B8" s="1">
        <v>503660</v>
      </c>
      <c r="C8" s="1">
        <v>1184084</v>
      </c>
      <c r="D8" s="1">
        <v>597224</v>
      </c>
      <c r="E8" s="1">
        <v>8073922</v>
      </c>
      <c r="F8" s="1">
        <v>12542055</v>
      </c>
      <c r="G8" s="1">
        <v>9453305</v>
      </c>
      <c r="H8" s="1">
        <v>8109453</v>
      </c>
      <c r="I8" s="1">
        <v>65738</v>
      </c>
      <c r="J8" s="1">
        <v>183809</v>
      </c>
      <c r="K8" s="1">
        <v>199209</v>
      </c>
      <c r="L8" s="1">
        <v>587231</v>
      </c>
      <c r="M8" s="1">
        <v>757845</v>
      </c>
      <c r="N8" s="3"/>
      <c r="O8" s="1">
        <v>893928</v>
      </c>
      <c r="P8" s="1">
        <v>11057981</v>
      </c>
      <c r="Q8" s="1">
        <v>155669</v>
      </c>
      <c r="R8" s="1">
        <v>1206740</v>
      </c>
      <c r="S8" s="1">
        <v>5909193</v>
      </c>
      <c r="T8" s="1">
        <v>2740632</v>
      </c>
      <c r="U8" s="1">
        <v>4583970</v>
      </c>
      <c r="V8" s="1">
        <v>3888135</v>
      </c>
    </row>
    <row r="9" spans="1:22" x14ac:dyDescent="0.35">
      <c r="A9" s="218"/>
      <c r="B9" s="1">
        <v>903597</v>
      </c>
      <c r="C9" s="1">
        <v>447625</v>
      </c>
      <c r="D9" s="1">
        <v>2362644</v>
      </c>
      <c r="E9" s="1">
        <v>5803145</v>
      </c>
      <c r="F9" s="1">
        <v>3662259</v>
      </c>
      <c r="G9" s="1">
        <v>3383840</v>
      </c>
      <c r="H9" s="1">
        <v>10319829</v>
      </c>
      <c r="I9" s="1">
        <v>324696</v>
      </c>
      <c r="J9" s="1">
        <v>281706</v>
      </c>
      <c r="K9" s="1">
        <v>669631</v>
      </c>
      <c r="L9" s="1">
        <v>559078</v>
      </c>
      <c r="M9" s="1">
        <v>749969</v>
      </c>
      <c r="N9" s="3"/>
      <c r="O9" s="1">
        <v>1640790</v>
      </c>
      <c r="P9" s="1">
        <v>7395547</v>
      </c>
      <c r="Q9" s="1">
        <v>67380</v>
      </c>
      <c r="R9" s="1">
        <v>3482765</v>
      </c>
      <c r="S9" s="1">
        <v>1824993</v>
      </c>
      <c r="T9" s="1">
        <v>963550</v>
      </c>
      <c r="U9" s="1">
        <v>1316463</v>
      </c>
      <c r="V9" s="1">
        <v>6165292</v>
      </c>
    </row>
    <row r="10" spans="1:22" x14ac:dyDescent="0.35">
      <c r="A10" s="218"/>
      <c r="B10" s="1">
        <v>361579</v>
      </c>
      <c r="C10" s="1">
        <v>260363</v>
      </c>
      <c r="D10" s="1">
        <v>855167</v>
      </c>
      <c r="E10" s="1">
        <v>613425</v>
      </c>
      <c r="F10" s="1">
        <v>4288152</v>
      </c>
      <c r="G10" s="1">
        <v>6787909</v>
      </c>
      <c r="H10" s="1">
        <v>10812414</v>
      </c>
      <c r="I10" s="1">
        <v>315536</v>
      </c>
      <c r="J10" s="1">
        <v>212341</v>
      </c>
      <c r="K10" s="1">
        <v>228622</v>
      </c>
      <c r="L10" s="1">
        <v>87524</v>
      </c>
      <c r="M10" s="1">
        <v>196503</v>
      </c>
      <c r="N10" s="3"/>
      <c r="O10" s="1">
        <v>388890</v>
      </c>
      <c r="P10" s="1">
        <v>7958300</v>
      </c>
      <c r="Q10" s="1">
        <v>585074</v>
      </c>
      <c r="R10" s="1">
        <v>917045</v>
      </c>
      <c r="S10" s="1">
        <v>2981260</v>
      </c>
      <c r="T10" s="1">
        <v>463041</v>
      </c>
      <c r="U10" s="1">
        <v>58486</v>
      </c>
      <c r="V10" s="1">
        <v>4440536</v>
      </c>
    </row>
    <row r="11" spans="1:22" x14ac:dyDescent="0.35">
      <c r="A11" s="218"/>
      <c r="B11" s="1">
        <v>349457</v>
      </c>
      <c r="C11" s="1">
        <v>737671</v>
      </c>
      <c r="D11" s="1">
        <v>977300</v>
      </c>
      <c r="E11" s="1">
        <v>1956191</v>
      </c>
      <c r="F11" s="1">
        <v>4719371</v>
      </c>
      <c r="G11" s="1">
        <v>7617891</v>
      </c>
      <c r="H11" s="1">
        <v>16091245</v>
      </c>
      <c r="I11" s="1">
        <v>340367</v>
      </c>
      <c r="J11" s="1">
        <v>104998</v>
      </c>
      <c r="K11" s="1">
        <v>508907</v>
      </c>
      <c r="L11" s="1">
        <v>20419</v>
      </c>
      <c r="M11" s="1">
        <v>372472</v>
      </c>
      <c r="N11" s="3"/>
      <c r="O11" s="1">
        <v>443683</v>
      </c>
      <c r="P11" s="1">
        <v>3009259</v>
      </c>
      <c r="Q11" s="1">
        <v>342434</v>
      </c>
      <c r="R11" s="1">
        <v>326163</v>
      </c>
      <c r="S11" s="1">
        <v>276493</v>
      </c>
      <c r="T11" s="1">
        <v>1600682</v>
      </c>
      <c r="U11" s="1">
        <v>8811953</v>
      </c>
      <c r="V11" s="1">
        <v>2542185</v>
      </c>
    </row>
    <row r="12" spans="1:22" x14ac:dyDescent="0.35">
      <c r="A12" s="218"/>
      <c r="B12" s="1">
        <v>429076</v>
      </c>
      <c r="C12" s="13"/>
      <c r="D12" s="1">
        <v>73456</v>
      </c>
      <c r="E12" s="32"/>
      <c r="F12" s="1">
        <v>3451055</v>
      </c>
      <c r="G12" s="32"/>
      <c r="H12" s="1">
        <v>18387729</v>
      </c>
      <c r="I12" s="1">
        <v>553597</v>
      </c>
      <c r="J12" s="1">
        <v>160897</v>
      </c>
      <c r="K12" s="1">
        <v>131247</v>
      </c>
      <c r="L12" s="1">
        <v>200681</v>
      </c>
      <c r="M12" s="1">
        <v>87150</v>
      </c>
      <c r="N12" s="3"/>
      <c r="O12" s="1">
        <v>1291140</v>
      </c>
      <c r="P12" s="1">
        <v>6677779</v>
      </c>
      <c r="Q12" s="1">
        <v>808073</v>
      </c>
      <c r="R12" s="1">
        <v>5537593</v>
      </c>
      <c r="S12" s="1">
        <v>4079938</v>
      </c>
      <c r="T12" s="1">
        <v>205050</v>
      </c>
      <c r="U12" s="1">
        <v>3420294</v>
      </c>
      <c r="V12" s="1">
        <v>2310977</v>
      </c>
    </row>
    <row r="13" spans="1:22" ht="16.5" x14ac:dyDescent="0.35">
      <c r="A13" s="218"/>
      <c r="B13" s="14"/>
      <c r="C13" s="13"/>
      <c r="D13" s="16"/>
      <c r="E13" s="16"/>
      <c r="F13" s="16"/>
      <c r="G13" s="16"/>
      <c r="H13" s="16"/>
      <c r="I13" s="32"/>
      <c r="J13" s="16"/>
      <c r="K13" s="13"/>
      <c r="L13" s="13"/>
      <c r="M13" s="13"/>
      <c r="N13" s="3"/>
      <c r="O13" s="1">
        <v>2401982</v>
      </c>
      <c r="P13" s="13"/>
      <c r="Q13" s="13"/>
      <c r="R13" s="4"/>
      <c r="S13" s="32"/>
      <c r="T13" s="32"/>
      <c r="U13" s="32"/>
      <c r="V13" s="32"/>
    </row>
    <row r="14" spans="1:22" ht="16.5" x14ac:dyDescent="0.35">
      <c r="A14" s="218"/>
      <c r="B14" s="14"/>
      <c r="C14" s="16"/>
      <c r="D14" s="16"/>
      <c r="E14" s="16"/>
      <c r="F14" s="16"/>
      <c r="G14" s="16"/>
      <c r="H14" s="16"/>
      <c r="I14" s="32"/>
      <c r="J14" s="16"/>
      <c r="K14" s="13"/>
      <c r="L14" s="13"/>
      <c r="M14" s="13"/>
      <c r="N14" s="3"/>
      <c r="O14" s="1">
        <v>1475243</v>
      </c>
      <c r="P14" s="13"/>
      <c r="Q14" s="13"/>
      <c r="R14" s="4"/>
      <c r="S14" s="32"/>
      <c r="T14" s="32"/>
      <c r="U14" s="32"/>
      <c r="V14" s="32"/>
    </row>
    <row r="15" spans="1:22" ht="16.5" x14ac:dyDescent="0.35">
      <c r="A15" s="218"/>
      <c r="B15" s="14"/>
      <c r="C15" s="16"/>
      <c r="D15" s="16"/>
      <c r="E15" s="16"/>
      <c r="F15" s="16"/>
      <c r="G15" s="16"/>
      <c r="H15" s="16"/>
      <c r="I15" s="32"/>
      <c r="J15" s="16"/>
      <c r="K15" s="13"/>
      <c r="L15" s="13"/>
      <c r="M15" s="13"/>
      <c r="N15" s="3"/>
      <c r="O15" s="1">
        <v>3085813</v>
      </c>
      <c r="P15" s="13"/>
      <c r="Q15" s="13"/>
      <c r="R15" s="4"/>
      <c r="S15" s="32"/>
      <c r="T15" s="32"/>
      <c r="U15" s="32"/>
      <c r="V15" s="32"/>
    </row>
    <row r="16" spans="1:22" ht="16.5" x14ac:dyDescent="0.35">
      <c r="A16" s="218"/>
      <c r="B16" s="14"/>
      <c r="C16" s="16"/>
      <c r="D16" s="16"/>
      <c r="E16" s="16"/>
      <c r="F16" s="16"/>
      <c r="G16" s="16"/>
      <c r="H16" s="16"/>
      <c r="I16" s="32"/>
      <c r="J16" s="16"/>
      <c r="K16" s="13"/>
      <c r="L16" s="13"/>
      <c r="M16" s="13"/>
      <c r="N16" s="3"/>
      <c r="O16" s="1">
        <v>2010706</v>
      </c>
      <c r="P16" s="13"/>
      <c r="Q16" s="13"/>
      <c r="R16" s="4"/>
      <c r="S16" s="32"/>
      <c r="T16" s="32"/>
      <c r="U16" s="32"/>
      <c r="V16" s="32"/>
    </row>
    <row r="17" spans="1:22" s="1" customFormat="1" ht="16.5" x14ac:dyDescent="0.35">
      <c r="A17" s="218"/>
      <c r="B17" s="14"/>
      <c r="C17" s="32"/>
      <c r="D17" s="32"/>
      <c r="E17" s="32"/>
      <c r="F17" s="32"/>
      <c r="G17" s="32"/>
      <c r="H17" s="32"/>
      <c r="I17" s="32"/>
      <c r="J17" s="32"/>
      <c r="K17" s="13"/>
      <c r="L17" s="13"/>
      <c r="M17" s="13"/>
      <c r="N17" s="3"/>
      <c r="O17" s="1">
        <v>848614</v>
      </c>
      <c r="P17" s="13"/>
      <c r="Q17" s="13"/>
      <c r="R17" s="32"/>
      <c r="S17" s="32"/>
      <c r="T17" s="32"/>
      <c r="U17" s="32"/>
      <c r="V17" s="32"/>
    </row>
    <row r="18" spans="1:22" s="1" customFormat="1" ht="16.5" x14ac:dyDescent="0.35">
      <c r="A18" s="218"/>
      <c r="B18" s="14"/>
      <c r="C18" s="32"/>
      <c r="D18" s="32"/>
      <c r="E18" s="32"/>
      <c r="F18" s="32"/>
      <c r="G18" s="32"/>
      <c r="H18" s="32"/>
      <c r="I18" s="32"/>
      <c r="J18" s="32"/>
      <c r="K18" s="13"/>
      <c r="L18" s="13"/>
      <c r="M18" s="13"/>
      <c r="N18" s="3"/>
      <c r="O18" s="1">
        <v>766307</v>
      </c>
      <c r="P18" s="13"/>
      <c r="Q18" s="13"/>
      <c r="R18" s="32"/>
      <c r="S18" s="32"/>
      <c r="T18" s="32"/>
      <c r="U18" s="32"/>
      <c r="V18" s="32"/>
    </row>
    <row r="19" spans="1:22" s="1" customFormat="1" ht="16.5" x14ac:dyDescent="0.35">
      <c r="A19" s="218"/>
      <c r="B19" s="14"/>
      <c r="C19" s="32"/>
      <c r="D19" s="32"/>
      <c r="E19" s="32"/>
      <c r="F19" s="32"/>
      <c r="G19" s="32"/>
      <c r="H19" s="32"/>
      <c r="I19" s="32"/>
      <c r="J19" s="32"/>
      <c r="K19" s="13"/>
      <c r="L19" s="13"/>
      <c r="M19" s="13"/>
      <c r="N19" s="3"/>
      <c r="O19" s="1">
        <v>368639</v>
      </c>
      <c r="P19" s="13"/>
      <c r="Q19" s="13"/>
      <c r="R19" s="32"/>
      <c r="S19" s="32"/>
      <c r="T19" s="32"/>
      <c r="U19" s="32"/>
      <c r="V19" s="32"/>
    </row>
    <row r="20" spans="1:22" ht="16.5" x14ac:dyDescent="0.35">
      <c r="A20" s="218"/>
      <c r="B20" s="14"/>
      <c r="C20" s="16"/>
      <c r="D20" s="16"/>
      <c r="E20" s="16"/>
      <c r="F20" s="16"/>
      <c r="G20" s="16"/>
      <c r="H20" s="16"/>
      <c r="I20" s="32"/>
      <c r="J20" s="16"/>
      <c r="K20" s="13"/>
      <c r="L20" s="13"/>
      <c r="M20" s="13"/>
      <c r="N20" s="3"/>
      <c r="O20" s="1">
        <v>352386</v>
      </c>
      <c r="P20" s="13"/>
      <c r="Q20" s="13"/>
      <c r="R20" s="4"/>
      <c r="S20" s="32"/>
      <c r="T20" s="32"/>
      <c r="U20" s="32"/>
      <c r="V20" s="32"/>
    </row>
    <row r="21" spans="1:22" s="1" customFormat="1" ht="16.5" x14ac:dyDescent="0.35">
      <c r="A21" s="66"/>
      <c r="B21" s="67"/>
      <c r="C21" s="7"/>
      <c r="D21" s="7"/>
      <c r="E21" s="7"/>
      <c r="F21" s="7"/>
      <c r="G21" s="7"/>
      <c r="H21" s="7"/>
      <c r="I21" s="7"/>
      <c r="J21" s="7"/>
      <c r="K21" s="33"/>
      <c r="L21" s="33"/>
      <c r="M21" s="33"/>
      <c r="N21" s="3"/>
      <c r="O21" s="7"/>
      <c r="P21" s="33"/>
      <c r="Q21" s="33"/>
      <c r="R21" s="7"/>
      <c r="S21" s="7"/>
      <c r="T21" s="7"/>
      <c r="U21" s="7"/>
      <c r="V21" s="7"/>
    </row>
    <row r="22" spans="1:22" s="69" customFormat="1" x14ac:dyDescent="0.35">
      <c r="A22" s="68" t="str">
        <f t="shared" ref="A22:M22" si="0">A4</f>
        <v>Noms des groupes</v>
      </c>
      <c r="B22" s="68" t="str">
        <f t="shared" si="0"/>
        <v>Témoin solvant</v>
      </c>
      <c r="C22" s="68" t="str">
        <f t="shared" si="0"/>
        <v>EE2-33,8ng/L</v>
      </c>
      <c r="D22" s="68" t="str">
        <f t="shared" si="0"/>
        <v>EE2-50,6ng/L</v>
      </c>
      <c r="E22" s="68" t="str">
        <f t="shared" si="0"/>
        <v>EE2-76ng/L</v>
      </c>
      <c r="F22" s="68" t="str">
        <f t="shared" si="0"/>
        <v>EE2-114ng/L</v>
      </c>
      <c r="G22" s="68" t="str">
        <f t="shared" si="0"/>
        <v>EE2-170,9ng/L</v>
      </c>
      <c r="H22" s="68" t="str">
        <f t="shared" si="0"/>
        <v>EE2-488ng/L</v>
      </c>
      <c r="I22" s="68" t="str">
        <f t="shared" si="0"/>
        <v>Dutasteride-0,01mg/L</v>
      </c>
      <c r="J22" s="68" t="str">
        <f t="shared" si="0"/>
        <v>Dutasteride-0,1mg/L</v>
      </c>
      <c r="K22" s="68" t="str">
        <f t="shared" si="0"/>
        <v>Dutasteride-0,25mg/L</v>
      </c>
      <c r="L22" s="68" t="str">
        <f t="shared" si="0"/>
        <v>Dutasteride-0,5mg/L</v>
      </c>
      <c r="M22" s="68" t="str">
        <f t="shared" si="0"/>
        <v>Dutasteride-1mg/L</v>
      </c>
      <c r="N22" s="68" t="s">
        <v>47</v>
      </c>
      <c r="O22" s="68" t="str">
        <f t="shared" ref="O22:V22" si="1">O4</f>
        <v>Testo -30µg/L</v>
      </c>
      <c r="P22" s="68" t="str">
        <f t="shared" si="1"/>
        <v>Testo 30µg/L + EE2 -64ng/L</v>
      </c>
      <c r="Q22" s="68" t="str">
        <f t="shared" si="1"/>
        <v>Testo 30µg/L + FAD-10µg/L</v>
      </c>
      <c r="R22" s="68" t="str">
        <f t="shared" si="1"/>
        <v>Dutasteride-0,01mg/L + Testostérone</v>
      </c>
      <c r="S22" s="68" t="str">
        <f t="shared" si="1"/>
        <v>Dutasteride-0,1mg/L + Testostérone</v>
      </c>
      <c r="T22" s="68" t="str">
        <f t="shared" si="1"/>
        <v>Dutasteride-0,25mg/L + Testostérone</v>
      </c>
      <c r="U22" s="68" t="str">
        <f t="shared" si="1"/>
        <v>Dutasteride-0,5mg/L + Testostérone</v>
      </c>
      <c r="V22" s="68" t="str">
        <f t="shared" si="1"/>
        <v>Dutasteride-1mg/L + Testostérone</v>
      </c>
    </row>
    <row r="23" spans="1:22" x14ac:dyDescent="0.35">
      <c r="A23" s="5" t="s">
        <v>0</v>
      </c>
      <c r="B23" s="5">
        <f t="shared" ref="B23:M23" si="2">AVERAGE(B5:B20)</f>
        <v>527686.75</v>
      </c>
      <c r="C23" s="5">
        <f t="shared" si="2"/>
        <v>584415.28571428568</v>
      </c>
      <c r="D23" s="5">
        <f t="shared" si="2"/>
        <v>1213638.25</v>
      </c>
      <c r="E23" s="5">
        <f t="shared" si="2"/>
        <v>3444609.1428571427</v>
      </c>
      <c r="F23" s="5">
        <f t="shared" si="2"/>
        <v>5107944.625</v>
      </c>
      <c r="G23" s="5">
        <f t="shared" si="2"/>
        <v>6339580.8571428573</v>
      </c>
      <c r="H23" s="5">
        <f t="shared" si="2"/>
        <v>11264894.875</v>
      </c>
      <c r="I23" s="5">
        <f t="shared" si="2"/>
        <v>313878.875</v>
      </c>
      <c r="J23" s="5">
        <f t="shared" si="2"/>
        <v>187557.5</v>
      </c>
      <c r="K23" s="5">
        <f t="shared" si="2"/>
        <v>291614</v>
      </c>
      <c r="L23" s="5">
        <f t="shared" si="2"/>
        <v>476587.75</v>
      </c>
      <c r="M23" s="5">
        <f t="shared" si="2"/>
        <v>404364.25</v>
      </c>
      <c r="N23" s="5" t="s">
        <v>0</v>
      </c>
      <c r="O23" s="5">
        <f t="shared" ref="O23:V23" si="3">AVERAGE(O5:O20)</f>
        <v>1215188.5625</v>
      </c>
      <c r="P23" s="5">
        <f t="shared" si="3"/>
        <v>7406109</v>
      </c>
      <c r="Q23" s="5">
        <f t="shared" si="3"/>
        <v>288479.625</v>
      </c>
      <c r="R23" s="5">
        <f t="shared" si="3"/>
        <v>2017559.875</v>
      </c>
      <c r="S23" s="5">
        <f t="shared" si="3"/>
        <v>2626569.25</v>
      </c>
      <c r="T23" s="5">
        <f t="shared" si="3"/>
        <v>1410456.75</v>
      </c>
      <c r="U23" s="5">
        <f t="shared" si="3"/>
        <v>3103086.375</v>
      </c>
      <c r="V23" s="5">
        <f t="shared" si="3"/>
        <v>2922939.375</v>
      </c>
    </row>
    <row r="24" spans="1:22" x14ac:dyDescent="0.35">
      <c r="A24" s="3" t="s">
        <v>1</v>
      </c>
      <c r="B24" s="3">
        <f t="shared" ref="B24:M24" si="4">STDEV(B5:B20)</f>
        <v>229460.89053116905</v>
      </c>
      <c r="C24" s="3">
        <f t="shared" si="4"/>
        <v>333983.60549519712</v>
      </c>
      <c r="D24" s="3">
        <f t="shared" si="4"/>
        <v>872971.8403595764</v>
      </c>
      <c r="E24" s="3">
        <f t="shared" si="4"/>
        <v>2713977.0133477198</v>
      </c>
      <c r="F24" s="3">
        <f t="shared" si="4"/>
        <v>3098227.1562513174</v>
      </c>
      <c r="G24" s="3">
        <f t="shared" si="4"/>
        <v>2147186.1103709214</v>
      </c>
      <c r="H24" s="3">
        <f t="shared" si="4"/>
        <v>3880170.8594505931</v>
      </c>
      <c r="I24" s="3">
        <f t="shared" si="4"/>
        <v>167439.29196188221</v>
      </c>
      <c r="J24" s="3">
        <f t="shared" si="4"/>
        <v>105423.64175757054</v>
      </c>
      <c r="K24" s="3">
        <f t="shared" si="4"/>
        <v>221503.35135549144</v>
      </c>
      <c r="L24" s="3">
        <f t="shared" si="4"/>
        <v>443625.1809018671</v>
      </c>
      <c r="M24" s="3">
        <f t="shared" si="4"/>
        <v>279816.56674622191</v>
      </c>
      <c r="N24" s="3" t="s">
        <v>1</v>
      </c>
      <c r="O24" s="3">
        <f t="shared" ref="O24:V24" si="5">STDEV(O5:O20)</f>
        <v>789152.41191166348</v>
      </c>
      <c r="P24" s="3">
        <f t="shared" si="5"/>
        <v>2687276.1431786013</v>
      </c>
      <c r="Q24" s="3">
        <f t="shared" si="5"/>
        <v>272574.82767696102</v>
      </c>
      <c r="R24" s="3">
        <f t="shared" si="5"/>
        <v>1869011.5307598475</v>
      </c>
      <c r="S24" s="3">
        <f t="shared" si="5"/>
        <v>1931473.3491880344</v>
      </c>
      <c r="T24" s="3">
        <f t="shared" si="5"/>
        <v>1148708.3149934416</v>
      </c>
      <c r="U24" s="3">
        <f t="shared" si="5"/>
        <v>2711478.745472711</v>
      </c>
      <c r="V24" s="3">
        <f t="shared" si="5"/>
        <v>1779279.1351811101</v>
      </c>
    </row>
    <row r="25" spans="1:22" ht="15" thickBot="1" x14ac:dyDescent="0.4"/>
    <row r="26" spans="1:22" ht="15" thickBot="1" x14ac:dyDescent="0.4">
      <c r="B26" s="221" t="s">
        <v>6</v>
      </c>
      <c r="C26" s="222"/>
      <c r="D26" s="222"/>
      <c r="E26" s="222"/>
      <c r="F26" s="222"/>
      <c r="G26" s="222"/>
      <c r="H26" s="222"/>
      <c r="I26" s="222"/>
      <c r="J26" s="222"/>
      <c r="K26" s="222"/>
      <c r="L26" s="222"/>
      <c r="M26" s="222"/>
      <c r="N26" s="1"/>
      <c r="O26" s="221" t="s">
        <v>3</v>
      </c>
      <c r="P26" s="222"/>
      <c r="Q26" s="222"/>
      <c r="R26" s="222"/>
      <c r="S26" s="222"/>
      <c r="T26" s="222"/>
      <c r="U26" s="222"/>
      <c r="V26" s="222"/>
    </row>
    <row r="27" spans="1:22" s="1" customFormat="1" x14ac:dyDescent="0.35">
      <c r="A27" s="34" t="s">
        <v>41</v>
      </c>
      <c r="B27" s="35" t="str">
        <f t="shared" ref="B27:M27" si="6">B4</f>
        <v>Témoin solvant</v>
      </c>
      <c r="C27" s="35" t="str">
        <f t="shared" si="6"/>
        <v>EE2-33,8ng/L</v>
      </c>
      <c r="D27" s="35" t="str">
        <f t="shared" si="6"/>
        <v>EE2-50,6ng/L</v>
      </c>
      <c r="E27" s="35" t="str">
        <f t="shared" si="6"/>
        <v>EE2-76ng/L</v>
      </c>
      <c r="F27" s="35" t="str">
        <f t="shared" si="6"/>
        <v>EE2-114ng/L</v>
      </c>
      <c r="G27" s="35" t="str">
        <f t="shared" si="6"/>
        <v>EE2-170,9ng/L</v>
      </c>
      <c r="H27" s="35" t="str">
        <f t="shared" si="6"/>
        <v>EE2-488ng/L</v>
      </c>
      <c r="I27" s="35" t="str">
        <f t="shared" si="6"/>
        <v>Dutasteride-0,01mg/L</v>
      </c>
      <c r="J27" s="35" t="str">
        <f t="shared" si="6"/>
        <v>Dutasteride-0,1mg/L</v>
      </c>
      <c r="K27" s="35" t="str">
        <f t="shared" si="6"/>
        <v>Dutasteride-0,25mg/L</v>
      </c>
      <c r="L27" s="35" t="str">
        <f t="shared" si="6"/>
        <v>Dutasteride-0,5mg/L</v>
      </c>
      <c r="M27" s="35" t="str">
        <f t="shared" si="6"/>
        <v>Dutasteride-1mg/L</v>
      </c>
      <c r="N27" s="3"/>
      <c r="O27" s="36" t="str">
        <f t="shared" ref="O27:V27" si="7">O4</f>
        <v>Testo -30µg/L</v>
      </c>
      <c r="P27" s="36" t="str">
        <f t="shared" si="7"/>
        <v>Testo 30µg/L + EE2 -64ng/L</v>
      </c>
      <c r="Q27" s="36" t="str">
        <f t="shared" si="7"/>
        <v>Testo 30µg/L + FAD-10µg/L</v>
      </c>
      <c r="R27" s="36" t="str">
        <f t="shared" si="7"/>
        <v>Dutasteride-0,01mg/L + Testostérone</v>
      </c>
      <c r="S27" s="36" t="str">
        <f t="shared" si="7"/>
        <v>Dutasteride-0,1mg/L + Testostérone</v>
      </c>
      <c r="T27" s="36" t="str">
        <f t="shared" si="7"/>
        <v>Dutasteride-0,25mg/L + Testostérone</v>
      </c>
      <c r="U27" s="36" t="str">
        <f t="shared" si="7"/>
        <v>Dutasteride-0,5mg/L + Testostérone</v>
      </c>
      <c r="V27" s="36" t="str">
        <f t="shared" si="7"/>
        <v>Dutasteride-1mg/L + Testostérone</v>
      </c>
    </row>
    <row r="28" spans="1:22" x14ac:dyDescent="0.35">
      <c r="A28" s="219" t="s">
        <v>34</v>
      </c>
      <c r="B28" s="11">
        <f t="shared" ref="B28:M28" si="8">IF(B5="","",(B5/$O$23))</f>
        <v>0.23158710399728602</v>
      </c>
      <c r="C28" s="11">
        <f t="shared" si="8"/>
        <v>0.62115709717272782</v>
      </c>
      <c r="D28" s="11">
        <f t="shared" si="8"/>
        <v>2.166495045496283</v>
      </c>
      <c r="E28" s="11">
        <f t="shared" si="8"/>
        <v>1.5966542640990335</v>
      </c>
      <c r="F28" s="11">
        <f t="shared" si="8"/>
        <v>4.501547470744895</v>
      </c>
      <c r="G28" s="11">
        <f t="shared" si="8"/>
        <v>3.8115006534222542</v>
      </c>
      <c r="H28" s="11">
        <f t="shared" si="8"/>
        <v>6.4482552270565829</v>
      </c>
      <c r="I28" s="11">
        <f t="shared" si="8"/>
        <v>0.41621359483458764</v>
      </c>
      <c r="J28" s="11">
        <f t="shared" si="8"/>
        <v>9.89451379896443E-2</v>
      </c>
      <c r="K28" s="11">
        <f t="shared" si="8"/>
        <v>1.3058055753384364E-2</v>
      </c>
      <c r="L28" s="11">
        <f t="shared" si="8"/>
        <v>0.55707733012834382</v>
      </c>
      <c r="M28" s="11">
        <f t="shared" si="8"/>
        <v>0.54786970561204573</v>
      </c>
      <c r="N28" s="6"/>
      <c r="O28" s="11">
        <f t="shared" ref="O28:V28" si="9">IF(O5="","",(O5/$O$23))</f>
        <v>1.1523001805738275</v>
      </c>
      <c r="P28" s="11">
        <f t="shared" si="9"/>
        <v>4.222396555020242</v>
      </c>
      <c r="Q28" s="11">
        <f t="shared" si="9"/>
        <v>0.11111773445448307</v>
      </c>
      <c r="R28" s="11">
        <f t="shared" si="9"/>
        <v>0.31885997939517308</v>
      </c>
      <c r="S28" s="11">
        <f t="shared" si="9"/>
        <v>0.38970495165436514</v>
      </c>
      <c r="T28" s="11">
        <f t="shared" si="9"/>
        <v>2.7997959370194452</v>
      </c>
      <c r="U28" s="11">
        <f t="shared" si="9"/>
        <v>2.6793413799926213</v>
      </c>
      <c r="V28" s="11">
        <f t="shared" si="9"/>
        <v>0.67907156589946915</v>
      </c>
    </row>
    <row r="29" spans="1:22" x14ac:dyDescent="0.35">
      <c r="A29" s="220"/>
      <c r="B29" s="11">
        <f t="shared" ref="B29:M29" si="10">IF(B6="","",(B6/$O$23))</f>
        <v>0.45657934671352701</v>
      </c>
      <c r="C29" s="11">
        <f t="shared" si="10"/>
        <v>0.19595559680886973</v>
      </c>
      <c r="D29" s="11">
        <f t="shared" si="10"/>
        <v>0.71414678082110405</v>
      </c>
      <c r="E29" s="11">
        <f t="shared" si="10"/>
        <v>3.5237889263790696</v>
      </c>
      <c r="F29" s="11">
        <f t="shared" si="10"/>
        <v>2.9156997599703791</v>
      </c>
      <c r="G29" s="11">
        <f t="shared" si="10"/>
        <v>3.9149167024850104</v>
      </c>
      <c r="H29" s="11">
        <f t="shared" si="10"/>
        <v>8.1174093506167271</v>
      </c>
      <c r="I29" s="11">
        <f t="shared" si="10"/>
        <v>9.5918447224522821E-2</v>
      </c>
      <c r="J29" s="11">
        <f t="shared" si="10"/>
        <v>4.3914172373557048E-2</v>
      </c>
      <c r="K29" s="11">
        <f t="shared" si="10"/>
        <v>0.12339977895405842</v>
      </c>
      <c r="L29" s="11">
        <f t="shared" si="10"/>
        <v>0.23410194004356422</v>
      </c>
      <c r="M29" s="11">
        <f t="shared" si="10"/>
        <v>0.22222888556853085</v>
      </c>
      <c r="N29" s="6"/>
      <c r="O29" s="11">
        <f t="shared" ref="O29:V29" si="11">IF(O6="","",(O6/$O$23))</f>
        <v>1.15635140369419</v>
      </c>
      <c r="P29" s="11">
        <f t="shared" si="11"/>
        <v>8.9234521576563974</v>
      </c>
      <c r="Q29" s="11">
        <f t="shared" si="11"/>
        <v>0.12178850638252284</v>
      </c>
      <c r="R29" s="11">
        <f t="shared" si="11"/>
        <v>2.6817912055521012</v>
      </c>
      <c r="S29" s="11">
        <f t="shared" si="11"/>
        <v>3.1274940509489859</v>
      </c>
      <c r="T29" s="11">
        <f t="shared" si="11"/>
        <v>0.37495003990378656</v>
      </c>
      <c r="U29" s="11">
        <f t="shared" si="11"/>
        <v>1.2106837123065828</v>
      </c>
      <c r="V29" s="11">
        <f t="shared" si="11"/>
        <v>1.2339648728384078</v>
      </c>
    </row>
    <row r="30" spans="1:22" x14ac:dyDescent="0.35">
      <c r="A30" s="220"/>
      <c r="B30" s="11">
        <f t="shared" ref="B30:M30" si="12">IF(B7="","",(B7/$O$23))</f>
        <v>0.68950040006651236</v>
      </c>
      <c r="C30" s="11">
        <f t="shared" si="12"/>
        <v>0.38530481149093271</v>
      </c>
      <c r="D30" s="11">
        <f t="shared" si="12"/>
        <v>1.1050071087218614</v>
      </c>
      <c r="E30" s="11">
        <f t="shared" si="12"/>
        <v>1.1876979791767914</v>
      </c>
      <c r="F30" s="11">
        <f t="shared" si="12"/>
        <v>2.6228941732653941</v>
      </c>
      <c r="G30" s="11">
        <f t="shared" si="12"/>
        <v>6.37355159438476</v>
      </c>
      <c r="H30" s="11">
        <f t="shared" si="12"/>
        <v>7.1581154303367631</v>
      </c>
      <c r="I30" s="11">
        <f t="shared" si="12"/>
        <v>0.2376256730115496</v>
      </c>
      <c r="J30" s="11">
        <f t="shared" si="12"/>
        <v>0.31526629843506282</v>
      </c>
      <c r="K30" s="11">
        <f t="shared" si="12"/>
        <v>0.35342169376285582</v>
      </c>
      <c r="L30" s="11">
        <f t="shared" si="12"/>
        <v>1.1490702291727668</v>
      </c>
      <c r="M30" s="11">
        <f t="shared" si="12"/>
        <v>0.11122553665411083</v>
      </c>
      <c r="N30" s="6"/>
      <c r="O30" s="11">
        <f t="shared" ref="O30:V30" si="13">IF(O7="","",(O7/$O$23))</f>
        <v>0.55090133388249363</v>
      </c>
      <c r="P30" s="11">
        <f t="shared" si="13"/>
        <v>5.9046976094296477</v>
      </c>
      <c r="Q30" s="11">
        <f t="shared" si="13"/>
        <v>5.4462329585989663E-2</v>
      </c>
      <c r="R30" s="11">
        <f t="shared" si="13"/>
        <v>0.84251615888624687</v>
      </c>
      <c r="S30" s="11">
        <f t="shared" si="13"/>
        <v>1.371488385778812</v>
      </c>
      <c r="T30" s="11">
        <f t="shared" si="13"/>
        <v>1.195521456366571</v>
      </c>
      <c r="U30" s="11">
        <f t="shared" si="13"/>
        <v>1.5688190778211015</v>
      </c>
      <c r="V30" s="11">
        <f t="shared" si="13"/>
        <v>1.4085797487087524</v>
      </c>
    </row>
    <row r="31" spans="1:22" x14ac:dyDescent="0.35">
      <c r="A31" s="220"/>
      <c r="B31" s="11">
        <f t="shared" ref="B31:M31" si="14">IF(B8="","",(B8/$O$23))</f>
        <v>0.41447065545434641</v>
      </c>
      <c r="C31" s="11">
        <f t="shared" si="14"/>
        <v>0.97440350949649435</v>
      </c>
      <c r="D31" s="11">
        <f t="shared" si="14"/>
        <v>0.49146611351520186</v>
      </c>
      <c r="E31" s="11">
        <f t="shared" si="14"/>
        <v>6.6441721467403951</v>
      </c>
      <c r="F31" s="11">
        <f t="shared" si="14"/>
        <v>10.321077227880838</v>
      </c>
      <c r="G31" s="11">
        <f t="shared" si="14"/>
        <v>7.7792906316956882</v>
      </c>
      <c r="H31" s="11">
        <f t="shared" si="14"/>
        <v>6.6734112303661517</v>
      </c>
      <c r="I31" s="11">
        <f t="shared" si="14"/>
        <v>5.4096954191831442E-2</v>
      </c>
      <c r="J31" s="11">
        <f t="shared" si="14"/>
        <v>0.1512596527586228</v>
      </c>
      <c r="K31" s="11">
        <f t="shared" si="14"/>
        <v>0.1639325830965431</v>
      </c>
      <c r="L31" s="11">
        <f t="shared" si="14"/>
        <v>0.48324269839397865</v>
      </c>
      <c r="M31" s="11">
        <f t="shared" si="14"/>
        <v>0.62364395402215611</v>
      </c>
      <c r="N31" s="6"/>
      <c r="O31" s="11">
        <f t="shared" ref="O31:V31" si="15">IF(O8="","",(O8/$O$23))</f>
        <v>0.73562904357898773</v>
      </c>
      <c r="P31" s="11">
        <f t="shared" si="15"/>
        <v>9.0998066812367657</v>
      </c>
      <c r="Q31" s="11">
        <f t="shared" si="15"/>
        <v>0.1281027527775139</v>
      </c>
      <c r="R31" s="11">
        <f t="shared" si="15"/>
        <v>0.99304752960921649</v>
      </c>
      <c r="S31" s="11">
        <f t="shared" si="15"/>
        <v>4.8627786520991059</v>
      </c>
      <c r="T31" s="11">
        <f t="shared" si="15"/>
        <v>2.255314182978907</v>
      </c>
      <c r="U31" s="11">
        <f t="shared" si="15"/>
        <v>3.7722293818906807</v>
      </c>
      <c r="V31" s="11">
        <f t="shared" si="15"/>
        <v>3.1996145454175142</v>
      </c>
    </row>
    <row r="32" spans="1:22" x14ac:dyDescent="0.35">
      <c r="A32" s="220"/>
      <c r="B32" s="11">
        <f t="shared" ref="B32:M32" si="16">IF(B9="","",(B9/$O$23))</f>
        <v>0.743585833412582</v>
      </c>
      <c r="C32" s="11">
        <f t="shared" si="16"/>
        <v>0.36835847029295915</v>
      </c>
      <c r="D32" s="11">
        <f t="shared" si="16"/>
        <v>1.9442612224224254</v>
      </c>
      <c r="E32" s="11">
        <f t="shared" si="16"/>
        <v>4.7755098912889906</v>
      </c>
      <c r="F32" s="11">
        <f t="shared" si="16"/>
        <v>3.0137372198975085</v>
      </c>
      <c r="G32" s="11">
        <f t="shared" si="16"/>
        <v>2.7846213373161173</v>
      </c>
      <c r="H32" s="11">
        <f t="shared" si="16"/>
        <v>8.4923684426136123</v>
      </c>
      <c r="I32" s="11">
        <f t="shared" si="16"/>
        <v>0.26719803824684202</v>
      </c>
      <c r="J32" s="11">
        <f t="shared" si="16"/>
        <v>0.23182081258273857</v>
      </c>
      <c r="K32" s="11">
        <f t="shared" si="16"/>
        <v>0.55105110487739639</v>
      </c>
      <c r="L32" s="11">
        <f t="shared" si="16"/>
        <v>0.46007510048466244</v>
      </c>
      <c r="M32" s="11">
        <f t="shared" si="16"/>
        <v>0.61716265536361981</v>
      </c>
      <c r="N32" s="6"/>
      <c r="O32" s="11">
        <f t="shared" ref="O32:V32" si="17">IF(O9="","",(O9/$O$23))</f>
        <v>1.3502348941010545</v>
      </c>
      <c r="P32" s="11">
        <f t="shared" si="17"/>
        <v>6.0859254507672347</v>
      </c>
      <c r="Q32" s="11">
        <f t="shared" si="17"/>
        <v>5.5448184816173335E-2</v>
      </c>
      <c r="R32" s="11">
        <f t="shared" si="17"/>
        <v>2.8660284563861667</v>
      </c>
      <c r="S32" s="11">
        <f t="shared" si="17"/>
        <v>1.5018187763761148</v>
      </c>
      <c r="T32" s="11">
        <f t="shared" si="17"/>
        <v>0.7929222095521492</v>
      </c>
      <c r="U32" s="11">
        <f t="shared" si="17"/>
        <v>1.0833405124317899</v>
      </c>
      <c r="V32" s="11">
        <f t="shared" si="17"/>
        <v>5.0735270148660572</v>
      </c>
    </row>
    <row r="33" spans="1:22" x14ac:dyDescent="0.35">
      <c r="A33" s="220"/>
      <c r="B33" s="11">
        <f t="shared" ref="B33:M33" si="18">IF(B10="","",(B10/$O$23))</f>
        <v>0.29754970640616113</v>
      </c>
      <c r="C33" s="11">
        <f t="shared" si="18"/>
        <v>0.21425728321895723</v>
      </c>
      <c r="D33" s="11">
        <f t="shared" si="18"/>
        <v>0.70373193625248587</v>
      </c>
      <c r="E33" s="11">
        <f t="shared" si="18"/>
        <v>0.5047982008142049</v>
      </c>
      <c r="F33" s="11">
        <f t="shared" si="18"/>
        <v>3.5287955567801026</v>
      </c>
      <c r="G33" s="11">
        <f t="shared" si="18"/>
        <v>5.5858894738404024</v>
      </c>
      <c r="H33" s="11">
        <f t="shared" si="18"/>
        <v>8.8977252861528644</v>
      </c>
      <c r="I33" s="11">
        <f t="shared" si="18"/>
        <v>0.2596601134484427</v>
      </c>
      <c r="J33" s="11">
        <f t="shared" si="18"/>
        <v>0.17473913642106059</v>
      </c>
      <c r="K33" s="11">
        <f t="shared" si="18"/>
        <v>0.18813705712441645</v>
      </c>
      <c r="L33" s="11">
        <f t="shared" si="18"/>
        <v>7.2025036032216605E-2</v>
      </c>
      <c r="M33" s="11">
        <f t="shared" si="18"/>
        <v>0.16170576819430851</v>
      </c>
      <c r="N33" s="6"/>
      <c r="O33" s="11">
        <f t="shared" ref="O33:V33" si="19">IF(O10="","",(O10/$O$23))</f>
        <v>0.32002440773466378</v>
      </c>
      <c r="P33" s="11">
        <f t="shared" si="19"/>
        <v>6.5490247732643549</v>
      </c>
      <c r="Q33" s="11">
        <f t="shared" si="19"/>
        <v>0.48146766522911544</v>
      </c>
      <c r="R33" s="11">
        <f t="shared" si="19"/>
        <v>0.75465242868429316</v>
      </c>
      <c r="S33" s="11">
        <f t="shared" si="19"/>
        <v>2.4533311882615747</v>
      </c>
      <c r="T33" s="11">
        <f t="shared" si="19"/>
        <v>0.38104456731175002</v>
      </c>
      <c r="U33" s="11">
        <f t="shared" si="19"/>
        <v>4.812915608724716E-2</v>
      </c>
      <c r="V33" s="11">
        <f t="shared" si="19"/>
        <v>3.6541950253913784</v>
      </c>
    </row>
    <row r="34" spans="1:22" x14ac:dyDescent="0.35">
      <c r="A34" s="220"/>
      <c r="B34" s="11">
        <f t="shared" ref="B34:M34" si="20">IF(B11="","",(B11/$O$23))</f>
        <v>0.28757429981159816</v>
      </c>
      <c r="C34" s="11">
        <f t="shared" si="20"/>
        <v>0.60704241527948055</v>
      </c>
      <c r="D34" s="11">
        <f t="shared" si="20"/>
        <v>0.8042373259252924</v>
      </c>
      <c r="E34" s="11">
        <f t="shared" si="20"/>
        <v>1.6097839136796517</v>
      </c>
      <c r="F34" s="11">
        <f t="shared" si="20"/>
        <v>3.8836532416754044</v>
      </c>
      <c r="G34" s="11">
        <f t="shared" si="20"/>
        <v>6.268896231485062</v>
      </c>
      <c r="H34" s="11">
        <f t="shared" si="20"/>
        <v>13.241767982818716</v>
      </c>
      <c r="I34" s="11">
        <f t="shared" si="20"/>
        <v>0.28009397924200757</v>
      </c>
      <c r="J34" s="11">
        <f t="shared" si="20"/>
        <v>8.6404697377984091E-2</v>
      </c>
      <c r="K34" s="11">
        <f t="shared" si="20"/>
        <v>0.41878850386233785</v>
      </c>
      <c r="L34" s="11">
        <f t="shared" si="20"/>
        <v>1.6803153543506134E-2</v>
      </c>
      <c r="M34" s="11">
        <f t="shared" si="20"/>
        <v>0.30651374732635372</v>
      </c>
      <c r="N34" s="6"/>
      <c r="O34" s="11">
        <f t="shared" ref="O34:V34" si="21">IF(O11="","",(O11/$O$23))</f>
        <v>0.36511452929347332</v>
      </c>
      <c r="P34" s="11">
        <f t="shared" si="21"/>
        <v>2.4763720568675121</v>
      </c>
      <c r="Q34" s="11">
        <f t="shared" si="21"/>
        <v>0.2817949498269739</v>
      </c>
      <c r="R34" s="11">
        <f t="shared" si="21"/>
        <v>0.26840525829916212</v>
      </c>
      <c r="S34" s="11">
        <f t="shared" si="21"/>
        <v>0.22753094337159713</v>
      </c>
      <c r="T34" s="11">
        <f t="shared" si="21"/>
        <v>1.3172293168287617</v>
      </c>
      <c r="U34" s="11">
        <f t="shared" si="21"/>
        <v>7.2515108123394638</v>
      </c>
      <c r="V34" s="11">
        <f t="shared" si="21"/>
        <v>2.0920086630588246</v>
      </c>
    </row>
    <row r="35" spans="1:22" x14ac:dyDescent="0.35">
      <c r="A35" s="220"/>
      <c r="B35" s="11">
        <f t="shared" ref="B35:M35" si="22">IF(B12="","",(B12/$O$23))</f>
        <v>0.35309417257620052</v>
      </c>
      <c r="C35" s="11" t="str">
        <f t="shared" si="22"/>
        <v/>
      </c>
      <c r="D35" s="11">
        <f t="shared" si="22"/>
        <v>6.0448231876770973E-2</v>
      </c>
      <c r="E35" s="11" t="str">
        <f t="shared" si="22"/>
        <v/>
      </c>
      <c r="F35" s="11">
        <f t="shared" si="22"/>
        <v>2.839933740735813</v>
      </c>
      <c r="G35" s="11" t="str">
        <f t="shared" si="22"/>
        <v/>
      </c>
      <c r="H35" s="11">
        <f t="shared" si="22"/>
        <v>15.13158497984135</v>
      </c>
      <c r="I35" s="11">
        <f t="shared" si="22"/>
        <v>0.45556468936893901</v>
      </c>
      <c r="J35" s="11">
        <f t="shared" si="22"/>
        <v>0.13240496575197153</v>
      </c>
      <c r="K35" s="11">
        <f t="shared" si="22"/>
        <v>0.1080054602637029</v>
      </c>
      <c r="L35" s="11">
        <f t="shared" si="22"/>
        <v>0.16514391773663523</v>
      </c>
      <c r="M35" s="11">
        <f t="shared" si="22"/>
        <v>7.1717264866867109E-2</v>
      </c>
      <c r="N35" s="6"/>
      <c r="O35" s="11">
        <f t="shared" ref="O35:V35" si="23">IF(O12="","",(O12/$O$23))</f>
        <v>1.0625017712014551</v>
      </c>
      <c r="P35" s="11">
        <f t="shared" si="23"/>
        <v>5.4952615635731838</v>
      </c>
      <c r="Q35" s="11">
        <f t="shared" si="23"/>
        <v>0.66497745694508215</v>
      </c>
      <c r="R35" s="11">
        <f t="shared" si="23"/>
        <v>4.5569824888801982</v>
      </c>
      <c r="S35" s="11">
        <f t="shared" si="23"/>
        <v>3.3574526011060937</v>
      </c>
      <c r="T35" s="11">
        <f t="shared" si="23"/>
        <v>0.16873924453185429</v>
      </c>
      <c r="U35" s="11">
        <f t="shared" si="23"/>
        <v>2.8146199738445943</v>
      </c>
      <c r="V35" s="11">
        <f t="shared" si="23"/>
        <v>1.9017435411387029</v>
      </c>
    </row>
    <row r="36" spans="1:22" s="1" customFormat="1" x14ac:dyDescent="0.35">
      <c r="A36" s="220"/>
      <c r="B36" s="11" t="str">
        <f t="shared" ref="B36:M36" si="24">IF(B13="","",(B13/$O$23))</f>
        <v/>
      </c>
      <c r="C36" s="11" t="str">
        <f t="shared" si="24"/>
        <v/>
      </c>
      <c r="D36" s="11" t="str">
        <f t="shared" si="24"/>
        <v/>
      </c>
      <c r="E36" s="11" t="str">
        <f t="shared" si="24"/>
        <v/>
      </c>
      <c r="F36" s="11" t="str">
        <f t="shared" si="24"/>
        <v/>
      </c>
      <c r="G36" s="11" t="str">
        <f t="shared" si="24"/>
        <v/>
      </c>
      <c r="H36" s="11" t="str">
        <f t="shared" si="24"/>
        <v/>
      </c>
      <c r="I36" s="11" t="str">
        <f t="shared" si="24"/>
        <v/>
      </c>
      <c r="J36" s="11" t="str">
        <f t="shared" si="24"/>
        <v/>
      </c>
      <c r="K36" s="11" t="str">
        <f t="shared" si="24"/>
        <v/>
      </c>
      <c r="L36" s="11" t="str">
        <f t="shared" si="24"/>
        <v/>
      </c>
      <c r="M36" s="11" t="str">
        <f t="shared" si="24"/>
        <v/>
      </c>
      <c r="N36" s="6"/>
      <c r="O36" s="11">
        <f t="shared" ref="O36:V36" si="25">IF(O13="","",(O13/$O$23))</f>
        <v>1.9766331531778221</v>
      </c>
      <c r="P36" s="11" t="str">
        <f t="shared" si="25"/>
        <v/>
      </c>
      <c r="Q36" s="11" t="str">
        <f t="shared" si="25"/>
        <v/>
      </c>
      <c r="R36" s="11" t="str">
        <f t="shared" si="25"/>
        <v/>
      </c>
      <c r="S36" s="11" t="str">
        <f t="shared" si="25"/>
        <v/>
      </c>
      <c r="T36" s="11" t="str">
        <f t="shared" si="25"/>
        <v/>
      </c>
      <c r="U36" s="11" t="str">
        <f t="shared" si="25"/>
        <v/>
      </c>
      <c r="V36" s="11" t="str">
        <f t="shared" si="25"/>
        <v/>
      </c>
    </row>
    <row r="37" spans="1:22" s="1" customFormat="1" x14ac:dyDescent="0.35">
      <c r="A37" s="220"/>
      <c r="B37" s="11" t="str">
        <f t="shared" ref="B37:M37" si="26">IF(B14="","",(B14/$O$23))</f>
        <v/>
      </c>
      <c r="C37" s="11" t="str">
        <f t="shared" si="26"/>
        <v/>
      </c>
      <c r="D37" s="11" t="str">
        <f t="shared" si="26"/>
        <v/>
      </c>
      <c r="E37" s="11" t="str">
        <f t="shared" si="26"/>
        <v/>
      </c>
      <c r="F37" s="11" t="str">
        <f t="shared" si="26"/>
        <v/>
      </c>
      <c r="G37" s="11" t="str">
        <f t="shared" si="26"/>
        <v/>
      </c>
      <c r="H37" s="11" t="str">
        <f t="shared" si="26"/>
        <v/>
      </c>
      <c r="I37" s="11" t="str">
        <f t="shared" si="26"/>
        <v/>
      </c>
      <c r="J37" s="11" t="str">
        <f t="shared" si="26"/>
        <v/>
      </c>
      <c r="K37" s="11" t="str">
        <f t="shared" si="26"/>
        <v/>
      </c>
      <c r="L37" s="11" t="str">
        <f t="shared" si="26"/>
        <v/>
      </c>
      <c r="M37" s="11" t="str">
        <f t="shared" si="26"/>
        <v/>
      </c>
      <c r="N37" s="6"/>
      <c r="O37" s="11">
        <f t="shared" ref="O37:V37" si="27">IF(O14="","",(O14/$O$23))</f>
        <v>1.2140033617210744</v>
      </c>
      <c r="P37" s="11" t="str">
        <f t="shared" si="27"/>
        <v/>
      </c>
      <c r="Q37" s="11" t="str">
        <f t="shared" si="27"/>
        <v/>
      </c>
      <c r="R37" s="11" t="str">
        <f t="shared" si="27"/>
        <v/>
      </c>
      <c r="S37" s="11" t="str">
        <f t="shared" si="27"/>
        <v/>
      </c>
      <c r="T37" s="11" t="str">
        <f t="shared" si="27"/>
        <v/>
      </c>
      <c r="U37" s="11" t="str">
        <f t="shared" si="27"/>
        <v/>
      </c>
      <c r="V37" s="11" t="str">
        <f t="shared" si="27"/>
        <v/>
      </c>
    </row>
    <row r="38" spans="1:22" s="1" customFormat="1" x14ac:dyDescent="0.35">
      <c r="A38" s="220"/>
      <c r="B38" s="11" t="str">
        <f t="shared" ref="B38:M38" si="28">IF(B15="","",(B15/$O$23))</f>
        <v/>
      </c>
      <c r="C38" s="11" t="str">
        <f t="shared" si="28"/>
        <v/>
      </c>
      <c r="D38" s="11" t="str">
        <f t="shared" si="28"/>
        <v/>
      </c>
      <c r="E38" s="11" t="str">
        <f t="shared" si="28"/>
        <v/>
      </c>
      <c r="F38" s="11" t="str">
        <f t="shared" si="28"/>
        <v/>
      </c>
      <c r="G38" s="11" t="str">
        <f t="shared" si="28"/>
        <v/>
      </c>
      <c r="H38" s="11" t="str">
        <f t="shared" si="28"/>
        <v/>
      </c>
      <c r="I38" s="11" t="str">
        <f t="shared" si="28"/>
        <v/>
      </c>
      <c r="J38" s="11" t="str">
        <f t="shared" si="28"/>
        <v/>
      </c>
      <c r="K38" s="11" t="str">
        <f t="shared" si="28"/>
        <v/>
      </c>
      <c r="L38" s="11" t="str">
        <f t="shared" si="28"/>
        <v/>
      </c>
      <c r="M38" s="11" t="str">
        <f t="shared" si="28"/>
        <v/>
      </c>
      <c r="N38" s="6"/>
      <c r="O38" s="11">
        <f t="shared" ref="O38:R38" si="29">IF(O15="","",(O15/$O$23))</f>
        <v>2.5393696873278464</v>
      </c>
      <c r="P38" s="11" t="str">
        <f t="shared" si="29"/>
        <v/>
      </c>
      <c r="Q38" s="11" t="str">
        <f t="shared" si="29"/>
        <v/>
      </c>
      <c r="R38" s="11" t="str">
        <f t="shared" si="29"/>
        <v/>
      </c>
      <c r="S38" s="11" t="str">
        <f t="shared" ref="S38:V38" si="30">IF(S15="","",(S15/$O$23))</f>
        <v/>
      </c>
      <c r="T38" s="11" t="str">
        <f t="shared" si="30"/>
        <v/>
      </c>
      <c r="U38" s="11" t="str">
        <f t="shared" si="30"/>
        <v/>
      </c>
      <c r="V38" s="11" t="str">
        <f t="shared" si="30"/>
        <v/>
      </c>
    </row>
    <row r="39" spans="1:22" s="1" customFormat="1" x14ac:dyDescent="0.35">
      <c r="A39" s="220"/>
      <c r="B39" s="11" t="str">
        <f t="shared" ref="B39:M39" si="31">IF(B16="","",(B16/$O$23))</f>
        <v/>
      </c>
      <c r="C39" s="11" t="str">
        <f t="shared" si="31"/>
        <v/>
      </c>
      <c r="D39" s="11" t="str">
        <f t="shared" si="31"/>
        <v/>
      </c>
      <c r="E39" s="11" t="str">
        <f t="shared" si="31"/>
        <v/>
      </c>
      <c r="F39" s="11" t="str">
        <f t="shared" si="31"/>
        <v/>
      </c>
      <c r="G39" s="11" t="str">
        <f t="shared" si="31"/>
        <v/>
      </c>
      <c r="H39" s="11" t="str">
        <f t="shared" si="31"/>
        <v/>
      </c>
      <c r="I39" s="11" t="str">
        <f t="shared" si="31"/>
        <v/>
      </c>
      <c r="J39" s="11" t="str">
        <f t="shared" si="31"/>
        <v/>
      </c>
      <c r="K39" s="11" t="str">
        <f t="shared" si="31"/>
        <v/>
      </c>
      <c r="L39" s="11" t="str">
        <f t="shared" si="31"/>
        <v/>
      </c>
      <c r="M39" s="11" t="str">
        <f t="shared" si="31"/>
        <v/>
      </c>
      <c r="N39" s="6"/>
      <c r="O39" s="11">
        <f t="shared" ref="O39:R39" si="32">IF(O16="","",(O16/$O$23))</f>
        <v>1.6546452641583351</v>
      </c>
      <c r="P39" s="11" t="str">
        <f t="shared" si="32"/>
        <v/>
      </c>
      <c r="Q39" s="11" t="str">
        <f t="shared" si="32"/>
        <v/>
      </c>
      <c r="R39" s="11" t="str">
        <f t="shared" si="32"/>
        <v/>
      </c>
      <c r="S39" s="11" t="str">
        <f t="shared" ref="S39:V39" si="33">IF(S16="","",(S16/$O$23))</f>
        <v/>
      </c>
      <c r="T39" s="11" t="str">
        <f t="shared" si="33"/>
        <v/>
      </c>
      <c r="U39" s="11" t="str">
        <f t="shared" si="33"/>
        <v/>
      </c>
      <c r="V39" s="11" t="str">
        <f t="shared" si="33"/>
        <v/>
      </c>
    </row>
    <row r="40" spans="1:22" s="1" customFormat="1" x14ac:dyDescent="0.35">
      <c r="A40" s="220"/>
      <c r="B40" s="11" t="str">
        <f t="shared" ref="B40:M40" si="34">IF(B17="","",(B17/$O$23))</f>
        <v/>
      </c>
      <c r="C40" s="11" t="str">
        <f t="shared" si="34"/>
        <v/>
      </c>
      <c r="D40" s="11" t="str">
        <f t="shared" si="34"/>
        <v/>
      </c>
      <c r="E40" s="11" t="str">
        <f t="shared" si="34"/>
        <v/>
      </c>
      <c r="F40" s="11" t="str">
        <f t="shared" si="34"/>
        <v/>
      </c>
      <c r="G40" s="11" t="str">
        <f t="shared" si="34"/>
        <v/>
      </c>
      <c r="H40" s="11" t="str">
        <f t="shared" si="34"/>
        <v/>
      </c>
      <c r="I40" s="11" t="str">
        <f t="shared" si="34"/>
        <v/>
      </c>
      <c r="J40" s="11" t="str">
        <f t="shared" si="34"/>
        <v/>
      </c>
      <c r="K40" s="11" t="str">
        <f t="shared" si="34"/>
        <v/>
      </c>
      <c r="L40" s="11" t="str">
        <f t="shared" si="34"/>
        <v/>
      </c>
      <c r="M40" s="11" t="str">
        <f t="shared" si="34"/>
        <v/>
      </c>
      <c r="N40" s="6"/>
      <c r="O40" s="11">
        <f t="shared" ref="O40:R40" si="35">IF(O17="","",(O17/$O$23))</f>
        <v>0.69833935751843446</v>
      </c>
      <c r="P40" s="11" t="str">
        <f t="shared" si="35"/>
        <v/>
      </c>
      <c r="Q40" s="11" t="str">
        <f t="shared" si="35"/>
        <v/>
      </c>
      <c r="R40" s="11" t="str">
        <f t="shared" si="35"/>
        <v/>
      </c>
      <c r="S40" s="11" t="str">
        <f t="shared" ref="S40:V40" si="36">IF(S17="","",(S17/$O$23))</f>
        <v/>
      </c>
      <c r="T40" s="11" t="str">
        <f t="shared" si="36"/>
        <v/>
      </c>
      <c r="U40" s="11" t="str">
        <f t="shared" si="36"/>
        <v/>
      </c>
      <c r="V40" s="11" t="str">
        <f t="shared" si="36"/>
        <v/>
      </c>
    </row>
    <row r="41" spans="1:22" s="1" customFormat="1" x14ac:dyDescent="0.35">
      <c r="A41" s="220"/>
      <c r="B41" s="11" t="str">
        <f t="shared" ref="B41:M41" si="37">IF(B18="","",(B18/$O$23))</f>
        <v/>
      </c>
      <c r="C41" s="11" t="str">
        <f t="shared" si="37"/>
        <v/>
      </c>
      <c r="D41" s="11" t="str">
        <f t="shared" si="37"/>
        <v/>
      </c>
      <c r="E41" s="11" t="str">
        <f t="shared" si="37"/>
        <v/>
      </c>
      <c r="F41" s="11" t="str">
        <f t="shared" si="37"/>
        <v/>
      </c>
      <c r="G41" s="11" t="str">
        <f t="shared" si="37"/>
        <v/>
      </c>
      <c r="H41" s="11" t="str">
        <f t="shared" si="37"/>
        <v/>
      </c>
      <c r="I41" s="11" t="str">
        <f t="shared" si="37"/>
        <v/>
      </c>
      <c r="J41" s="11" t="str">
        <f t="shared" si="37"/>
        <v/>
      </c>
      <c r="K41" s="11" t="str">
        <f t="shared" si="37"/>
        <v/>
      </c>
      <c r="L41" s="11" t="str">
        <f t="shared" si="37"/>
        <v/>
      </c>
      <c r="M41" s="11" t="str">
        <f t="shared" si="37"/>
        <v/>
      </c>
      <c r="N41" s="6"/>
      <c r="O41" s="11">
        <f t="shared" ref="O41:R41" si="38">IF(O18="","",(O18/$O$23))</f>
        <v>0.63060748236757702</v>
      </c>
      <c r="P41" s="11" t="str">
        <f t="shared" si="38"/>
        <v/>
      </c>
      <c r="Q41" s="11" t="str">
        <f t="shared" si="38"/>
        <v/>
      </c>
      <c r="R41" s="11" t="str">
        <f t="shared" si="38"/>
        <v/>
      </c>
      <c r="S41" s="11" t="str">
        <f t="shared" ref="S41:V41" si="39">IF(S18="","",(S18/$O$23))</f>
        <v/>
      </c>
      <c r="T41" s="11" t="str">
        <f t="shared" si="39"/>
        <v/>
      </c>
      <c r="U41" s="11" t="str">
        <f t="shared" si="39"/>
        <v/>
      </c>
      <c r="V41" s="11" t="str">
        <f t="shared" si="39"/>
        <v/>
      </c>
    </row>
    <row r="42" spans="1:22" s="1" customFormat="1" x14ac:dyDescent="0.35">
      <c r="A42" s="220"/>
      <c r="B42" s="11" t="str">
        <f t="shared" ref="B42:M42" si="40">IF(B19="","",(B19/$O$23))</f>
        <v/>
      </c>
      <c r="C42" s="11" t="str">
        <f t="shared" si="40"/>
        <v/>
      </c>
      <c r="D42" s="11" t="str">
        <f t="shared" si="40"/>
        <v/>
      </c>
      <c r="E42" s="11" t="str">
        <f t="shared" si="40"/>
        <v/>
      </c>
      <c r="F42" s="11" t="str">
        <f t="shared" si="40"/>
        <v/>
      </c>
      <c r="G42" s="11" t="str">
        <f t="shared" si="40"/>
        <v/>
      </c>
      <c r="H42" s="11" t="str">
        <f t="shared" si="40"/>
        <v/>
      </c>
      <c r="I42" s="11" t="str">
        <f t="shared" si="40"/>
        <v/>
      </c>
      <c r="J42" s="11" t="str">
        <f t="shared" si="40"/>
        <v/>
      </c>
      <c r="K42" s="11" t="str">
        <f t="shared" si="40"/>
        <v/>
      </c>
      <c r="L42" s="11" t="str">
        <f t="shared" si="40"/>
        <v/>
      </c>
      <c r="M42" s="11" t="str">
        <f t="shared" si="40"/>
        <v/>
      </c>
      <c r="N42" s="6"/>
      <c r="O42" s="11">
        <f t="shared" ref="O42:R42" si="41">IF(O19="","",(O19/$O$23))</f>
        <v>0.30335950434029862</v>
      </c>
      <c r="P42" s="11" t="str">
        <f t="shared" si="41"/>
        <v/>
      </c>
      <c r="Q42" s="11" t="str">
        <f t="shared" si="41"/>
        <v/>
      </c>
      <c r="R42" s="11" t="str">
        <f t="shared" si="41"/>
        <v/>
      </c>
      <c r="S42" s="11" t="str">
        <f t="shared" ref="S42:V42" si="42">IF(S19="","",(S19/$O$23))</f>
        <v/>
      </c>
      <c r="T42" s="11" t="str">
        <f t="shared" si="42"/>
        <v/>
      </c>
      <c r="U42" s="11" t="str">
        <f t="shared" si="42"/>
        <v/>
      </c>
      <c r="V42" s="11" t="str">
        <f t="shared" si="42"/>
        <v/>
      </c>
    </row>
    <row r="43" spans="1:22" s="1" customFormat="1" x14ac:dyDescent="0.35">
      <c r="A43" s="220"/>
      <c r="B43" s="11" t="str">
        <f t="shared" ref="B43:M43" si="43">IF(B20="","",(B20/$O$23))</f>
        <v/>
      </c>
      <c r="C43" s="11" t="str">
        <f t="shared" si="43"/>
        <v/>
      </c>
      <c r="D43" s="11" t="str">
        <f t="shared" si="43"/>
        <v/>
      </c>
      <c r="E43" s="11" t="str">
        <f t="shared" si="43"/>
        <v/>
      </c>
      <c r="F43" s="11" t="str">
        <f t="shared" si="43"/>
        <v/>
      </c>
      <c r="G43" s="11" t="str">
        <f t="shared" si="43"/>
        <v/>
      </c>
      <c r="H43" s="11" t="str">
        <f t="shared" si="43"/>
        <v/>
      </c>
      <c r="I43" s="11" t="str">
        <f t="shared" si="43"/>
        <v/>
      </c>
      <c r="J43" s="11" t="str">
        <f t="shared" si="43"/>
        <v/>
      </c>
      <c r="K43" s="11" t="str">
        <f t="shared" si="43"/>
        <v/>
      </c>
      <c r="L43" s="11" t="str">
        <f t="shared" si="43"/>
        <v/>
      </c>
      <c r="M43" s="11" t="str">
        <f t="shared" si="43"/>
        <v/>
      </c>
      <c r="N43" s="6"/>
      <c r="O43" s="11">
        <f t="shared" ref="O43:R43" si="44">IF(O20="","",(O20/$O$23))</f>
        <v>0.28998462532846625</v>
      </c>
      <c r="P43" s="11" t="str">
        <f t="shared" si="44"/>
        <v/>
      </c>
      <c r="Q43" s="11" t="str">
        <f t="shared" si="44"/>
        <v/>
      </c>
      <c r="R43" s="11" t="str">
        <f t="shared" si="44"/>
        <v/>
      </c>
      <c r="S43" s="11" t="str">
        <f t="shared" ref="S43:V43" si="45">IF(S20="","",(S20/$O$23))</f>
        <v/>
      </c>
      <c r="T43" s="11" t="str">
        <f t="shared" si="45"/>
        <v/>
      </c>
      <c r="U43" s="11" t="str">
        <f t="shared" si="45"/>
        <v/>
      </c>
      <c r="V43" s="11" t="str">
        <f t="shared" si="45"/>
        <v/>
      </c>
    </row>
    <row r="44" spans="1:22" x14ac:dyDescent="0.35">
      <c r="A44" s="7"/>
      <c r="B44" s="3"/>
      <c r="C44" s="3"/>
      <c r="D44" s="3"/>
      <c r="E44" s="3"/>
      <c r="F44" s="3"/>
      <c r="G44" s="3"/>
      <c r="H44" s="3"/>
      <c r="I44" s="3"/>
      <c r="J44" s="3"/>
      <c r="N44" s="7"/>
      <c r="O44" s="3"/>
      <c r="P44" s="3"/>
      <c r="Q44" s="3"/>
      <c r="R44" s="3"/>
      <c r="S44" s="3"/>
      <c r="T44" s="3"/>
      <c r="U44" s="3"/>
      <c r="V44" s="3"/>
    </row>
    <row r="45" spans="1:22" s="69" customFormat="1" x14ac:dyDescent="0.35">
      <c r="A45" s="70" t="str">
        <f t="shared" ref="A45:M45" si="46">A4</f>
        <v>Noms des groupes</v>
      </c>
      <c r="B45" s="70" t="str">
        <f t="shared" si="46"/>
        <v>Témoin solvant</v>
      </c>
      <c r="C45" s="70" t="str">
        <f t="shared" si="46"/>
        <v>EE2-33,8ng/L</v>
      </c>
      <c r="D45" s="70" t="str">
        <f t="shared" si="46"/>
        <v>EE2-50,6ng/L</v>
      </c>
      <c r="E45" s="70" t="str">
        <f t="shared" si="46"/>
        <v>EE2-76ng/L</v>
      </c>
      <c r="F45" s="70" t="str">
        <f t="shared" si="46"/>
        <v>EE2-114ng/L</v>
      </c>
      <c r="G45" s="70" t="str">
        <f t="shared" si="46"/>
        <v>EE2-170,9ng/L</v>
      </c>
      <c r="H45" s="70" t="str">
        <f t="shared" si="46"/>
        <v>EE2-488ng/L</v>
      </c>
      <c r="I45" s="70" t="str">
        <f t="shared" si="46"/>
        <v>Dutasteride-0,01mg/L</v>
      </c>
      <c r="J45" s="70" t="str">
        <f t="shared" si="46"/>
        <v>Dutasteride-0,1mg/L</v>
      </c>
      <c r="K45" s="70" t="str">
        <f t="shared" si="46"/>
        <v>Dutasteride-0,25mg/L</v>
      </c>
      <c r="L45" s="70" t="str">
        <f t="shared" si="46"/>
        <v>Dutasteride-0,5mg/L</v>
      </c>
      <c r="M45" s="70" t="str">
        <f t="shared" si="46"/>
        <v>Dutasteride-1mg/L</v>
      </c>
      <c r="N45" s="70" t="str">
        <f>N22</f>
        <v>Nom des groupes</v>
      </c>
      <c r="O45" s="70" t="str">
        <f t="shared" ref="O45:V45" si="47">O4</f>
        <v>Testo -30µg/L</v>
      </c>
      <c r="P45" s="70" t="str">
        <f t="shared" si="47"/>
        <v>Testo 30µg/L + EE2 -64ng/L</v>
      </c>
      <c r="Q45" s="70" t="str">
        <f t="shared" si="47"/>
        <v>Testo 30µg/L + FAD-10µg/L</v>
      </c>
      <c r="R45" s="70" t="str">
        <f t="shared" si="47"/>
        <v>Dutasteride-0,01mg/L + Testostérone</v>
      </c>
      <c r="S45" s="70" t="str">
        <f t="shared" si="47"/>
        <v>Dutasteride-0,1mg/L + Testostérone</v>
      </c>
      <c r="T45" s="70" t="str">
        <f t="shared" si="47"/>
        <v>Dutasteride-0,25mg/L + Testostérone</v>
      </c>
      <c r="U45" s="70" t="str">
        <f t="shared" si="47"/>
        <v>Dutasteride-0,5mg/L + Testostérone</v>
      </c>
      <c r="V45" s="70" t="str">
        <f t="shared" si="47"/>
        <v>Dutasteride-1mg/L + Testostérone</v>
      </c>
    </row>
    <row r="46" spans="1:22" x14ac:dyDescent="0.35">
      <c r="A46" s="8" t="s">
        <v>0</v>
      </c>
      <c r="B46" s="10">
        <f t="shared" ref="B46:H46" si="48">AVERAGE(B28:B43)</f>
        <v>0.4342426898047767</v>
      </c>
      <c r="C46" s="10">
        <f t="shared" si="48"/>
        <v>0.48092559768006016</v>
      </c>
      <c r="D46" s="10">
        <f t="shared" si="48"/>
        <v>0.99872422062892818</v>
      </c>
      <c r="E46" s="10">
        <f t="shared" si="48"/>
        <v>2.834629331739734</v>
      </c>
      <c r="F46" s="10">
        <f t="shared" si="48"/>
        <v>4.2034172988687919</v>
      </c>
      <c r="G46" s="10">
        <f t="shared" si="48"/>
        <v>5.2169523749470414</v>
      </c>
      <c r="H46" s="10">
        <f t="shared" si="48"/>
        <v>9.2700797412253451</v>
      </c>
      <c r="I46" s="10">
        <f>AVERAGE(I28:I43)</f>
        <v>0.25829643619609033</v>
      </c>
      <c r="J46" s="9">
        <f>AVERAGE(J28:J43)</f>
        <v>0.15434435921133022</v>
      </c>
      <c r="K46" s="9">
        <f>AVERAGE(K28:K43)</f>
        <v>0.23997427971183691</v>
      </c>
      <c r="L46" s="9">
        <f t="shared" ref="L46:M46" si="49">AVERAGE(L28:L43)</f>
        <v>0.39219242569195928</v>
      </c>
      <c r="M46" s="9">
        <f t="shared" si="49"/>
        <v>0.33275843970099911</v>
      </c>
      <c r="N46" s="8" t="s">
        <v>0</v>
      </c>
      <c r="O46" s="10">
        <f>AVERAGE(O28:O43)</f>
        <v>0.99999999999999989</v>
      </c>
      <c r="P46" s="10">
        <f>AVERAGE(P28:P43)</f>
        <v>6.0946171059769174</v>
      </c>
      <c r="Q46" s="10">
        <f>AVERAGE(Q28:Q43)</f>
        <v>0.23739494750223178</v>
      </c>
      <c r="R46" s="10">
        <f>AVERAGE(R28:R43)</f>
        <v>1.6602854382115699</v>
      </c>
      <c r="S46" s="10">
        <f t="shared" ref="S46:V46" si="50">AVERAGE(S28:S43)</f>
        <v>2.1614499436995813</v>
      </c>
      <c r="T46" s="10">
        <f t="shared" si="50"/>
        <v>1.1606896193116529</v>
      </c>
      <c r="U46" s="10">
        <f t="shared" si="50"/>
        <v>2.5535842508392599</v>
      </c>
      <c r="V46" s="10">
        <f t="shared" si="50"/>
        <v>2.4053381221648884</v>
      </c>
    </row>
    <row r="47" spans="1:22" x14ac:dyDescent="0.35">
      <c r="A47" s="8" t="s">
        <v>1</v>
      </c>
      <c r="B47" s="8">
        <f t="shared" ref="B47:K47" si="51">STDEV(B28:B43)</f>
        <v>0.18882739486874409</v>
      </c>
      <c r="C47" s="8">
        <f t="shared" si="51"/>
        <v>0.27484097184727835</v>
      </c>
      <c r="D47" s="8">
        <f t="shared" si="51"/>
        <v>0.71838385193785625</v>
      </c>
      <c r="E47" s="8">
        <f t="shared" si="51"/>
        <v>2.2333793265501707</v>
      </c>
      <c r="F47" s="8">
        <f t="shared" si="51"/>
        <v>2.5495855144302495</v>
      </c>
      <c r="G47" s="8">
        <f t="shared" si="51"/>
        <v>1.7669571428104391</v>
      </c>
      <c r="H47" s="8">
        <f t="shared" si="51"/>
        <v>3.1930607143536163</v>
      </c>
      <c r="I47" s="8">
        <f>STDEV(I28:I43)</f>
        <v>0.13778873265348252</v>
      </c>
      <c r="J47" s="8">
        <f t="shared" si="51"/>
        <v>8.6754965452178992E-2</v>
      </c>
      <c r="K47" s="8">
        <f t="shared" si="51"/>
        <v>0.18227899619117047</v>
      </c>
      <c r="L47" s="8">
        <f t="shared" ref="L47:M47" si="52">STDEV(L28:L43)</f>
        <v>0.36506694894263952</v>
      </c>
      <c r="M47" s="8">
        <f t="shared" si="52"/>
        <v>0.23026596479031777</v>
      </c>
      <c r="N47" s="8" t="s">
        <v>1</v>
      </c>
      <c r="O47" s="8">
        <f>STDEV(O28:O43)</f>
        <v>0.64940737286742178</v>
      </c>
      <c r="P47" s="8">
        <f>STDEV(P28:P43)</f>
        <v>2.2114067117699716</v>
      </c>
      <c r="Q47" s="8">
        <f>STDEV(Q28:Q43)</f>
        <v>0.22430661058576334</v>
      </c>
      <c r="R47" s="8">
        <f>STDEV(R28:R43)</f>
        <v>1.5380423980577476</v>
      </c>
      <c r="S47" s="8">
        <f t="shared" ref="S47:V47" si="53">STDEV(S28:S43)</f>
        <v>1.5894433249226985</v>
      </c>
      <c r="T47" s="8">
        <f t="shared" si="53"/>
        <v>0.94529223730530443</v>
      </c>
      <c r="U47" s="8">
        <f t="shared" si="53"/>
        <v>2.2313234580602068</v>
      </c>
      <c r="V47" s="8">
        <f t="shared" si="53"/>
        <v>1.4642000345367061</v>
      </c>
    </row>
    <row r="48" spans="1:22" x14ac:dyDescent="0.35">
      <c r="A48" s="8" t="s">
        <v>2</v>
      </c>
      <c r="B48" s="8">
        <f t="shared" ref="B48:K48" si="54" xml:space="preserve"> B47/SQRT(COUNT(B28:B43))</f>
        <v>6.6760565692739415E-2</v>
      </c>
      <c r="C48" s="8">
        <f t="shared" si="54"/>
        <v>0.10388012308560041</v>
      </c>
      <c r="D48" s="8">
        <f t="shared" si="54"/>
        <v>0.25398704660008542</v>
      </c>
      <c r="E48" s="8">
        <f t="shared" si="54"/>
        <v>0.84413804018923799</v>
      </c>
      <c r="F48" s="8">
        <f t="shared" si="54"/>
        <v>0.90141460323431077</v>
      </c>
      <c r="G48" s="8">
        <f t="shared" si="54"/>
        <v>0.6678470253122375</v>
      </c>
      <c r="H48" s="8">
        <f t="shared" si="54"/>
        <v>1.1289174419299017</v>
      </c>
      <c r="I48" s="8">
        <f xml:space="preserve"> I47/SQRT(COUNT(I28:I43))</f>
        <v>4.8715673615188873E-2</v>
      </c>
      <c r="J48" s="8">
        <f t="shared" si="54"/>
        <v>3.0672512186420208E-2</v>
      </c>
      <c r="K48" s="8">
        <f t="shared" si="54"/>
        <v>6.4445357137326742E-2</v>
      </c>
      <c r="L48" s="8">
        <f t="shared" ref="L48:M48" si="55" xml:space="preserve"> L47/SQRT(COUNT(L28:L43))</f>
        <v>0.12907065759221176</v>
      </c>
      <c r="M48" s="8">
        <f t="shared" si="55"/>
        <v>8.1411312589848239E-2</v>
      </c>
      <c r="N48" s="8" t="s">
        <v>2</v>
      </c>
      <c r="O48" s="8">
        <f xml:space="preserve"> O47/SQRT(COUNT(O28:O43))</f>
        <v>0.16235184321685545</v>
      </c>
      <c r="P48" s="8">
        <f xml:space="preserve"> P47/SQRT(COUNT(P28:P43))</f>
        <v>0.7818503409269959</v>
      </c>
      <c r="Q48" s="8">
        <f xml:space="preserve"> Q47/SQRT(COUNT(Q28:Q43))</f>
        <v>7.9304362705081732E-2</v>
      </c>
      <c r="R48" s="8">
        <f xml:space="preserve"> R47/SQRT(COUNT(R28:R43))</f>
        <v>0.5437801047095262</v>
      </c>
      <c r="S48" s="8">
        <f t="shared" ref="S48:V48" si="56" xml:space="preserve"> S47/SQRT(COUNT(S28:S43))</f>
        <v>0.56195307668226646</v>
      </c>
      <c r="T48" s="8">
        <f t="shared" si="56"/>
        <v>0.33421127560079189</v>
      </c>
      <c r="U48" s="8">
        <f t="shared" si="56"/>
        <v>0.78889197410749456</v>
      </c>
      <c r="V48" s="8">
        <f t="shared" si="56"/>
        <v>0.51767288671724099</v>
      </c>
    </row>
    <row r="49" spans="1:22" s="1" customFormat="1" ht="15" thickBot="1" x14ac:dyDescent="0.4">
      <c r="A49" s="8"/>
      <c r="B49" s="8"/>
      <c r="C49" s="8"/>
      <c r="D49" s="8"/>
      <c r="E49" s="8"/>
      <c r="F49" s="8"/>
      <c r="G49" s="8"/>
      <c r="H49" s="8"/>
      <c r="I49" s="8"/>
      <c r="J49" s="8"/>
      <c r="K49" s="8"/>
      <c r="L49" s="8"/>
      <c r="M49" s="8"/>
      <c r="N49" s="8"/>
      <c r="O49" s="8"/>
      <c r="P49" s="8"/>
      <c r="Q49" s="8"/>
      <c r="R49" s="8"/>
      <c r="S49" s="8"/>
      <c r="T49" s="8"/>
      <c r="U49" s="8"/>
      <c r="V49" s="8"/>
    </row>
    <row r="50" spans="1:22" ht="26.5" thickBot="1" x14ac:dyDescent="0.65">
      <c r="A50" s="215" t="s">
        <v>38</v>
      </c>
      <c r="B50" s="216"/>
      <c r="C50" s="216"/>
      <c r="D50" s="216"/>
      <c r="E50" s="216"/>
      <c r="F50" s="216"/>
      <c r="G50" s="216"/>
      <c r="H50" s="216"/>
      <c r="I50" s="216"/>
      <c r="J50" s="216"/>
      <c r="K50" s="216"/>
      <c r="L50" s="216"/>
      <c r="M50" s="216"/>
      <c r="N50" s="216"/>
      <c r="O50" s="216"/>
      <c r="P50" s="216"/>
      <c r="Q50" s="216"/>
      <c r="R50" s="216"/>
      <c r="S50" s="216"/>
      <c r="T50" s="216"/>
      <c r="U50" s="216"/>
      <c r="V50" s="216"/>
    </row>
    <row r="51" spans="1:22" ht="15" thickBot="1" x14ac:dyDescent="0.4">
      <c r="A51"/>
      <c r="B51"/>
      <c r="C51"/>
      <c r="D51"/>
      <c r="E51"/>
      <c r="F51"/>
      <c r="G51"/>
      <c r="H51"/>
      <c r="I51"/>
      <c r="J51"/>
      <c r="K51"/>
      <c r="L51"/>
      <c r="M51"/>
      <c r="S51"/>
      <c r="T51"/>
      <c r="U51"/>
      <c r="V51"/>
    </row>
    <row r="52" spans="1:22" x14ac:dyDescent="0.35">
      <c r="A52" s="45" t="str">
        <f t="shared" ref="A52:H52" si="57">A27</f>
        <v>Noms des groupes</v>
      </c>
      <c r="B52" s="46" t="str">
        <f t="shared" si="57"/>
        <v>Témoin solvant</v>
      </c>
      <c r="C52" s="46" t="str">
        <f t="shared" si="57"/>
        <v>EE2-33,8ng/L</v>
      </c>
      <c r="D52" s="46" t="str">
        <f t="shared" si="57"/>
        <v>EE2-50,6ng/L</v>
      </c>
      <c r="E52" s="46" t="str">
        <f t="shared" si="57"/>
        <v>EE2-76ng/L</v>
      </c>
      <c r="F52" s="46" t="str">
        <f t="shared" si="57"/>
        <v>EE2-114ng/L</v>
      </c>
      <c r="G52" s="46" t="str">
        <f t="shared" si="57"/>
        <v>EE2-170,9ng/L</v>
      </c>
      <c r="H52" s="46" t="str">
        <f t="shared" si="57"/>
        <v>EE2-488ng/L</v>
      </c>
      <c r="I52" s="46" t="str">
        <f>I4</f>
        <v>Dutasteride-0,01mg/L</v>
      </c>
      <c r="J52" s="46" t="str">
        <f>J4</f>
        <v>Dutasteride-0,1mg/L</v>
      </c>
      <c r="K52" s="46" t="str">
        <f>K27</f>
        <v>Dutasteride-0,25mg/L</v>
      </c>
      <c r="L52" s="46" t="str">
        <f t="shared" ref="L52:M52" si="58">L27</f>
        <v>Dutasteride-0,5mg/L</v>
      </c>
      <c r="M52" s="46" t="str">
        <f t="shared" si="58"/>
        <v>Dutasteride-1mg/L</v>
      </c>
      <c r="N52" s="47"/>
      <c r="O52" s="46" t="str">
        <f>O27</f>
        <v>Testo -30µg/L</v>
      </c>
      <c r="P52" s="46" t="str">
        <f>P27</f>
        <v>Testo 30µg/L + EE2 -64ng/L</v>
      </c>
      <c r="Q52" s="46" t="str">
        <f>Q27</f>
        <v>Testo 30µg/L + FAD-10µg/L</v>
      </c>
      <c r="R52" s="46" t="str">
        <f>R27</f>
        <v>Dutasteride-0,01mg/L + Testostérone</v>
      </c>
      <c r="S52" s="46" t="str">
        <f t="shared" ref="S52:V52" si="59">S27</f>
        <v>Dutasteride-0,1mg/L + Testostérone</v>
      </c>
      <c r="T52" s="46" t="str">
        <f t="shared" si="59"/>
        <v>Dutasteride-0,25mg/L + Testostérone</v>
      </c>
      <c r="U52" s="46" t="str">
        <f t="shared" si="59"/>
        <v>Dutasteride-0,5mg/L + Testostérone</v>
      </c>
      <c r="V52" s="46" t="str">
        <f t="shared" si="59"/>
        <v>Dutasteride-1mg/L + Testostérone</v>
      </c>
    </row>
    <row r="53" spans="1:22" s="3" customFormat="1" x14ac:dyDescent="0.35">
      <c r="A53" s="61" t="s">
        <v>32</v>
      </c>
      <c r="B53" s="141">
        <f t="shared" ref="B53:M53" si="60">B46</f>
        <v>0.4342426898047767</v>
      </c>
      <c r="C53" s="141">
        <f t="shared" si="60"/>
        <v>0.48092559768006016</v>
      </c>
      <c r="D53" s="141">
        <f t="shared" si="60"/>
        <v>0.99872422062892818</v>
      </c>
      <c r="E53" s="141">
        <f t="shared" si="60"/>
        <v>2.834629331739734</v>
      </c>
      <c r="F53" s="141">
        <f t="shared" si="60"/>
        <v>4.2034172988687919</v>
      </c>
      <c r="G53" s="141">
        <f t="shared" si="60"/>
        <v>5.2169523749470414</v>
      </c>
      <c r="H53" s="141">
        <f t="shared" si="60"/>
        <v>9.2700797412253451</v>
      </c>
      <c r="I53" s="141">
        <f t="shared" si="60"/>
        <v>0.25829643619609033</v>
      </c>
      <c r="J53" s="141">
        <f t="shared" si="60"/>
        <v>0.15434435921133022</v>
      </c>
      <c r="K53" s="141">
        <f t="shared" si="60"/>
        <v>0.23997427971183691</v>
      </c>
      <c r="L53" s="141">
        <f t="shared" si="60"/>
        <v>0.39219242569195928</v>
      </c>
      <c r="M53" s="141">
        <f t="shared" si="60"/>
        <v>0.33275843970099911</v>
      </c>
      <c r="N53" s="141"/>
      <c r="O53" s="141">
        <f t="shared" ref="O53:V53" si="61">O46</f>
        <v>0.99999999999999989</v>
      </c>
      <c r="P53" s="141">
        <f t="shared" si="61"/>
        <v>6.0946171059769174</v>
      </c>
      <c r="Q53" s="141">
        <f t="shared" si="61"/>
        <v>0.23739494750223178</v>
      </c>
      <c r="R53" s="141">
        <f t="shared" si="61"/>
        <v>1.6602854382115699</v>
      </c>
      <c r="S53" s="141">
        <f t="shared" si="61"/>
        <v>2.1614499436995813</v>
      </c>
      <c r="T53" s="141">
        <f t="shared" si="61"/>
        <v>1.1606896193116529</v>
      </c>
      <c r="U53" s="141">
        <f t="shared" si="61"/>
        <v>2.5535842508392599</v>
      </c>
      <c r="V53" s="141">
        <f t="shared" si="61"/>
        <v>2.4053381221648884</v>
      </c>
    </row>
    <row r="54" spans="1:22" s="3" customFormat="1" x14ac:dyDescent="0.35">
      <c r="A54" s="61" t="s">
        <v>2</v>
      </c>
      <c r="B54" s="141">
        <f t="shared" ref="B54:M54" si="62">B48</f>
        <v>6.6760565692739415E-2</v>
      </c>
      <c r="C54" s="141">
        <f t="shared" si="62"/>
        <v>0.10388012308560041</v>
      </c>
      <c r="D54" s="141">
        <f t="shared" si="62"/>
        <v>0.25398704660008542</v>
      </c>
      <c r="E54" s="141">
        <f t="shared" si="62"/>
        <v>0.84413804018923799</v>
      </c>
      <c r="F54" s="141">
        <f t="shared" si="62"/>
        <v>0.90141460323431077</v>
      </c>
      <c r="G54" s="141">
        <f t="shared" si="62"/>
        <v>0.6678470253122375</v>
      </c>
      <c r="H54" s="141">
        <f t="shared" si="62"/>
        <v>1.1289174419299017</v>
      </c>
      <c r="I54" s="141">
        <f t="shared" si="62"/>
        <v>4.8715673615188873E-2</v>
      </c>
      <c r="J54" s="141">
        <f t="shared" si="62"/>
        <v>3.0672512186420208E-2</v>
      </c>
      <c r="K54" s="141">
        <f t="shared" si="62"/>
        <v>6.4445357137326742E-2</v>
      </c>
      <c r="L54" s="141">
        <f t="shared" si="62"/>
        <v>0.12907065759221176</v>
      </c>
      <c r="M54" s="141">
        <f t="shared" si="62"/>
        <v>8.1411312589848239E-2</v>
      </c>
      <c r="N54" s="141"/>
      <c r="O54" s="141">
        <f t="shared" ref="O54:V54" si="63">O48</f>
        <v>0.16235184321685545</v>
      </c>
      <c r="P54" s="141">
        <f t="shared" si="63"/>
        <v>0.7818503409269959</v>
      </c>
      <c r="Q54" s="141">
        <f t="shared" si="63"/>
        <v>7.9304362705081732E-2</v>
      </c>
      <c r="R54" s="141">
        <f t="shared" si="63"/>
        <v>0.5437801047095262</v>
      </c>
      <c r="S54" s="141">
        <f t="shared" si="63"/>
        <v>0.56195307668226646</v>
      </c>
      <c r="T54" s="141">
        <f t="shared" si="63"/>
        <v>0.33421127560079189</v>
      </c>
      <c r="U54" s="141">
        <f t="shared" si="63"/>
        <v>0.78889197410749456</v>
      </c>
      <c r="V54" s="141">
        <f t="shared" si="63"/>
        <v>0.51767288671724099</v>
      </c>
    </row>
    <row r="55" spans="1:22" s="3" customFormat="1" x14ac:dyDescent="0.35">
      <c r="A55" s="61" t="s">
        <v>79</v>
      </c>
      <c r="B55" s="141">
        <f t="shared" ref="B55:M55" si="64">(B53*100/$B$53)-100</f>
        <v>0</v>
      </c>
      <c r="C55" s="141">
        <f t="shared" si="64"/>
        <v>10.750418825995837</v>
      </c>
      <c r="D55" s="141">
        <f t="shared" si="64"/>
        <v>129.99217812461657</v>
      </c>
      <c r="E55" s="141">
        <f t="shared" si="64"/>
        <v>552.77537153569665</v>
      </c>
      <c r="F55" s="141">
        <f t="shared" si="64"/>
        <v>867.98803930551605</v>
      </c>
      <c r="G55" s="141">
        <f t="shared" si="64"/>
        <v>1101.390949676651</v>
      </c>
      <c r="H55" s="141">
        <f t="shared" si="64"/>
        <v>2034.7693257410765</v>
      </c>
      <c r="I55" s="141">
        <f t="shared" si="64"/>
        <v>-40.517954070288866</v>
      </c>
      <c r="J55" s="141">
        <f t="shared" si="64"/>
        <v>-64.456659182744318</v>
      </c>
      <c r="K55" s="141">
        <f t="shared" si="64"/>
        <v>-44.737289689384852</v>
      </c>
      <c r="L55" s="141">
        <f t="shared" si="64"/>
        <v>-9.6835859532193922</v>
      </c>
      <c r="M55" s="141">
        <f t="shared" si="64"/>
        <v>-23.370399199904099</v>
      </c>
      <c r="N55" s="141"/>
      <c r="O55" s="141">
        <f>(O53*100/$O$53)-100</f>
        <v>0</v>
      </c>
      <c r="P55" s="141">
        <f t="shared" ref="P55:V55" si="65">(P53*100/$O$53)-100</f>
        <v>509.46171059769188</v>
      </c>
      <c r="Q55" s="141">
        <f t="shared" si="65"/>
        <v>-76.260505249776827</v>
      </c>
      <c r="R55" s="141">
        <f t="shared" si="65"/>
        <v>66.028543821157029</v>
      </c>
      <c r="S55" s="141">
        <f t="shared" si="65"/>
        <v>116.14499436995817</v>
      </c>
      <c r="T55" s="141">
        <f t="shared" si="65"/>
        <v>16.068961931165305</v>
      </c>
      <c r="U55" s="141">
        <f t="shared" si="65"/>
        <v>155.35842508392602</v>
      </c>
      <c r="V55" s="141">
        <f t="shared" si="65"/>
        <v>140.53381221648888</v>
      </c>
    </row>
    <row r="56" spans="1:22" s="3" customFormat="1" x14ac:dyDescent="0.35">
      <c r="A56" s="61" t="s">
        <v>81</v>
      </c>
      <c r="B56" s="141">
        <f>[1]!SWTEST(B28:B43)</f>
        <v>0.18186198179262092</v>
      </c>
      <c r="C56" s="141">
        <f>[1]!SWTEST(C28:C43)</f>
        <v>0.39252229203474498</v>
      </c>
      <c r="D56" s="141">
        <f>[1]!SWTEST(D28:D43)</f>
        <v>0.32699212710219228</v>
      </c>
      <c r="E56" s="141">
        <f>[1]!SWTEST(E28:E43)</f>
        <v>0.32006536619618209</v>
      </c>
      <c r="F56" s="141">
        <f>[1]!SWTEST(F28:F43)</f>
        <v>4.2365039024128137E-4</v>
      </c>
      <c r="G56" s="141">
        <f>[1]!SWTEST(G28:G43)</f>
        <v>0.73880569487012082</v>
      </c>
      <c r="H56" s="141">
        <f>[1]!SWTEST(H28:H43)</f>
        <v>4.8465874074384185E-2</v>
      </c>
      <c r="I56" s="141">
        <f>[1]!SWTEST(I28:I43)</f>
        <v>0.54152560332608046</v>
      </c>
      <c r="J56" s="141">
        <f>[1]!SWTEST(J28:J43)</f>
        <v>0.77895054280821951</v>
      </c>
      <c r="K56" s="141">
        <f>[1]!SWTEST(K28:K43)</f>
        <v>0.53027101659452813</v>
      </c>
      <c r="L56" s="141">
        <f>[1]!SWTEST(L28:L43)</f>
        <v>0.19576933831785137</v>
      </c>
      <c r="M56" s="141">
        <f>[1]!SWTEST(M28:M43)</f>
        <v>0.13225993992430574</v>
      </c>
      <c r="N56" s="141"/>
      <c r="O56" s="141">
        <f>[1]!SWTEST(O28:O43)</f>
        <v>0.1105402687738144</v>
      </c>
      <c r="P56" s="141">
        <f>[1]!SWTEST(P28:P43)</f>
        <v>0.66631758245362049</v>
      </c>
      <c r="Q56" s="141">
        <f>[1]!SWTEST(Q28:Q43)</f>
        <v>3.7356609586235656E-2</v>
      </c>
      <c r="R56" s="141">
        <f>[1]!SWTEST(R28:R43)</f>
        <v>9.0170595640873596E-2</v>
      </c>
      <c r="S56" s="141">
        <f>[1]!SWTEST(S28:S43)</f>
        <v>0.73812191414647166</v>
      </c>
      <c r="T56" s="141">
        <f>[1]!SWTEST(T28:T43)</f>
        <v>0.29226748101814859</v>
      </c>
      <c r="U56" s="141">
        <f>[1]!SWTEST(U28:U43)</f>
        <v>0.20845522424289586</v>
      </c>
      <c r="V56" s="141">
        <f>[1]!SWTEST(V28:V43)</f>
        <v>0.57660926927105149</v>
      </c>
    </row>
    <row r="57" spans="1:22" s="3" customFormat="1" x14ac:dyDescent="0.35">
      <c r="A57" s="61" t="s">
        <v>85</v>
      </c>
      <c r="B57" s="141" t="str">
        <f t="shared" ref="B57:M57" si="66">IF(B56&gt;0.05,"Oui","Non")</f>
        <v>Oui</v>
      </c>
      <c r="C57" s="141" t="str">
        <f t="shared" si="66"/>
        <v>Oui</v>
      </c>
      <c r="D57" s="141" t="str">
        <f t="shared" si="66"/>
        <v>Oui</v>
      </c>
      <c r="E57" s="141" t="str">
        <f t="shared" si="66"/>
        <v>Oui</v>
      </c>
      <c r="F57" s="141" t="str">
        <f t="shared" si="66"/>
        <v>Non</v>
      </c>
      <c r="G57" s="141" t="str">
        <f t="shared" si="66"/>
        <v>Oui</v>
      </c>
      <c r="H57" s="141" t="str">
        <f t="shared" si="66"/>
        <v>Non</v>
      </c>
      <c r="I57" s="141" t="str">
        <f t="shared" si="66"/>
        <v>Oui</v>
      </c>
      <c r="J57" s="141" t="str">
        <f t="shared" si="66"/>
        <v>Oui</v>
      </c>
      <c r="K57" s="141" t="str">
        <f t="shared" si="66"/>
        <v>Oui</v>
      </c>
      <c r="L57" s="141" t="str">
        <f t="shared" si="66"/>
        <v>Oui</v>
      </c>
      <c r="M57" s="141" t="str">
        <f t="shared" si="66"/>
        <v>Oui</v>
      </c>
      <c r="N57" s="141"/>
      <c r="O57" s="141" t="str">
        <f t="shared" ref="O57:V57" si="67">IF(O56&gt;0.05,"Oui","Non")</f>
        <v>Oui</v>
      </c>
      <c r="P57" s="141" t="str">
        <f t="shared" si="67"/>
        <v>Oui</v>
      </c>
      <c r="Q57" s="141" t="str">
        <f t="shared" si="67"/>
        <v>Non</v>
      </c>
      <c r="R57" s="141" t="str">
        <f t="shared" si="67"/>
        <v>Oui</v>
      </c>
      <c r="S57" s="141" t="str">
        <f t="shared" si="67"/>
        <v>Oui</v>
      </c>
      <c r="T57" s="141" t="str">
        <f t="shared" si="67"/>
        <v>Oui</v>
      </c>
      <c r="U57" s="141" t="str">
        <f t="shared" si="67"/>
        <v>Oui</v>
      </c>
      <c r="V57" s="141" t="str">
        <f t="shared" si="67"/>
        <v>Oui</v>
      </c>
    </row>
    <row r="58" spans="1:22" s="3" customFormat="1" x14ac:dyDescent="0.35">
      <c r="A58" s="61"/>
      <c r="B58" s="141"/>
      <c r="C58" s="141"/>
      <c r="D58" s="141"/>
      <c r="E58" s="141"/>
      <c r="F58" s="141"/>
      <c r="G58" s="141"/>
      <c r="H58" s="141"/>
      <c r="I58" s="141"/>
      <c r="J58" s="141"/>
      <c r="K58" s="141"/>
      <c r="L58" s="141"/>
      <c r="M58" s="141"/>
      <c r="N58" s="148"/>
      <c r="O58" s="149"/>
      <c r="P58" s="141"/>
      <c r="Q58" s="141"/>
      <c r="R58" s="141"/>
      <c r="S58" s="141"/>
      <c r="T58" s="141"/>
      <c r="U58" s="141"/>
      <c r="V58" s="141"/>
    </row>
    <row r="59" spans="1:22" s="3" customFormat="1" x14ac:dyDescent="0.35">
      <c r="A59" s="61" t="s">
        <v>82</v>
      </c>
      <c r="B59" s="150"/>
      <c r="C59" s="150" t="str">
        <f t="shared" ref="C59:M59" si="68">IF($B57="Non",IF(C$57="Non","Mann Withney",IF(C$57="Oui","Mann Withney","")),IF($B$57="Oui",IF(C$57="Oui","T-Test Welch",IF(C$57="Non","Mann Withney",""))))</f>
        <v>T-Test Welch</v>
      </c>
      <c r="D59" s="150" t="str">
        <f t="shared" si="68"/>
        <v>T-Test Welch</v>
      </c>
      <c r="E59" s="150" t="str">
        <f t="shared" si="68"/>
        <v>T-Test Welch</v>
      </c>
      <c r="F59" s="150" t="str">
        <f t="shared" si="68"/>
        <v>Mann Withney</v>
      </c>
      <c r="G59" s="150" t="str">
        <f t="shared" si="68"/>
        <v>T-Test Welch</v>
      </c>
      <c r="H59" s="150" t="str">
        <f t="shared" si="68"/>
        <v>Mann Withney</v>
      </c>
      <c r="I59" s="150" t="str">
        <f t="shared" si="68"/>
        <v>T-Test Welch</v>
      </c>
      <c r="J59" s="150" t="str">
        <f t="shared" si="68"/>
        <v>T-Test Welch</v>
      </c>
      <c r="K59" s="150" t="str">
        <f t="shared" si="68"/>
        <v>T-Test Welch</v>
      </c>
      <c r="L59" s="150" t="str">
        <f t="shared" si="68"/>
        <v>T-Test Welch</v>
      </c>
      <c r="M59" s="150" t="str">
        <f t="shared" si="68"/>
        <v>T-Test Welch</v>
      </c>
      <c r="N59" s="150"/>
      <c r="O59" s="150" t="str">
        <f>IF($B57="Non",IF(O$57="Non","Mann Withney",IF(O$57="Oui","Mann Withney","")),IF($B$57="Oui",IF(O$57="Oui","T-Test Welch",IF(O$57="Non","Mann Withney",""))))</f>
        <v>T-Test Welch</v>
      </c>
      <c r="P59" s="150" t="str">
        <f>IF($O57="Non",IF(P$57="Non","Mann Withney",IF(P$57="Oui","Mann Withney","")),IF($O$57="Oui",IF(P$57="Oui","T-Test Welch",IF(P$57="Non","Mann Withney",""))))</f>
        <v>T-Test Welch</v>
      </c>
      <c r="Q59" s="150" t="str">
        <f t="shared" ref="Q59:V59" si="69">IF($O57="Non",IF(Q$57="Non","Mann Withney",IF(Q$57="Oui","Mann Withney","")),IF($O$57="Oui",IF(Q$57="Oui","T-Test Welch",IF(Q$57="Non","Mann Withney",""))))</f>
        <v>Mann Withney</v>
      </c>
      <c r="R59" s="150" t="str">
        <f t="shared" si="69"/>
        <v>T-Test Welch</v>
      </c>
      <c r="S59" s="150" t="str">
        <f t="shared" si="69"/>
        <v>T-Test Welch</v>
      </c>
      <c r="T59" s="150" t="str">
        <f t="shared" si="69"/>
        <v>T-Test Welch</v>
      </c>
      <c r="U59" s="150" t="str">
        <f t="shared" si="69"/>
        <v>T-Test Welch</v>
      </c>
      <c r="V59" s="150" t="str">
        <f t="shared" si="69"/>
        <v>T-Test Welch</v>
      </c>
    </row>
    <row r="60" spans="1:22" s="3" customFormat="1" x14ac:dyDescent="0.35">
      <c r="A60" s="61" t="s">
        <v>83</v>
      </c>
      <c r="B60" s="151"/>
      <c r="C60" s="151">
        <f>IF(C59="Mann Withney",[1]!MTEST($B28:$B43,C28:C43,2), IF(C59="T-Test Welch",_xlfn.T.TEST($B28:$B43,C28:C43,2,3),""))</f>
        <v>0.71295770652774881</v>
      </c>
      <c r="D60" s="151">
        <f>IF(D59="Mann Withney",[1]!MTEST($B28:$B43,D28:D43,2), IF(D59="T-Test Welch",_xlfn.T.TEST($B28:$B43,D28:D43,2,3),""))</f>
        <v>6.3986458081785741E-2</v>
      </c>
      <c r="E60" s="151">
        <f>IF(E59="Mann Withney",[1]!MTEST($B28:$B43,E28:E43,2), IF(E59="T-Test Welch",_xlfn.T.TEST($B28:$B43,E28:E43,2,3),""))</f>
        <v>2.9370323673799902E-2</v>
      </c>
      <c r="F60" s="151">
        <f>IF(F59="Mann Withney",[1]!MTEST($B28:$B43,F28:F43,2), IF(F59="T-Test Welch",_xlfn.T.TEST($B28:$B43,F28:F43,2,3),""))</f>
        <v>7.7753044694039986E-4</v>
      </c>
      <c r="G60" s="151">
        <f>IF(G59="Mann Withney",[1]!MTEST($B28:$B43,G28:G43,2), IF(G59="T-Test Welch",_xlfn.T.TEST($B28:$B43,G28:G43,2,3),""))</f>
        <v>3.5172621369985448E-4</v>
      </c>
      <c r="H60" s="151">
        <f>IF(H59="Mann Withney",[1]!MTEST($B28:$B43,H28:H43,2), IF(H59="T-Test Welch",_xlfn.T.TEST($B28:$B43,H28:H43,2,3),""))</f>
        <v>7.7753044694039986E-4</v>
      </c>
      <c r="I60" s="151">
        <f>IF(I59="Mann Withney",[1]!MTEST($B28:$B43,I28:I43,2), IF(I59="T-Test Welch",_xlfn.T.TEST($B28:$B43,I28:I43,2,3),""))</f>
        <v>5.3258063730821349E-2</v>
      </c>
      <c r="J60" s="151">
        <f>IF(J59="Mann Withney",[1]!MTEST($B28:$B43,J28:J43,2), IF(J59="T-Test Welch",_xlfn.T.TEST($B28:$B43,J28:J43,2,3),""))</f>
        <v>3.5391269700941917E-3</v>
      </c>
      <c r="K60" s="151">
        <f>IF(K59="Mann Withney",[1]!MTEST($B28:$B43,K28:K43,2), IF(K59="T-Test Welch",_xlfn.T.TEST($B28:$B43,K28:K43,2,3),""))</f>
        <v>5.5002788836625266E-2</v>
      </c>
      <c r="L60" s="151">
        <f>IF(L59="Mann Withney",[1]!MTEST($B28:$B43,L28:L43,2), IF(L59="T-Test Welch",_xlfn.T.TEST($B28:$B43,L28:L43,2,3),""))</f>
        <v>0.77793058078315036</v>
      </c>
      <c r="M60" s="151">
        <f>IF(M59="Mann Withney",[1]!MTEST($B28:$B43,M28:M43,2), IF(M59="T-Test Welch",_xlfn.T.TEST($B28:$B43,M28:M43,2,3),""))</f>
        <v>0.35206326294522949</v>
      </c>
      <c r="N60" s="151"/>
      <c r="O60" s="151">
        <f>IF(O59="Mann Withney",[1]!MTEST($B28:$B43,O28:O43,2), IF(O59="T-Test Welch",_xlfn.T.TEST($B28:$B43,O28:O43,2,3),""))</f>
        <v>4.4079630690158659E-3</v>
      </c>
      <c r="P60" s="151">
        <f>IF(P59="Mann Withney",[1]!MTEST($O28:$O43,P28:P43,2), IF(P59="T-Test Welch",_xlfn.T.TEST($O28:$O43,P28:P43,2,3),""))</f>
        <v>2.6413899436935126E-4</v>
      </c>
      <c r="Q60" s="151">
        <f>IF(Q59="Mann Withney",[1]!MTEST($O28:$O43,Q28:Q43,2), IF(Q59="T-Test Welch",_xlfn.T.TEST($O28:$O43,Q28:Q43,2,3),""))</f>
        <v>9.436448512079032E-4</v>
      </c>
      <c r="R60" s="151">
        <f>IF(R59="Mann Withney",[1]!MTEST($O28:$O43,R28:R43,2), IF(R59="T-Test Welch",_xlfn.T.TEST($O28:$O43,R28:R43,2,3),""))</f>
        <v>0.27708418713458116</v>
      </c>
      <c r="S60" s="151">
        <f>IF(S59="Mann Withney",[1]!MTEST($O28:$O43,S28:S43,2), IF(S59="T-Test Welch",_xlfn.T.TEST($O28:$O43,S28:S43,2,3),""))</f>
        <v>8.1496759674292055E-2</v>
      </c>
      <c r="T60" s="151">
        <f>IF(T59="Mann Withney",[1]!MTEST($O28:$O43,T28:T43,2), IF(T59="T-Test Welch",_xlfn.T.TEST($O28:$O43,T28:T43,2,3),""))</f>
        <v>0.67420777612778737</v>
      </c>
      <c r="U60" s="151">
        <f>IF(U59="Mann Withney",[1]!MTEST($O28:$O43,U28:U43,2), IF(U59="T-Test Welch",_xlfn.T.TEST($O28:$O43,U28:U43,2,3),""))</f>
        <v>9.1794912514517379E-2</v>
      </c>
      <c r="V60" s="151">
        <f>IF(V59="Mann Withney",[1]!MTEST($O28:$O43,V28:V43,2), IF(V59="T-Test Welch",_xlfn.T.TEST($O28:$O43,V28:V43,2,3),""))</f>
        <v>3.0825474381895111E-2</v>
      </c>
    </row>
    <row r="61" spans="1:22" s="3" customFormat="1" ht="15" thickBot="1" x14ac:dyDescent="0.4">
      <c r="A61" s="62" t="s">
        <v>84</v>
      </c>
      <c r="B61" s="142"/>
      <c r="C61" s="142" t="str">
        <f t="shared" ref="C61:M61" si="70">IF(C60&gt;0.05,"NS",IF(C60&gt;0.01,"*",IF(C60&gt;0.001,"**","***")))</f>
        <v>NS</v>
      </c>
      <c r="D61" s="142" t="str">
        <f t="shared" si="70"/>
        <v>NS</v>
      </c>
      <c r="E61" s="142" t="str">
        <f t="shared" si="70"/>
        <v>*</v>
      </c>
      <c r="F61" s="142" t="str">
        <f t="shared" si="70"/>
        <v>***</v>
      </c>
      <c r="G61" s="142" t="str">
        <f t="shared" si="70"/>
        <v>***</v>
      </c>
      <c r="H61" s="142" t="str">
        <f t="shared" si="70"/>
        <v>***</v>
      </c>
      <c r="I61" s="142" t="str">
        <f t="shared" si="70"/>
        <v>NS</v>
      </c>
      <c r="J61" s="142" t="str">
        <f t="shared" si="70"/>
        <v>**</v>
      </c>
      <c r="K61" s="142" t="str">
        <f t="shared" si="70"/>
        <v>NS</v>
      </c>
      <c r="L61" s="142" t="str">
        <f t="shared" si="70"/>
        <v>NS</v>
      </c>
      <c r="M61" s="142" t="str">
        <f t="shared" si="70"/>
        <v>NS</v>
      </c>
      <c r="N61" s="142"/>
      <c r="O61" s="142" t="str">
        <f>IF(O60&gt;0.05,"NS",IF(O60&gt;0.01,"*",IF(O60&gt;0.001,"**","***")))</f>
        <v>**</v>
      </c>
      <c r="P61" s="142" t="str">
        <f>IF(P60&gt;0.05,"NS",IF(P60&gt;0.01,"*",IF(P60&gt;0.001,"**","***")))</f>
        <v>***</v>
      </c>
      <c r="Q61" s="142" t="str">
        <f t="shared" ref="Q61" si="71">IF(Q60&gt;0.05,"NS",IF(Q60&gt;0.01,"*",IF(Q60&gt;0.001,"**","***")))</f>
        <v>***</v>
      </c>
      <c r="R61" s="142" t="str">
        <f t="shared" ref="R61" si="72">IF(R60&gt;0.05,"NS",IF(R60&gt;0.01,"*",IF(R60&gt;0.001,"**","***")))</f>
        <v>NS</v>
      </c>
      <c r="S61" s="142" t="str">
        <f t="shared" ref="S61" si="73">IF(S60&gt;0.05,"NS",IF(S60&gt;0.01,"*",IF(S60&gt;0.001,"**","***")))</f>
        <v>NS</v>
      </c>
      <c r="T61" s="142" t="str">
        <f t="shared" ref="T61" si="74">IF(T60&gt;0.05,"NS",IF(T60&gt;0.01,"*",IF(T60&gt;0.001,"**","***")))</f>
        <v>NS</v>
      </c>
      <c r="U61" s="142" t="str">
        <f t="shared" ref="U61" si="75">IF(U60&gt;0.05,"NS",IF(U60&gt;0.01,"*",IF(U60&gt;0.001,"**","***")))</f>
        <v>NS</v>
      </c>
      <c r="V61" s="142" t="str">
        <f t="shared" ref="V61" si="76">IF(V60&gt;0.05,"NS",IF(V60&gt;0.01,"*",IF(V60&gt;0.001,"**","***")))</f>
        <v>*</v>
      </c>
    </row>
    <row r="63" spans="1:22" x14ac:dyDescent="0.35">
      <c r="A63" s="2" t="s">
        <v>39</v>
      </c>
    </row>
    <row r="64" spans="1:22" x14ac:dyDescent="0.35">
      <c r="A64" s="1" t="s">
        <v>23</v>
      </c>
      <c r="B64" s="1">
        <f>B46+(3*B47)</f>
        <v>1.0007248744110089</v>
      </c>
    </row>
    <row r="65" spans="1:22" x14ac:dyDescent="0.35">
      <c r="A65" s="1" t="s">
        <v>24</v>
      </c>
      <c r="B65" s="1">
        <f>B46+(10*B47)</f>
        <v>2.3225166384922176</v>
      </c>
    </row>
    <row r="66" spans="1:22" ht="15" thickBot="1" x14ac:dyDescent="0.4"/>
    <row r="67" spans="1:22" s="1" customFormat="1" ht="26.5" thickBot="1" x14ac:dyDescent="0.65">
      <c r="A67" s="215" t="s">
        <v>52</v>
      </c>
      <c r="B67" s="216"/>
      <c r="C67" s="216"/>
      <c r="D67" s="216"/>
      <c r="E67" s="216"/>
      <c r="F67" s="216"/>
      <c r="G67" s="216"/>
      <c r="H67" s="216"/>
      <c r="I67" s="216"/>
      <c r="J67" s="216"/>
      <c r="K67" s="216"/>
      <c r="L67" s="216"/>
      <c r="M67" s="216"/>
      <c r="N67" s="216"/>
      <c r="O67" s="216"/>
      <c r="P67" s="216"/>
      <c r="Q67" s="216"/>
      <c r="R67" s="216"/>
      <c r="S67" s="216"/>
      <c r="T67" s="216"/>
      <c r="U67" s="216"/>
      <c r="V67" s="216"/>
    </row>
    <row r="68" spans="1:22" ht="16.5" x14ac:dyDescent="0.35">
      <c r="A68" s="12"/>
      <c r="B68" s="12"/>
      <c r="C68" s="12"/>
      <c r="D68" s="12"/>
      <c r="E68" s="12"/>
      <c r="F68" s="12"/>
      <c r="N68" s="12"/>
      <c r="O68" s="12"/>
      <c r="P68" s="12"/>
      <c r="Q68" s="12"/>
      <c r="R68" s="12"/>
      <c r="S68" s="12"/>
      <c r="T68" s="12"/>
      <c r="U68" s="12"/>
      <c r="V68" s="12"/>
    </row>
    <row r="69" spans="1:22" ht="16.5" x14ac:dyDescent="0.35">
      <c r="A69" s="12"/>
      <c r="B69" s="12"/>
      <c r="C69" s="12"/>
      <c r="D69" s="12"/>
      <c r="E69" s="12"/>
      <c r="F69" s="12"/>
      <c r="N69" s="12"/>
      <c r="O69" s="12"/>
      <c r="P69" s="12"/>
      <c r="Q69" s="12"/>
      <c r="R69" s="12"/>
      <c r="S69" s="12"/>
      <c r="T69" s="12"/>
      <c r="U69" s="12"/>
      <c r="V69" s="12"/>
    </row>
    <row r="70" spans="1:22" ht="16.5" x14ac:dyDescent="0.35">
      <c r="A70" s="12"/>
      <c r="B70" s="12"/>
      <c r="C70" s="12"/>
      <c r="D70" s="12"/>
      <c r="E70" s="12"/>
      <c r="F70" s="12"/>
      <c r="N70" s="12"/>
      <c r="O70" s="12"/>
      <c r="P70" s="12"/>
      <c r="Q70" s="12"/>
      <c r="R70" s="12"/>
      <c r="S70" s="12"/>
      <c r="T70" s="12"/>
      <c r="U70" s="12"/>
      <c r="V70" s="12"/>
    </row>
    <row r="71" spans="1:22" ht="16.5" x14ac:dyDescent="0.35">
      <c r="A71" s="12"/>
      <c r="B71" s="12"/>
      <c r="C71" s="12"/>
      <c r="D71" s="12"/>
      <c r="E71" s="12"/>
      <c r="F71" s="12"/>
      <c r="N71" s="12"/>
      <c r="O71" s="12"/>
      <c r="P71" s="12"/>
      <c r="Q71" s="12"/>
      <c r="R71" s="12"/>
      <c r="S71" s="12"/>
      <c r="T71" s="12"/>
      <c r="U71" s="12"/>
      <c r="V71" s="12"/>
    </row>
    <row r="72" spans="1:22" ht="16.5" x14ac:dyDescent="0.35">
      <c r="A72" s="12"/>
      <c r="B72" s="12"/>
      <c r="C72" s="12"/>
      <c r="D72" s="12"/>
      <c r="E72" s="12"/>
      <c r="F72" s="12"/>
      <c r="N72" s="12"/>
      <c r="O72" s="12"/>
      <c r="P72" s="12"/>
      <c r="Q72" s="12"/>
      <c r="R72" s="12"/>
      <c r="S72" s="12"/>
      <c r="T72" s="12"/>
      <c r="U72" s="12"/>
      <c r="V72" s="12"/>
    </row>
    <row r="73" spans="1:22" ht="16.5" x14ac:dyDescent="0.35">
      <c r="A73" s="12"/>
      <c r="B73" s="12"/>
      <c r="C73" s="12"/>
      <c r="D73" s="12"/>
      <c r="E73" s="12"/>
      <c r="F73" s="12"/>
      <c r="N73" s="12"/>
      <c r="O73" s="12"/>
      <c r="P73" s="12"/>
      <c r="Q73" s="12"/>
      <c r="R73" s="12"/>
      <c r="S73" s="12"/>
      <c r="T73" s="12"/>
      <c r="U73" s="12"/>
      <c r="V73" s="12"/>
    </row>
    <row r="74" spans="1:22" ht="16.5" x14ac:dyDescent="0.35">
      <c r="A74" s="12"/>
      <c r="B74" s="12"/>
      <c r="C74" s="12"/>
      <c r="D74" s="12"/>
      <c r="E74" s="12"/>
      <c r="F74" s="12"/>
      <c r="N74" s="12"/>
      <c r="O74" s="12"/>
      <c r="P74" s="12"/>
      <c r="Q74" s="12"/>
      <c r="R74" s="12"/>
      <c r="S74" s="12"/>
      <c r="T74" s="12"/>
      <c r="U74" s="12"/>
      <c r="V74" s="12"/>
    </row>
  </sheetData>
  <protectedRanges>
    <protectedRange sqref="O51:V51" name="Plage2"/>
    <protectedRange sqref="R5:V21" name="Plage1"/>
    <protectedRange sqref="B51:J51" name="Plage2_1"/>
    <protectedRange sqref="O5:O21 J5:J12 B13:J21" name="Plage1_1"/>
    <protectedRange sqref="B5:I12" name="Plage1_1_1"/>
  </protectedRanges>
  <mergeCells count="9">
    <mergeCell ref="A1:V1"/>
    <mergeCell ref="A67:V67"/>
    <mergeCell ref="A50:V50"/>
    <mergeCell ref="A5:A20"/>
    <mergeCell ref="A28:A43"/>
    <mergeCell ref="B3:M3"/>
    <mergeCell ref="B26:M26"/>
    <mergeCell ref="O26:V26"/>
    <mergeCell ref="O3:V3"/>
  </mergeCells>
  <pageMargins left="0.7" right="0.7" top="0.75" bottom="0.75" header="0.3" footer="0.3"/>
  <pageSetup paperSize="9" scale="21" orientation="landscape" r:id="rId1"/>
  <headerFooter>
    <oddHeader>&amp;C&amp;"-,Gras"&amp;14Données brutes et normalisées R1&amp;R&amp;"-,Gras"&amp;14Page : &amp;P/&amp;P</oddHeader>
  </headerFooter>
  <colBreaks count="1" manualBreakCount="1">
    <brk id="14"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N1531"/>
  <sheetViews>
    <sheetView showGridLines="0" topLeftCell="A1521" zoomScale="80" zoomScaleNormal="80" workbookViewId="0">
      <selection activeCell="A1531" sqref="A1531"/>
    </sheetView>
  </sheetViews>
  <sheetFormatPr baseColWidth="10" defaultColWidth="11.453125" defaultRowHeight="14.5" x14ac:dyDescent="0.35"/>
  <cols>
    <col min="1" max="2" width="15" style="1" customWidth="1"/>
    <col min="3" max="3" width="25.453125" style="1" customWidth="1"/>
    <col min="4" max="4" width="14" style="1" customWidth="1"/>
    <col min="5" max="5" width="21.1796875" style="1" customWidth="1"/>
    <col min="6" max="6" width="11.453125" style="1"/>
    <col min="7" max="7" width="21.453125" style="1" customWidth="1"/>
    <col min="8" max="8" width="12.26953125" style="1" customWidth="1"/>
    <col min="9" max="9" width="17.1796875" style="1" customWidth="1"/>
    <col min="10" max="10" width="11.453125" style="1"/>
    <col min="11" max="11" width="37.453125" style="1" bestFit="1" customWidth="1"/>
    <col min="12" max="12" width="38.453125" style="1" bestFit="1" customWidth="1"/>
    <col min="13" max="14" width="12.81640625" style="1" customWidth="1"/>
    <col min="15" max="25" width="12.26953125" style="1" customWidth="1"/>
    <col min="26" max="16384" width="11.453125" style="1"/>
  </cols>
  <sheetData>
    <row r="1" spans="1:144" x14ac:dyDescent="0.35">
      <c r="A1" s="1" t="s">
        <v>107</v>
      </c>
      <c r="B1" s="1" t="s">
        <v>108</v>
      </c>
      <c r="C1" s="1" t="s">
        <v>109</v>
      </c>
      <c r="D1" s="1" t="s">
        <v>110</v>
      </c>
      <c r="E1" s="1" t="s">
        <v>111</v>
      </c>
      <c r="F1" s="1" t="s">
        <v>112</v>
      </c>
      <c r="G1" s="1" t="s">
        <v>113</v>
      </c>
      <c r="H1" s="1" t="s">
        <v>117</v>
      </c>
      <c r="I1" s="1" t="s">
        <v>118</v>
      </c>
      <c r="K1" s="118" t="s">
        <v>112</v>
      </c>
      <c r="L1" s="1" t="s">
        <v>119</v>
      </c>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row>
    <row r="2" spans="1:144" x14ac:dyDescent="0.35">
      <c r="A2" s="1" t="str">
        <f t="shared" ref="A2:A65" si="0">IFERROR(LEFT(RIGHT(C2,LEN(C2)-SEARCH("@",C2)),SEARCH("/",RIGHT(C2,LEN(C2)-SEARCH("@",C2)-1))),"")</f>
        <v/>
      </c>
      <c r="B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 s="152"/>
      <c r="K2" s="156" t="s">
        <v>120</v>
      </c>
      <c r="L2" s="156" t="s">
        <v>121</v>
      </c>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row>
    <row r="3" spans="1:144" x14ac:dyDescent="0.35">
      <c r="A3" s="1" t="str">
        <f t="shared" si="0"/>
        <v/>
      </c>
      <c r="B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K3" s="118" t="s">
        <v>153</v>
      </c>
      <c r="L3" s="118" t="s">
        <v>114</v>
      </c>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row>
    <row r="4" spans="1:144" x14ac:dyDescent="0.35">
      <c r="A4" s="1" t="str">
        <f t="shared" si="0"/>
        <v/>
      </c>
      <c r="B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K4" s="118" t="s">
        <v>100</v>
      </c>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row>
    <row r="5" spans="1:144" x14ac:dyDescent="0.35">
      <c r="A5" s="1" t="str">
        <f t="shared" si="0"/>
        <v/>
      </c>
      <c r="B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K5" s="145" t="s">
        <v>164</v>
      </c>
      <c r="L5" s="44"/>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row>
    <row r="6" spans="1:144" x14ac:dyDescent="0.35">
      <c r="A6" s="1" t="str">
        <f t="shared" si="0"/>
        <v/>
      </c>
      <c r="B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row>
    <row r="7" spans="1:144" x14ac:dyDescent="0.35">
      <c r="A7" s="1" t="str">
        <f t="shared" si="0"/>
        <v/>
      </c>
      <c r="B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row>
    <row r="8" spans="1:144" x14ac:dyDescent="0.35">
      <c r="A8" s="1" t="str">
        <f t="shared" si="0"/>
        <v/>
      </c>
      <c r="B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row>
    <row r="9" spans="1:144" x14ac:dyDescent="0.35">
      <c r="A9" s="1" t="str">
        <f t="shared" si="0"/>
        <v/>
      </c>
      <c r="B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row>
    <row r="10" spans="1:144" x14ac:dyDescent="0.35">
      <c r="A10" s="1" t="str">
        <f t="shared" si="0"/>
        <v/>
      </c>
      <c r="B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row>
    <row r="11" spans="1:144" x14ac:dyDescent="0.35">
      <c r="A11" s="1" t="str">
        <f t="shared" si="0"/>
        <v/>
      </c>
      <c r="B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 spans="1:144" x14ac:dyDescent="0.35">
      <c r="A12" s="1" t="str">
        <f t="shared" si="0"/>
        <v/>
      </c>
      <c r="B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 spans="1:144" x14ac:dyDescent="0.35">
      <c r="A13" s="1" t="str">
        <f t="shared" si="0"/>
        <v/>
      </c>
      <c r="B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 spans="1:144" x14ac:dyDescent="0.35">
      <c r="A14" s="1" t="str">
        <f t="shared" si="0"/>
        <v/>
      </c>
      <c r="B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 spans="1:144" x14ac:dyDescent="0.35">
      <c r="A15" s="1" t="str">
        <f t="shared" si="0"/>
        <v/>
      </c>
      <c r="B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6" spans="1:144" x14ac:dyDescent="0.35">
      <c r="A16" s="1" t="str">
        <f t="shared" si="0"/>
        <v/>
      </c>
      <c r="B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7" spans="1:2" x14ac:dyDescent="0.35">
      <c r="A17" s="1" t="str">
        <f t="shared" si="0"/>
        <v/>
      </c>
      <c r="B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8" spans="1:2" x14ac:dyDescent="0.35">
      <c r="A18" s="1" t="str">
        <f t="shared" si="0"/>
        <v/>
      </c>
      <c r="B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9" spans="1:2" x14ac:dyDescent="0.35">
      <c r="A19" s="1" t="str">
        <f t="shared" si="0"/>
        <v/>
      </c>
      <c r="B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0" spans="1:2" x14ac:dyDescent="0.35">
      <c r="A20" s="1" t="str">
        <f t="shared" si="0"/>
        <v/>
      </c>
      <c r="B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1" spans="1:2" x14ac:dyDescent="0.35">
      <c r="A21" s="1" t="str">
        <f t="shared" si="0"/>
        <v/>
      </c>
      <c r="B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2" spans="1:2" x14ac:dyDescent="0.35">
      <c r="A22" s="1" t="str">
        <f t="shared" si="0"/>
        <v/>
      </c>
      <c r="B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3" spans="1:2" x14ac:dyDescent="0.35">
      <c r="A23" s="1" t="str">
        <f t="shared" si="0"/>
        <v/>
      </c>
      <c r="B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4" spans="1:2" x14ac:dyDescent="0.35">
      <c r="A24" s="1" t="str">
        <f t="shared" si="0"/>
        <v/>
      </c>
      <c r="B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5" spans="1:2" x14ac:dyDescent="0.35">
      <c r="A25" s="1" t="str">
        <f t="shared" si="0"/>
        <v/>
      </c>
      <c r="B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6" spans="1:2" x14ac:dyDescent="0.35">
      <c r="A26" s="1" t="str">
        <f t="shared" si="0"/>
        <v/>
      </c>
      <c r="B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7" spans="1:2" x14ac:dyDescent="0.35">
      <c r="A27" s="1" t="str">
        <f t="shared" si="0"/>
        <v/>
      </c>
      <c r="B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8" spans="1:2" x14ac:dyDescent="0.35">
      <c r="A28" s="1" t="str">
        <f t="shared" si="0"/>
        <v/>
      </c>
      <c r="B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9" spans="1:2" x14ac:dyDescent="0.35">
      <c r="A29" s="1" t="str">
        <f t="shared" si="0"/>
        <v/>
      </c>
      <c r="B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0" spans="1:2" x14ac:dyDescent="0.35">
      <c r="A30" s="1" t="str">
        <f t="shared" si="0"/>
        <v/>
      </c>
      <c r="B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1" spans="1:2" x14ac:dyDescent="0.35">
      <c r="A31" s="1" t="str">
        <f t="shared" si="0"/>
        <v/>
      </c>
      <c r="B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2" spans="1:2" x14ac:dyDescent="0.35">
      <c r="A32" s="1" t="str">
        <f t="shared" si="0"/>
        <v/>
      </c>
      <c r="B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3" spans="1:2" x14ac:dyDescent="0.35">
      <c r="A33" s="1" t="str">
        <f t="shared" si="0"/>
        <v/>
      </c>
      <c r="B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4" spans="1:2" x14ac:dyDescent="0.35">
      <c r="A34" s="1" t="str">
        <f t="shared" si="0"/>
        <v/>
      </c>
      <c r="B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5" spans="1:2" x14ac:dyDescent="0.35">
      <c r="A35" s="1" t="str">
        <f t="shared" si="0"/>
        <v/>
      </c>
      <c r="B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6" spans="1:2" x14ac:dyDescent="0.35">
      <c r="A36" s="1" t="str">
        <f t="shared" si="0"/>
        <v/>
      </c>
      <c r="B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7" spans="1:2" x14ac:dyDescent="0.35">
      <c r="A37" s="1" t="str">
        <f t="shared" si="0"/>
        <v/>
      </c>
      <c r="B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8" spans="1:2" x14ac:dyDescent="0.35">
      <c r="A38" s="1" t="str">
        <f t="shared" si="0"/>
        <v/>
      </c>
      <c r="B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9" spans="1:2" x14ac:dyDescent="0.35">
      <c r="A39" s="1" t="str">
        <f t="shared" si="0"/>
        <v/>
      </c>
      <c r="B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0" spans="1:2" x14ac:dyDescent="0.35">
      <c r="A40" s="1" t="str">
        <f t="shared" si="0"/>
        <v/>
      </c>
      <c r="B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1" spans="1:2" x14ac:dyDescent="0.35">
      <c r="A41" s="1" t="str">
        <f t="shared" si="0"/>
        <v/>
      </c>
      <c r="B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2" spans="1:2" x14ac:dyDescent="0.35">
      <c r="A42" s="1" t="str">
        <f t="shared" si="0"/>
        <v/>
      </c>
      <c r="B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3" spans="1:2" x14ac:dyDescent="0.35">
      <c r="A43" s="1" t="str">
        <f t="shared" si="0"/>
        <v/>
      </c>
      <c r="B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4" spans="1:2" x14ac:dyDescent="0.35">
      <c r="A44" s="1" t="str">
        <f t="shared" si="0"/>
        <v/>
      </c>
      <c r="B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5" spans="1:2" x14ac:dyDescent="0.35">
      <c r="A45" s="1" t="str">
        <f t="shared" si="0"/>
        <v/>
      </c>
      <c r="B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6" spans="1:2" x14ac:dyDescent="0.35">
      <c r="A46" s="1" t="str">
        <f t="shared" si="0"/>
        <v/>
      </c>
      <c r="B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7" spans="1:2" x14ac:dyDescent="0.35">
      <c r="A47" s="1" t="str">
        <f t="shared" si="0"/>
        <v/>
      </c>
      <c r="B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8" spans="1:2" x14ac:dyDescent="0.35">
      <c r="A48" s="1" t="str">
        <f t="shared" si="0"/>
        <v/>
      </c>
      <c r="B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9" spans="1:2" x14ac:dyDescent="0.35">
      <c r="A49" s="1" t="str">
        <f t="shared" si="0"/>
        <v/>
      </c>
      <c r="B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0" spans="1:2" x14ac:dyDescent="0.35">
      <c r="A50" s="1" t="str">
        <f t="shared" si="0"/>
        <v/>
      </c>
      <c r="B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1" spans="1:2" x14ac:dyDescent="0.35">
      <c r="A51" s="1" t="str">
        <f t="shared" si="0"/>
        <v/>
      </c>
      <c r="B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2" spans="1:2" x14ac:dyDescent="0.35">
      <c r="A52" s="1" t="str">
        <f t="shared" si="0"/>
        <v/>
      </c>
      <c r="B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3" spans="1:2" x14ac:dyDescent="0.35">
      <c r="A53" s="1" t="str">
        <f t="shared" si="0"/>
        <v/>
      </c>
      <c r="B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4" spans="1:2" x14ac:dyDescent="0.35">
      <c r="A54" s="1" t="str">
        <f t="shared" si="0"/>
        <v/>
      </c>
      <c r="B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5" spans="1:2" x14ac:dyDescent="0.35">
      <c r="A55" s="1" t="str">
        <f t="shared" si="0"/>
        <v/>
      </c>
      <c r="B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6" spans="1:2" x14ac:dyDescent="0.35">
      <c r="A56" s="1" t="str">
        <f t="shared" si="0"/>
        <v/>
      </c>
      <c r="B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7" spans="1:2" x14ac:dyDescent="0.35">
      <c r="A57" s="1" t="str">
        <f t="shared" si="0"/>
        <v/>
      </c>
      <c r="B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8" spans="1:2" x14ac:dyDescent="0.35">
      <c r="A58" s="1" t="str">
        <f t="shared" si="0"/>
        <v/>
      </c>
      <c r="B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9" spans="1:2" x14ac:dyDescent="0.35">
      <c r="A59" s="1" t="str">
        <f t="shared" si="0"/>
        <v/>
      </c>
      <c r="B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0" spans="1:2" x14ac:dyDescent="0.35">
      <c r="A60" s="1" t="str">
        <f t="shared" si="0"/>
        <v/>
      </c>
      <c r="B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1" spans="1:2" x14ac:dyDescent="0.35">
      <c r="A61" s="1" t="str">
        <f t="shared" si="0"/>
        <v/>
      </c>
      <c r="B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2" spans="1:2" x14ac:dyDescent="0.35">
      <c r="A62" s="1" t="str">
        <f t="shared" si="0"/>
        <v/>
      </c>
      <c r="B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3" spans="1:2" x14ac:dyDescent="0.35">
      <c r="A63" s="1" t="str">
        <f t="shared" si="0"/>
        <v/>
      </c>
      <c r="B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4" spans="1:2" x14ac:dyDescent="0.35">
      <c r="A64" s="1" t="str">
        <f t="shared" si="0"/>
        <v/>
      </c>
      <c r="B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5" spans="1:2" x14ac:dyDescent="0.35">
      <c r="A65" s="1" t="str">
        <f t="shared" si="0"/>
        <v/>
      </c>
      <c r="B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6" spans="1:2" x14ac:dyDescent="0.35">
      <c r="A66" s="1" t="str">
        <f t="shared" ref="A66:A129" si="1">IFERROR(LEFT(RIGHT(C66,LEN(C66)-SEARCH("@",C66)),SEARCH("/",RIGHT(C66,LEN(C66)-SEARCH("@",C66)-1))),"")</f>
        <v/>
      </c>
      <c r="B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7" spans="1:2" x14ac:dyDescent="0.35">
      <c r="A67" s="1" t="str">
        <f t="shared" si="1"/>
        <v/>
      </c>
      <c r="B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8" spans="1:2" x14ac:dyDescent="0.35">
      <c r="A68" s="1" t="str">
        <f t="shared" si="1"/>
        <v/>
      </c>
      <c r="B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 spans="1:2" x14ac:dyDescent="0.35">
      <c r="A69" s="1" t="str">
        <f t="shared" si="1"/>
        <v/>
      </c>
      <c r="B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 spans="1:2" x14ac:dyDescent="0.35">
      <c r="A70" s="1" t="str">
        <f t="shared" si="1"/>
        <v/>
      </c>
      <c r="B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 spans="1:2" x14ac:dyDescent="0.35">
      <c r="A71" s="1" t="str">
        <f t="shared" si="1"/>
        <v/>
      </c>
      <c r="B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 spans="1:2" x14ac:dyDescent="0.35">
      <c r="A72" s="1" t="str">
        <f t="shared" si="1"/>
        <v/>
      </c>
      <c r="B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 spans="1:2" x14ac:dyDescent="0.35">
      <c r="A73" s="1" t="str">
        <f t="shared" si="1"/>
        <v/>
      </c>
      <c r="B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 spans="1:2" x14ac:dyDescent="0.35">
      <c r="A74" s="1" t="str">
        <f t="shared" si="1"/>
        <v/>
      </c>
      <c r="B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 spans="1:2" x14ac:dyDescent="0.35">
      <c r="A75" s="1" t="str">
        <f t="shared" si="1"/>
        <v/>
      </c>
      <c r="B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 spans="1:2" x14ac:dyDescent="0.35">
      <c r="A76" s="1" t="str">
        <f t="shared" si="1"/>
        <v/>
      </c>
      <c r="B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 spans="1:2" x14ac:dyDescent="0.35">
      <c r="A77" s="1" t="str">
        <f t="shared" si="1"/>
        <v/>
      </c>
      <c r="B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 spans="1:2" x14ac:dyDescent="0.35">
      <c r="A78" s="1" t="str">
        <f t="shared" si="1"/>
        <v/>
      </c>
      <c r="B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 spans="1:2" x14ac:dyDescent="0.35">
      <c r="A79" s="1" t="str">
        <f t="shared" si="1"/>
        <v/>
      </c>
      <c r="B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 spans="1:2" x14ac:dyDescent="0.35">
      <c r="A80" s="1" t="str">
        <f t="shared" si="1"/>
        <v/>
      </c>
      <c r="B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 spans="1:2" x14ac:dyDescent="0.35">
      <c r="A81" s="1" t="str">
        <f t="shared" si="1"/>
        <v/>
      </c>
      <c r="B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 spans="1:2" x14ac:dyDescent="0.35">
      <c r="A82" s="1" t="str">
        <f t="shared" si="1"/>
        <v/>
      </c>
      <c r="B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 spans="1:2" x14ac:dyDescent="0.35">
      <c r="A83" s="1" t="str">
        <f t="shared" si="1"/>
        <v/>
      </c>
      <c r="B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 spans="1:2" x14ac:dyDescent="0.35">
      <c r="A84" s="1" t="str">
        <f t="shared" si="1"/>
        <v/>
      </c>
      <c r="B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 spans="1:2" x14ac:dyDescent="0.35">
      <c r="A85" s="1" t="str">
        <f t="shared" si="1"/>
        <v/>
      </c>
      <c r="B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 spans="1:2" x14ac:dyDescent="0.35">
      <c r="A86" s="1" t="str">
        <f t="shared" si="1"/>
        <v/>
      </c>
      <c r="B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 spans="1:2" x14ac:dyDescent="0.35">
      <c r="A87" s="1" t="str">
        <f t="shared" si="1"/>
        <v/>
      </c>
      <c r="B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 spans="1:2" x14ac:dyDescent="0.35">
      <c r="A88" s="1" t="str">
        <f t="shared" si="1"/>
        <v/>
      </c>
      <c r="B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 spans="1:2" x14ac:dyDescent="0.35">
      <c r="A89" s="1" t="str">
        <f t="shared" si="1"/>
        <v/>
      </c>
      <c r="B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 spans="1:2" x14ac:dyDescent="0.35">
      <c r="A90" s="1" t="str">
        <f t="shared" si="1"/>
        <v/>
      </c>
      <c r="B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 spans="1:2" x14ac:dyDescent="0.35">
      <c r="A91" s="1" t="str">
        <f t="shared" si="1"/>
        <v/>
      </c>
      <c r="B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 spans="1:2" x14ac:dyDescent="0.35">
      <c r="A92" s="1" t="str">
        <f t="shared" si="1"/>
        <v/>
      </c>
      <c r="B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 spans="1:2" x14ac:dyDescent="0.35">
      <c r="A93" s="1" t="str">
        <f t="shared" si="1"/>
        <v/>
      </c>
      <c r="B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 spans="1:2" x14ac:dyDescent="0.35">
      <c r="A94" s="1" t="str">
        <f t="shared" si="1"/>
        <v/>
      </c>
      <c r="B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 spans="1:2" x14ac:dyDescent="0.35">
      <c r="A95" s="1" t="str">
        <f t="shared" si="1"/>
        <v/>
      </c>
      <c r="B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 spans="1:2" x14ac:dyDescent="0.35">
      <c r="A96" s="1" t="str">
        <f t="shared" si="1"/>
        <v/>
      </c>
      <c r="B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 spans="1:2" x14ac:dyDescent="0.35">
      <c r="A97" s="1" t="str">
        <f t="shared" si="1"/>
        <v/>
      </c>
      <c r="B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 spans="1:2" x14ac:dyDescent="0.35">
      <c r="A98" s="1" t="str">
        <f t="shared" si="1"/>
        <v/>
      </c>
      <c r="B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 spans="1:2" x14ac:dyDescent="0.35">
      <c r="A99" s="1" t="str">
        <f t="shared" si="1"/>
        <v/>
      </c>
      <c r="B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 spans="1:2" x14ac:dyDescent="0.35">
      <c r="A100" s="1" t="str">
        <f t="shared" si="1"/>
        <v/>
      </c>
      <c r="B1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 spans="1:2" x14ac:dyDescent="0.35">
      <c r="A101" s="1" t="str">
        <f t="shared" si="1"/>
        <v/>
      </c>
      <c r="B1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 spans="1:2" x14ac:dyDescent="0.35">
      <c r="A102" s="1" t="str">
        <f t="shared" si="1"/>
        <v/>
      </c>
      <c r="B1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 spans="1:2" x14ac:dyDescent="0.35">
      <c r="A103" s="1" t="str">
        <f t="shared" si="1"/>
        <v/>
      </c>
      <c r="B1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 spans="1:2" x14ac:dyDescent="0.35">
      <c r="A104" s="1" t="str">
        <f t="shared" si="1"/>
        <v/>
      </c>
      <c r="B1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 spans="1:2" x14ac:dyDescent="0.35">
      <c r="A105" s="1" t="str">
        <f t="shared" si="1"/>
        <v/>
      </c>
      <c r="B1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 spans="1:2" x14ac:dyDescent="0.35">
      <c r="A106" s="1" t="str">
        <f t="shared" si="1"/>
        <v/>
      </c>
      <c r="B1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 spans="1:2" x14ac:dyDescent="0.35">
      <c r="A107" s="1" t="str">
        <f t="shared" si="1"/>
        <v/>
      </c>
      <c r="B1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 spans="1:2" x14ac:dyDescent="0.35">
      <c r="A108" s="1" t="str">
        <f t="shared" si="1"/>
        <v/>
      </c>
      <c r="B1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 spans="1:2" x14ac:dyDescent="0.35">
      <c r="A109" s="1" t="str">
        <f t="shared" si="1"/>
        <v/>
      </c>
      <c r="B1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 spans="1:2" x14ac:dyDescent="0.35">
      <c r="A110" s="1" t="str">
        <f t="shared" si="1"/>
        <v/>
      </c>
      <c r="B1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 spans="1:2" x14ac:dyDescent="0.35">
      <c r="A111" s="1" t="str">
        <f t="shared" si="1"/>
        <v/>
      </c>
      <c r="B1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 spans="1:2" x14ac:dyDescent="0.35">
      <c r="A112" s="1" t="str">
        <f t="shared" si="1"/>
        <v/>
      </c>
      <c r="B1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 spans="1:2" x14ac:dyDescent="0.35">
      <c r="A113" s="1" t="str">
        <f t="shared" si="1"/>
        <v/>
      </c>
      <c r="B1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 spans="1:2" x14ac:dyDescent="0.35">
      <c r="A114" s="1" t="str">
        <f t="shared" si="1"/>
        <v/>
      </c>
      <c r="B1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 spans="1:2" x14ac:dyDescent="0.35">
      <c r="A115" s="1" t="str">
        <f t="shared" si="1"/>
        <v/>
      </c>
      <c r="B1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 spans="1:2" x14ac:dyDescent="0.35">
      <c r="A116" s="1" t="str">
        <f t="shared" si="1"/>
        <v/>
      </c>
      <c r="B1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 spans="1:2" x14ac:dyDescent="0.35">
      <c r="A117" s="1" t="str">
        <f t="shared" si="1"/>
        <v/>
      </c>
      <c r="B1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 spans="1:2" x14ac:dyDescent="0.35">
      <c r="A118" s="1" t="str">
        <f t="shared" si="1"/>
        <v/>
      </c>
      <c r="B1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 spans="1:2" x14ac:dyDescent="0.35">
      <c r="A119" s="1" t="str">
        <f t="shared" si="1"/>
        <v/>
      </c>
      <c r="B1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 spans="1:2" x14ac:dyDescent="0.35">
      <c r="A120" s="1" t="str">
        <f t="shared" si="1"/>
        <v/>
      </c>
      <c r="B1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 spans="1:2" x14ac:dyDescent="0.35">
      <c r="A121" s="1" t="str">
        <f t="shared" si="1"/>
        <v/>
      </c>
      <c r="B1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 spans="1:2" x14ac:dyDescent="0.35">
      <c r="A122" s="1" t="str">
        <f t="shared" si="1"/>
        <v/>
      </c>
      <c r="B1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 spans="1:2" x14ac:dyDescent="0.35">
      <c r="A123" s="1" t="str">
        <f t="shared" si="1"/>
        <v/>
      </c>
      <c r="B1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 spans="1:2" x14ac:dyDescent="0.35">
      <c r="A124" s="1" t="str">
        <f t="shared" si="1"/>
        <v/>
      </c>
      <c r="B1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 spans="1:2" x14ac:dyDescent="0.35">
      <c r="A125" s="1" t="str">
        <f t="shared" si="1"/>
        <v/>
      </c>
      <c r="B1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 spans="1:2" x14ac:dyDescent="0.35">
      <c r="A126" s="1" t="str">
        <f t="shared" si="1"/>
        <v/>
      </c>
      <c r="B1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 spans="1:2" x14ac:dyDescent="0.35">
      <c r="A127" s="1" t="str">
        <f t="shared" si="1"/>
        <v/>
      </c>
      <c r="B1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 spans="1:2" x14ac:dyDescent="0.35">
      <c r="A128" s="1" t="str">
        <f t="shared" si="1"/>
        <v/>
      </c>
      <c r="B1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 spans="1:2" x14ac:dyDescent="0.35">
      <c r="A129" s="1" t="str">
        <f t="shared" si="1"/>
        <v/>
      </c>
      <c r="B1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 spans="1:2" x14ac:dyDescent="0.35">
      <c r="A130" s="1" t="str">
        <f t="shared" ref="A130:A193" si="2">IFERROR(LEFT(RIGHT(C130,LEN(C130)-SEARCH("@",C130)),SEARCH("/",RIGHT(C130,LEN(C130)-SEARCH("@",C130)-1))),"")</f>
        <v/>
      </c>
      <c r="B1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 spans="1:2" x14ac:dyDescent="0.35">
      <c r="A131" s="1" t="str">
        <f t="shared" si="2"/>
        <v/>
      </c>
      <c r="B1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 spans="1:2" x14ac:dyDescent="0.35">
      <c r="A132" s="1" t="str">
        <f t="shared" si="2"/>
        <v/>
      </c>
      <c r="B1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 spans="1:2" x14ac:dyDescent="0.35">
      <c r="A133" s="1" t="str">
        <f t="shared" si="2"/>
        <v/>
      </c>
      <c r="B1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 spans="1:2" x14ac:dyDescent="0.35">
      <c r="A134" s="1" t="str">
        <f t="shared" si="2"/>
        <v/>
      </c>
      <c r="B1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 spans="1:2" x14ac:dyDescent="0.35">
      <c r="A135" s="1" t="str">
        <f t="shared" si="2"/>
        <v/>
      </c>
      <c r="B1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 spans="1:2" x14ac:dyDescent="0.35">
      <c r="A136" s="1" t="str">
        <f t="shared" si="2"/>
        <v/>
      </c>
      <c r="B1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 spans="1:2" x14ac:dyDescent="0.35">
      <c r="A137" s="1" t="str">
        <f t="shared" si="2"/>
        <v/>
      </c>
      <c r="B1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 spans="1:2" x14ac:dyDescent="0.35">
      <c r="A138" s="1" t="str">
        <f t="shared" si="2"/>
        <v/>
      </c>
      <c r="B1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 spans="1:2" x14ac:dyDescent="0.35">
      <c r="A139" s="1" t="str">
        <f t="shared" si="2"/>
        <v/>
      </c>
      <c r="B1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 spans="1:2" x14ac:dyDescent="0.35">
      <c r="A140" s="1" t="str">
        <f t="shared" si="2"/>
        <v/>
      </c>
      <c r="B1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 spans="1:2" x14ac:dyDescent="0.35">
      <c r="A141" s="1" t="str">
        <f t="shared" si="2"/>
        <v/>
      </c>
      <c r="B1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 spans="1:2" x14ac:dyDescent="0.35">
      <c r="A142" s="1" t="str">
        <f t="shared" si="2"/>
        <v/>
      </c>
      <c r="B1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 spans="1:2" x14ac:dyDescent="0.35">
      <c r="A143" s="1" t="str">
        <f t="shared" si="2"/>
        <v/>
      </c>
      <c r="B1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 spans="1:2" x14ac:dyDescent="0.35">
      <c r="A144" s="1" t="str">
        <f t="shared" si="2"/>
        <v/>
      </c>
      <c r="B1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 spans="1:2" x14ac:dyDescent="0.35">
      <c r="A145" s="1" t="str">
        <f t="shared" si="2"/>
        <v/>
      </c>
      <c r="B1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 spans="1:2" x14ac:dyDescent="0.35">
      <c r="A146" s="1" t="str">
        <f t="shared" si="2"/>
        <v/>
      </c>
      <c r="B1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 spans="1:2" x14ac:dyDescent="0.35">
      <c r="A147" s="1" t="str">
        <f t="shared" si="2"/>
        <v/>
      </c>
      <c r="B1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 spans="1:2" x14ac:dyDescent="0.35">
      <c r="A148" s="1" t="str">
        <f t="shared" si="2"/>
        <v/>
      </c>
      <c r="B1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 spans="1:2" x14ac:dyDescent="0.35">
      <c r="A149" s="1" t="str">
        <f t="shared" si="2"/>
        <v/>
      </c>
      <c r="B1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 spans="1:2" x14ac:dyDescent="0.35">
      <c r="A150" s="1" t="str">
        <f t="shared" si="2"/>
        <v/>
      </c>
      <c r="B1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 spans="1:2" x14ac:dyDescent="0.35">
      <c r="A151" s="1" t="str">
        <f t="shared" si="2"/>
        <v/>
      </c>
      <c r="B1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 spans="1:2" x14ac:dyDescent="0.35">
      <c r="A152" s="1" t="str">
        <f t="shared" si="2"/>
        <v/>
      </c>
      <c r="B1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3" spans="1:2" x14ac:dyDescent="0.35">
      <c r="A153" s="1" t="str">
        <f t="shared" si="2"/>
        <v/>
      </c>
      <c r="B1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4" spans="1:2" x14ac:dyDescent="0.35">
      <c r="A154" s="1" t="str">
        <f t="shared" si="2"/>
        <v/>
      </c>
      <c r="B1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5" spans="1:2" x14ac:dyDescent="0.35">
      <c r="A155" s="1" t="str">
        <f t="shared" si="2"/>
        <v/>
      </c>
      <c r="B1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6" spans="1:2" x14ac:dyDescent="0.35">
      <c r="A156" s="1" t="str">
        <f t="shared" si="2"/>
        <v/>
      </c>
      <c r="B1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7" spans="1:2" x14ac:dyDescent="0.35">
      <c r="A157" s="1" t="str">
        <f t="shared" si="2"/>
        <v/>
      </c>
      <c r="B1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8" spans="1:2" x14ac:dyDescent="0.35">
      <c r="A158" s="1" t="str">
        <f t="shared" si="2"/>
        <v/>
      </c>
      <c r="B1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9" spans="1:2" x14ac:dyDescent="0.35">
      <c r="A159" s="1" t="str">
        <f t="shared" si="2"/>
        <v/>
      </c>
      <c r="B1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60" spans="1:2" x14ac:dyDescent="0.35">
      <c r="A160" s="1" t="str">
        <f t="shared" si="2"/>
        <v/>
      </c>
      <c r="B1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61" spans="1:2" x14ac:dyDescent="0.35">
      <c r="A161" s="1" t="str">
        <f t="shared" si="2"/>
        <v/>
      </c>
      <c r="B1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62" spans="1:2" x14ac:dyDescent="0.35">
      <c r="A162" s="1" t="str">
        <f t="shared" si="2"/>
        <v/>
      </c>
      <c r="B1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63" spans="1:2" x14ac:dyDescent="0.35">
      <c r="A163" s="1" t="str">
        <f t="shared" si="2"/>
        <v/>
      </c>
      <c r="B1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64" spans="1:2" x14ac:dyDescent="0.35">
      <c r="A164" s="1" t="str">
        <f t="shared" si="2"/>
        <v/>
      </c>
      <c r="B1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65" spans="1:2" x14ac:dyDescent="0.35">
      <c r="A165" s="1" t="str">
        <f t="shared" si="2"/>
        <v/>
      </c>
      <c r="B1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66" spans="1:2" x14ac:dyDescent="0.35">
      <c r="A166" s="1" t="str">
        <f t="shared" si="2"/>
        <v/>
      </c>
      <c r="B1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67" spans="1:2" x14ac:dyDescent="0.35">
      <c r="A167" s="1" t="str">
        <f t="shared" si="2"/>
        <v/>
      </c>
      <c r="B1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68" spans="1:2" x14ac:dyDescent="0.35">
      <c r="A168" s="1" t="str">
        <f t="shared" si="2"/>
        <v/>
      </c>
      <c r="B1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69" spans="1:2" x14ac:dyDescent="0.35">
      <c r="A169" s="1" t="str">
        <f t="shared" si="2"/>
        <v/>
      </c>
      <c r="B1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70" spans="1:2" x14ac:dyDescent="0.35">
      <c r="A170" s="1" t="str">
        <f t="shared" si="2"/>
        <v/>
      </c>
      <c r="B1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71" spans="1:2" x14ac:dyDescent="0.35">
      <c r="A171" s="1" t="str">
        <f t="shared" si="2"/>
        <v/>
      </c>
      <c r="B1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72" spans="1:2" x14ac:dyDescent="0.35">
      <c r="A172" s="1" t="str">
        <f t="shared" si="2"/>
        <v/>
      </c>
      <c r="B1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73" spans="1:2" x14ac:dyDescent="0.35">
      <c r="A173" s="1" t="str">
        <f t="shared" si="2"/>
        <v/>
      </c>
      <c r="B1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74" spans="1:2" x14ac:dyDescent="0.35">
      <c r="A174" s="1" t="str">
        <f t="shared" si="2"/>
        <v/>
      </c>
      <c r="B1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75" spans="1:2" x14ac:dyDescent="0.35">
      <c r="A175" s="1" t="str">
        <f t="shared" si="2"/>
        <v/>
      </c>
      <c r="B1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76" spans="1:2" x14ac:dyDescent="0.35">
      <c r="A176" s="1" t="str">
        <f t="shared" si="2"/>
        <v/>
      </c>
      <c r="B1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77" spans="1:2" x14ac:dyDescent="0.35">
      <c r="A177" s="1" t="str">
        <f t="shared" si="2"/>
        <v/>
      </c>
      <c r="B1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78" spans="1:2" x14ac:dyDescent="0.35">
      <c r="A178" s="1" t="str">
        <f t="shared" si="2"/>
        <v/>
      </c>
      <c r="B1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79" spans="1:2" x14ac:dyDescent="0.35">
      <c r="A179" s="1" t="str">
        <f t="shared" si="2"/>
        <v/>
      </c>
      <c r="B1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80" spans="1:2" x14ac:dyDescent="0.35">
      <c r="A180" s="1" t="str">
        <f t="shared" si="2"/>
        <v/>
      </c>
      <c r="B1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81" spans="1:2" x14ac:dyDescent="0.35">
      <c r="A181" s="1" t="str">
        <f t="shared" si="2"/>
        <v/>
      </c>
      <c r="B1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82" spans="1:2" x14ac:dyDescent="0.35">
      <c r="A182" s="1" t="str">
        <f t="shared" si="2"/>
        <v/>
      </c>
      <c r="B1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83" spans="1:2" x14ac:dyDescent="0.35">
      <c r="A183" s="1" t="str">
        <f t="shared" si="2"/>
        <v/>
      </c>
      <c r="B1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84" spans="1:2" x14ac:dyDescent="0.35">
      <c r="A184" s="1" t="str">
        <f t="shared" si="2"/>
        <v/>
      </c>
      <c r="B1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85" spans="1:2" x14ac:dyDescent="0.35">
      <c r="A185" s="1" t="str">
        <f t="shared" si="2"/>
        <v/>
      </c>
      <c r="B1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86" spans="1:2" x14ac:dyDescent="0.35">
      <c r="A186" s="1" t="str">
        <f t="shared" si="2"/>
        <v/>
      </c>
      <c r="B1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87" spans="1:2" x14ac:dyDescent="0.35">
      <c r="A187" s="1" t="str">
        <f t="shared" si="2"/>
        <v/>
      </c>
      <c r="B1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88" spans="1:2" x14ac:dyDescent="0.35">
      <c r="A188" s="1" t="str">
        <f t="shared" si="2"/>
        <v/>
      </c>
      <c r="B1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89" spans="1:2" x14ac:dyDescent="0.35">
      <c r="A189" s="1" t="str">
        <f t="shared" si="2"/>
        <v/>
      </c>
      <c r="B1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90" spans="1:2" x14ac:dyDescent="0.35">
      <c r="A190" s="1" t="str">
        <f t="shared" si="2"/>
        <v/>
      </c>
      <c r="B1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91" spans="1:2" x14ac:dyDescent="0.35">
      <c r="A191" s="1" t="str">
        <f t="shared" si="2"/>
        <v/>
      </c>
      <c r="B1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92" spans="1:2" x14ac:dyDescent="0.35">
      <c r="A192" s="1" t="str">
        <f t="shared" si="2"/>
        <v/>
      </c>
      <c r="B1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93" spans="1:2" x14ac:dyDescent="0.35">
      <c r="A193" s="1" t="str">
        <f t="shared" si="2"/>
        <v/>
      </c>
      <c r="B1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94" spans="1:2" x14ac:dyDescent="0.35">
      <c r="A194" s="1" t="str">
        <f t="shared" ref="A194:A257" si="3">IFERROR(LEFT(RIGHT(C194,LEN(C194)-SEARCH("@",C194)),SEARCH("/",RIGHT(C194,LEN(C194)-SEARCH("@",C194)-1))),"")</f>
        <v/>
      </c>
      <c r="B1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95" spans="1:2" x14ac:dyDescent="0.35">
      <c r="A195" s="1" t="str">
        <f t="shared" si="3"/>
        <v/>
      </c>
      <c r="B1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96" spans="1:2" x14ac:dyDescent="0.35">
      <c r="A196" s="1" t="str">
        <f t="shared" si="3"/>
        <v/>
      </c>
      <c r="B1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97" spans="1:2" x14ac:dyDescent="0.35">
      <c r="A197" s="1" t="str">
        <f t="shared" si="3"/>
        <v/>
      </c>
      <c r="B1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98" spans="1:2" x14ac:dyDescent="0.35">
      <c r="A198" s="1" t="str">
        <f t="shared" si="3"/>
        <v/>
      </c>
      <c r="B1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99" spans="1:2" x14ac:dyDescent="0.35">
      <c r="A199" s="1" t="str">
        <f t="shared" si="3"/>
        <v/>
      </c>
      <c r="B1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00" spans="1:2" x14ac:dyDescent="0.35">
      <c r="A200" s="1" t="str">
        <f t="shared" si="3"/>
        <v/>
      </c>
      <c r="B2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01" spans="1:2" x14ac:dyDescent="0.35">
      <c r="A201" s="1" t="str">
        <f t="shared" si="3"/>
        <v/>
      </c>
      <c r="B2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02" spans="1:2" x14ac:dyDescent="0.35">
      <c r="A202" s="1" t="str">
        <f t="shared" si="3"/>
        <v/>
      </c>
      <c r="B2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03" spans="1:2" x14ac:dyDescent="0.35">
      <c r="A203" s="1" t="str">
        <f t="shared" si="3"/>
        <v/>
      </c>
      <c r="B2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04" spans="1:2" x14ac:dyDescent="0.35">
      <c r="A204" s="1" t="str">
        <f t="shared" si="3"/>
        <v/>
      </c>
      <c r="B2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05" spans="1:2" x14ac:dyDescent="0.35">
      <c r="A205" s="1" t="str">
        <f t="shared" si="3"/>
        <v/>
      </c>
      <c r="B2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06" spans="1:2" x14ac:dyDescent="0.35">
      <c r="A206" s="1" t="str">
        <f t="shared" si="3"/>
        <v/>
      </c>
      <c r="B2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07" spans="1:2" x14ac:dyDescent="0.35">
      <c r="A207" s="1" t="str">
        <f t="shared" si="3"/>
        <v/>
      </c>
      <c r="B2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08" spans="1:2" x14ac:dyDescent="0.35">
      <c r="A208" s="1" t="str">
        <f t="shared" si="3"/>
        <v/>
      </c>
      <c r="B2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09" spans="1:2" x14ac:dyDescent="0.35">
      <c r="A209" s="1" t="str">
        <f t="shared" si="3"/>
        <v/>
      </c>
      <c r="B2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10" spans="1:2" x14ac:dyDescent="0.35">
      <c r="A210" s="1" t="str">
        <f t="shared" si="3"/>
        <v/>
      </c>
      <c r="B2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11" spans="1:2" x14ac:dyDescent="0.35">
      <c r="A211" s="1" t="str">
        <f t="shared" si="3"/>
        <v/>
      </c>
      <c r="B2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12" spans="1:2" x14ac:dyDescent="0.35">
      <c r="A212" s="1" t="str">
        <f t="shared" si="3"/>
        <v/>
      </c>
      <c r="B2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13" spans="1:2" x14ac:dyDescent="0.35">
      <c r="A213" s="1" t="str">
        <f t="shared" si="3"/>
        <v/>
      </c>
      <c r="B2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14" spans="1:2" x14ac:dyDescent="0.35">
      <c r="A214" s="1" t="str">
        <f t="shared" si="3"/>
        <v/>
      </c>
      <c r="B2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15" spans="1:2" x14ac:dyDescent="0.35">
      <c r="A215" s="1" t="str">
        <f t="shared" si="3"/>
        <v/>
      </c>
      <c r="B2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16" spans="1:2" x14ac:dyDescent="0.35">
      <c r="A216" s="1" t="str">
        <f t="shared" si="3"/>
        <v/>
      </c>
      <c r="B2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17" spans="1:2" x14ac:dyDescent="0.35">
      <c r="A217" s="1" t="str">
        <f t="shared" si="3"/>
        <v/>
      </c>
      <c r="B2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18" spans="1:2" x14ac:dyDescent="0.35">
      <c r="A218" s="1" t="str">
        <f t="shared" si="3"/>
        <v/>
      </c>
      <c r="B2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19" spans="1:2" x14ac:dyDescent="0.35">
      <c r="A219" s="1" t="str">
        <f t="shared" si="3"/>
        <v/>
      </c>
      <c r="B2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20" spans="1:2" x14ac:dyDescent="0.35">
      <c r="A220" s="1" t="str">
        <f t="shared" si="3"/>
        <v/>
      </c>
      <c r="B2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21" spans="1:2" x14ac:dyDescent="0.35">
      <c r="A221" s="1" t="str">
        <f t="shared" si="3"/>
        <v/>
      </c>
      <c r="B2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22" spans="1:2" x14ac:dyDescent="0.35">
      <c r="A222" s="1" t="str">
        <f t="shared" si="3"/>
        <v/>
      </c>
      <c r="B2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23" spans="1:2" x14ac:dyDescent="0.35">
      <c r="A223" s="1" t="str">
        <f t="shared" si="3"/>
        <v/>
      </c>
      <c r="B2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24" spans="1:2" x14ac:dyDescent="0.35">
      <c r="A224" s="1" t="str">
        <f t="shared" si="3"/>
        <v/>
      </c>
      <c r="B2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25" spans="1:2" x14ac:dyDescent="0.35">
      <c r="A225" s="1" t="str">
        <f t="shared" si="3"/>
        <v/>
      </c>
      <c r="B2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26" spans="1:2" x14ac:dyDescent="0.35">
      <c r="A226" s="1" t="str">
        <f t="shared" si="3"/>
        <v/>
      </c>
      <c r="B2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27" spans="1:2" x14ac:dyDescent="0.35">
      <c r="A227" s="1" t="str">
        <f t="shared" si="3"/>
        <v/>
      </c>
      <c r="B2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28" spans="1:2" x14ac:dyDescent="0.35">
      <c r="A228" s="1" t="str">
        <f t="shared" si="3"/>
        <v/>
      </c>
      <c r="B2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29" spans="1:2" x14ac:dyDescent="0.35">
      <c r="A229" s="1" t="str">
        <f t="shared" si="3"/>
        <v/>
      </c>
      <c r="B2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30" spans="1:2" x14ac:dyDescent="0.35">
      <c r="A230" s="1" t="str">
        <f t="shared" si="3"/>
        <v/>
      </c>
      <c r="B2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31" spans="1:2" x14ac:dyDescent="0.35">
      <c r="A231" s="1" t="str">
        <f t="shared" si="3"/>
        <v/>
      </c>
      <c r="B2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32" spans="1:2" x14ac:dyDescent="0.35">
      <c r="A232" s="1" t="str">
        <f t="shared" si="3"/>
        <v/>
      </c>
      <c r="B2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33" spans="1:2" x14ac:dyDescent="0.35">
      <c r="A233" s="1" t="str">
        <f t="shared" si="3"/>
        <v/>
      </c>
      <c r="B2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34" spans="1:2" x14ac:dyDescent="0.35">
      <c r="A234" s="1" t="str">
        <f t="shared" si="3"/>
        <v/>
      </c>
      <c r="B2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35" spans="1:2" x14ac:dyDescent="0.35">
      <c r="A235" s="1" t="str">
        <f t="shared" si="3"/>
        <v/>
      </c>
      <c r="B2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36" spans="1:2" x14ac:dyDescent="0.35">
      <c r="A236" s="1" t="str">
        <f t="shared" si="3"/>
        <v/>
      </c>
      <c r="B2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37" spans="1:2" x14ac:dyDescent="0.35">
      <c r="A237" s="1" t="str">
        <f t="shared" si="3"/>
        <v/>
      </c>
      <c r="B2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38" spans="1:2" x14ac:dyDescent="0.35">
      <c r="A238" s="1" t="str">
        <f t="shared" si="3"/>
        <v/>
      </c>
      <c r="B2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39" spans="1:2" x14ac:dyDescent="0.35">
      <c r="A239" s="1" t="str">
        <f t="shared" si="3"/>
        <v/>
      </c>
      <c r="B2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40" spans="1:2" x14ac:dyDescent="0.35">
      <c r="A240" s="1" t="str">
        <f t="shared" si="3"/>
        <v/>
      </c>
      <c r="B2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41" spans="1:2" x14ac:dyDescent="0.35">
      <c r="A241" s="1" t="str">
        <f t="shared" si="3"/>
        <v/>
      </c>
      <c r="B2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42" spans="1:2" x14ac:dyDescent="0.35">
      <c r="A242" s="1" t="str">
        <f t="shared" si="3"/>
        <v/>
      </c>
      <c r="B2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43" spans="1:2" x14ac:dyDescent="0.35">
      <c r="A243" s="1" t="str">
        <f t="shared" si="3"/>
        <v/>
      </c>
      <c r="B2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44" spans="1:2" x14ac:dyDescent="0.35">
      <c r="A244" s="1" t="str">
        <f t="shared" si="3"/>
        <v/>
      </c>
      <c r="B2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45" spans="1:2" x14ac:dyDescent="0.35">
      <c r="A245" s="1" t="str">
        <f t="shared" si="3"/>
        <v/>
      </c>
      <c r="B2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46" spans="1:2" x14ac:dyDescent="0.35">
      <c r="A246" s="1" t="str">
        <f t="shared" si="3"/>
        <v/>
      </c>
      <c r="B2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47" spans="1:2" x14ac:dyDescent="0.35">
      <c r="A247" s="1" t="str">
        <f t="shared" si="3"/>
        <v/>
      </c>
      <c r="B2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48" spans="1:2" x14ac:dyDescent="0.35">
      <c r="A248" s="1" t="str">
        <f t="shared" si="3"/>
        <v/>
      </c>
      <c r="B2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49" spans="1:2" x14ac:dyDescent="0.35">
      <c r="A249" s="1" t="str">
        <f t="shared" si="3"/>
        <v/>
      </c>
      <c r="B2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50" spans="1:2" x14ac:dyDescent="0.35">
      <c r="A250" s="1" t="str">
        <f t="shared" si="3"/>
        <v/>
      </c>
      <c r="B2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51" spans="1:2" x14ac:dyDescent="0.35">
      <c r="A251" s="1" t="str">
        <f t="shared" si="3"/>
        <v/>
      </c>
      <c r="B2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52" spans="1:2" x14ac:dyDescent="0.35">
      <c r="A252" s="1" t="str">
        <f t="shared" si="3"/>
        <v/>
      </c>
      <c r="B2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53" spans="1:2" x14ac:dyDescent="0.35">
      <c r="A253" s="1" t="str">
        <f t="shared" si="3"/>
        <v/>
      </c>
      <c r="B2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54" spans="1:2" x14ac:dyDescent="0.35">
      <c r="A254" s="1" t="str">
        <f t="shared" si="3"/>
        <v/>
      </c>
      <c r="B2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55" spans="1:2" x14ac:dyDescent="0.35">
      <c r="A255" s="1" t="str">
        <f t="shared" si="3"/>
        <v/>
      </c>
      <c r="B2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56" spans="1:2" x14ac:dyDescent="0.35">
      <c r="A256" s="1" t="str">
        <f t="shared" si="3"/>
        <v/>
      </c>
      <c r="B2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57" spans="1:2" x14ac:dyDescent="0.35">
      <c r="A257" s="1" t="str">
        <f t="shared" si="3"/>
        <v/>
      </c>
      <c r="B2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58" spans="1:2" x14ac:dyDescent="0.35">
      <c r="A258" s="1" t="str">
        <f t="shared" ref="A258:A321" si="4">IFERROR(LEFT(RIGHT(C258,LEN(C258)-SEARCH("@",C258)),SEARCH("/",RIGHT(C258,LEN(C258)-SEARCH("@",C258)-1))),"")</f>
        <v/>
      </c>
      <c r="B2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59" spans="1:2" x14ac:dyDescent="0.35">
      <c r="A259" s="1" t="str">
        <f t="shared" si="4"/>
        <v/>
      </c>
      <c r="B2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60" spans="1:2" x14ac:dyDescent="0.35">
      <c r="A260" s="1" t="str">
        <f t="shared" si="4"/>
        <v/>
      </c>
      <c r="B2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61" spans="1:2" x14ac:dyDescent="0.35">
      <c r="A261" s="1" t="str">
        <f t="shared" si="4"/>
        <v/>
      </c>
      <c r="B2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62" spans="1:2" x14ac:dyDescent="0.35">
      <c r="A262" s="1" t="str">
        <f t="shared" si="4"/>
        <v/>
      </c>
      <c r="B2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63" spans="1:2" x14ac:dyDescent="0.35">
      <c r="A263" s="1" t="str">
        <f t="shared" si="4"/>
        <v/>
      </c>
      <c r="B2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64" spans="1:2" x14ac:dyDescent="0.35">
      <c r="A264" s="1" t="str">
        <f t="shared" si="4"/>
        <v/>
      </c>
      <c r="B2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65" spans="1:2" x14ac:dyDescent="0.35">
      <c r="A265" s="1" t="str">
        <f t="shared" si="4"/>
        <v/>
      </c>
      <c r="B2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66" spans="1:2" x14ac:dyDescent="0.35">
      <c r="A266" s="1" t="str">
        <f t="shared" si="4"/>
        <v/>
      </c>
      <c r="B2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67" spans="1:2" x14ac:dyDescent="0.35">
      <c r="A267" s="1" t="str">
        <f t="shared" si="4"/>
        <v/>
      </c>
      <c r="B2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68" spans="1:2" x14ac:dyDescent="0.35">
      <c r="A268" s="1" t="str">
        <f t="shared" si="4"/>
        <v/>
      </c>
      <c r="B2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69" spans="1:2" x14ac:dyDescent="0.35">
      <c r="A269" s="1" t="str">
        <f t="shared" si="4"/>
        <v/>
      </c>
      <c r="B2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70" spans="1:2" x14ac:dyDescent="0.35">
      <c r="A270" s="1" t="str">
        <f t="shared" si="4"/>
        <v/>
      </c>
      <c r="B2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71" spans="1:2" x14ac:dyDescent="0.35">
      <c r="A271" s="1" t="str">
        <f t="shared" si="4"/>
        <v/>
      </c>
      <c r="B2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72" spans="1:2" x14ac:dyDescent="0.35">
      <c r="A272" s="1" t="str">
        <f t="shared" si="4"/>
        <v/>
      </c>
      <c r="B2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73" spans="1:2" x14ac:dyDescent="0.35">
      <c r="A273" s="1" t="str">
        <f t="shared" si="4"/>
        <v/>
      </c>
      <c r="B2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74" spans="1:2" x14ac:dyDescent="0.35">
      <c r="A274" s="1" t="str">
        <f t="shared" si="4"/>
        <v/>
      </c>
      <c r="B2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75" spans="1:2" x14ac:dyDescent="0.35">
      <c r="A275" s="1" t="str">
        <f t="shared" si="4"/>
        <v/>
      </c>
      <c r="B2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76" spans="1:2" x14ac:dyDescent="0.35">
      <c r="A276" s="1" t="str">
        <f t="shared" si="4"/>
        <v/>
      </c>
      <c r="B2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77" spans="1:2" x14ac:dyDescent="0.35">
      <c r="A277" s="1" t="str">
        <f t="shared" si="4"/>
        <v/>
      </c>
      <c r="B2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78" spans="1:2" x14ac:dyDescent="0.35">
      <c r="A278" s="1" t="str">
        <f t="shared" si="4"/>
        <v/>
      </c>
      <c r="B2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79" spans="1:2" x14ac:dyDescent="0.35">
      <c r="A279" s="1" t="str">
        <f t="shared" si="4"/>
        <v/>
      </c>
      <c r="B2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80" spans="1:2" x14ac:dyDescent="0.35">
      <c r="A280" s="1" t="str">
        <f t="shared" si="4"/>
        <v/>
      </c>
      <c r="B2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81" spans="1:2" x14ac:dyDescent="0.35">
      <c r="A281" s="1" t="str">
        <f t="shared" si="4"/>
        <v/>
      </c>
      <c r="B2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82" spans="1:2" x14ac:dyDescent="0.35">
      <c r="A282" s="1" t="str">
        <f t="shared" si="4"/>
        <v/>
      </c>
      <c r="B2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83" spans="1:2" x14ac:dyDescent="0.35">
      <c r="A283" s="1" t="str">
        <f t="shared" si="4"/>
        <v/>
      </c>
      <c r="B2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84" spans="1:2" x14ac:dyDescent="0.35">
      <c r="A284" s="1" t="str">
        <f t="shared" si="4"/>
        <v/>
      </c>
      <c r="B2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85" spans="1:2" x14ac:dyDescent="0.35">
      <c r="A285" s="1" t="str">
        <f t="shared" si="4"/>
        <v/>
      </c>
      <c r="B2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86" spans="1:2" x14ac:dyDescent="0.35">
      <c r="A286" s="1" t="str">
        <f t="shared" si="4"/>
        <v/>
      </c>
      <c r="B2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87" spans="1:2" x14ac:dyDescent="0.35">
      <c r="A287" s="1" t="str">
        <f t="shared" si="4"/>
        <v/>
      </c>
      <c r="B2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88" spans="1:2" x14ac:dyDescent="0.35">
      <c r="A288" s="1" t="str">
        <f t="shared" si="4"/>
        <v/>
      </c>
      <c r="B2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89" spans="1:2" x14ac:dyDescent="0.35">
      <c r="A289" s="1" t="str">
        <f t="shared" si="4"/>
        <v/>
      </c>
      <c r="B2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90" spans="1:2" x14ac:dyDescent="0.35">
      <c r="A290" s="1" t="str">
        <f t="shared" si="4"/>
        <v/>
      </c>
      <c r="B2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91" spans="1:2" x14ac:dyDescent="0.35">
      <c r="A291" s="1" t="str">
        <f t="shared" si="4"/>
        <v/>
      </c>
      <c r="B2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92" spans="1:2" x14ac:dyDescent="0.35">
      <c r="A292" s="1" t="str">
        <f t="shared" si="4"/>
        <v/>
      </c>
      <c r="B2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93" spans="1:2" x14ac:dyDescent="0.35">
      <c r="A293" s="1" t="str">
        <f t="shared" si="4"/>
        <v/>
      </c>
      <c r="B2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94" spans="1:2" x14ac:dyDescent="0.35">
      <c r="A294" s="1" t="str">
        <f t="shared" si="4"/>
        <v/>
      </c>
      <c r="B2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95" spans="1:2" x14ac:dyDescent="0.35">
      <c r="A295" s="1" t="str">
        <f t="shared" si="4"/>
        <v/>
      </c>
      <c r="B2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96" spans="1:2" x14ac:dyDescent="0.35">
      <c r="A296" s="1" t="str">
        <f t="shared" si="4"/>
        <v/>
      </c>
      <c r="B2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97" spans="1:2" x14ac:dyDescent="0.35">
      <c r="A297" s="1" t="str">
        <f t="shared" si="4"/>
        <v/>
      </c>
      <c r="B2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98" spans="1:2" x14ac:dyDescent="0.35">
      <c r="A298" s="1" t="str">
        <f t="shared" si="4"/>
        <v/>
      </c>
      <c r="B2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99" spans="1:2" x14ac:dyDescent="0.35">
      <c r="A299" s="1" t="str">
        <f t="shared" si="4"/>
        <v/>
      </c>
      <c r="B2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00" spans="1:2" x14ac:dyDescent="0.35">
      <c r="A300" s="1" t="str">
        <f t="shared" si="4"/>
        <v/>
      </c>
      <c r="B3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01" spans="1:2" x14ac:dyDescent="0.35">
      <c r="A301" s="1" t="str">
        <f t="shared" si="4"/>
        <v/>
      </c>
      <c r="B3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02" spans="1:2" x14ac:dyDescent="0.35">
      <c r="A302" s="1" t="str">
        <f t="shared" si="4"/>
        <v/>
      </c>
      <c r="B3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03" spans="1:2" x14ac:dyDescent="0.35">
      <c r="A303" s="1" t="str">
        <f t="shared" si="4"/>
        <v/>
      </c>
      <c r="B3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04" spans="1:2" x14ac:dyDescent="0.35">
      <c r="A304" s="1" t="str">
        <f t="shared" si="4"/>
        <v/>
      </c>
      <c r="B3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05" spans="1:2" x14ac:dyDescent="0.35">
      <c r="A305" s="1" t="str">
        <f t="shared" si="4"/>
        <v/>
      </c>
      <c r="B3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06" spans="1:2" x14ac:dyDescent="0.35">
      <c r="A306" s="1" t="str">
        <f t="shared" si="4"/>
        <v/>
      </c>
      <c r="B3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07" spans="1:2" x14ac:dyDescent="0.35">
      <c r="A307" s="1" t="str">
        <f t="shared" si="4"/>
        <v/>
      </c>
      <c r="B3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08" spans="1:2" x14ac:dyDescent="0.35">
      <c r="A308" s="1" t="str">
        <f t="shared" si="4"/>
        <v/>
      </c>
      <c r="B3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09" spans="1:2" x14ac:dyDescent="0.35">
      <c r="A309" s="1" t="str">
        <f t="shared" si="4"/>
        <v/>
      </c>
      <c r="B3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10" spans="1:2" x14ac:dyDescent="0.35">
      <c r="A310" s="1" t="str">
        <f t="shared" si="4"/>
        <v/>
      </c>
      <c r="B3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11" spans="1:2" x14ac:dyDescent="0.35">
      <c r="A311" s="1" t="str">
        <f t="shared" si="4"/>
        <v/>
      </c>
      <c r="B3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12" spans="1:2" x14ac:dyDescent="0.35">
      <c r="A312" s="1" t="str">
        <f t="shared" si="4"/>
        <v/>
      </c>
      <c r="B3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13" spans="1:2" x14ac:dyDescent="0.35">
      <c r="A313" s="1" t="str">
        <f t="shared" si="4"/>
        <v/>
      </c>
      <c r="B3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14" spans="1:2" x14ac:dyDescent="0.35">
      <c r="A314" s="1" t="str">
        <f t="shared" si="4"/>
        <v/>
      </c>
      <c r="B3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15" spans="1:2" x14ac:dyDescent="0.35">
      <c r="A315" s="1" t="str">
        <f t="shared" si="4"/>
        <v/>
      </c>
      <c r="B3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16" spans="1:2" x14ac:dyDescent="0.35">
      <c r="A316" s="1" t="str">
        <f t="shared" si="4"/>
        <v/>
      </c>
      <c r="B3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17" spans="1:2" x14ac:dyDescent="0.35">
      <c r="A317" s="1" t="str">
        <f t="shared" si="4"/>
        <v/>
      </c>
      <c r="B3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18" spans="1:2" x14ac:dyDescent="0.35">
      <c r="A318" s="1" t="str">
        <f t="shared" si="4"/>
        <v/>
      </c>
      <c r="B3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19" spans="1:2" x14ac:dyDescent="0.35">
      <c r="A319" s="1" t="str">
        <f t="shared" si="4"/>
        <v/>
      </c>
      <c r="B3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20" spans="1:2" x14ac:dyDescent="0.35">
      <c r="A320" s="1" t="str">
        <f t="shared" si="4"/>
        <v/>
      </c>
      <c r="B3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21" spans="1:2" x14ac:dyDescent="0.35">
      <c r="A321" s="1" t="str">
        <f t="shared" si="4"/>
        <v/>
      </c>
      <c r="B3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22" spans="1:2" x14ac:dyDescent="0.35">
      <c r="A322" s="1" t="str">
        <f t="shared" ref="A322:A385" si="5">IFERROR(LEFT(RIGHT(C322,LEN(C322)-SEARCH("@",C322)),SEARCH("/",RIGHT(C322,LEN(C322)-SEARCH("@",C322)-1))),"")</f>
        <v/>
      </c>
      <c r="B3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23" spans="1:2" x14ac:dyDescent="0.35">
      <c r="A323" s="1" t="str">
        <f t="shared" si="5"/>
        <v/>
      </c>
      <c r="B3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24" spans="1:2" x14ac:dyDescent="0.35">
      <c r="A324" s="1" t="str">
        <f t="shared" si="5"/>
        <v/>
      </c>
      <c r="B3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25" spans="1:2" x14ac:dyDescent="0.35">
      <c r="A325" s="1" t="str">
        <f t="shared" si="5"/>
        <v/>
      </c>
      <c r="B3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26" spans="1:2" x14ac:dyDescent="0.35">
      <c r="A326" s="1" t="str">
        <f t="shared" si="5"/>
        <v/>
      </c>
      <c r="B3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27" spans="1:2" x14ac:dyDescent="0.35">
      <c r="A327" s="1" t="str">
        <f t="shared" si="5"/>
        <v/>
      </c>
      <c r="B3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28" spans="1:2" x14ac:dyDescent="0.35">
      <c r="A328" s="1" t="str">
        <f t="shared" si="5"/>
        <v/>
      </c>
      <c r="B3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29" spans="1:2" x14ac:dyDescent="0.35">
      <c r="A329" s="1" t="str">
        <f t="shared" si="5"/>
        <v/>
      </c>
      <c r="B3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30" spans="1:2" x14ac:dyDescent="0.35">
      <c r="A330" s="1" t="str">
        <f t="shared" si="5"/>
        <v/>
      </c>
      <c r="B3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31" spans="1:2" x14ac:dyDescent="0.35">
      <c r="A331" s="1" t="str">
        <f t="shared" si="5"/>
        <v/>
      </c>
      <c r="B3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32" spans="1:2" x14ac:dyDescent="0.35">
      <c r="A332" s="1" t="str">
        <f t="shared" si="5"/>
        <v/>
      </c>
      <c r="B3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33" spans="1:2" x14ac:dyDescent="0.35">
      <c r="A333" s="1" t="str">
        <f t="shared" si="5"/>
        <v/>
      </c>
      <c r="B3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34" spans="1:2" x14ac:dyDescent="0.35">
      <c r="A334" s="1" t="str">
        <f t="shared" si="5"/>
        <v/>
      </c>
      <c r="B3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35" spans="1:2" x14ac:dyDescent="0.35">
      <c r="A335" s="1" t="str">
        <f t="shared" si="5"/>
        <v/>
      </c>
      <c r="B3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36" spans="1:2" x14ac:dyDescent="0.35">
      <c r="A336" s="1" t="str">
        <f t="shared" si="5"/>
        <v/>
      </c>
      <c r="B3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37" spans="1:2" x14ac:dyDescent="0.35">
      <c r="A337" s="1" t="str">
        <f t="shared" si="5"/>
        <v/>
      </c>
      <c r="B3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38" spans="1:2" x14ac:dyDescent="0.35">
      <c r="A338" s="1" t="str">
        <f t="shared" si="5"/>
        <v/>
      </c>
      <c r="B3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39" spans="1:2" x14ac:dyDescent="0.35">
      <c r="A339" s="1" t="str">
        <f t="shared" si="5"/>
        <v/>
      </c>
      <c r="B3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40" spans="1:2" x14ac:dyDescent="0.35">
      <c r="A340" s="1" t="str">
        <f t="shared" si="5"/>
        <v/>
      </c>
      <c r="B3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41" spans="1:2" x14ac:dyDescent="0.35">
      <c r="A341" s="1" t="str">
        <f t="shared" si="5"/>
        <v/>
      </c>
      <c r="B3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42" spans="1:2" x14ac:dyDescent="0.35">
      <c r="A342" s="1" t="str">
        <f t="shared" si="5"/>
        <v/>
      </c>
      <c r="B3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43" spans="1:2" x14ac:dyDescent="0.35">
      <c r="A343" s="1" t="str">
        <f t="shared" si="5"/>
        <v/>
      </c>
      <c r="B3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44" spans="1:2" x14ac:dyDescent="0.35">
      <c r="A344" s="1" t="str">
        <f t="shared" si="5"/>
        <v/>
      </c>
      <c r="B3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45" spans="1:2" x14ac:dyDescent="0.35">
      <c r="A345" s="1" t="str">
        <f t="shared" si="5"/>
        <v/>
      </c>
      <c r="B3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46" spans="1:2" x14ac:dyDescent="0.35">
      <c r="A346" s="1" t="str">
        <f t="shared" si="5"/>
        <v/>
      </c>
      <c r="B3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47" spans="1:2" x14ac:dyDescent="0.35">
      <c r="A347" s="1" t="str">
        <f t="shared" si="5"/>
        <v/>
      </c>
      <c r="B3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48" spans="1:2" x14ac:dyDescent="0.35">
      <c r="A348" s="1" t="str">
        <f t="shared" si="5"/>
        <v/>
      </c>
      <c r="B3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49" spans="1:2" x14ac:dyDescent="0.35">
      <c r="A349" s="1" t="str">
        <f t="shared" si="5"/>
        <v/>
      </c>
      <c r="B3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50" spans="1:2" x14ac:dyDescent="0.35">
      <c r="A350" s="1" t="str">
        <f t="shared" si="5"/>
        <v/>
      </c>
      <c r="B3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51" spans="1:2" x14ac:dyDescent="0.35">
      <c r="A351" s="1" t="str">
        <f t="shared" si="5"/>
        <v/>
      </c>
      <c r="B3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52" spans="1:2" x14ac:dyDescent="0.35">
      <c r="A352" s="1" t="str">
        <f t="shared" si="5"/>
        <v/>
      </c>
      <c r="B3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53" spans="1:2" x14ac:dyDescent="0.35">
      <c r="A353" s="1" t="str">
        <f t="shared" si="5"/>
        <v/>
      </c>
      <c r="B3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54" spans="1:2" x14ac:dyDescent="0.35">
      <c r="A354" s="1" t="str">
        <f t="shared" si="5"/>
        <v/>
      </c>
      <c r="B3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55" spans="1:2" x14ac:dyDescent="0.35">
      <c r="A355" s="1" t="str">
        <f t="shared" si="5"/>
        <v/>
      </c>
      <c r="B3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56" spans="1:2" x14ac:dyDescent="0.35">
      <c r="A356" s="1" t="str">
        <f t="shared" si="5"/>
        <v/>
      </c>
      <c r="B3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57" spans="1:2" x14ac:dyDescent="0.35">
      <c r="A357" s="1" t="str">
        <f t="shared" si="5"/>
        <v/>
      </c>
      <c r="B3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58" spans="1:2" x14ac:dyDescent="0.35">
      <c r="A358" s="1" t="str">
        <f t="shared" si="5"/>
        <v/>
      </c>
      <c r="B3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59" spans="1:2" x14ac:dyDescent="0.35">
      <c r="A359" s="1" t="str">
        <f t="shared" si="5"/>
        <v/>
      </c>
      <c r="B3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60" spans="1:2" x14ac:dyDescent="0.35">
      <c r="A360" s="1" t="str">
        <f t="shared" si="5"/>
        <v/>
      </c>
      <c r="B3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61" spans="1:2" x14ac:dyDescent="0.35">
      <c r="A361" s="1" t="str">
        <f t="shared" si="5"/>
        <v/>
      </c>
      <c r="B3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62" spans="1:2" x14ac:dyDescent="0.35">
      <c r="A362" s="1" t="str">
        <f t="shared" si="5"/>
        <v/>
      </c>
      <c r="B3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63" spans="1:2" x14ac:dyDescent="0.35">
      <c r="A363" s="1" t="str">
        <f t="shared" si="5"/>
        <v/>
      </c>
      <c r="B3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64" spans="1:2" x14ac:dyDescent="0.35">
      <c r="A364" s="1" t="str">
        <f t="shared" si="5"/>
        <v/>
      </c>
      <c r="B3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65" spans="1:2" x14ac:dyDescent="0.35">
      <c r="A365" s="1" t="str">
        <f t="shared" si="5"/>
        <v/>
      </c>
      <c r="B3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66" spans="1:2" x14ac:dyDescent="0.35">
      <c r="A366" s="1" t="str">
        <f t="shared" si="5"/>
        <v/>
      </c>
      <c r="B3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67" spans="1:2" x14ac:dyDescent="0.35">
      <c r="A367" s="1" t="str">
        <f t="shared" si="5"/>
        <v/>
      </c>
      <c r="B3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68" spans="1:2" x14ac:dyDescent="0.35">
      <c r="A368" s="1" t="str">
        <f t="shared" si="5"/>
        <v/>
      </c>
      <c r="B3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69" spans="1:2" x14ac:dyDescent="0.35">
      <c r="A369" s="1" t="str">
        <f t="shared" si="5"/>
        <v/>
      </c>
      <c r="B3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70" spans="1:2" x14ac:dyDescent="0.35">
      <c r="A370" s="1" t="str">
        <f t="shared" si="5"/>
        <v/>
      </c>
      <c r="B3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71" spans="1:2" x14ac:dyDescent="0.35">
      <c r="A371" s="1" t="str">
        <f t="shared" si="5"/>
        <v/>
      </c>
      <c r="B3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72" spans="1:2" x14ac:dyDescent="0.35">
      <c r="A372" s="1" t="str">
        <f t="shared" si="5"/>
        <v/>
      </c>
      <c r="B3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73" spans="1:2" x14ac:dyDescent="0.35">
      <c r="A373" s="1" t="str">
        <f t="shared" si="5"/>
        <v/>
      </c>
      <c r="B3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74" spans="1:2" x14ac:dyDescent="0.35">
      <c r="A374" s="1" t="str">
        <f t="shared" si="5"/>
        <v/>
      </c>
      <c r="B3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75" spans="1:2" x14ac:dyDescent="0.35">
      <c r="A375" s="1" t="str">
        <f t="shared" si="5"/>
        <v/>
      </c>
      <c r="B3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76" spans="1:2" x14ac:dyDescent="0.35">
      <c r="A376" s="1" t="str">
        <f t="shared" si="5"/>
        <v/>
      </c>
      <c r="B3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77" spans="1:2" x14ac:dyDescent="0.35">
      <c r="A377" s="1" t="str">
        <f t="shared" si="5"/>
        <v/>
      </c>
      <c r="B3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78" spans="1:2" x14ac:dyDescent="0.35">
      <c r="A378" s="1" t="str">
        <f t="shared" si="5"/>
        <v/>
      </c>
      <c r="B3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79" spans="1:2" x14ac:dyDescent="0.35">
      <c r="A379" s="1" t="str">
        <f t="shared" si="5"/>
        <v/>
      </c>
      <c r="B3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80" spans="1:2" x14ac:dyDescent="0.35">
      <c r="A380" s="1" t="str">
        <f t="shared" si="5"/>
        <v/>
      </c>
      <c r="B3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81" spans="1:2" x14ac:dyDescent="0.35">
      <c r="A381" s="1" t="str">
        <f t="shared" si="5"/>
        <v/>
      </c>
      <c r="B3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82" spans="1:2" x14ac:dyDescent="0.35">
      <c r="A382" s="1" t="str">
        <f t="shared" si="5"/>
        <v/>
      </c>
      <c r="B3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83" spans="1:2" x14ac:dyDescent="0.35">
      <c r="A383" s="1" t="str">
        <f t="shared" si="5"/>
        <v/>
      </c>
      <c r="B3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84" spans="1:2" x14ac:dyDescent="0.35">
      <c r="A384" s="1" t="str">
        <f t="shared" si="5"/>
        <v/>
      </c>
      <c r="B3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85" spans="1:2" x14ac:dyDescent="0.35">
      <c r="A385" s="1" t="str">
        <f t="shared" si="5"/>
        <v/>
      </c>
      <c r="B3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86" spans="1:2" x14ac:dyDescent="0.35">
      <c r="A386" s="1" t="str">
        <f t="shared" ref="A386:A449" si="6">IFERROR(LEFT(RIGHT(C386,LEN(C386)-SEARCH("@",C386)),SEARCH("/",RIGHT(C386,LEN(C386)-SEARCH("@",C386)-1))),"")</f>
        <v/>
      </c>
      <c r="B3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87" spans="1:2" x14ac:dyDescent="0.35">
      <c r="A387" s="1" t="str">
        <f t="shared" si="6"/>
        <v/>
      </c>
      <c r="B3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88" spans="1:2" x14ac:dyDescent="0.35">
      <c r="A388" s="1" t="str">
        <f t="shared" si="6"/>
        <v/>
      </c>
      <c r="B3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89" spans="1:2" x14ac:dyDescent="0.35">
      <c r="A389" s="1" t="str">
        <f t="shared" si="6"/>
        <v/>
      </c>
      <c r="B3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90" spans="1:2" x14ac:dyDescent="0.35">
      <c r="A390" s="1" t="str">
        <f t="shared" si="6"/>
        <v/>
      </c>
      <c r="B3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91" spans="1:2" x14ac:dyDescent="0.35">
      <c r="A391" s="1" t="str">
        <f t="shared" si="6"/>
        <v/>
      </c>
      <c r="B3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92" spans="1:2" x14ac:dyDescent="0.35">
      <c r="A392" s="1" t="str">
        <f t="shared" si="6"/>
        <v/>
      </c>
      <c r="B3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93" spans="1:2" x14ac:dyDescent="0.35">
      <c r="A393" s="1" t="str">
        <f t="shared" si="6"/>
        <v/>
      </c>
      <c r="B3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94" spans="1:2" x14ac:dyDescent="0.35">
      <c r="A394" s="1" t="str">
        <f t="shared" si="6"/>
        <v/>
      </c>
      <c r="B3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95" spans="1:2" x14ac:dyDescent="0.35">
      <c r="A395" s="1" t="str">
        <f t="shared" si="6"/>
        <v/>
      </c>
      <c r="B3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96" spans="1:2" x14ac:dyDescent="0.35">
      <c r="A396" s="1" t="str">
        <f t="shared" si="6"/>
        <v/>
      </c>
      <c r="B3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97" spans="1:2" x14ac:dyDescent="0.35">
      <c r="A397" s="1" t="str">
        <f t="shared" si="6"/>
        <v/>
      </c>
      <c r="B3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98" spans="1:2" x14ac:dyDescent="0.35">
      <c r="A398" s="1" t="str">
        <f t="shared" si="6"/>
        <v/>
      </c>
      <c r="B3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99" spans="1:2" x14ac:dyDescent="0.35">
      <c r="A399" s="1" t="str">
        <f t="shared" si="6"/>
        <v/>
      </c>
      <c r="B3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00" spans="1:2" x14ac:dyDescent="0.35">
      <c r="A400" s="1" t="str">
        <f t="shared" si="6"/>
        <v/>
      </c>
      <c r="B4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01" spans="1:2" x14ac:dyDescent="0.35">
      <c r="A401" s="1" t="str">
        <f t="shared" si="6"/>
        <v/>
      </c>
      <c r="B4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02" spans="1:2" x14ac:dyDescent="0.35">
      <c r="A402" s="1" t="str">
        <f t="shared" si="6"/>
        <v/>
      </c>
      <c r="B4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03" spans="1:2" x14ac:dyDescent="0.35">
      <c r="A403" s="1" t="str">
        <f t="shared" si="6"/>
        <v/>
      </c>
      <c r="B4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04" spans="1:2" x14ac:dyDescent="0.35">
      <c r="A404" s="1" t="str">
        <f t="shared" si="6"/>
        <v/>
      </c>
      <c r="B4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05" spans="1:2" x14ac:dyDescent="0.35">
      <c r="A405" s="1" t="str">
        <f t="shared" si="6"/>
        <v/>
      </c>
      <c r="B4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06" spans="1:2" x14ac:dyDescent="0.35">
      <c r="A406" s="1" t="str">
        <f t="shared" si="6"/>
        <v/>
      </c>
      <c r="B4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07" spans="1:2" x14ac:dyDescent="0.35">
      <c r="A407" s="1" t="str">
        <f t="shared" si="6"/>
        <v/>
      </c>
      <c r="B4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08" spans="1:2" x14ac:dyDescent="0.35">
      <c r="A408" s="1" t="str">
        <f t="shared" si="6"/>
        <v/>
      </c>
      <c r="B4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09" spans="1:2" x14ac:dyDescent="0.35">
      <c r="A409" s="1" t="str">
        <f t="shared" si="6"/>
        <v/>
      </c>
      <c r="B4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10" spans="1:2" x14ac:dyDescent="0.35">
      <c r="A410" s="1" t="str">
        <f t="shared" si="6"/>
        <v/>
      </c>
      <c r="B4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11" spans="1:2" x14ac:dyDescent="0.35">
      <c r="A411" s="1" t="str">
        <f t="shared" si="6"/>
        <v/>
      </c>
      <c r="B4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12" spans="1:2" x14ac:dyDescent="0.35">
      <c r="A412" s="1" t="str">
        <f t="shared" si="6"/>
        <v/>
      </c>
      <c r="B4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13" spans="1:2" x14ac:dyDescent="0.35">
      <c r="A413" s="1" t="str">
        <f t="shared" si="6"/>
        <v/>
      </c>
      <c r="B4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14" spans="1:2" x14ac:dyDescent="0.35">
      <c r="A414" s="1" t="str">
        <f t="shared" si="6"/>
        <v/>
      </c>
      <c r="B4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15" spans="1:2" x14ac:dyDescent="0.35">
      <c r="A415" s="1" t="str">
        <f t="shared" si="6"/>
        <v/>
      </c>
      <c r="B4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16" spans="1:2" x14ac:dyDescent="0.35">
      <c r="A416" s="1" t="str">
        <f t="shared" si="6"/>
        <v/>
      </c>
      <c r="B4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17" spans="1:2" x14ac:dyDescent="0.35">
      <c r="A417" s="1" t="str">
        <f t="shared" si="6"/>
        <v/>
      </c>
      <c r="B4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18" spans="1:2" x14ac:dyDescent="0.35">
      <c r="A418" s="1" t="str">
        <f t="shared" si="6"/>
        <v/>
      </c>
      <c r="B4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19" spans="1:2" x14ac:dyDescent="0.35">
      <c r="A419" s="1" t="str">
        <f t="shared" si="6"/>
        <v/>
      </c>
      <c r="B4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20" spans="1:2" x14ac:dyDescent="0.35">
      <c r="A420" s="1" t="str">
        <f t="shared" si="6"/>
        <v/>
      </c>
      <c r="B4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21" spans="1:2" x14ac:dyDescent="0.35">
      <c r="A421" s="1" t="str">
        <f t="shared" si="6"/>
        <v/>
      </c>
      <c r="B4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22" spans="1:2" x14ac:dyDescent="0.35">
      <c r="A422" s="1" t="str">
        <f t="shared" si="6"/>
        <v/>
      </c>
      <c r="B4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23" spans="1:2" x14ac:dyDescent="0.35">
      <c r="A423" s="1" t="str">
        <f t="shared" si="6"/>
        <v/>
      </c>
      <c r="B4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24" spans="1:2" x14ac:dyDescent="0.35">
      <c r="A424" s="1" t="str">
        <f t="shared" si="6"/>
        <v/>
      </c>
      <c r="B4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25" spans="1:2" x14ac:dyDescent="0.35">
      <c r="A425" s="1" t="str">
        <f t="shared" si="6"/>
        <v/>
      </c>
      <c r="B4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26" spans="1:2" x14ac:dyDescent="0.35">
      <c r="A426" s="1" t="str">
        <f t="shared" si="6"/>
        <v/>
      </c>
      <c r="B4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27" spans="1:2" x14ac:dyDescent="0.35">
      <c r="A427" s="1" t="str">
        <f t="shared" si="6"/>
        <v/>
      </c>
      <c r="B4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28" spans="1:2" x14ac:dyDescent="0.35">
      <c r="A428" s="1" t="str">
        <f t="shared" si="6"/>
        <v/>
      </c>
      <c r="B4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29" spans="1:2" x14ac:dyDescent="0.35">
      <c r="A429" s="1" t="str">
        <f t="shared" si="6"/>
        <v/>
      </c>
      <c r="B4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30" spans="1:2" x14ac:dyDescent="0.35">
      <c r="A430" s="1" t="str">
        <f t="shared" si="6"/>
        <v/>
      </c>
      <c r="B4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31" spans="1:2" x14ac:dyDescent="0.35">
      <c r="A431" s="1" t="str">
        <f t="shared" si="6"/>
        <v/>
      </c>
      <c r="B4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32" spans="1:2" x14ac:dyDescent="0.35">
      <c r="A432" s="1" t="str">
        <f t="shared" si="6"/>
        <v/>
      </c>
      <c r="B4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33" spans="1:2" x14ac:dyDescent="0.35">
      <c r="A433" s="1" t="str">
        <f t="shared" si="6"/>
        <v/>
      </c>
      <c r="B4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34" spans="1:2" x14ac:dyDescent="0.35">
      <c r="A434" s="1" t="str">
        <f t="shared" si="6"/>
        <v/>
      </c>
      <c r="B4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35" spans="1:2" x14ac:dyDescent="0.35">
      <c r="A435" s="1" t="str">
        <f t="shared" si="6"/>
        <v/>
      </c>
      <c r="B4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36" spans="1:2" x14ac:dyDescent="0.35">
      <c r="A436" s="1" t="str">
        <f t="shared" si="6"/>
        <v/>
      </c>
      <c r="B4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37" spans="1:2" x14ac:dyDescent="0.35">
      <c r="A437" s="1" t="str">
        <f t="shared" si="6"/>
        <v/>
      </c>
      <c r="B4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38" spans="1:2" x14ac:dyDescent="0.35">
      <c r="A438" s="1" t="str">
        <f t="shared" si="6"/>
        <v/>
      </c>
      <c r="B4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39" spans="1:2" x14ac:dyDescent="0.35">
      <c r="A439" s="1" t="str">
        <f t="shared" si="6"/>
        <v/>
      </c>
      <c r="B4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40" spans="1:2" x14ac:dyDescent="0.35">
      <c r="A440" s="1" t="str">
        <f t="shared" si="6"/>
        <v/>
      </c>
      <c r="B4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41" spans="1:2" x14ac:dyDescent="0.35">
      <c r="A441" s="1" t="str">
        <f t="shared" si="6"/>
        <v/>
      </c>
      <c r="B4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42" spans="1:2" x14ac:dyDescent="0.35">
      <c r="A442" s="1" t="str">
        <f t="shared" si="6"/>
        <v/>
      </c>
      <c r="B4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43" spans="1:2" x14ac:dyDescent="0.35">
      <c r="A443" s="1" t="str">
        <f t="shared" si="6"/>
        <v/>
      </c>
      <c r="B4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44" spans="1:2" x14ac:dyDescent="0.35">
      <c r="A444" s="1" t="str">
        <f t="shared" si="6"/>
        <v/>
      </c>
      <c r="B4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45" spans="1:2" x14ac:dyDescent="0.35">
      <c r="A445" s="1" t="str">
        <f t="shared" si="6"/>
        <v/>
      </c>
      <c r="B4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46" spans="1:2" x14ac:dyDescent="0.35">
      <c r="A446" s="1" t="str">
        <f t="shared" si="6"/>
        <v/>
      </c>
      <c r="B4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47" spans="1:2" x14ac:dyDescent="0.35">
      <c r="A447" s="1" t="str">
        <f t="shared" si="6"/>
        <v/>
      </c>
      <c r="B4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48" spans="1:2" x14ac:dyDescent="0.35">
      <c r="A448" s="1" t="str">
        <f t="shared" si="6"/>
        <v/>
      </c>
      <c r="B4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49" spans="1:2" x14ac:dyDescent="0.35">
      <c r="A449" s="1" t="str">
        <f t="shared" si="6"/>
        <v/>
      </c>
      <c r="B4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50" spans="1:2" x14ac:dyDescent="0.35">
      <c r="A450" s="1" t="str">
        <f t="shared" ref="A450:A513" si="7">IFERROR(LEFT(RIGHT(C450,LEN(C450)-SEARCH("@",C450)),SEARCH("/",RIGHT(C450,LEN(C450)-SEARCH("@",C450)-1))),"")</f>
        <v/>
      </c>
      <c r="B4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51" spans="1:2" x14ac:dyDescent="0.35">
      <c r="A451" s="1" t="str">
        <f t="shared" si="7"/>
        <v/>
      </c>
      <c r="B4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52" spans="1:2" x14ac:dyDescent="0.35">
      <c r="A452" s="1" t="str">
        <f t="shared" si="7"/>
        <v/>
      </c>
      <c r="B4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53" spans="1:2" x14ac:dyDescent="0.35">
      <c r="A453" s="1" t="str">
        <f t="shared" si="7"/>
        <v/>
      </c>
      <c r="B4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54" spans="1:2" x14ac:dyDescent="0.35">
      <c r="A454" s="1" t="str">
        <f t="shared" si="7"/>
        <v/>
      </c>
      <c r="B4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55" spans="1:2" x14ac:dyDescent="0.35">
      <c r="A455" s="1" t="str">
        <f t="shared" si="7"/>
        <v/>
      </c>
      <c r="B4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56" spans="1:2" x14ac:dyDescent="0.35">
      <c r="A456" s="1" t="str">
        <f t="shared" si="7"/>
        <v/>
      </c>
      <c r="B4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57" spans="1:2" x14ac:dyDescent="0.35">
      <c r="A457" s="1" t="str">
        <f t="shared" si="7"/>
        <v/>
      </c>
      <c r="B4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58" spans="1:2" x14ac:dyDescent="0.35">
      <c r="A458" s="1" t="str">
        <f t="shared" si="7"/>
        <v/>
      </c>
      <c r="B4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59" spans="1:2" x14ac:dyDescent="0.35">
      <c r="A459" s="1" t="str">
        <f t="shared" si="7"/>
        <v/>
      </c>
      <c r="B4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60" spans="1:2" x14ac:dyDescent="0.35">
      <c r="A460" s="1" t="str">
        <f t="shared" si="7"/>
        <v/>
      </c>
      <c r="B4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61" spans="1:2" x14ac:dyDescent="0.35">
      <c r="A461" s="1" t="str">
        <f t="shared" si="7"/>
        <v/>
      </c>
      <c r="B4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62" spans="1:2" x14ac:dyDescent="0.35">
      <c r="A462" s="1" t="str">
        <f t="shared" si="7"/>
        <v/>
      </c>
      <c r="B4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63" spans="1:2" x14ac:dyDescent="0.35">
      <c r="A463" s="1" t="str">
        <f t="shared" si="7"/>
        <v/>
      </c>
      <c r="B4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64" spans="1:2" x14ac:dyDescent="0.35">
      <c r="A464" s="1" t="str">
        <f t="shared" si="7"/>
        <v/>
      </c>
      <c r="B4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65" spans="1:2" x14ac:dyDescent="0.35">
      <c r="A465" s="1" t="str">
        <f t="shared" si="7"/>
        <v/>
      </c>
      <c r="B4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66" spans="1:2" x14ac:dyDescent="0.35">
      <c r="A466" s="1" t="str">
        <f t="shared" si="7"/>
        <v/>
      </c>
      <c r="B4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67" spans="1:2" x14ac:dyDescent="0.35">
      <c r="A467" s="1" t="str">
        <f t="shared" si="7"/>
        <v/>
      </c>
      <c r="B4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68" spans="1:2" x14ac:dyDescent="0.35">
      <c r="A468" s="1" t="str">
        <f t="shared" si="7"/>
        <v/>
      </c>
      <c r="B4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69" spans="1:2" x14ac:dyDescent="0.35">
      <c r="A469" s="1" t="str">
        <f t="shared" si="7"/>
        <v/>
      </c>
      <c r="B4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70" spans="1:2" x14ac:dyDescent="0.35">
      <c r="A470" s="1" t="str">
        <f t="shared" si="7"/>
        <v/>
      </c>
      <c r="B4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71" spans="1:2" x14ac:dyDescent="0.35">
      <c r="A471" s="1" t="str">
        <f t="shared" si="7"/>
        <v/>
      </c>
      <c r="B4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72" spans="1:2" x14ac:dyDescent="0.35">
      <c r="A472" s="1" t="str">
        <f t="shared" si="7"/>
        <v/>
      </c>
      <c r="B4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73" spans="1:2" x14ac:dyDescent="0.35">
      <c r="A473" s="1" t="str">
        <f t="shared" si="7"/>
        <v/>
      </c>
      <c r="B4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74" spans="1:2" x14ac:dyDescent="0.35">
      <c r="A474" s="1" t="str">
        <f t="shared" si="7"/>
        <v/>
      </c>
      <c r="B4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75" spans="1:2" x14ac:dyDescent="0.35">
      <c r="A475" s="1" t="str">
        <f t="shared" si="7"/>
        <v/>
      </c>
      <c r="B4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76" spans="1:2" x14ac:dyDescent="0.35">
      <c r="A476" s="1" t="str">
        <f t="shared" si="7"/>
        <v/>
      </c>
      <c r="B4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77" spans="1:2" x14ac:dyDescent="0.35">
      <c r="A477" s="1" t="str">
        <f t="shared" si="7"/>
        <v/>
      </c>
      <c r="B4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78" spans="1:2" x14ac:dyDescent="0.35">
      <c r="A478" s="1" t="str">
        <f t="shared" si="7"/>
        <v/>
      </c>
      <c r="B4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79" spans="1:2" x14ac:dyDescent="0.35">
      <c r="A479" s="1" t="str">
        <f t="shared" si="7"/>
        <v/>
      </c>
      <c r="B4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80" spans="1:2" x14ac:dyDescent="0.35">
      <c r="A480" s="1" t="str">
        <f t="shared" si="7"/>
        <v/>
      </c>
      <c r="B4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81" spans="1:2" x14ac:dyDescent="0.35">
      <c r="A481" s="1" t="str">
        <f t="shared" si="7"/>
        <v/>
      </c>
      <c r="B4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82" spans="1:2" x14ac:dyDescent="0.35">
      <c r="A482" s="1" t="str">
        <f t="shared" si="7"/>
        <v/>
      </c>
      <c r="B4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83" spans="1:2" x14ac:dyDescent="0.35">
      <c r="A483" s="1" t="str">
        <f t="shared" si="7"/>
        <v/>
      </c>
      <c r="B4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84" spans="1:2" x14ac:dyDescent="0.35">
      <c r="A484" s="1" t="str">
        <f t="shared" si="7"/>
        <v/>
      </c>
      <c r="B4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85" spans="1:2" x14ac:dyDescent="0.35">
      <c r="A485" s="1" t="str">
        <f t="shared" si="7"/>
        <v/>
      </c>
      <c r="B4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86" spans="1:2" x14ac:dyDescent="0.35">
      <c r="A486" s="1" t="str">
        <f t="shared" si="7"/>
        <v/>
      </c>
      <c r="B4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87" spans="1:2" x14ac:dyDescent="0.35">
      <c r="A487" s="1" t="str">
        <f t="shared" si="7"/>
        <v/>
      </c>
      <c r="B4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88" spans="1:2" x14ac:dyDescent="0.35">
      <c r="A488" s="1" t="str">
        <f t="shared" si="7"/>
        <v/>
      </c>
      <c r="B4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89" spans="1:2" x14ac:dyDescent="0.35">
      <c r="A489" s="1" t="str">
        <f t="shared" si="7"/>
        <v/>
      </c>
      <c r="B4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90" spans="1:2" x14ac:dyDescent="0.35">
      <c r="A490" s="1" t="str">
        <f t="shared" si="7"/>
        <v/>
      </c>
      <c r="B4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91" spans="1:2" x14ac:dyDescent="0.35">
      <c r="A491" s="1" t="str">
        <f t="shared" si="7"/>
        <v/>
      </c>
      <c r="B4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92" spans="1:2" x14ac:dyDescent="0.35">
      <c r="A492" s="1" t="str">
        <f t="shared" si="7"/>
        <v/>
      </c>
      <c r="B4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93" spans="1:2" x14ac:dyDescent="0.35">
      <c r="A493" s="1" t="str">
        <f t="shared" si="7"/>
        <v/>
      </c>
      <c r="B4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94" spans="1:2" x14ac:dyDescent="0.35">
      <c r="A494" s="1" t="str">
        <f t="shared" si="7"/>
        <v/>
      </c>
      <c r="B4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95" spans="1:2" x14ac:dyDescent="0.35">
      <c r="A495" s="1" t="str">
        <f t="shared" si="7"/>
        <v/>
      </c>
      <c r="B4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96" spans="1:2" x14ac:dyDescent="0.35">
      <c r="A496" s="1" t="str">
        <f t="shared" si="7"/>
        <v/>
      </c>
      <c r="B4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97" spans="1:2" x14ac:dyDescent="0.35">
      <c r="A497" s="1" t="str">
        <f t="shared" si="7"/>
        <v/>
      </c>
      <c r="B4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98" spans="1:2" x14ac:dyDescent="0.35">
      <c r="A498" s="1" t="str">
        <f t="shared" si="7"/>
        <v/>
      </c>
      <c r="B4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99" spans="1:2" x14ac:dyDescent="0.35">
      <c r="A499" s="1" t="str">
        <f t="shared" si="7"/>
        <v/>
      </c>
      <c r="B4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00" spans="1:2" x14ac:dyDescent="0.35">
      <c r="A500" s="1" t="str">
        <f t="shared" si="7"/>
        <v/>
      </c>
      <c r="B5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01" spans="1:2" x14ac:dyDescent="0.35">
      <c r="A501" s="1" t="str">
        <f t="shared" si="7"/>
        <v/>
      </c>
      <c r="B5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02" spans="1:2" x14ac:dyDescent="0.35">
      <c r="A502" s="1" t="str">
        <f t="shared" si="7"/>
        <v/>
      </c>
      <c r="B5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03" spans="1:2" x14ac:dyDescent="0.35">
      <c r="A503" s="1" t="str">
        <f t="shared" si="7"/>
        <v/>
      </c>
      <c r="B5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04" spans="1:2" x14ac:dyDescent="0.35">
      <c r="A504" s="1" t="str">
        <f t="shared" si="7"/>
        <v/>
      </c>
      <c r="B5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05" spans="1:2" x14ac:dyDescent="0.35">
      <c r="A505" s="1" t="str">
        <f t="shared" si="7"/>
        <v/>
      </c>
      <c r="B5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06" spans="1:2" x14ac:dyDescent="0.35">
      <c r="A506" s="1" t="str">
        <f t="shared" si="7"/>
        <v/>
      </c>
      <c r="B5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07" spans="1:2" x14ac:dyDescent="0.35">
      <c r="A507" s="1" t="str">
        <f t="shared" si="7"/>
        <v/>
      </c>
      <c r="B5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08" spans="1:2" x14ac:dyDescent="0.35">
      <c r="A508" s="1" t="str">
        <f t="shared" si="7"/>
        <v/>
      </c>
      <c r="B5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09" spans="1:2" x14ac:dyDescent="0.35">
      <c r="A509" s="1" t="str">
        <f t="shared" si="7"/>
        <v/>
      </c>
      <c r="B5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10" spans="1:2" x14ac:dyDescent="0.35">
      <c r="A510" s="1" t="str">
        <f t="shared" si="7"/>
        <v/>
      </c>
      <c r="B5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11" spans="1:2" x14ac:dyDescent="0.35">
      <c r="A511" s="1" t="str">
        <f t="shared" si="7"/>
        <v/>
      </c>
      <c r="B5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12" spans="1:2" x14ac:dyDescent="0.35">
      <c r="A512" s="1" t="str">
        <f t="shared" si="7"/>
        <v/>
      </c>
      <c r="B5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13" spans="1:2" x14ac:dyDescent="0.35">
      <c r="A513" s="1" t="str">
        <f t="shared" si="7"/>
        <v/>
      </c>
      <c r="B5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14" spans="1:2" x14ac:dyDescent="0.35">
      <c r="A514" s="1" t="str">
        <f t="shared" ref="A514:A577" si="8">IFERROR(LEFT(RIGHT(C514,LEN(C514)-SEARCH("@",C514)),SEARCH("/",RIGHT(C514,LEN(C514)-SEARCH("@",C514)-1))),"")</f>
        <v/>
      </c>
      <c r="B5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15" spans="1:2" x14ac:dyDescent="0.35">
      <c r="A515" s="1" t="str">
        <f t="shared" si="8"/>
        <v/>
      </c>
      <c r="B5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16" spans="1:2" x14ac:dyDescent="0.35">
      <c r="A516" s="1" t="str">
        <f t="shared" si="8"/>
        <v/>
      </c>
      <c r="B5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17" spans="1:2" x14ac:dyDescent="0.35">
      <c r="A517" s="1" t="str">
        <f t="shared" si="8"/>
        <v/>
      </c>
      <c r="B5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18" spans="1:2" x14ac:dyDescent="0.35">
      <c r="A518" s="1" t="str">
        <f t="shared" si="8"/>
        <v/>
      </c>
      <c r="B5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19" spans="1:2" x14ac:dyDescent="0.35">
      <c r="A519" s="1" t="str">
        <f t="shared" si="8"/>
        <v/>
      </c>
      <c r="B5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20" spans="1:2" x14ac:dyDescent="0.35">
      <c r="A520" s="1" t="str">
        <f t="shared" si="8"/>
        <v/>
      </c>
      <c r="B5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21" spans="1:2" x14ac:dyDescent="0.35">
      <c r="A521" s="1" t="str">
        <f t="shared" si="8"/>
        <v/>
      </c>
      <c r="B5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22" spans="1:2" x14ac:dyDescent="0.35">
      <c r="A522" s="1" t="str">
        <f t="shared" si="8"/>
        <v/>
      </c>
      <c r="B5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23" spans="1:2" x14ac:dyDescent="0.35">
      <c r="A523" s="1" t="str">
        <f t="shared" si="8"/>
        <v/>
      </c>
      <c r="B5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24" spans="1:2" x14ac:dyDescent="0.35">
      <c r="A524" s="1" t="str">
        <f t="shared" si="8"/>
        <v/>
      </c>
      <c r="B5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25" spans="1:2" x14ac:dyDescent="0.35">
      <c r="A525" s="1" t="str">
        <f t="shared" si="8"/>
        <v/>
      </c>
      <c r="B5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26" spans="1:2" x14ac:dyDescent="0.35">
      <c r="A526" s="1" t="str">
        <f t="shared" si="8"/>
        <v/>
      </c>
      <c r="B5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27" spans="1:2" x14ac:dyDescent="0.35">
      <c r="A527" s="1" t="str">
        <f t="shared" si="8"/>
        <v/>
      </c>
      <c r="B5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28" spans="1:2" x14ac:dyDescent="0.35">
      <c r="A528" s="1" t="str">
        <f t="shared" si="8"/>
        <v/>
      </c>
      <c r="B5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29" spans="1:2" x14ac:dyDescent="0.35">
      <c r="A529" s="1" t="str">
        <f t="shared" si="8"/>
        <v/>
      </c>
      <c r="B5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30" spans="1:2" x14ac:dyDescent="0.35">
      <c r="A530" s="1" t="str">
        <f t="shared" si="8"/>
        <v/>
      </c>
      <c r="B5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31" spans="1:2" x14ac:dyDescent="0.35">
      <c r="A531" s="1" t="str">
        <f t="shared" si="8"/>
        <v/>
      </c>
      <c r="B5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32" spans="1:2" x14ac:dyDescent="0.35">
      <c r="A532" s="1" t="str">
        <f t="shared" si="8"/>
        <v/>
      </c>
      <c r="B5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33" spans="1:2" x14ac:dyDescent="0.35">
      <c r="A533" s="1" t="str">
        <f t="shared" si="8"/>
        <v/>
      </c>
      <c r="B5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34" spans="1:2" x14ac:dyDescent="0.35">
      <c r="A534" s="1" t="str">
        <f t="shared" si="8"/>
        <v/>
      </c>
      <c r="B5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35" spans="1:2" x14ac:dyDescent="0.35">
      <c r="A535" s="1" t="str">
        <f t="shared" si="8"/>
        <v/>
      </c>
      <c r="B5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36" spans="1:2" x14ac:dyDescent="0.35">
      <c r="A536" s="1" t="str">
        <f t="shared" si="8"/>
        <v/>
      </c>
      <c r="B5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37" spans="1:2" x14ac:dyDescent="0.35">
      <c r="A537" s="1" t="str">
        <f t="shared" si="8"/>
        <v/>
      </c>
      <c r="B5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38" spans="1:2" x14ac:dyDescent="0.35">
      <c r="A538" s="1" t="str">
        <f t="shared" si="8"/>
        <v/>
      </c>
      <c r="B5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39" spans="1:2" x14ac:dyDescent="0.35">
      <c r="A539" s="1" t="str">
        <f t="shared" si="8"/>
        <v/>
      </c>
      <c r="B5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40" spans="1:2" x14ac:dyDescent="0.35">
      <c r="A540" s="1" t="str">
        <f t="shared" si="8"/>
        <v/>
      </c>
      <c r="B5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41" spans="1:2" x14ac:dyDescent="0.35">
      <c r="A541" s="1" t="str">
        <f t="shared" si="8"/>
        <v/>
      </c>
      <c r="B5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42" spans="1:2" x14ac:dyDescent="0.35">
      <c r="A542" s="1" t="str">
        <f t="shared" si="8"/>
        <v/>
      </c>
      <c r="B5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43" spans="1:2" x14ac:dyDescent="0.35">
      <c r="A543" s="1" t="str">
        <f t="shared" si="8"/>
        <v/>
      </c>
      <c r="B5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44" spans="1:2" x14ac:dyDescent="0.35">
      <c r="A544" s="1" t="str">
        <f t="shared" si="8"/>
        <v/>
      </c>
      <c r="B5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45" spans="1:2" x14ac:dyDescent="0.35">
      <c r="A545" s="1" t="str">
        <f t="shared" si="8"/>
        <v/>
      </c>
      <c r="B5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46" spans="1:2" x14ac:dyDescent="0.35">
      <c r="A546" s="1" t="str">
        <f t="shared" si="8"/>
        <v/>
      </c>
      <c r="B5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47" spans="1:2" x14ac:dyDescent="0.35">
      <c r="A547" s="1" t="str">
        <f t="shared" si="8"/>
        <v/>
      </c>
      <c r="B5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48" spans="1:2" x14ac:dyDescent="0.35">
      <c r="A548" s="1" t="str">
        <f t="shared" si="8"/>
        <v/>
      </c>
      <c r="B5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49" spans="1:2" x14ac:dyDescent="0.35">
      <c r="A549" s="1" t="str">
        <f t="shared" si="8"/>
        <v/>
      </c>
      <c r="B5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50" spans="1:2" x14ac:dyDescent="0.35">
      <c r="A550" s="1" t="str">
        <f t="shared" si="8"/>
        <v/>
      </c>
      <c r="B5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51" spans="1:2" x14ac:dyDescent="0.35">
      <c r="A551" s="1" t="str">
        <f t="shared" si="8"/>
        <v/>
      </c>
      <c r="B5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52" spans="1:2" x14ac:dyDescent="0.35">
      <c r="A552" s="1" t="str">
        <f t="shared" si="8"/>
        <v/>
      </c>
      <c r="B5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53" spans="1:2" x14ac:dyDescent="0.35">
      <c r="A553" s="1" t="str">
        <f t="shared" si="8"/>
        <v/>
      </c>
      <c r="B5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54" spans="1:2" x14ac:dyDescent="0.35">
      <c r="A554" s="1" t="str">
        <f t="shared" si="8"/>
        <v/>
      </c>
      <c r="B5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55" spans="1:2" x14ac:dyDescent="0.35">
      <c r="A555" s="1" t="str">
        <f t="shared" si="8"/>
        <v/>
      </c>
      <c r="B5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56" spans="1:2" x14ac:dyDescent="0.35">
      <c r="A556" s="1" t="str">
        <f t="shared" si="8"/>
        <v/>
      </c>
      <c r="B5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57" spans="1:2" x14ac:dyDescent="0.35">
      <c r="A557" s="1" t="str">
        <f t="shared" si="8"/>
        <v/>
      </c>
      <c r="B5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58" spans="1:2" x14ac:dyDescent="0.35">
      <c r="A558" s="1" t="str">
        <f t="shared" si="8"/>
        <v/>
      </c>
      <c r="B5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59" spans="1:2" x14ac:dyDescent="0.35">
      <c r="A559" s="1" t="str">
        <f t="shared" si="8"/>
        <v/>
      </c>
      <c r="B5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60" spans="1:2" x14ac:dyDescent="0.35">
      <c r="A560" s="1" t="str">
        <f t="shared" si="8"/>
        <v/>
      </c>
      <c r="B5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61" spans="1:2" x14ac:dyDescent="0.35">
      <c r="A561" s="1" t="str">
        <f t="shared" si="8"/>
        <v/>
      </c>
      <c r="B5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62" spans="1:2" x14ac:dyDescent="0.35">
      <c r="A562" s="1" t="str">
        <f t="shared" si="8"/>
        <v/>
      </c>
      <c r="B5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63" spans="1:2" x14ac:dyDescent="0.35">
      <c r="A563" s="1" t="str">
        <f t="shared" si="8"/>
        <v/>
      </c>
      <c r="B5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64" spans="1:2" x14ac:dyDescent="0.35">
      <c r="A564" s="1" t="str">
        <f t="shared" si="8"/>
        <v/>
      </c>
      <c r="B5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65" spans="1:2" x14ac:dyDescent="0.35">
      <c r="A565" s="1" t="str">
        <f t="shared" si="8"/>
        <v/>
      </c>
      <c r="B5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66" spans="1:2" x14ac:dyDescent="0.35">
      <c r="A566" s="1" t="str">
        <f t="shared" si="8"/>
        <v/>
      </c>
      <c r="B5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67" spans="1:2" x14ac:dyDescent="0.35">
      <c r="A567" s="1" t="str">
        <f t="shared" si="8"/>
        <v/>
      </c>
      <c r="B5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68" spans="1:2" x14ac:dyDescent="0.35">
      <c r="A568" s="1" t="str">
        <f t="shared" si="8"/>
        <v/>
      </c>
      <c r="B5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69" spans="1:2" x14ac:dyDescent="0.35">
      <c r="A569" s="1" t="str">
        <f t="shared" si="8"/>
        <v/>
      </c>
      <c r="B5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70" spans="1:2" x14ac:dyDescent="0.35">
      <c r="A570" s="1" t="str">
        <f t="shared" si="8"/>
        <v/>
      </c>
      <c r="B5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71" spans="1:2" x14ac:dyDescent="0.35">
      <c r="A571" s="1" t="str">
        <f t="shared" si="8"/>
        <v/>
      </c>
      <c r="B5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72" spans="1:2" x14ac:dyDescent="0.35">
      <c r="A572" s="1" t="str">
        <f t="shared" si="8"/>
        <v/>
      </c>
      <c r="B5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73" spans="1:2" x14ac:dyDescent="0.35">
      <c r="A573" s="1" t="str">
        <f t="shared" si="8"/>
        <v/>
      </c>
      <c r="B5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74" spans="1:2" x14ac:dyDescent="0.35">
      <c r="A574" s="1" t="str">
        <f t="shared" si="8"/>
        <v/>
      </c>
      <c r="B5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75" spans="1:2" x14ac:dyDescent="0.35">
      <c r="A575" s="1" t="str">
        <f t="shared" si="8"/>
        <v/>
      </c>
      <c r="B5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76" spans="1:2" x14ac:dyDescent="0.35">
      <c r="A576" s="1" t="str">
        <f t="shared" si="8"/>
        <v/>
      </c>
      <c r="B5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77" spans="1:2" x14ac:dyDescent="0.35">
      <c r="A577" s="1" t="str">
        <f t="shared" si="8"/>
        <v/>
      </c>
      <c r="B5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78" spans="1:2" x14ac:dyDescent="0.35">
      <c r="A578" s="1" t="str">
        <f t="shared" ref="A578:A641" si="9">IFERROR(LEFT(RIGHT(C578,LEN(C578)-SEARCH("@",C578)),SEARCH("/",RIGHT(C578,LEN(C578)-SEARCH("@",C578)-1))),"")</f>
        <v/>
      </c>
      <c r="B5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79" spans="1:2" x14ac:dyDescent="0.35">
      <c r="A579" s="1" t="str">
        <f t="shared" si="9"/>
        <v/>
      </c>
      <c r="B5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80" spans="1:2" x14ac:dyDescent="0.35">
      <c r="A580" s="1" t="str">
        <f t="shared" si="9"/>
        <v/>
      </c>
      <c r="B5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81" spans="1:2" x14ac:dyDescent="0.35">
      <c r="A581" s="1" t="str">
        <f t="shared" si="9"/>
        <v/>
      </c>
      <c r="B5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82" spans="1:2" x14ac:dyDescent="0.35">
      <c r="A582" s="1" t="str">
        <f t="shared" si="9"/>
        <v/>
      </c>
      <c r="B5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83" spans="1:2" x14ac:dyDescent="0.35">
      <c r="A583" s="1" t="str">
        <f t="shared" si="9"/>
        <v/>
      </c>
      <c r="B5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84" spans="1:2" x14ac:dyDescent="0.35">
      <c r="A584" s="1" t="str">
        <f t="shared" si="9"/>
        <v/>
      </c>
      <c r="B5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85" spans="1:2" x14ac:dyDescent="0.35">
      <c r="A585" s="1" t="str">
        <f t="shared" si="9"/>
        <v/>
      </c>
      <c r="B5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86" spans="1:2" x14ac:dyDescent="0.35">
      <c r="A586" s="1" t="str">
        <f t="shared" si="9"/>
        <v/>
      </c>
      <c r="B5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87" spans="1:2" x14ac:dyDescent="0.35">
      <c r="A587" s="1" t="str">
        <f t="shared" si="9"/>
        <v/>
      </c>
      <c r="B5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88" spans="1:2" x14ac:dyDescent="0.35">
      <c r="A588" s="1" t="str">
        <f t="shared" si="9"/>
        <v/>
      </c>
      <c r="B5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89" spans="1:2" x14ac:dyDescent="0.35">
      <c r="A589" s="1" t="str">
        <f t="shared" si="9"/>
        <v/>
      </c>
      <c r="B5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90" spans="1:2" x14ac:dyDescent="0.35">
      <c r="A590" s="1" t="str">
        <f t="shared" si="9"/>
        <v/>
      </c>
      <c r="B5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91" spans="1:2" x14ac:dyDescent="0.35">
      <c r="A591" s="1" t="str">
        <f t="shared" si="9"/>
        <v/>
      </c>
      <c r="B5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92" spans="1:2" x14ac:dyDescent="0.35">
      <c r="A592" s="1" t="str">
        <f t="shared" si="9"/>
        <v/>
      </c>
      <c r="B5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93" spans="1:2" x14ac:dyDescent="0.35">
      <c r="A593" s="1" t="str">
        <f t="shared" si="9"/>
        <v/>
      </c>
      <c r="B5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94" spans="1:2" x14ac:dyDescent="0.35">
      <c r="A594" s="1" t="str">
        <f t="shared" si="9"/>
        <v/>
      </c>
      <c r="B5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95" spans="1:2" x14ac:dyDescent="0.35">
      <c r="A595" s="1" t="str">
        <f t="shared" si="9"/>
        <v/>
      </c>
      <c r="B5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96" spans="1:2" x14ac:dyDescent="0.35">
      <c r="A596" s="1" t="str">
        <f t="shared" si="9"/>
        <v/>
      </c>
      <c r="B5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97" spans="1:2" x14ac:dyDescent="0.35">
      <c r="A597" s="1" t="str">
        <f t="shared" si="9"/>
        <v/>
      </c>
      <c r="B5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98" spans="1:2" x14ac:dyDescent="0.35">
      <c r="A598" s="1" t="str">
        <f t="shared" si="9"/>
        <v/>
      </c>
      <c r="B5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99" spans="1:2" x14ac:dyDescent="0.35">
      <c r="A599" s="1" t="str">
        <f t="shared" si="9"/>
        <v/>
      </c>
      <c r="B5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00" spans="1:2" x14ac:dyDescent="0.35">
      <c r="A600" s="1" t="str">
        <f t="shared" si="9"/>
        <v/>
      </c>
      <c r="B6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01" spans="1:2" x14ac:dyDescent="0.35">
      <c r="A601" s="1" t="str">
        <f t="shared" si="9"/>
        <v/>
      </c>
      <c r="B6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02" spans="1:2" x14ac:dyDescent="0.35">
      <c r="A602" s="1" t="str">
        <f t="shared" si="9"/>
        <v/>
      </c>
      <c r="B6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03" spans="1:2" x14ac:dyDescent="0.35">
      <c r="A603" s="1" t="str">
        <f t="shared" si="9"/>
        <v/>
      </c>
      <c r="B6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04" spans="1:2" x14ac:dyDescent="0.35">
      <c r="A604" s="1" t="str">
        <f t="shared" si="9"/>
        <v/>
      </c>
      <c r="B6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05" spans="1:2" x14ac:dyDescent="0.35">
      <c r="A605" s="1" t="str">
        <f t="shared" si="9"/>
        <v/>
      </c>
      <c r="B6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06" spans="1:2" x14ac:dyDescent="0.35">
      <c r="A606" s="1" t="str">
        <f t="shared" si="9"/>
        <v/>
      </c>
      <c r="B6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07" spans="1:2" x14ac:dyDescent="0.35">
      <c r="A607" s="1" t="str">
        <f t="shared" si="9"/>
        <v/>
      </c>
      <c r="B6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08" spans="1:2" x14ac:dyDescent="0.35">
      <c r="A608" s="1" t="str">
        <f t="shared" si="9"/>
        <v/>
      </c>
      <c r="B6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09" spans="1:2" x14ac:dyDescent="0.35">
      <c r="A609" s="1" t="str">
        <f t="shared" si="9"/>
        <v/>
      </c>
      <c r="B6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10" spans="1:2" x14ac:dyDescent="0.35">
      <c r="A610" s="1" t="str">
        <f t="shared" si="9"/>
        <v/>
      </c>
      <c r="B6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11" spans="1:2" x14ac:dyDescent="0.35">
      <c r="A611" s="1" t="str">
        <f t="shared" si="9"/>
        <v/>
      </c>
      <c r="B6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12" spans="1:2" x14ac:dyDescent="0.35">
      <c r="A612" s="1" t="str">
        <f t="shared" si="9"/>
        <v/>
      </c>
      <c r="B6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13" spans="1:2" x14ac:dyDescent="0.35">
      <c r="A613" s="1" t="str">
        <f t="shared" si="9"/>
        <v/>
      </c>
      <c r="B6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14" spans="1:2" x14ac:dyDescent="0.35">
      <c r="A614" s="1" t="str">
        <f t="shared" si="9"/>
        <v/>
      </c>
      <c r="B6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15" spans="1:2" x14ac:dyDescent="0.35">
      <c r="A615" s="1" t="str">
        <f t="shared" si="9"/>
        <v/>
      </c>
      <c r="B6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16" spans="1:2" x14ac:dyDescent="0.35">
      <c r="A616" s="1" t="str">
        <f t="shared" si="9"/>
        <v/>
      </c>
      <c r="B6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17" spans="1:2" x14ac:dyDescent="0.35">
      <c r="A617" s="1" t="str">
        <f t="shared" si="9"/>
        <v/>
      </c>
      <c r="B6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18" spans="1:2" x14ac:dyDescent="0.35">
      <c r="A618" s="1" t="str">
        <f t="shared" si="9"/>
        <v/>
      </c>
      <c r="B6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19" spans="1:2" x14ac:dyDescent="0.35">
      <c r="A619" s="1" t="str">
        <f t="shared" si="9"/>
        <v/>
      </c>
      <c r="B6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20" spans="1:2" x14ac:dyDescent="0.35">
      <c r="A620" s="1" t="str">
        <f t="shared" si="9"/>
        <v/>
      </c>
      <c r="B6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21" spans="1:2" x14ac:dyDescent="0.35">
      <c r="A621" s="1" t="str">
        <f t="shared" si="9"/>
        <v/>
      </c>
      <c r="B6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22" spans="1:2" x14ac:dyDescent="0.35">
      <c r="A622" s="1" t="str">
        <f t="shared" si="9"/>
        <v/>
      </c>
      <c r="B6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23" spans="1:2" x14ac:dyDescent="0.35">
      <c r="A623" s="1" t="str">
        <f t="shared" si="9"/>
        <v/>
      </c>
      <c r="B6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24" spans="1:2" x14ac:dyDescent="0.35">
      <c r="A624" s="1" t="str">
        <f t="shared" si="9"/>
        <v/>
      </c>
      <c r="B6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25" spans="1:2" x14ac:dyDescent="0.35">
      <c r="A625" s="1" t="str">
        <f t="shared" si="9"/>
        <v/>
      </c>
      <c r="B6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26" spans="1:2" x14ac:dyDescent="0.35">
      <c r="A626" s="1" t="str">
        <f t="shared" si="9"/>
        <v/>
      </c>
      <c r="B6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27" spans="1:2" x14ac:dyDescent="0.35">
      <c r="A627" s="1" t="str">
        <f t="shared" si="9"/>
        <v/>
      </c>
      <c r="B6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28" spans="1:2" x14ac:dyDescent="0.35">
      <c r="A628" s="1" t="str">
        <f t="shared" si="9"/>
        <v/>
      </c>
      <c r="B6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29" spans="1:2" x14ac:dyDescent="0.35">
      <c r="A629" s="1" t="str">
        <f t="shared" si="9"/>
        <v/>
      </c>
      <c r="B6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30" spans="1:2" x14ac:dyDescent="0.35">
      <c r="A630" s="1" t="str">
        <f t="shared" si="9"/>
        <v/>
      </c>
      <c r="B6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31" spans="1:2" x14ac:dyDescent="0.35">
      <c r="A631" s="1" t="str">
        <f t="shared" si="9"/>
        <v/>
      </c>
      <c r="B6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32" spans="1:2" x14ac:dyDescent="0.35">
      <c r="A632" s="1" t="str">
        <f t="shared" si="9"/>
        <v/>
      </c>
      <c r="B6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33" spans="1:2" x14ac:dyDescent="0.35">
      <c r="A633" s="1" t="str">
        <f t="shared" si="9"/>
        <v/>
      </c>
      <c r="B6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34" spans="1:2" x14ac:dyDescent="0.35">
      <c r="A634" s="1" t="str">
        <f t="shared" si="9"/>
        <v/>
      </c>
      <c r="B6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35" spans="1:2" x14ac:dyDescent="0.35">
      <c r="A635" s="1" t="str">
        <f t="shared" si="9"/>
        <v/>
      </c>
      <c r="B6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36" spans="1:2" x14ac:dyDescent="0.35">
      <c r="A636" s="1" t="str">
        <f t="shared" si="9"/>
        <v/>
      </c>
      <c r="B6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37" spans="1:2" x14ac:dyDescent="0.35">
      <c r="A637" s="1" t="str">
        <f t="shared" si="9"/>
        <v/>
      </c>
      <c r="B6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38" spans="1:2" x14ac:dyDescent="0.35">
      <c r="A638" s="1" t="str">
        <f t="shared" si="9"/>
        <v/>
      </c>
      <c r="B6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39" spans="1:2" x14ac:dyDescent="0.35">
      <c r="A639" s="1" t="str">
        <f t="shared" si="9"/>
        <v/>
      </c>
      <c r="B6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40" spans="1:2" x14ac:dyDescent="0.35">
      <c r="A640" s="1" t="str">
        <f t="shared" si="9"/>
        <v/>
      </c>
      <c r="B6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41" spans="1:2" x14ac:dyDescent="0.35">
      <c r="A641" s="1" t="str">
        <f t="shared" si="9"/>
        <v/>
      </c>
      <c r="B6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42" spans="1:2" x14ac:dyDescent="0.35">
      <c r="A642" s="1" t="str">
        <f t="shared" ref="A642:A705" si="10">IFERROR(LEFT(RIGHT(C642,LEN(C642)-SEARCH("@",C642)),SEARCH("/",RIGHT(C642,LEN(C642)-SEARCH("@",C642)-1))),"")</f>
        <v/>
      </c>
      <c r="B6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43" spans="1:2" x14ac:dyDescent="0.35">
      <c r="A643" s="1" t="str">
        <f t="shared" si="10"/>
        <v/>
      </c>
      <c r="B6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44" spans="1:2" x14ac:dyDescent="0.35">
      <c r="A644" s="1" t="str">
        <f t="shared" si="10"/>
        <v/>
      </c>
      <c r="B6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45" spans="1:2" x14ac:dyDescent="0.35">
      <c r="A645" s="1" t="str">
        <f t="shared" si="10"/>
        <v/>
      </c>
      <c r="B6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46" spans="1:2" x14ac:dyDescent="0.35">
      <c r="A646" s="1" t="str">
        <f t="shared" si="10"/>
        <v/>
      </c>
      <c r="B6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47" spans="1:2" x14ac:dyDescent="0.35">
      <c r="A647" s="1" t="str">
        <f t="shared" si="10"/>
        <v/>
      </c>
      <c r="B6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48" spans="1:2" x14ac:dyDescent="0.35">
      <c r="A648" s="1" t="str">
        <f t="shared" si="10"/>
        <v/>
      </c>
      <c r="B6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49" spans="1:2" x14ac:dyDescent="0.35">
      <c r="A649" s="1" t="str">
        <f t="shared" si="10"/>
        <v/>
      </c>
      <c r="B6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50" spans="1:2" x14ac:dyDescent="0.35">
      <c r="A650" s="1" t="str">
        <f t="shared" si="10"/>
        <v/>
      </c>
      <c r="B6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51" spans="1:2" x14ac:dyDescent="0.35">
      <c r="A651" s="1" t="str">
        <f t="shared" si="10"/>
        <v/>
      </c>
      <c r="B6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52" spans="1:2" x14ac:dyDescent="0.35">
      <c r="A652" s="1" t="str">
        <f t="shared" si="10"/>
        <v/>
      </c>
      <c r="B6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53" spans="1:2" x14ac:dyDescent="0.35">
      <c r="A653" s="1" t="str">
        <f t="shared" si="10"/>
        <v/>
      </c>
      <c r="B6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54" spans="1:2" x14ac:dyDescent="0.35">
      <c r="A654" s="1" t="str">
        <f t="shared" si="10"/>
        <v/>
      </c>
      <c r="B6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55" spans="1:2" x14ac:dyDescent="0.35">
      <c r="A655" s="1" t="str">
        <f t="shared" si="10"/>
        <v/>
      </c>
      <c r="B6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56" spans="1:2" x14ac:dyDescent="0.35">
      <c r="A656" s="1" t="str">
        <f t="shared" si="10"/>
        <v/>
      </c>
      <c r="B6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57" spans="1:2" x14ac:dyDescent="0.35">
      <c r="A657" s="1" t="str">
        <f t="shared" si="10"/>
        <v/>
      </c>
      <c r="B6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58" spans="1:2" x14ac:dyDescent="0.35">
      <c r="A658" s="1" t="str">
        <f t="shared" si="10"/>
        <v/>
      </c>
      <c r="B6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59" spans="1:2" x14ac:dyDescent="0.35">
      <c r="A659" s="1" t="str">
        <f t="shared" si="10"/>
        <v/>
      </c>
      <c r="B6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60" spans="1:2" x14ac:dyDescent="0.35">
      <c r="A660" s="1" t="str">
        <f t="shared" si="10"/>
        <v/>
      </c>
      <c r="B6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61" spans="1:2" x14ac:dyDescent="0.35">
      <c r="A661" s="1" t="str">
        <f t="shared" si="10"/>
        <v/>
      </c>
      <c r="B6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62" spans="1:2" x14ac:dyDescent="0.35">
      <c r="A662" s="1" t="str">
        <f t="shared" si="10"/>
        <v/>
      </c>
      <c r="B6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63" spans="1:2" x14ac:dyDescent="0.35">
      <c r="A663" s="1" t="str">
        <f t="shared" si="10"/>
        <v/>
      </c>
      <c r="B6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64" spans="1:2" x14ac:dyDescent="0.35">
      <c r="A664" s="1" t="str">
        <f t="shared" si="10"/>
        <v/>
      </c>
      <c r="B6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65" spans="1:2" x14ac:dyDescent="0.35">
      <c r="A665" s="1" t="str">
        <f t="shared" si="10"/>
        <v/>
      </c>
      <c r="B6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66" spans="1:2" x14ac:dyDescent="0.35">
      <c r="A666" s="1" t="str">
        <f t="shared" si="10"/>
        <v/>
      </c>
      <c r="B6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67" spans="1:2" x14ac:dyDescent="0.35">
      <c r="A667" s="1" t="str">
        <f t="shared" si="10"/>
        <v/>
      </c>
      <c r="B6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68" spans="1:2" x14ac:dyDescent="0.35">
      <c r="A668" s="1" t="str">
        <f t="shared" si="10"/>
        <v/>
      </c>
      <c r="B6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69" spans="1:2" x14ac:dyDescent="0.35">
      <c r="A669" s="1" t="str">
        <f t="shared" si="10"/>
        <v/>
      </c>
      <c r="B6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70" spans="1:2" x14ac:dyDescent="0.35">
      <c r="A670" s="1" t="str">
        <f t="shared" si="10"/>
        <v/>
      </c>
      <c r="B6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71" spans="1:2" x14ac:dyDescent="0.35">
      <c r="A671" s="1" t="str">
        <f t="shared" si="10"/>
        <v/>
      </c>
      <c r="B6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72" spans="1:2" x14ac:dyDescent="0.35">
      <c r="A672" s="1" t="str">
        <f t="shared" si="10"/>
        <v/>
      </c>
      <c r="B6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73" spans="1:2" x14ac:dyDescent="0.35">
      <c r="A673" s="1" t="str">
        <f t="shared" si="10"/>
        <v/>
      </c>
      <c r="B6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74" spans="1:2" x14ac:dyDescent="0.35">
      <c r="A674" s="1" t="str">
        <f t="shared" si="10"/>
        <v/>
      </c>
      <c r="B6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75" spans="1:2" x14ac:dyDescent="0.35">
      <c r="A675" s="1" t="str">
        <f t="shared" si="10"/>
        <v/>
      </c>
      <c r="B6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76" spans="1:2" x14ac:dyDescent="0.35">
      <c r="A676" s="1" t="str">
        <f t="shared" si="10"/>
        <v/>
      </c>
      <c r="B6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77" spans="1:2" x14ac:dyDescent="0.35">
      <c r="A677" s="1" t="str">
        <f t="shared" si="10"/>
        <v/>
      </c>
      <c r="B6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78" spans="1:2" x14ac:dyDescent="0.35">
      <c r="A678" s="1" t="str">
        <f t="shared" si="10"/>
        <v/>
      </c>
      <c r="B6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79" spans="1:2" x14ac:dyDescent="0.35">
      <c r="A679" s="1" t="str">
        <f t="shared" si="10"/>
        <v/>
      </c>
      <c r="B6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80" spans="1:2" x14ac:dyDescent="0.35">
      <c r="A680" s="1" t="str">
        <f t="shared" si="10"/>
        <v/>
      </c>
      <c r="B6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81" spans="1:2" x14ac:dyDescent="0.35">
      <c r="A681" s="1" t="str">
        <f t="shared" si="10"/>
        <v/>
      </c>
      <c r="B6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82" spans="1:2" x14ac:dyDescent="0.35">
      <c r="A682" s="1" t="str">
        <f t="shared" si="10"/>
        <v/>
      </c>
      <c r="B6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83" spans="1:2" x14ac:dyDescent="0.35">
      <c r="A683" s="1" t="str">
        <f t="shared" si="10"/>
        <v/>
      </c>
      <c r="B6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84" spans="1:2" x14ac:dyDescent="0.35">
      <c r="A684" s="1" t="str">
        <f t="shared" si="10"/>
        <v/>
      </c>
      <c r="B6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85" spans="1:2" x14ac:dyDescent="0.35">
      <c r="A685" s="1" t="str">
        <f t="shared" si="10"/>
        <v/>
      </c>
      <c r="B6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86" spans="1:2" x14ac:dyDescent="0.35">
      <c r="A686" s="1" t="str">
        <f t="shared" si="10"/>
        <v/>
      </c>
      <c r="B6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87" spans="1:2" x14ac:dyDescent="0.35">
      <c r="A687" s="1" t="str">
        <f t="shared" si="10"/>
        <v/>
      </c>
      <c r="B6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88" spans="1:2" x14ac:dyDescent="0.35">
      <c r="A688" s="1" t="str">
        <f t="shared" si="10"/>
        <v/>
      </c>
      <c r="B6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89" spans="1:2" x14ac:dyDescent="0.35">
      <c r="A689" s="1" t="str">
        <f t="shared" si="10"/>
        <v/>
      </c>
      <c r="B6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0" spans="1:2" x14ac:dyDescent="0.35">
      <c r="A690" s="1" t="str">
        <f t="shared" si="10"/>
        <v/>
      </c>
      <c r="B6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1" spans="1:2" x14ac:dyDescent="0.35">
      <c r="A691" s="1" t="str">
        <f t="shared" si="10"/>
        <v/>
      </c>
      <c r="B6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2" spans="1:2" x14ac:dyDescent="0.35">
      <c r="A692" s="1" t="str">
        <f t="shared" si="10"/>
        <v/>
      </c>
      <c r="B6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3" spans="1:2" x14ac:dyDescent="0.35">
      <c r="A693" s="1" t="str">
        <f t="shared" si="10"/>
        <v/>
      </c>
      <c r="B6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4" spans="1:2" x14ac:dyDescent="0.35">
      <c r="A694" s="1" t="str">
        <f t="shared" si="10"/>
        <v/>
      </c>
      <c r="B6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5" spans="1:2" x14ac:dyDescent="0.35">
      <c r="A695" s="1" t="str">
        <f t="shared" si="10"/>
        <v/>
      </c>
      <c r="B6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6" spans="1:2" x14ac:dyDescent="0.35">
      <c r="A696" s="1" t="str">
        <f t="shared" si="10"/>
        <v/>
      </c>
      <c r="B6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7" spans="1:2" x14ac:dyDescent="0.35">
      <c r="A697" s="1" t="str">
        <f t="shared" si="10"/>
        <v/>
      </c>
      <c r="B6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8" spans="1:2" x14ac:dyDescent="0.35">
      <c r="A698" s="1" t="str">
        <f t="shared" si="10"/>
        <v/>
      </c>
      <c r="B6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9" spans="1:2" x14ac:dyDescent="0.35">
      <c r="A699" s="1" t="str">
        <f t="shared" si="10"/>
        <v/>
      </c>
      <c r="B6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0" spans="1:2" x14ac:dyDescent="0.35">
      <c r="A700" s="1" t="str">
        <f t="shared" si="10"/>
        <v/>
      </c>
      <c r="B7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1" spans="1:2" x14ac:dyDescent="0.35">
      <c r="A701" s="1" t="str">
        <f t="shared" si="10"/>
        <v/>
      </c>
      <c r="B7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2" spans="1:2" x14ac:dyDescent="0.35">
      <c r="A702" s="1" t="str">
        <f t="shared" si="10"/>
        <v/>
      </c>
      <c r="B7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3" spans="1:2" x14ac:dyDescent="0.35">
      <c r="A703" s="1" t="str">
        <f t="shared" si="10"/>
        <v/>
      </c>
      <c r="B7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4" spans="1:2" x14ac:dyDescent="0.35">
      <c r="A704" s="1" t="str">
        <f t="shared" si="10"/>
        <v/>
      </c>
      <c r="B7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5" spans="1:2" x14ac:dyDescent="0.35">
      <c r="A705" s="1" t="str">
        <f t="shared" si="10"/>
        <v/>
      </c>
      <c r="B7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6" spans="1:2" x14ac:dyDescent="0.35">
      <c r="A706" s="1" t="str">
        <f t="shared" ref="A706:A769" si="11">IFERROR(LEFT(RIGHT(C706,LEN(C706)-SEARCH("@",C706)),SEARCH("/",RIGHT(C706,LEN(C706)-SEARCH("@",C706)-1))),"")</f>
        <v/>
      </c>
      <c r="B7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7" spans="1:2" x14ac:dyDescent="0.35">
      <c r="A707" s="1" t="str">
        <f t="shared" si="11"/>
        <v/>
      </c>
      <c r="B7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8" spans="1:2" x14ac:dyDescent="0.35">
      <c r="A708" s="1" t="str">
        <f t="shared" si="11"/>
        <v/>
      </c>
      <c r="B7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9" spans="1:2" x14ac:dyDescent="0.35">
      <c r="A709" s="1" t="str">
        <f t="shared" si="11"/>
        <v/>
      </c>
      <c r="B7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0" spans="1:2" x14ac:dyDescent="0.35">
      <c r="A710" s="1" t="str">
        <f t="shared" si="11"/>
        <v/>
      </c>
      <c r="B7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1" spans="1:2" x14ac:dyDescent="0.35">
      <c r="A711" s="1" t="str">
        <f t="shared" si="11"/>
        <v/>
      </c>
      <c r="B7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2" spans="1:2" x14ac:dyDescent="0.35">
      <c r="A712" s="1" t="str">
        <f t="shared" si="11"/>
        <v/>
      </c>
      <c r="B7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3" spans="1:2" x14ac:dyDescent="0.35">
      <c r="A713" s="1" t="str">
        <f t="shared" si="11"/>
        <v/>
      </c>
      <c r="B7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4" spans="1:2" x14ac:dyDescent="0.35">
      <c r="A714" s="1" t="str">
        <f t="shared" si="11"/>
        <v/>
      </c>
      <c r="B7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5" spans="1:2" x14ac:dyDescent="0.35">
      <c r="A715" s="1" t="str">
        <f t="shared" si="11"/>
        <v/>
      </c>
      <c r="B7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6" spans="1:2" x14ac:dyDescent="0.35">
      <c r="A716" s="1" t="str">
        <f t="shared" si="11"/>
        <v/>
      </c>
      <c r="B7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7" spans="1:2" x14ac:dyDescent="0.35">
      <c r="A717" s="1" t="str">
        <f t="shared" si="11"/>
        <v/>
      </c>
      <c r="B7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8" spans="1:2" x14ac:dyDescent="0.35">
      <c r="A718" s="1" t="str">
        <f t="shared" si="11"/>
        <v/>
      </c>
      <c r="B7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9" spans="1:2" x14ac:dyDescent="0.35">
      <c r="A719" s="1" t="str">
        <f t="shared" si="11"/>
        <v/>
      </c>
      <c r="B7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0" spans="1:2" x14ac:dyDescent="0.35">
      <c r="A720" s="1" t="str">
        <f t="shared" si="11"/>
        <v/>
      </c>
      <c r="B7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1" spans="1:2" x14ac:dyDescent="0.35">
      <c r="A721" s="1" t="str">
        <f t="shared" si="11"/>
        <v/>
      </c>
      <c r="B7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2" spans="1:2" x14ac:dyDescent="0.35">
      <c r="A722" s="1" t="str">
        <f t="shared" si="11"/>
        <v/>
      </c>
      <c r="B7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3" spans="1:2" x14ac:dyDescent="0.35">
      <c r="A723" s="1" t="str">
        <f t="shared" si="11"/>
        <v/>
      </c>
      <c r="B7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4" spans="1:2" x14ac:dyDescent="0.35">
      <c r="A724" s="1" t="str">
        <f t="shared" si="11"/>
        <v/>
      </c>
      <c r="B7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5" spans="1:2" x14ac:dyDescent="0.35">
      <c r="A725" s="1" t="str">
        <f t="shared" si="11"/>
        <v/>
      </c>
      <c r="B7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6" spans="1:2" x14ac:dyDescent="0.35">
      <c r="A726" s="1" t="str">
        <f t="shared" si="11"/>
        <v/>
      </c>
      <c r="B7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7" spans="1:2" x14ac:dyDescent="0.35">
      <c r="A727" s="1" t="str">
        <f t="shared" si="11"/>
        <v/>
      </c>
      <c r="B7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8" spans="1:2" x14ac:dyDescent="0.35">
      <c r="A728" s="1" t="str">
        <f t="shared" si="11"/>
        <v/>
      </c>
      <c r="B7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9" spans="1:2" x14ac:dyDescent="0.35">
      <c r="A729" s="1" t="str">
        <f t="shared" si="11"/>
        <v/>
      </c>
      <c r="B7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0" spans="1:2" x14ac:dyDescent="0.35">
      <c r="A730" s="1" t="str">
        <f t="shared" si="11"/>
        <v/>
      </c>
      <c r="B7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1" spans="1:2" x14ac:dyDescent="0.35">
      <c r="A731" s="1" t="str">
        <f t="shared" si="11"/>
        <v/>
      </c>
      <c r="B7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2" spans="1:2" x14ac:dyDescent="0.35">
      <c r="A732" s="1" t="str">
        <f t="shared" si="11"/>
        <v/>
      </c>
      <c r="B7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3" spans="1:2" x14ac:dyDescent="0.35">
      <c r="A733" s="1" t="str">
        <f t="shared" si="11"/>
        <v/>
      </c>
      <c r="B7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4" spans="1:2" x14ac:dyDescent="0.35">
      <c r="A734" s="1" t="str">
        <f t="shared" si="11"/>
        <v/>
      </c>
      <c r="B7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5" spans="1:2" x14ac:dyDescent="0.35">
      <c r="A735" s="1" t="str">
        <f t="shared" si="11"/>
        <v/>
      </c>
      <c r="B7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6" spans="1:2" x14ac:dyDescent="0.35">
      <c r="A736" s="1" t="str">
        <f t="shared" si="11"/>
        <v/>
      </c>
      <c r="B7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7" spans="1:2" x14ac:dyDescent="0.35">
      <c r="A737" s="1" t="str">
        <f t="shared" si="11"/>
        <v/>
      </c>
      <c r="B7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8" spans="1:2" x14ac:dyDescent="0.35">
      <c r="A738" s="1" t="str">
        <f t="shared" si="11"/>
        <v/>
      </c>
      <c r="B7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9" spans="1:2" x14ac:dyDescent="0.35">
      <c r="A739" s="1" t="str">
        <f t="shared" si="11"/>
        <v/>
      </c>
      <c r="B7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0" spans="1:2" x14ac:dyDescent="0.35">
      <c r="A740" s="1" t="str">
        <f t="shared" si="11"/>
        <v/>
      </c>
      <c r="B7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1" spans="1:2" x14ac:dyDescent="0.35">
      <c r="A741" s="1" t="str">
        <f t="shared" si="11"/>
        <v/>
      </c>
      <c r="B7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2" spans="1:2" x14ac:dyDescent="0.35">
      <c r="A742" s="1" t="str">
        <f t="shared" si="11"/>
        <v/>
      </c>
      <c r="B7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3" spans="1:2" x14ac:dyDescent="0.35">
      <c r="A743" s="1" t="str">
        <f t="shared" si="11"/>
        <v/>
      </c>
      <c r="B7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4" spans="1:2" x14ac:dyDescent="0.35">
      <c r="A744" s="1" t="str">
        <f t="shared" si="11"/>
        <v/>
      </c>
      <c r="B7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5" spans="1:2" x14ac:dyDescent="0.35">
      <c r="A745" s="1" t="str">
        <f t="shared" si="11"/>
        <v/>
      </c>
      <c r="B7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6" spans="1:2" x14ac:dyDescent="0.35">
      <c r="A746" s="1" t="str">
        <f t="shared" si="11"/>
        <v/>
      </c>
      <c r="B7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7" spans="1:2" x14ac:dyDescent="0.35">
      <c r="A747" s="1" t="str">
        <f t="shared" si="11"/>
        <v/>
      </c>
      <c r="B7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8" spans="1:2" x14ac:dyDescent="0.35">
      <c r="A748" s="1" t="str">
        <f t="shared" si="11"/>
        <v/>
      </c>
      <c r="B7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9" spans="1:2" x14ac:dyDescent="0.35">
      <c r="A749" s="1" t="str">
        <f t="shared" si="11"/>
        <v/>
      </c>
      <c r="B7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0" spans="1:2" x14ac:dyDescent="0.35">
      <c r="A750" s="1" t="str">
        <f t="shared" si="11"/>
        <v/>
      </c>
      <c r="B7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1" spans="1:2" x14ac:dyDescent="0.35">
      <c r="A751" s="1" t="str">
        <f t="shared" si="11"/>
        <v/>
      </c>
      <c r="B7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2" spans="1:2" x14ac:dyDescent="0.35">
      <c r="A752" s="1" t="str">
        <f t="shared" si="11"/>
        <v/>
      </c>
      <c r="B7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3" spans="1:2" x14ac:dyDescent="0.35">
      <c r="A753" s="1" t="str">
        <f t="shared" si="11"/>
        <v/>
      </c>
      <c r="B7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4" spans="1:2" x14ac:dyDescent="0.35">
      <c r="A754" s="1" t="str">
        <f t="shared" si="11"/>
        <v/>
      </c>
      <c r="B7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5" spans="1:2" x14ac:dyDescent="0.35">
      <c r="A755" s="1" t="str">
        <f t="shared" si="11"/>
        <v/>
      </c>
      <c r="B7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6" spans="1:2" x14ac:dyDescent="0.35">
      <c r="A756" s="1" t="str">
        <f t="shared" si="11"/>
        <v/>
      </c>
      <c r="B7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7" spans="1:2" x14ac:dyDescent="0.35">
      <c r="A757" s="1" t="str">
        <f t="shared" si="11"/>
        <v/>
      </c>
      <c r="B7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8" spans="1:2" x14ac:dyDescent="0.35">
      <c r="A758" s="1" t="str">
        <f t="shared" si="11"/>
        <v/>
      </c>
      <c r="B7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9" spans="1:2" x14ac:dyDescent="0.35">
      <c r="A759" s="1" t="str">
        <f t="shared" si="11"/>
        <v/>
      </c>
      <c r="B7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0" spans="1:2" x14ac:dyDescent="0.35">
      <c r="A760" s="1" t="str">
        <f t="shared" si="11"/>
        <v/>
      </c>
      <c r="B7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1" spans="1:2" x14ac:dyDescent="0.35">
      <c r="A761" s="1" t="str">
        <f t="shared" si="11"/>
        <v/>
      </c>
      <c r="B7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2" spans="1:2" x14ac:dyDescent="0.35">
      <c r="A762" s="1" t="str">
        <f t="shared" si="11"/>
        <v/>
      </c>
      <c r="B7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3" spans="1:2" x14ac:dyDescent="0.35">
      <c r="A763" s="1" t="str">
        <f t="shared" si="11"/>
        <v/>
      </c>
      <c r="B7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4" spans="1:2" x14ac:dyDescent="0.35">
      <c r="A764" s="1" t="str">
        <f t="shared" si="11"/>
        <v/>
      </c>
      <c r="B7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5" spans="1:2" x14ac:dyDescent="0.35">
      <c r="A765" s="1" t="str">
        <f t="shared" si="11"/>
        <v/>
      </c>
      <c r="B7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6" spans="1:2" x14ac:dyDescent="0.35">
      <c r="A766" s="1" t="str">
        <f t="shared" si="11"/>
        <v/>
      </c>
      <c r="B7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7" spans="1:2" x14ac:dyDescent="0.35">
      <c r="A767" s="1" t="str">
        <f t="shared" si="11"/>
        <v/>
      </c>
      <c r="B7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8" spans="1:2" x14ac:dyDescent="0.35">
      <c r="A768" s="1" t="str">
        <f t="shared" si="11"/>
        <v/>
      </c>
      <c r="B7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9" spans="1:2" x14ac:dyDescent="0.35">
      <c r="A769" s="1" t="str">
        <f t="shared" si="11"/>
        <v/>
      </c>
      <c r="B7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0" spans="1:2" x14ac:dyDescent="0.35">
      <c r="A770" s="1" t="str">
        <f t="shared" ref="A770:A833" si="12">IFERROR(LEFT(RIGHT(C770,LEN(C770)-SEARCH("@",C770)),SEARCH("/",RIGHT(C770,LEN(C770)-SEARCH("@",C770)-1))),"")</f>
        <v/>
      </c>
      <c r="B7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1" spans="1:2" x14ac:dyDescent="0.35">
      <c r="A771" s="1" t="str">
        <f t="shared" si="12"/>
        <v/>
      </c>
      <c r="B7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2" spans="1:2" x14ac:dyDescent="0.35">
      <c r="A772" s="1" t="str">
        <f t="shared" si="12"/>
        <v/>
      </c>
      <c r="B7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3" spans="1:2" x14ac:dyDescent="0.35">
      <c r="A773" s="1" t="str">
        <f t="shared" si="12"/>
        <v/>
      </c>
      <c r="B7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4" spans="1:2" x14ac:dyDescent="0.35">
      <c r="A774" s="1" t="str">
        <f t="shared" si="12"/>
        <v/>
      </c>
      <c r="B7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5" spans="1:2" x14ac:dyDescent="0.35">
      <c r="A775" s="1" t="str">
        <f t="shared" si="12"/>
        <v/>
      </c>
      <c r="B7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6" spans="1:2" x14ac:dyDescent="0.35">
      <c r="A776" s="1" t="str">
        <f t="shared" si="12"/>
        <v/>
      </c>
      <c r="B7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7" spans="1:2" x14ac:dyDescent="0.35">
      <c r="A777" s="1" t="str">
        <f t="shared" si="12"/>
        <v/>
      </c>
      <c r="B7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8" spans="1:2" x14ac:dyDescent="0.35">
      <c r="A778" s="1" t="str">
        <f t="shared" si="12"/>
        <v/>
      </c>
      <c r="B7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9" spans="1:2" x14ac:dyDescent="0.35">
      <c r="A779" s="1" t="str">
        <f t="shared" si="12"/>
        <v/>
      </c>
      <c r="B7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0" spans="1:2" x14ac:dyDescent="0.35">
      <c r="A780" s="1" t="str">
        <f t="shared" si="12"/>
        <v/>
      </c>
      <c r="B7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1" spans="1:2" x14ac:dyDescent="0.35">
      <c r="A781" s="1" t="str">
        <f t="shared" si="12"/>
        <v/>
      </c>
      <c r="B7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2" spans="1:2" x14ac:dyDescent="0.35">
      <c r="A782" s="1" t="str">
        <f t="shared" si="12"/>
        <v/>
      </c>
      <c r="B7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3" spans="1:2" x14ac:dyDescent="0.35">
      <c r="A783" s="1" t="str">
        <f t="shared" si="12"/>
        <v/>
      </c>
      <c r="B7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4" spans="1:2" x14ac:dyDescent="0.35">
      <c r="A784" s="1" t="str">
        <f t="shared" si="12"/>
        <v/>
      </c>
      <c r="B7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5" spans="1:2" x14ac:dyDescent="0.35">
      <c r="A785" s="1" t="str">
        <f t="shared" si="12"/>
        <v/>
      </c>
      <c r="B7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6" spans="1:2" x14ac:dyDescent="0.35">
      <c r="A786" s="1" t="str">
        <f t="shared" si="12"/>
        <v/>
      </c>
      <c r="B7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7" spans="1:2" x14ac:dyDescent="0.35">
      <c r="A787" s="1" t="str">
        <f t="shared" si="12"/>
        <v/>
      </c>
      <c r="B7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8" spans="1:2" x14ac:dyDescent="0.35">
      <c r="A788" s="1" t="str">
        <f t="shared" si="12"/>
        <v/>
      </c>
      <c r="B7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9" spans="1:2" x14ac:dyDescent="0.35">
      <c r="A789" s="1" t="str">
        <f t="shared" si="12"/>
        <v/>
      </c>
      <c r="B7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0" spans="1:2" x14ac:dyDescent="0.35">
      <c r="A790" s="1" t="str">
        <f t="shared" si="12"/>
        <v/>
      </c>
      <c r="B7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1" spans="1:2" x14ac:dyDescent="0.35">
      <c r="A791" s="1" t="str">
        <f t="shared" si="12"/>
        <v/>
      </c>
      <c r="B7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2" spans="1:2" x14ac:dyDescent="0.35">
      <c r="A792" s="1" t="str">
        <f t="shared" si="12"/>
        <v/>
      </c>
      <c r="B7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3" spans="1:2" x14ac:dyDescent="0.35">
      <c r="A793" s="1" t="str">
        <f t="shared" si="12"/>
        <v/>
      </c>
      <c r="B7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4" spans="1:2" x14ac:dyDescent="0.35">
      <c r="A794" s="1" t="str">
        <f t="shared" si="12"/>
        <v/>
      </c>
      <c r="B7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5" spans="1:2" x14ac:dyDescent="0.35">
      <c r="A795" s="1" t="str">
        <f t="shared" si="12"/>
        <v/>
      </c>
      <c r="B7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6" spans="1:2" x14ac:dyDescent="0.35">
      <c r="A796" s="1" t="str">
        <f t="shared" si="12"/>
        <v/>
      </c>
      <c r="B7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7" spans="1:2" x14ac:dyDescent="0.35">
      <c r="A797" s="1" t="str">
        <f t="shared" si="12"/>
        <v/>
      </c>
      <c r="B7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8" spans="1:2" x14ac:dyDescent="0.35">
      <c r="A798" s="1" t="str">
        <f t="shared" si="12"/>
        <v/>
      </c>
      <c r="B7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9" spans="1:2" x14ac:dyDescent="0.35">
      <c r="A799" s="1" t="str">
        <f t="shared" si="12"/>
        <v/>
      </c>
      <c r="B7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0" spans="1:2" x14ac:dyDescent="0.35">
      <c r="A800" s="1" t="str">
        <f t="shared" si="12"/>
        <v/>
      </c>
      <c r="B8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1" spans="1:2" x14ac:dyDescent="0.35">
      <c r="A801" s="1" t="str">
        <f t="shared" si="12"/>
        <v/>
      </c>
      <c r="B8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2" spans="1:2" x14ac:dyDescent="0.35">
      <c r="A802" s="1" t="str">
        <f t="shared" si="12"/>
        <v/>
      </c>
      <c r="B8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3" spans="1:2" x14ac:dyDescent="0.35">
      <c r="A803" s="1" t="str">
        <f t="shared" si="12"/>
        <v/>
      </c>
      <c r="B8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4" spans="1:2" x14ac:dyDescent="0.35">
      <c r="A804" s="1" t="str">
        <f t="shared" si="12"/>
        <v/>
      </c>
      <c r="B8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5" spans="1:2" x14ac:dyDescent="0.35">
      <c r="A805" s="1" t="str">
        <f t="shared" si="12"/>
        <v/>
      </c>
      <c r="B8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6" spans="1:2" x14ac:dyDescent="0.35">
      <c r="A806" s="1" t="str">
        <f t="shared" si="12"/>
        <v/>
      </c>
      <c r="B8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7" spans="1:2" x14ac:dyDescent="0.35">
      <c r="A807" s="1" t="str">
        <f t="shared" si="12"/>
        <v/>
      </c>
      <c r="B8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8" spans="1:2" x14ac:dyDescent="0.35">
      <c r="A808" s="1" t="str">
        <f t="shared" si="12"/>
        <v/>
      </c>
      <c r="B8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9" spans="1:2" x14ac:dyDescent="0.35">
      <c r="A809" s="1" t="str">
        <f t="shared" si="12"/>
        <v/>
      </c>
      <c r="B8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0" spans="1:2" x14ac:dyDescent="0.35">
      <c r="A810" s="1" t="str">
        <f t="shared" si="12"/>
        <v/>
      </c>
      <c r="B8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1" spans="1:2" x14ac:dyDescent="0.35">
      <c r="A811" s="1" t="str">
        <f t="shared" si="12"/>
        <v/>
      </c>
      <c r="B8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2" spans="1:2" x14ac:dyDescent="0.35">
      <c r="A812" s="1" t="str">
        <f t="shared" si="12"/>
        <v/>
      </c>
      <c r="B8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3" spans="1:2" x14ac:dyDescent="0.35">
      <c r="A813" s="1" t="str">
        <f t="shared" si="12"/>
        <v/>
      </c>
      <c r="B8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4" spans="1:2" x14ac:dyDescent="0.35">
      <c r="A814" s="1" t="str">
        <f t="shared" si="12"/>
        <v/>
      </c>
      <c r="B8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5" spans="1:2" x14ac:dyDescent="0.35">
      <c r="A815" s="1" t="str">
        <f t="shared" si="12"/>
        <v/>
      </c>
      <c r="B8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6" spans="1:2" x14ac:dyDescent="0.35">
      <c r="A816" s="1" t="str">
        <f t="shared" si="12"/>
        <v/>
      </c>
      <c r="B8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7" spans="1:2" x14ac:dyDescent="0.35">
      <c r="A817" s="1" t="str">
        <f t="shared" si="12"/>
        <v/>
      </c>
      <c r="B8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8" spans="1:2" x14ac:dyDescent="0.35">
      <c r="A818" s="1" t="str">
        <f t="shared" si="12"/>
        <v/>
      </c>
      <c r="B8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9" spans="1:2" x14ac:dyDescent="0.35">
      <c r="A819" s="1" t="str">
        <f t="shared" si="12"/>
        <v/>
      </c>
      <c r="B8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0" spans="1:2" x14ac:dyDescent="0.35">
      <c r="A820" s="1" t="str">
        <f t="shared" si="12"/>
        <v/>
      </c>
      <c r="B8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1" spans="1:2" x14ac:dyDescent="0.35">
      <c r="A821" s="1" t="str">
        <f t="shared" si="12"/>
        <v/>
      </c>
      <c r="B8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2" spans="1:2" x14ac:dyDescent="0.35">
      <c r="A822" s="1" t="str">
        <f t="shared" si="12"/>
        <v/>
      </c>
      <c r="B8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3" spans="1:2" x14ac:dyDescent="0.35">
      <c r="A823" s="1" t="str">
        <f t="shared" si="12"/>
        <v/>
      </c>
      <c r="B8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4" spans="1:2" x14ac:dyDescent="0.35">
      <c r="A824" s="1" t="str">
        <f t="shared" si="12"/>
        <v/>
      </c>
      <c r="B8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5" spans="1:2" x14ac:dyDescent="0.35">
      <c r="A825" s="1" t="str">
        <f t="shared" si="12"/>
        <v/>
      </c>
      <c r="B8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6" spans="1:2" x14ac:dyDescent="0.35">
      <c r="A826" s="1" t="str">
        <f t="shared" si="12"/>
        <v/>
      </c>
      <c r="B8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7" spans="1:2" x14ac:dyDescent="0.35">
      <c r="A827" s="1" t="str">
        <f t="shared" si="12"/>
        <v/>
      </c>
      <c r="B8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8" spans="1:2" x14ac:dyDescent="0.35">
      <c r="A828" s="1" t="str">
        <f t="shared" si="12"/>
        <v/>
      </c>
      <c r="B8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9" spans="1:2" x14ac:dyDescent="0.35">
      <c r="A829" s="1" t="str">
        <f t="shared" si="12"/>
        <v/>
      </c>
      <c r="B8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0" spans="1:2" x14ac:dyDescent="0.35">
      <c r="A830" s="1" t="str">
        <f t="shared" si="12"/>
        <v/>
      </c>
      <c r="B8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1" spans="1:2" x14ac:dyDescent="0.35">
      <c r="A831" s="1" t="str">
        <f t="shared" si="12"/>
        <v/>
      </c>
      <c r="B8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2" spans="1:2" x14ac:dyDescent="0.35">
      <c r="A832" s="1" t="str">
        <f t="shared" si="12"/>
        <v/>
      </c>
      <c r="B8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3" spans="1:2" x14ac:dyDescent="0.35">
      <c r="A833" s="1" t="str">
        <f t="shared" si="12"/>
        <v/>
      </c>
      <c r="B8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4" spans="1:2" x14ac:dyDescent="0.35">
      <c r="A834" s="1" t="str">
        <f t="shared" ref="A834:A897" si="13">IFERROR(LEFT(RIGHT(C834,LEN(C834)-SEARCH("@",C834)),SEARCH("/",RIGHT(C834,LEN(C834)-SEARCH("@",C834)-1))),"")</f>
        <v/>
      </c>
      <c r="B8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5" spans="1:2" x14ac:dyDescent="0.35">
      <c r="A835" s="1" t="str">
        <f t="shared" si="13"/>
        <v/>
      </c>
      <c r="B8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6" spans="1:2" x14ac:dyDescent="0.35">
      <c r="A836" s="1" t="str">
        <f t="shared" si="13"/>
        <v/>
      </c>
      <c r="B8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7" spans="1:2" x14ac:dyDescent="0.35">
      <c r="A837" s="1" t="str">
        <f t="shared" si="13"/>
        <v/>
      </c>
      <c r="B8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8" spans="1:2" x14ac:dyDescent="0.35">
      <c r="A838" s="1" t="str">
        <f t="shared" si="13"/>
        <v/>
      </c>
      <c r="B8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9" spans="1:2" x14ac:dyDescent="0.35">
      <c r="A839" s="1" t="str">
        <f t="shared" si="13"/>
        <v/>
      </c>
      <c r="B8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0" spans="1:2" x14ac:dyDescent="0.35">
      <c r="A840" s="1" t="str">
        <f t="shared" si="13"/>
        <v/>
      </c>
      <c r="B8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1" spans="1:2" x14ac:dyDescent="0.35">
      <c r="A841" s="1" t="str">
        <f t="shared" si="13"/>
        <v/>
      </c>
      <c r="B8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2" spans="1:2" x14ac:dyDescent="0.35">
      <c r="A842" s="1" t="str">
        <f t="shared" si="13"/>
        <v/>
      </c>
      <c r="B8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3" spans="1:2" x14ac:dyDescent="0.35">
      <c r="A843" s="1" t="str">
        <f t="shared" si="13"/>
        <v/>
      </c>
      <c r="B8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4" spans="1:2" x14ac:dyDescent="0.35">
      <c r="A844" s="1" t="str">
        <f t="shared" si="13"/>
        <v/>
      </c>
      <c r="B8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5" spans="1:2" x14ac:dyDescent="0.35">
      <c r="A845" s="1" t="str">
        <f t="shared" si="13"/>
        <v/>
      </c>
      <c r="B8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6" spans="1:2" x14ac:dyDescent="0.35">
      <c r="A846" s="1" t="str">
        <f t="shared" si="13"/>
        <v/>
      </c>
      <c r="B8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7" spans="1:2" x14ac:dyDescent="0.35">
      <c r="A847" s="1" t="str">
        <f t="shared" si="13"/>
        <v/>
      </c>
      <c r="B8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8" spans="1:2" x14ac:dyDescent="0.35">
      <c r="A848" s="1" t="str">
        <f t="shared" si="13"/>
        <v/>
      </c>
      <c r="B8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9" spans="1:2" x14ac:dyDescent="0.35">
      <c r="A849" s="1" t="str">
        <f t="shared" si="13"/>
        <v/>
      </c>
      <c r="B8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0" spans="1:2" x14ac:dyDescent="0.35">
      <c r="A850" s="1" t="str">
        <f t="shared" si="13"/>
        <v/>
      </c>
      <c r="B8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1" spans="1:2" x14ac:dyDescent="0.35">
      <c r="A851" s="1" t="str">
        <f t="shared" si="13"/>
        <v/>
      </c>
      <c r="B8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2" spans="1:2" x14ac:dyDescent="0.35">
      <c r="A852" s="1" t="str">
        <f t="shared" si="13"/>
        <v/>
      </c>
      <c r="B8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3" spans="1:2" x14ac:dyDescent="0.35">
      <c r="A853" s="1" t="str">
        <f t="shared" si="13"/>
        <v/>
      </c>
      <c r="B8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4" spans="1:2" x14ac:dyDescent="0.35">
      <c r="A854" s="1" t="str">
        <f t="shared" si="13"/>
        <v/>
      </c>
      <c r="B8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5" spans="1:2" x14ac:dyDescent="0.35">
      <c r="A855" s="1" t="str">
        <f t="shared" si="13"/>
        <v/>
      </c>
      <c r="B8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6" spans="1:2" x14ac:dyDescent="0.35">
      <c r="A856" s="1" t="str">
        <f t="shared" si="13"/>
        <v/>
      </c>
      <c r="B8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7" spans="1:2" x14ac:dyDescent="0.35">
      <c r="A857" s="1" t="str">
        <f t="shared" si="13"/>
        <v/>
      </c>
      <c r="B8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8" spans="1:2" x14ac:dyDescent="0.35">
      <c r="A858" s="1" t="str">
        <f t="shared" si="13"/>
        <v/>
      </c>
      <c r="B8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9" spans="1:2" x14ac:dyDescent="0.35">
      <c r="A859" s="1" t="str">
        <f t="shared" si="13"/>
        <v/>
      </c>
      <c r="B8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0" spans="1:2" x14ac:dyDescent="0.35">
      <c r="A860" s="1" t="str">
        <f t="shared" si="13"/>
        <v/>
      </c>
      <c r="B8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1" spans="1:2" x14ac:dyDescent="0.35">
      <c r="A861" s="1" t="str">
        <f t="shared" si="13"/>
        <v/>
      </c>
      <c r="B8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2" spans="1:2" x14ac:dyDescent="0.35">
      <c r="A862" s="1" t="str">
        <f t="shared" si="13"/>
        <v/>
      </c>
      <c r="B8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3" spans="1:2" x14ac:dyDescent="0.35">
      <c r="A863" s="1" t="str">
        <f t="shared" si="13"/>
        <v/>
      </c>
      <c r="B8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4" spans="1:2" x14ac:dyDescent="0.35">
      <c r="A864" s="1" t="str">
        <f t="shared" si="13"/>
        <v/>
      </c>
      <c r="B8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5" spans="1:2" x14ac:dyDescent="0.35">
      <c r="A865" s="1" t="str">
        <f t="shared" si="13"/>
        <v/>
      </c>
      <c r="B8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6" spans="1:2" x14ac:dyDescent="0.35">
      <c r="A866" s="1" t="str">
        <f t="shared" si="13"/>
        <v/>
      </c>
      <c r="B8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7" spans="1:2" x14ac:dyDescent="0.35">
      <c r="A867" s="1" t="str">
        <f t="shared" si="13"/>
        <v/>
      </c>
      <c r="B8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8" spans="1:2" x14ac:dyDescent="0.35">
      <c r="A868" s="1" t="str">
        <f t="shared" si="13"/>
        <v/>
      </c>
      <c r="B8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9" spans="1:2" x14ac:dyDescent="0.35">
      <c r="A869" s="1" t="str">
        <f t="shared" si="13"/>
        <v/>
      </c>
      <c r="B8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0" spans="1:2" x14ac:dyDescent="0.35">
      <c r="A870" s="1" t="str">
        <f t="shared" si="13"/>
        <v/>
      </c>
      <c r="B8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1" spans="1:2" x14ac:dyDescent="0.35">
      <c r="A871" s="1" t="str">
        <f t="shared" si="13"/>
        <v/>
      </c>
      <c r="B8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2" spans="1:2" x14ac:dyDescent="0.35">
      <c r="A872" s="1" t="str">
        <f t="shared" si="13"/>
        <v/>
      </c>
      <c r="B8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3" spans="1:2" x14ac:dyDescent="0.35">
      <c r="A873" s="1" t="str">
        <f t="shared" si="13"/>
        <v/>
      </c>
      <c r="B8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4" spans="1:2" x14ac:dyDescent="0.35">
      <c r="A874" s="1" t="str">
        <f t="shared" si="13"/>
        <v/>
      </c>
      <c r="B8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5" spans="1:2" x14ac:dyDescent="0.35">
      <c r="A875" s="1" t="str">
        <f t="shared" si="13"/>
        <v/>
      </c>
      <c r="B8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6" spans="1:2" x14ac:dyDescent="0.35">
      <c r="A876" s="1" t="str">
        <f t="shared" si="13"/>
        <v/>
      </c>
      <c r="B8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7" spans="1:2" x14ac:dyDescent="0.35">
      <c r="A877" s="1" t="str">
        <f t="shared" si="13"/>
        <v/>
      </c>
      <c r="B8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8" spans="1:2" x14ac:dyDescent="0.35">
      <c r="A878" s="1" t="str">
        <f t="shared" si="13"/>
        <v/>
      </c>
      <c r="B8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9" spans="1:2" x14ac:dyDescent="0.35">
      <c r="A879" s="1" t="str">
        <f t="shared" si="13"/>
        <v/>
      </c>
      <c r="B8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0" spans="1:2" x14ac:dyDescent="0.35">
      <c r="A880" s="1" t="str">
        <f t="shared" si="13"/>
        <v/>
      </c>
      <c r="B8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1" spans="1:2" x14ac:dyDescent="0.35">
      <c r="A881" s="1" t="str">
        <f t="shared" si="13"/>
        <v/>
      </c>
      <c r="B8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2" spans="1:2" x14ac:dyDescent="0.35">
      <c r="A882" s="1" t="str">
        <f t="shared" si="13"/>
        <v/>
      </c>
      <c r="B8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3" spans="1:2" x14ac:dyDescent="0.35">
      <c r="A883" s="1" t="str">
        <f t="shared" si="13"/>
        <v/>
      </c>
      <c r="B8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4" spans="1:2" x14ac:dyDescent="0.35">
      <c r="A884" s="1" t="str">
        <f t="shared" si="13"/>
        <v/>
      </c>
      <c r="B8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5" spans="1:2" x14ac:dyDescent="0.35">
      <c r="A885" s="1" t="str">
        <f t="shared" si="13"/>
        <v/>
      </c>
      <c r="B8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6" spans="1:2" x14ac:dyDescent="0.35">
      <c r="A886" s="1" t="str">
        <f t="shared" si="13"/>
        <v/>
      </c>
      <c r="B8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7" spans="1:2" x14ac:dyDescent="0.35">
      <c r="A887" s="1" t="str">
        <f t="shared" si="13"/>
        <v/>
      </c>
      <c r="B8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8" spans="1:2" x14ac:dyDescent="0.35">
      <c r="A888" s="1" t="str">
        <f t="shared" si="13"/>
        <v/>
      </c>
      <c r="B8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9" spans="1:2" x14ac:dyDescent="0.35">
      <c r="A889" s="1" t="str">
        <f t="shared" si="13"/>
        <v/>
      </c>
      <c r="B8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0" spans="1:2" x14ac:dyDescent="0.35">
      <c r="A890" s="1" t="str">
        <f t="shared" si="13"/>
        <v/>
      </c>
      <c r="B8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1" spans="1:2" x14ac:dyDescent="0.35">
      <c r="A891" s="1" t="str">
        <f t="shared" si="13"/>
        <v/>
      </c>
      <c r="B8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2" spans="1:2" x14ac:dyDescent="0.35">
      <c r="A892" s="1" t="str">
        <f t="shared" si="13"/>
        <v/>
      </c>
      <c r="B8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3" spans="1:2" x14ac:dyDescent="0.35">
      <c r="A893" s="1" t="str">
        <f t="shared" si="13"/>
        <v/>
      </c>
      <c r="B8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4" spans="1:2" x14ac:dyDescent="0.35">
      <c r="A894" s="1" t="str">
        <f t="shared" si="13"/>
        <v/>
      </c>
      <c r="B8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5" spans="1:2" x14ac:dyDescent="0.35">
      <c r="A895" s="1" t="str">
        <f t="shared" si="13"/>
        <v/>
      </c>
      <c r="B8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6" spans="1:2" x14ac:dyDescent="0.35">
      <c r="A896" s="1" t="str">
        <f t="shared" si="13"/>
        <v/>
      </c>
      <c r="B8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7" spans="1:2" x14ac:dyDescent="0.35">
      <c r="A897" s="1" t="str">
        <f t="shared" si="13"/>
        <v/>
      </c>
      <c r="B8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8" spans="1:2" x14ac:dyDescent="0.35">
      <c r="A898" s="1" t="str">
        <f t="shared" ref="A898:A961" si="14">IFERROR(LEFT(RIGHT(C898,LEN(C898)-SEARCH("@",C898)),SEARCH("/",RIGHT(C898,LEN(C898)-SEARCH("@",C898)-1))),"")</f>
        <v/>
      </c>
      <c r="B8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9" spans="1:2" x14ac:dyDescent="0.35">
      <c r="A899" s="1" t="str">
        <f t="shared" si="14"/>
        <v/>
      </c>
      <c r="B8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0" spans="1:2" x14ac:dyDescent="0.35">
      <c r="A900" s="1" t="str">
        <f t="shared" si="14"/>
        <v/>
      </c>
      <c r="B9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1" spans="1:2" x14ac:dyDescent="0.35">
      <c r="A901" s="1" t="str">
        <f t="shared" si="14"/>
        <v/>
      </c>
      <c r="B9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2" spans="1:2" x14ac:dyDescent="0.35">
      <c r="A902" s="1" t="str">
        <f t="shared" si="14"/>
        <v/>
      </c>
      <c r="B9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3" spans="1:2" x14ac:dyDescent="0.35">
      <c r="A903" s="1" t="str">
        <f t="shared" si="14"/>
        <v/>
      </c>
      <c r="B9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4" spans="1:2" x14ac:dyDescent="0.35">
      <c r="A904" s="1" t="str">
        <f t="shared" si="14"/>
        <v/>
      </c>
      <c r="B9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5" spans="1:2" x14ac:dyDescent="0.35">
      <c r="A905" s="1" t="str">
        <f t="shared" si="14"/>
        <v/>
      </c>
      <c r="B9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6" spans="1:2" x14ac:dyDescent="0.35">
      <c r="A906" s="1" t="str">
        <f t="shared" si="14"/>
        <v/>
      </c>
      <c r="B9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7" spans="1:2" x14ac:dyDescent="0.35">
      <c r="A907" s="1" t="str">
        <f t="shared" si="14"/>
        <v/>
      </c>
      <c r="B9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8" spans="1:2" x14ac:dyDescent="0.35">
      <c r="A908" s="1" t="str">
        <f t="shared" si="14"/>
        <v/>
      </c>
      <c r="B9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9" spans="1:2" x14ac:dyDescent="0.35">
      <c r="A909" s="1" t="str">
        <f t="shared" si="14"/>
        <v/>
      </c>
      <c r="B9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0" spans="1:2" x14ac:dyDescent="0.35">
      <c r="A910" s="1" t="str">
        <f t="shared" si="14"/>
        <v/>
      </c>
      <c r="B9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1" spans="1:2" x14ac:dyDescent="0.35">
      <c r="A911" s="1" t="str">
        <f t="shared" si="14"/>
        <v/>
      </c>
      <c r="B9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2" spans="1:2" x14ac:dyDescent="0.35">
      <c r="A912" s="1" t="str">
        <f t="shared" si="14"/>
        <v/>
      </c>
      <c r="B9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3" spans="1:2" x14ac:dyDescent="0.35">
      <c r="A913" s="1" t="str">
        <f t="shared" si="14"/>
        <v/>
      </c>
      <c r="B9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4" spans="1:2" x14ac:dyDescent="0.35">
      <c r="A914" s="1" t="str">
        <f t="shared" si="14"/>
        <v/>
      </c>
      <c r="B9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5" spans="1:2" x14ac:dyDescent="0.35">
      <c r="A915" s="1" t="str">
        <f t="shared" si="14"/>
        <v/>
      </c>
      <c r="B9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6" spans="1:2" x14ac:dyDescent="0.35">
      <c r="A916" s="1" t="str">
        <f t="shared" si="14"/>
        <v/>
      </c>
      <c r="B9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7" spans="1:2" x14ac:dyDescent="0.35">
      <c r="A917" s="1" t="str">
        <f t="shared" si="14"/>
        <v/>
      </c>
      <c r="B9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8" spans="1:2" x14ac:dyDescent="0.35">
      <c r="A918" s="1" t="str">
        <f t="shared" si="14"/>
        <v/>
      </c>
      <c r="B9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9" spans="1:2" x14ac:dyDescent="0.35">
      <c r="A919" s="1" t="str">
        <f t="shared" si="14"/>
        <v/>
      </c>
      <c r="B9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0" spans="1:2" x14ac:dyDescent="0.35">
      <c r="A920" s="1" t="str">
        <f t="shared" si="14"/>
        <v/>
      </c>
      <c r="B9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1" spans="1:2" x14ac:dyDescent="0.35">
      <c r="A921" s="1" t="str">
        <f t="shared" si="14"/>
        <v/>
      </c>
      <c r="B9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2" spans="1:2" x14ac:dyDescent="0.35">
      <c r="A922" s="1" t="str">
        <f t="shared" si="14"/>
        <v/>
      </c>
      <c r="B9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3" spans="1:2" x14ac:dyDescent="0.35">
      <c r="A923" s="1" t="str">
        <f t="shared" si="14"/>
        <v/>
      </c>
      <c r="B9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4" spans="1:2" x14ac:dyDescent="0.35">
      <c r="A924" s="1" t="str">
        <f t="shared" si="14"/>
        <v/>
      </c>
      <c r="B9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5" spans="1:2" x14ac:dyDescent="0.35">
      <c r="A925" s="1" t="str">
        <f t="shared" si="14"/>
        <v/>
      </c>
      <c r="B9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6" spans="1:2" x14ac:dyDescent="0.35">
      <c r="A926" s="1" t="str">
        <f t="shared" si="14"/>
        <v/>
      </c>
      <c r="B9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7" spans="1:2" x14ac:dyDescent="0.35">
      <c r="A927" s="1" t="str">
        <f t="shared" si="14"/>
        <v/>
      </c>
      <c r="B9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8" spans="1:2" x14ac:dyDescent="0.35">
      <c r="A928" s="1" t="str">
        <f t="shared" si="14"/>
        <v/>
      </c>
      <c r="B9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9" spans="1:2" x14ac:dyDescent="0.35">
      <c r="A929" s="1" t="str">
        <f t="shared" si="14"/>
        <v/>
      </c>
      <c r="B9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0" spans="1:2" x14ac:dyDescent="0.35">
      <c r="A930" s="1" t="str">
        <f t="shared" si="14"/>
        <v/>
      </c>
      <c r="B9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1" spans="1:2" x14ac:dyDescent="0.35">
      <c r="A931" s="1" t="str">
        <f t="shared" si="14"/>
        <v/>
      </c>
      <c r="B9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2" spans="1:2" x14ac:dyDescent="0.35">
      <c r="A932" s="1" t="str">
        <f t="shared" si="14"/>
        <v/>
      </c>
      <c r="B9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3" spans="1:2" x14ac:dyDescent="0.35">
      <c r="A933" s="1" t="str">
        <f t="shared" si="14"/>
        <v/>
      </c>
      <c r="B9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4" spans="1:2" x14ac:dyDescent="0.35">
      <c r="A934" s="1" t="str">
        <f t="shared" si="14"/>
        <v/>
      </c>
      <c r="B9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5" spans="1:2" x14ac:dyDescent="0.35">
      <c r="A935" s="1" t="str">
        <f t="shared" si="14"/>
        <v/>
      </c>
      <c r="B9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6" spans="1:2" x14ac:dyDescent="0.35">
      <c r="A936" s="1" t="str">
        <f t="shared" si="14"/>
        <v/>
      </c>
      <c r="B9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7" spans="1:2" x14ac:dyDescent="0.35">
      <c r="A937" s="1" t="str">
        <f t="shared" si="14"/>
        <v/>
      </c>
      <c r="B9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8" spans="1:2" x14ac:dyDescent="0.35">
      <c r="A938" s="1" t="str">
        <f t="shared" si="14"/>
        <v/>
      </c>
      <c r="B9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9" spans="1:2" x14ac:dyDescent="0.35">
      <c r="A939" s="1" t="str">
        <f t="shared" si="14"/>
        <v/>
      </c>
      <c r="B9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0" spans="1:2" x14ac:dyDescent="0.35">
      <c r="A940" s="1" t="str">
        <f t="shared" si="14"/>
        <v/>
      </c>
      <c r="B9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1" spans="1:2" x14ac:dyDescent="0.35">
      <c r="A941" s="1" t="str">
        <f t="shared" si="14"/>
        <v/>
      </c>
      <c r="B9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2" spans="1:2" x14ac:dyDescent="0.35">
      <c r="A942" s="1" t="str">
        <f t="shared" si="14"/>
        <v/>
      </c>
      <c r="B9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3" spans="1:2" x14ac:dyDescent="0.35">
      <c r="A943" s="1" t="str">
        <f t="shared" si="14"/>
        <v/>
      </c>
      <c r="B9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4" spans="1:2" x14ac:dyDescent="0.35">
      <c r="A944" s="1" t="str">
        <f t="shared" si="14"/>
        <v/>
      </c>
      <c r="B9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5" spans="1:2" x14ac:dyDescent="0.35">
      <c r="A945" s="1" t="str">
        <f t="shared" si="14"/>
        <v/>
      </c>
      <c r="B9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6" spans="1:2" x14ac:dyDescent="0.35">
      <c r="A946" s="1" t="str">
        <f t="shared" si="14"/>
        <v/>
      </c>
      <c r="B9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7" spans="1:2" x14ac:dyDescent="0.35">
      <c r="A947" s="1" t="str">
        <f t="shared" si="14"/>
        <v/>
      </c>
      <c r="B9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8" spans="1:2" x14ac:dyDescent="0.35">
      <c r="A948" s="1" t="str">
        <f t="shared" si="14"/>
        <v/>
      </c>
      <c r="B9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9" spans="1:2" x14ac:dyDescent="0.35">
      <c r="A949" s="1" t="str">
        <f t="shared" si="14"/>
        <v/>
      </c>
      <c r="B9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0" spans="1:2" x14ac:dyDescent="0.35">
      <c r="A950" s="1" t="str">
        <f t="shared" si="14"/>
        <v/>
      </c>
      <c r="B9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1" spans="1:2" x14ac:dyDescent="0.35">
      <c r="A951" s="1" t="str">
        <f t="shared" si="14"/>
        <v/>
      </c>
      <c r="B9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2" spans="1:2" x14ac:dyDescent="0.35">
      <c r="A952" s="1" t="str">
        <f t="shared" si="14"/>
        <v/>
      </c>
      <c r="B9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3" spans="1:2" x14ac:dyDescent="0.35">
      <c r="A953" s="1" t="str">
        <f t="shared" si="14"/>
        <v/>
      </c>
      <c r="B9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4" spans="1:2" x14ac:dyDescent="0.35">
      <c r="A954" s="1" t="str">
        <f t="shared" si="14"/>
        <v/>
      </c>
      <c r="B9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5" spans="1:2" x14ac:dyDescent="0.35">
      <c r="A955" s="1" t="str">
        <f t="shared" si="14"/>
        <v/>
      </c>
      <c r="B9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6" spans="1:2" x14ac:dyDescent="0.35">
      <c r="A956" s="1" t="str">
        <f t="shared" si="14"/>
        <v/>
      </c>
      <c r="B9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7" spans="1:2" x14ac:dyDescent="0.35">
      <c r="A957" s="1" t="str">
        <f t="shared" si="14"/>
        <v/>
      </c>
      <c r="B9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8" spans="1:2" x14ac:dyDescent="0.35">
      <c r="A958" s="1" t="str">
        <f t="shared" si="14"/>
        <v/>
      </c>
      <c r="B9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9" spans="1:2" x14ac:dyDescent="0.35">
      <c r="A959" s="1" t="str">
        <f t="shared" si="14"/>
        <v/>
      </c>
      <c r="B9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0" spans="1:2" x14ac:dyDescent="0.35">
      <c r="A960" s="1" t="str">
        <f t="shared" si="14"/>
        <v/>
      </c>
      <c r="B9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1" spans="1:2" x14ac:dyDescent="0.35">
      <c r="A961" s="1" t="str">
        <f t="shared" si="14"/>
        <v/>
      </c>
      <c r="B9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2" spans="1:2" x14ac:dyDescent="0.35">
      <c r="A962" s="1" t="str">
        <f t="shared" ref="A962:A1025" si="15">IFERROR(LEFT(RIGHT(C962,LEN(C962)-SEARCH("@",C962)),SEARCH("/",RIGHT(C962,LEN(C962)-SEARCH("@",C962)-1))),"")</f>
        <v/>
      </c>
      <c r="B9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3" spans="1:2" x14ac:dyDescent="0.35">
      <c r="A963" s="1" t="str">
        <f t="shared" si="15"/>
        <v/>
      </c>
      <c r="B9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4" spans="1:2" x14ac:dyDescent="0.35">
      <c r="A964" s="1" t="str">
        <f t="shared" si="15"/>
        <v/>
      </c>
      <c r="B9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5" spans="1:2" x14ac:dyDescent="0.35">
      <c r="A965" s="1" t="str">
        <f t="shared" si="15"/>
        <v/>
      </c>
      <c r="B9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6" spans="1:2" x14ac:dyDescent="0.35">
      <c r="A966" s="1" t="str">
        <f t="shared" si="15"/>
        <v/>
      </c>
      <c r="B9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7" spans="1:2" x14ac:dyDescent="0.35">
      <c r="A967" s="1" t="str">
        <f t="shared" si="15"/>
        <v/>
      </c>
      <c r="B9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8" spans="1:2" x14ac:dyDescent="0.35">
      <c r="A968" s="1" t="str">
        <f t="shared" si="15"/>
        <v/>
      </c>
      <c r="B9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9" spans="1:2" x14ac:dyDescent="0.35">
      <c r="A969" s="1" t="str">
        <f t="shared" si="15"/>
        <v/>
      </c>
      <c r="B9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0" spans="1:2" x14ac:dyDescent="0.35">
      <c r="A970" s="1" t="str">
        <f t="shared" si="15"/>
        <v/>
      </c>
      <c r="B9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1" spans="1:2" x14ac:dyDescent="0.35">
      <c r="A971" s="1" t="str">
        <f t="shared" si="15"/>
        <v/>
      </c>
      <c r="B9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2" spans="1:2" x14ac:dyDescent="0.35">
      <c r="A972" s="1" t="str">
        <f t="shared" si="15"/>
        <v/>
      </c>
      <c r="B9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3" spans="1:2" x14ac:dyDescent="0.35">
      <c r="A973" s="1" t="str">
        <f t="shared" si="15"/>
        <v/>
      </c>
      <c r="B9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4" spans="1:2" x14ac:dyDescent="0.35">
      <c r="A974" s="1" t="str">
        <f t="shared" si="15"/>
        <v/>
      </c>
      <c r="B9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5" spans="1:2" x14ac:dyDescent="0.35">
      <c r="A975" s="1" t="str">
        <f t="shared" si="15"/>
        <v/>
      </c>
      <c r="B9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6" spans="1:2" x14ac:dyDescent="0.35">
      <c r="A976" s="1" t="str">
        <f t="shared" si="15"/>
        <v/>
      </c>
      <c r="B9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7" spans="1:2" x14ac:dyDescent="0.35">
      <c r="A977" s="1" t="str">
        <f t="shared" si="15"/>
        <v/>
      </c>
      <c r="B9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8" spans="1:2" x14ac:dyDescent="0.35">
      <c r="A978" s="1" t="str">
        <f t="shared" si="15"/>
        <v/>
      </c>
      <c r="B9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9" spans="1:2" x14ac:dyDescent="0.35">
      <c r="A979" s="1" t="str">
        <f t="shared" si="15"/>
        <v/>
      </c>
      <c r="B9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0" spans="1:2" x14ac:dyDescent="0.35">
      <c r="A980" s="1" t="str">
        <f t="shared" si="15"/>
        <v/>
      </c>
      <c r="B9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1" spans="1:2" x14ac:dyDescent="0.35">
      <c r="A981" s="1" t="str">
        <f t="shared" si="15"/>
        <v/>
      </c>
      <c r="B9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2" spans="1:2" x14ac:dyDescent="0.35">
      <c r="A982" s="1" t="str">
        <f t="shared" si="15"/>
        <v/>
      </c>
      <c r="B9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3" spans="1:2" x14ac:dyDescent="0.35">
      <c r="A983" s="1" t="str">
        <f t="shared" si="15"/>
        <v/>
      </c>
      <c r="B9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4" spans="1:2" x14ac:dyDescent="0.35">
      <c r="A984" s="1" t="str">
        <f t="shared" si="15"/>
        <v/>
      </c>
      <c r="B9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5" spans="1:2" x14ac:dyDescent="0.35">
      <c r="A985" s="1" t="str">
        <f t="shared" si="15"/>
        <v/>
      </c>
      <c r="B9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6" spans="1:2" x14ac:dyDescent="0.35">
      <c r="A986" s="1" t="str">
        <f t="shared" si="15"/>
        <v/>
      </c>
      <c r="B9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7" spans="1:2" x14ac:dyDescent="0.35">
      <c r="A987" s="1" t="str">
        <f t="shared" si="15"/>
        <v/>
      </c>
      <c r="B9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8" spans="1:2" x14ac:dyDescent="0.35">
      <c r="A988" s="1" t="str">
        <f t="shared" si="15"/>
        <v/>
      </c>
      <c r="B9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9" spans="1:2" x14ac:dyDescent="0.35">
      <c r="A989" s="1" t="str">
        <f t="shared" si="15"/>
        <v/>
      </c>
      <c r="B9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0" spans="1:2" x14ac:dyDescent="0.35">
      <c r="A990" s="1" t="str">
        <f t="shared" si="15"/>
        <v/>
      </c>
      <c r="B9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1" spans="1:2" x14ac:dyDescent="0.35">
      <c r="A991" s="1" t="str">
        <f t="shared" si="15"/>
        <v/>
      </c>
      <c r="B9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2" spans="1:2" x14ac:dyDescent="0.35">
      <c r="A992" s="1" t="str">
        <f t="shared" si="15"/>
        <v/>
      </c>
      <c r="B9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3" spans="1:2" x14ac:dyDescent="0.35">
      <c r="A993" s="1" t="str">
        <f t="shared" si="15"/>
        <v/>
      </c>
      <c r="B9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4" spans="1:2" x14ac:dyDescent="0.35">
      <c r="A994" s="1" t="str">
        <f t="shared" si="15"/>
        <v/>
      </c>
      <c r="B9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5" spans="1:2" x14ac:dyDescent="0.35">
      <c r="A995" s="1" t="str">
        <f t="shared" si="15"/>
        <v/>
      </c>
      <c r="B9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6" spans="1:2" x14ac:dyDescent="0.35">
      <c r="A996" s="1" t="str">
        <f t="shared" si="15"/>
        <v/>
      </c>
      <c r="B9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7" spans="1:2" x14ac:dyDescent="0.35">
      <c r="A997" s="1" t="str">
        <f t="shared" si="15"/>
        <v/>
      </c>
      <c r="B9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8" spans="1:2" x14ac:dyDescent="0.35">
      <c r="A998" s="1" t="str">
        <f t="shared" si="15"/>
        <v/>
      </c>
      <c r="B9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9" spans="1:2" x14ac:dyDescent="0.35">
      <c r="A999" s="1" t="str">
        <f t="shared" si="15"/>
        <v/>
      </c>
      <c r="B9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0" spans="1:2" x14ac:dyDescent="0.35">
      <c r="A1000" s="1" t="str">
        <f t="shared" si="15"/>
        <v/>
      </c>
      <c r="B10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1" spans="1:2" x14ac:dyDescent="0.35">
      <c r="A1001" s="1" t="str">
        <f t="shared" si="15"/>
        <v/>
      </c>
      <c r="B10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2" spans="1:2" x14ac:dyDescent="0.35">
      <c r="A1002" s="1" t="str">
        <f t="shared" si="15"/>
        <v/>
      </c>
      <c r="B10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3" spans="1:2" x14ac:dyDescent="0.35">
      <c r="A1003" s="1" t="str">
        <f t="shared" si="15"/>
        <v/>
      </c>
      <c r="B10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4" spans="1:2" x14ac:dyDescent="0.35">
      <c r="A1004" s="1" t="str">
        <f t="shared" si="15"/>
        <v/>
      </c>
      <c r="B10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5" spans="1:2" x14ac:dyDescent="0.35">
      <c r="A1005" s="1" t="str">
        <f t="shared" si="15"/>
        <v/>
      </c>
      <c r="B10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6" spans="1:2" x14ac:dyDescent="0.35">
      <c r="A1006" s="1" t="str">
        <f t="shared" si="15"/>
        <v/>
      </c>
      <c r="B10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7" spans="1:2" x14ac:dyDescent="0.35">
      <c r="A1007" s="1" t="str">
        <f t="shared" si="15"/>
        <v/>
      </c>
      <c r="B10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8" spans="1:2" x14ac:dyDescent="0.35">
      <c r="A1008" s="1" t="str">
        <f t="shared" si="15"/>
        <v/>
      </c>
      <c r="B10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9" spans="1:2" x14ac:dyDescent="0.35">
      <c r="A1009" s="1" t="str">
        <f t="shared" si="15"/>
        <v/>
      </c>
      <c r="B10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0" spans="1:2" x14ac:dyDescent="0.35">
      <c r="A1010" s="1" t="str">
        <f t="shared" si="15"/>
        <v/>
      </c>
      <c r="B10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1" spans="1:2" x14ac:dyDescent="0.35">
      <c r="A1011" s="1" t="str">
        <f t="shared" si="15"/>
        <v/>
      </c>
      <c r="B10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2" spans="1:2" x14ac:dyDescent="0.35">
      <c r="A1012" s="1" t="str">
        <f t="shared" si="15"/>
        <v/>
      </c>
      <c r="B10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3" spans="1:2" x14ac:dyDescent="0.35">
      <c r="A1013" s="1" t="str">
        <f t="shared" si="15"/>
        <v/>
      </c>
      <c r="B10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4" spans="1:2" x14ac:dyDescent="0.35">
      <c r="A1014" s="1" t="str">
        <f t="shared" si="15"/>
        <v/>
      </c>
      <c r="B10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5" spans="1:2" x14ac:dyDescent="0.35">
      <c r="A1015" s="1" t="str">
        <f t="shared" si="15"/>
        <v/>
      </c>
      <c r="B10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6" spans="1:2" x14ac:dyDescent="0.35">
      <c r="A1016" s="1" t="str">
        <f t="shared" si="15"/>
        <v/>
      </c>
      <c r="B10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7" spans="1:2" x14ac:dyDescent="0.35">
      <c r="A1017" s="1" t="str">
        <f t="shared" si="15"/>
        <v/>
      </c>
      <c r="B10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8" spans="1:2" x14ac:dyDescent="0.35">
      <c r="A1018" s="1" t="str">
        <f t="shared" si="15"/>
        <v/>
      </c>
      <c r="B10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9" spans="1:2" x14ac:dyDescent="0.35">
      <c r="A1019" s="1" t="str">
        <f t="shared" si="15"/>
        <v/>
      </c>
      <c r="B10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0" spans="1:2" x14ac:dyDescent="0.35">
      <c r="A1020" s="1" t="str">
        <f t="shared" si="15"/>
        <v/>
      </c>
      <c r="B10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1" spans="1:2" x14ac:dyDescent="0.35">
      <c r="A1021" s="1" t="str">
        <f t="shared" si="15"/>
        <v/>
      </c>
      <c r="B10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2" spans="1:2" x14ac:dyDescent="0.35">
      <c r="A1022" s="1" t="str">
        <f t="shared" si="15"/>
        <v/>
      </c>
      <c r="B10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3" spans="1:2" x14ac:dyDescent="0.35">
      <c r="A1023" s="1" t="str">
        <f t="shared" si="15"/>
        <v/>
      </c>
      <c r="B10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4" spans="1:2" x14ac:dyDescent="0.35">
      <c r="A1024" s="1" t="str">
        <f t="shared" si="15"/>
        <v/>
      </c>
      <c r="B10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5" spans="1:2" x14ac:dyDescent="0.35">
      <c r="A1025" s="1" t="str">
        <f t="shared" si="15"/>
        <v/>
      </c>
      <c r="B10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6" spans="1:2" x14ac:dyDescent="0.35">
      <c r="A1026" s="1" t="str">
        <f t="shared" ref="A1026:A1089" si="16">IFERROR(LEFT(RIGHT(C1026,LEN(C1026)-SEARCH("@",C1026)),SEARCH("/",RIGHT(C1026,LEN(C1026)-SEARCH("@",C1026)-1))),"")</f>
        <v/>
      </c>
      <c r="B10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7" spans="1:2" x14ac:dyDescent="0.35">
      <c r="A1027" s="1" t="str">
        <f t="shared" si="16"/>
        <v/>
      </c>
      <c r="B10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8" spans="1:2" x14ac:dyDescent="0.35">
      <c r="A1028" s="1" t="str">
        <f t="shared" si="16"/>
        <v/>
      </c>
      <c r="B10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9" spans="1:2" x14ac:dyDescent="0.35">
      <c r="A1029" s="1" t="str">
        <f t="shared" si="16"/>
        <v/>
      </c>
      <c r="B10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0" spans="1:2" x14ac:dyDescent="0.35">
      <c r="A1030" s="1" t="str">
        <f t="shared" si="16"/>
        <v/>
      </c>
      <c r="B10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1" spans="1:2" x14ac:dyDescent="0.35">
      <c r="A1031" s="1" t="str">
        <f t="shared" si="16"/>
        <v/>
      </c>
      <c r="B10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2" spans="1:2" x14ac:dyDescent="0.35">
      <c r="A1032" s="1" t="str">
        <f t="shared" si="16"/>
        <v/>
      </c>
      <c r="B10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3" spans="1:2" x14ac:dyDescent="0.35">
      <c r="A1033" s="1" t="str">
        <f t="shared" si="16"/>
        <v/>
      </c>
      <c r="B10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4" spans="1:2" x14ac:dyDescent="0.35">
      <c r="A1034" s="1" t="str">
        <f t="shared" si="16"/>
        <v/>
      </c>
      <c r="B10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5" spans="1:2" x14ac:dyDescent="0.35">
      <c r="A1035" s="1" t="str">
        <f t="shared" si="16"/>
        <v/>
      </c>
      <c r="B10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6" spans="1:2" x14ac:dyDescent="0.35">
      <c r="A1036" s="1" t="str">
        <f t="shared" si="16"/>
        <v/>
      </c>
      <c r="B10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7" spans="1:2" x14ac:dyDescent="0.35">
      <c r="A1037" s="1" t="str">
        <f t="shared" si="16"/>
        <v/>
      </c>
      <c r="B10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8" spans="1:2" x14ac:dyDescent="0.35">
      <c r="A1038" s="1" t="str">
        <f t="shared" si="16"/>
        <v/>
      </c>
      <c r="B10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9" spans="1:2" x14ac:dyDescent="0.35">
      <c r="A1039" s="1" t="str">
        <f t="shared" si="16"/>
        <v/>
      </c>
      <c r="B10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0" spans="1:2" x14ac:dyDescent="0.35">
      <c r="A1040" s="1" t="str">
        <f t="shared" si="16"/>
        <v/>
      </c>
      <c r="B10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1" spans="1:2" x14ac:dyDescent="0.35">
      <c r="A1041" s="1" t="str">
        <f t="shared" si="16"/>
        <v/>
      </c>
      <c r="B10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2" spans="1:2" x14ac:dyDescent="0.35">
      <c r="A1042" s="1" t="str">
        <f t="shared" si="16"/>
        <v/>
      </c>
      <c r="B10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3" spans="1:2" x14ac:dyDescent="0.35">
      <c r="A1043" s="1" t="str">
        <f t="shared" si="16"/>
        <v/>
      </c>
      <c r="B10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4" spans="1:2" x14ac:dyDescent="0.35">
      <c r="A1044" s="1" t="str">
        <f t="shared" si="16"/>
        <v/>
      </c>
      <c r="B10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5" spans="1:2" x14ac:dyDescent="0.35">
      <c r="A1045" s="1" t="str">
        <f t="shared" si="16"/>
        <v/>
      </c>
      <c r="B10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6" spans="1:2" x14ac:dyDescent="0.35">
      <c r="A1046" s="1" t="str">
        <f t="shared" si="16"/>
        <v/>
      </c>
      <c r="B10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7" spans="1:2" x14ac:dyDescent="0.35">
      <c r="A1047" s="1" t="str">
        <f t="shared" si="16"/>
        <v/>
      </c>
      <c r="B10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8" spans="1:2" x14ac:dyDescent="0.35">
      <c r="A1048" s="1" t="str">
        <f t="shared" si="16"/>
        <v/>
      </c>
      <c r="B10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9" spans="1:2" x14ac:dyDescent="0.35">
      <c r="A1049" s="1" t="str">
        <f t="shared" si="16"/>
        <v/>
      </c>
      <c r="B10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0" spans="1:2" x14ac:dyDescent="0.35">
      <c r="A1050" s="1" t="str">
        <f t="shared" si="16"/>
        <v/>
      </c>
      <c r="B10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1" spans="1:2" x14ac:dyDescent="0.35">
      <c r="A1051" s="1" t="str">
        <f t="shared" si="16"/>
        <v/>
      </c>
      <c r="B10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2" spans="1:2" x14ac:dyDescent="0.35">
      <c r="A1052" s="1" t="str">
        <f t="shared" si="16"/>
        <v/>
      </c>
      <c r="B10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3" spans="1:2" x14ac:dyDescent="0.35">
      <c r="A1053" s="1" t="str">
        <f t="shared" si="16"/>
        <v/>
      </c>
      <c r="B10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4" spans="1:2" x14ac:dyDescent="0.35">
      <c r="A1054" s="1" t="str">
        <f t="shared" si="16"/>
        <v/>
      </c>
      <c r="B10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5" spans="1:2" x14ac:dyDescent="0.35">
      <c r="A1055" s="1" t="str">
        <f t="shared" si="16"/>
        <v/>
      </c>
      <c r="B10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6" spans="1:2" x14ac:dyDescent="0.35">
      <c r="A1056" s="1" t="str">
        <f t="shared" si="16"/>
        <v/>
      </c>
      <c r="B10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7" spans="1:2" x14ac:dyDescent="0.35">
      <c r="A1057" s="1" t="str">
        <f t="shared" si="16"/>
        <v/>
      </c>
      <c r="B10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8" spans="1:2" x14ac:dyDescent="0.35">
      <c r="A1058" s="1" t="str">
        <f t="shared" si="16"/>
        <v/>
      </c>
      <c r="B10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9" spans="1:2" x14ac:dyDescent="0.35">
      <c r="A1059" s="1" t="str">
        <f t="shared" si="16"/>
        <v/>
      </c>
      <c r="B10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0" spans="1:2" x14ac:dyDescent="0.35">
      <c r="A1060" s="1" t="str">
        <f t="shared" si="16"/>
        <v/>
      </c>
      <c r="B10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1" spans="1:2" x14ac:dyDescent="0.35">
      <c r="A1061" s="1" t="str">
        <f t="shared" si="16"/>
        <v/>
      </c>
      <c r="B10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2" spans="1:2" x14ac:dyDescent="0.35">
      <c r="A1062" s="1" t="str">
        <f t="shared" si="16"/>
        <v/>
      </c>
      <c r="B10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3" spans="1:2" x14ac:dyDescent="0.35">
      <c r="A1063" s="1" t="str">
        <f t="shared" si="16"/>
        <v/>
      </c>
      <c r="B10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4" spans="1:2" x14ac:dyDescent="0.35">
      <c r="A1064" s="1" t="str">
        <f t="shared" si="16"/>
        <v/>
      </c>
      <c r="B10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5" spans="1:2" x14ac:dyDescent="0.35">
      <c r="A1065" s="1" t="str">
        <f t="shared" si="16"/>
        <v/>
      </c>
      <c r="B10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6" spans="1:2" x14ac:dyDescent="0.35">
      <c r="A1066" s="1" t="str">
        <f t="shared" si="16"/>
        <v/>
      </c>
      <c r="B10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7" spans="1:2" x14ac:dyDescent="0.35">
      <c r="A1067" s="1" t="str">
        <f t="shared" si="16"/>
        <v/>
      </c>
      <c r="B10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8" spans="1:2" x14ac:dyDescent="0.35">
      <c r="A1068" s="1" t="str">
        <f t="shared" si="16"/>
        <v/>
      </c>
      <c r="B10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9" spans="1:2" x14ac:dyDescent="0.35">
      <c r="A1069" s="1" t="str">
        <f t="shared" si="16"/>
        <v/>
      </c>
      <c r="B10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0" spans="1:2" x14ac:dyDescent="0.35">
      <c r="A1070" s="1" t="str">
        <f t="shared" si="16"/>
        <v/>
      </c>
      <c r="B10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1" spans="1:2" x14ac:dyDescent="0.35">
      <c r="A1071" s="1" t="str">
        <f t="shared" si="16"/>
        <v/>
      </c>
      <c r="B10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2" spans="1:2" x14ac:dyDescent="0.35">
      <c r="A1072" s="1" t="str">
        <f t="shared" si="16"/>
        <v/>
      </c>
      <c r="B10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3" spans="1:2" x14ac:dyDescent="0.35">
      <c r="A1073" s="1" t="str">
        <f t="shared" si="16"/>
        <v/>
      </c>
      <c r="B10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4" spans="1:2" x14ac:dyDescent="0.35">
      <c r="A1074" s="1" t="str">
        <f t="shared" si="16"/>
        <v/>
      </c>
      <c r="B10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5" spans="1:2" x14ac:dyDescent="0.35">
      <c r="A1075" s="1" t="str">
        <f t="shared" si="16"/>
        <v/>
      </c>
      <c r="B10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6" spans="1:2" x14ac:dyDescent="0.35">
      <c r="A1076" s="1" t="str">
        <f t="shared" si="16"/>
        <v/>
      </c>
      <c r="B10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7" spans="1:2" x14ac:dyDescent="0.35">
      <c r="A1077" s="1" t="str">
        <f t="shared" si="16"/>
        <v/>
      </c>
      <c r="B10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8" spans="1:2" x14ac:dyDescent="0.35">
      <c r="A1078" s="1" t="str">
        <f t="shared" si="16"/>
        <v/>
      </c>
      <c r="B10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9" spans="1:2" x14ac:dyDescent="0.35">
      <c r="A1079" s="1" t="str">
        <f t="shared" si="16"/>
        <v/>
      </c>
      <c r="B10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0" spans="1:2" x14ac:dyDescent="0.35">
      <c r="A1080" s="1" t="str">
        <f t="shared" si="16"/>
        <v/>
      </c>
      <c r="B10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1" spans="1:2" x14ac:dyDescent="0.35">
      <c r="A1081" s="1" t="str">
        <f t="shared" si="16"/>
        <v/>
      </c>
      <c r="B10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2" spans="1:2" x14ac:dyDescent="0.35">
      <c r="A1082" s="1" t="str">
        <f t="shared" si="16"/>
        <v/>
      </c>
      <c r="B10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3" spans="1:2" x14ac:dyDescent="0.35">
      <c r="A1083" s="1" t="str">
        <f t="shared" si="16"/>
        <v/>
      </c>
      <c r="B10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4" spans="1:2" x14ac:dyDescent="0.35">
      <c r="A1084" s="1" t="str">
        <f t="shared" si="16"/>
        <v/>
      </c>
      <c r="B10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5" spans="1:2" x14ac:dyDescent="0.35">
      <c r="A1085" s="1" t="str">
        <f t="shared" si="16"/>
        <v/>
      </c>
      <c r="B10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6" spans="1:2" x14ac:dyDescent="0.35">
      <c r="A1086" s="1" t="str">
        <f t="shared" si="16"/>
        <v/>
      </c>
      <c r="B10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7" spans="1:2" x14ac:dyDescent="0.35">
      <c r="A1087" s="1" t="str">
        <f t="shared" si="16"/>
        <v/>
      </c>
      <c r="B10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8" spans="1:2" x14ac:dyDescent="0.35">
      <c r="A1088" s="1" t="str">
        <f t="shared" si="16"/>
        <v/>
      </c>
      <c r="B10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9" spans="1:2" x14ac:dyDescent="0.35">
      <c r="A1089" s="1" t="str">
        <f t="shared" si="16"/>
        <v/>
      </c>
      <c r="B10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0" spans="1:2" x14ac:dyDescent="0.35">
      <c r="A1090" s="1" t="str">
        <f t="shared" ref="A1090:A1153" si="17">IFERROR(LEFT(RIGHT(C1090,LEN(C1090)-SEARCH("@",C1090)),SEARCH("/",RIGHT(C1090,LEN(C1090)-SEARCH("@",C1090)-1))),"")</f>
        <v/>
      </c>
      <c r="B10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1" spans="1:2" x14ac:dyDescent="0.35">
      <c r="A1091" s="1" t="str">
        <f t="shared" si="17"/>
        <v/>
      </c>
      <c r="B10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2" spans="1:2" x14ac:dyDescent="0.35">
      <c r="A1092" s="1" t="str">
        <f t="shared" si="17"/>
        <v/>
      </c>
      <c r="B10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3" spans="1:2" x14ac:dyDescent="0.35">
      <c r="A1093" s="1" t="str">
        <f t="shared" si="17"/>
        <v/>
      </c>
      <c r="B10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4" spans="1:2" x14ac:dyDescent="0.35">
      <c r="A1094" s="1" t="str">
        <f t="shared" si="17"/>
        <v/>
      </c>
      <c r="B10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5" spans="1:2" x14ac:dyDescent="0.35">
      <c r="A1095" s="1" t="str">
        <f t="shared" si="17"/>
        <v/>
      </c>
      <c r="B10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6" spans="1:2" x14ac:dyDescent="0.35">
      <c r="A1096" s="1" t="str">
        <f t="shared" si="17"/>
        <v/>
      </c>
      <c r="B10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7" spans="1:2" x14ac:dyDescent="0.35">
      <c r="A1097" s="1" t="str">
        <f t="shared" si="17"/>
        <v/>
      </c>
      <c r="B10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8" spans="1:2" x14ac:dyDescent="0.35">
      <c r="A1098" s="1" t="str">
        <f t="shared" si="17"/>
        <v/>
      </c>
      <c r="B10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9" spans="1:2" x14ac:dyDescent="0.35">
      <c r="A1099" s="1" t="str">
        <f t="shared" si="17"/>
        <v/>
      </c>
      <c r="B10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0" spans="1:2" x14ac:dyDescent="0.35">
      <c r="A1100" s="1" t="str">
        <f t="shared" si="17"/>
        <v/>
      </c>
      <c r="B11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1" spans="1:2" x14ac:dyDescent="0.35">
      <c r="A1101" s="1" t="str">
        <f t="shared" si="17"/>
        <v/>
      </c>
      <c r="B11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2" spans="1:2" x14ac:dyDescent="0.35">
      <c r="A1102" s="1" t="str">
        <f t="shared" si="17"/>
        <v/>
      </c>
      <c r="B11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3" spans="1:2" x14ac:dyDescent="0.35">
      <c r="A1103" s="1" t="str">
        <f t="shared" si="17"/>
        <v/>
      </c>
      <c r="B11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4" spans="1:2" x14ac:dyDescent="0.35">
      <c r="A1104" s="1" t="str">
        <f t="shared" si="17"/>
        <v/>
      </c>
      <c r="B11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5" spans="1:2" x14ac:dyDescent="0.35">
      <c r="A1105" s="1" t="str">
        <f t="shared" si="17"/>
        <v/>
      </c>
      <c r="B11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6" spans="1:2" x14ac:dyDescent="0.35">
      <c r="A1106" s="1" t="str">
        <f t="shared" si="17"/>
        <v/>
      </c>
      <c r="B11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7" spans="1:2" x14ac:dyDescent="0.35">
      <c r="A1107" s="1" t="str">
        <f t="shared" si="17"/>
        <v/>
      </c>
      <c r="B11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8" spans="1:2" x14ac:dyDescent="0.35">
      <c r="A1108" s="1" t="str">
        <f t="shared" si="17"/>
        <v/>
      </c>
      <c r="B11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9" spans="1:2" x14ac:dyDescent="0.35">
      <c r="A1109" s="1" t="str">
        <f t="shared" si="17"/>
        <v/>
      </c>
      <c r="B11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0" spans="1:2" x14ac:dyDescent="0.35">
      <c r="A1110" s="1" t="str">
        <f t="shared" si="17"/>
        <v/>
      </c>
      <c r="B11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1" spans="1:2" x14ac:dyDescent="0.35">
      <c r="A1111" s="1" t="str">
        <f t="shared" si="17"/>
        <v/>
      </c>
      <c r="B11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2" spans="1:2" x14ac:dyDescent="0.35">
      <c r="A1112" s="1" t="str">
        <f t="shared" si="17"/>
        <v/>
      </c>
      <c r="B11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3" spans="1:2" x14ac:dyDescent="0.35">
      <c r="A1113" s="1" t="str">
        <f t="shared" si="17"/>
        <v/>
      </c>
      <c r="B11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4" spans="1:2" x14ac:dyDescent="0.35">
      <c r="A1114" s="1" t="str">
        <f t="shared" si="17"/>
        <v/>
      </c>
      <c r="B11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5" spans="1:2" x14ac:dyDescent="0.35">
      <c r="A1115" s="1" t="str">
        <f t="shared" si="17"/>
        <v/>
      </c>
      <c r="B11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6" spans="1:2" x14ac:dyDescent="0.35">
      <c r="A1116" s="1" t="str">
        <f t="shared" si="17"/>
        <v/>
      </c>
      <c r="B11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7" spans="1:2" x14ac:dyDescent="0.35">
      <c r="A1117" s="1" t="str">
        <f t="shared" si="17"/>
        <v/>
      </c>
      <c r="B11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8" spans="1:2" x14ac:dyDescent="0.35">
      <c r="A1118" s="1" t="str">
        <f t="shared" si="17"/>
        <v/>
      </c>
      <c r="B11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9" spans="1:2" x14ac:dyDescent="0.35">
      <c r="A1119" s="1" t="str">
        <f t="shared" si="17"/>
        <v/>
      </c>
      <c r="B11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0" spans="1:2" x14ac:dyDescent="0.35">
      <c r="A1120" s="1" t="str">
        <f t="shared" si="17"/>
        <v/>
      </c>
      <c r="B11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1" spans="1:2" x14ac:dyDescent="0.35">
      <c r="A1121" s="1" t="str">
        <f t="shared" si="17"/>
        <v/>
      </c>
      <c r="B11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2" spans="1:2" x14ac:dyDescent="0.35">
      <c r="A1122" s="1" t="str">
        <f t="shared" si="17"/>
        <v/>
      </c>
      <c r="B11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3" spans="1:2" x14ac:dyDescent="0.35">
      <c r="A1123" s="1" t="str">
        <f t="shared" si="17"/>
        <v/>
      </c>
      <c r="B11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4" spans="1:2" x14ac:dyDescent="0.35">
      <c r="A1124" s="1" t="str">
        <f t="shared" si="17"/>
        <v/>
      </c>
      <c r="B11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5" spans="1:2" x14ac:dyDescent="0.35">
      <c r="A1125" s="1" t="str">
        <f t="shared" si="17"/>
        <v/>
      </c>
      <c r="B11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6" spans="1:2" x14ac:dyDescent="0.35">
      <c r="A1126" s="1" t="str">
        <f t="shared" si="17"/>
        <v/>
      </c>
      <c r="B11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7" spans="1:2" x14ac:dyDescent="0.35">
      <c r="A1127" s="1" t="str">
        <f t="shared" si="17"/>
        <v/>
      </c>
      <c r="B11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8" spans="1:2" x14ac:dyDescent="0.35">
      <c r="A1128" s="1" t="str">
        <f t="shared" si="17"/>
        <v/>
      </c>
      <c r="B11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9" spans="1:2" x14ac:dyDescent="0.35">
      <c r="A1129" s="1" t="str">
        <f t="shared" si="17"/>
        <v/>
      </c>
      <c r="B11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0" spans="1:2" x14ac:dyDescent="0.35">
      <c r="A1130" s="1" t="str">
        <f t="shared" si="17"/>
        <v/>
      </c>
      <c r="B11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1" spans="1:2" x14ac:dyDescent="0.35">
      <c r="A1131" s="1" t="str">
        <f t="shared" si="17"/>
        <v/>
      </c>
      <c r="B11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2" spans="1:2" x14ac:dyDescent="0.35">
      <c r="A1132" s="1" t="str">
        <f t="shared" si="17"/>
        <v/>
      </c>
      <c r="B11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3" spans="1:2" x14ac:dyDescent="0.35">
      <c r="A1133" s="1" t="str">
        <f t="shared" si="17"/>
        <v/>
      </c>
      <c r="B11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4" spans="1:2" x14ac:dyDescent="0.35">
      <c r="A1134" s="1" t="str">
        <f t="shared" si="17"/>
        <v/>
      </c>
      <c r="B11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5" spans="1:2" x14ac:dyDescent="0.35">
      <c r="A1135" s="1" t="str">
        <f t="shared" si="17"/>
        <v/>
      </c>
      <c r="B11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6" spans="1:2" x14ac:dyDescent="0.35">
      <c r="A1136" s="1" t="str">
        <f t="shared" si="17"/>
        <v/>
      </c>
      <c r="B11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7" spans="1:2" x14ac:dyDescent="0.35">
      <c r="A1137" s="1" t="str">
        <f t="shared" si="17"/>
        <v/>
      </c>
      <c r="B11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8" spans="1:2" x14ac:dyDescent="0.35">
      <c r="A1138" s="1" t="str">
        <f t="shared" si="17"/>
        <v/>
      </c>
      <c r="B11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9" spans="1:2" x14ac:dyDescent="0.35">
      <c r="A1139" s="1" t="str">
        <f t="shared" si="17"/>
        <v/>
      </c>
      <c r="B11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0" spans="1:2" x14ac:dyDescent="0.35">
      <c r="A1140" s="1" t="str">
        <f t="shared" si="17"/>
        <v/>
      </c>
      <c r="B11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1" spans="1:2" x14ac:dyDescent="0.35">
      <c r="A1141" s="1" t="str">
        <f t="shared" si="17"/>
        <v/>
      </c>
      <c r="B11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2" spans="1:2" x14ac:dyDescent="0.35">
      <c r="A1142" s="1" t="str">
        <f t="shared" si="17"/>
        <v/>
      </c>
      <c r="B11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3" spans="1:2" x14ac:dyDescent="0.35">
      <c r="A1143" s="1" t="str">
        <f t="shared" si="17"/>
        <v/>
      </c>
      <c r="B11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4" spans="1:2" x14ac:dyDescent="0.35">
      <c r="A1144" s="1" t="str">
        <f t="shared" si="17"/>
        <v/>
      </c>
      <c r="B11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5" spans="1:2" x14ac:dyDescent="0.35">
      <c r="A1145" s="1" t="str">
        <f t="shared" si="17"/>
        <v/>
      </c>
      <c r="B11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6" spans="1:2" x14ac:dyDescent="0.35">
      <c r="A1146" s="1" t="str">
        <f t="shared" si="17"/>
        <v/>
      </c>
      <c r="B11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7" spans="1:2" x14ac:dyDescent="0.35">
      <c r="A1147" s="1" t="str">
        <f t="shared" si="17"/>
        <v/>
      </c>
      <c r="B11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8" spans="1:2" x14ac:dyDescent="0.35">
      <c r="A1148" s="1" t="str">
        <f t="shared" si="17"/>
        <v/>
      </c>
      <c r="B11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9" spans="1:2" x14ac:dyDescent="0.35">
      <c r="A1149" s="1" t="str">
        <f t="shared" si="17"/>
        <v/>
      </c>
      <c r="B11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0" spans="1:2" x14ac:dyDescent="0.35">
      <c r="A1150" s="1" t="str">
        <f t="shared" si="17"/>
        <v/>
      </c>
      <c r="B11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1" spans="1:2" x14ac:dyDescent="0.35">
      <c r="A1151" s="1" t="str">
        <f t="shared" si="17"/>
        <v/>
      </c>
      <c r="B11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2" spans="1:2" x14ac:dyDescent="0.35">
      <c r="A1152" s="1" t="str">
        <f t="shared" si="17"/>
        <v/>
      </c>
      <c r="B11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3" spans="1:2" x14ac:dyDescent="0.35">
      <c r="A1153" s="1" t="str">
        <f t="shared" si="17"/>
        <v/>
      </c>
      <c r="B11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4" spans="1:2" x14ac:dyDescent="0.35">
      <c r="A1154" s="1" t="str">
        <f t="shared" ref="A1154:A1217" si="18">IFERROR(LEFT(RIGHT(C1154,LEN(C1154)-SEARCH("@",C1154)),SEARCH("/",RIGHT(C1154,LEN(C1154)-SEARCH("@",C1154)-1))),"")</f>
        <v/>
      </c>
      <c r="B11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5" spans="1:2" x14ac:dyDescent="0.35">
      <c r="A1155" s="1" t="str">
        <f t="shared" si="18"/>
        <v/>
      </c>
      <c r="B11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6" spans="1:2" x14ac:dyDescent="0.35">
      <c r="A1156" s="1" t="str">
        <f t="shared" si="18"/>
        <v/>
      </c>
      <c r="B11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7" spans="1:2" x14ac:dyDescent="0.35">
      <c r="A1157" s="1" t="str">
        <f t="shared" si="18"/>
        <v/>
      </c>
      <c r="B11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8" spans="1:2" x14ac:dyDescent="0.35">
      <c r="A1158" s="1" t="str">
        <f t="shared" si="18"/>
        <v/>
      </c>
      <c r="B11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9" spans="1:2" x14ac:dyDescent="0.35">
      <c r="A1159" s="1" t="str">
        <f t="shared" si="18"/>
        <v/>
      </c>
      <c r="B11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0" spans="1:2" x14ac:dyDescent="0.35">
      <c r="A1160" s="1" t="str">
        <f t="shared" si="18"/>
        <v/>
      </c>
      <c r="B11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1" spans="1:2" x14ac:dyDescent="0.35">
      <c r="A1161" s="1" t="str">
        <f t="shared" si="18"/>
        <v/>
      </c>
      <c r="B11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2" spans="1:2" x14ac:dyDescent="0.35">
      <c r="A1162" s="1" t="str">
        <f t="shared" si="18"/>
        <v/>
      </c>
      <c r="B11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3" spans="1:2" x14ac:dyDescent="0.35">
      <c r="A1163" s="1" t="str">
        <f t="shared" si="18"/>
        <v/>
      </c>
      <c r="B11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4" spans="1:2" x14ac:dyDescent="0.35">
      <c r="A1164" s="1" t="str">
        <f t="shared" si="18"/>
        <v/>
      </c>
      <c r="B11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5" spans="1:2" x14ac:dyDescent="0.35">
      <c r="A1165" s="1" t="str">
        <f t="shared" si="18"/>
        <v/>
      </c>
      <c r="B11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6" spans="1:2" x14ac:dyDescent="0.35">
      <c r="A1166" s="1" t="str">
        <f t="shared" si="18"/>
        <v/>
      </c>
      <c r="B11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7" spans="1:2" x14ac:dyDescent="0.35">
      <c r="A1167" s="1" t="str">
        <f t="shared" si="18"/>
        <v/>
      </c>
      <c r="B11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8" spans="1:2" x14ac:dyDescent="0.35">
      <c r="A1168" s="1" t="str">
        <f t="shared" si="18"/>
        <v/>
      </c>
      <c r="B11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9" spans="1:2" x14ac:dyDescent="0.35">
      <c r="A1169" s="1" t="str">
        <f t="shared" si="18"/>
        <v/>
      </c>
      <c r="B11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0" spans="1:2" x14ac:dyDescent="0.35">
      <c r="A1170" s="1" t="str">
        <f t="shared" si="18"/>
        <v/>
      </c>
      <c r="B11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1" spans="1:2" x14ac:dyDescent="0.35">
      <c r="A1171" s="1" t="str">
        <f t="shared" si="18"/>
        <v/>
      </c>
      <c r="B11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2" spans="1:2" x14ac:dyDescent="0.35">
      <c r="A1172" s="1" t="str">
        <f t="shared" si="18"/>
        <v/>
      </c>
      <c r="B11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3" spans="1:2" x14ac:dyDescent="0.35">
      <c r="A1173" s="1" t="str">
        <f t="shared" si="18"/>
        <v/>
      </c>
      <c r="B11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4" spans="1:2" x14ac:dyDescent="0.35">
      <c r="A1174" s="1" t="str">
        <f t="shared" si="18"/>
        <v/>
      </c>
      <c r="B11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5" spans="1:2" x14ac:dyDescent="0.35">
      <c r="A1175" s="1" t="str">
        <f t="shared" si="18"/>
        <v/>
      </c>
      <c r="B11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6" spans="1:2" x14ac:dyDescent="0.35">
      <c r="A1176" s="1" t="str">
        <f t="shared" si="18"/>
        <v/>
      </c>
      <c r="B11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7" spans="1:2" x14ac:dyDescent="0.35">
      <c r="A1177" s="1" t="str">
        <f t="shared" si="18"/>
        <v/>
      </c>
      <c r="B11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8" spans="1:2" x14ac:dyDescent="0.35">
      <c r="A1178" s="1" t="str">
        <f t="shared" si="18"/>
        <v/>
      </c>
      <c r="B11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9" spans="1:2" x14ac:dyDescent="0.35">
      <c r="A1179" s="1" t="str">
        <f t="shared" si="18"/>
        <v/>
      </c>
      <c r="B11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0" spans="1:2" x14ac:dyDescent="0.35">
      <c r="A1180" s="1" t="str">
        <f t="shared" si="18"/>
        <v/>
      </c>
      <c r="B11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1" spans="1:2" x14ac:dyDescent="0.35">
      <c r="A1181" s="1" t="str">
        <f t="shared" si="18"/>
        <v/>
      </c>
      <c r="B11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2" spans="1:2" x14ac:dyDescent="0.35">
      <c r="A1182" s="1" t="str">
        <f t="shared" si="18"/>
        <v/>
      </c>
      <c r="B11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3" spans="1:2" x14ac:dyDescent="0.35">
      <c r="A1183" s="1" t="str">
        <f t="shared" si="18"/>
        <v/>
      </c>
      <c r="B11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4" spans="1:2" x14ac:dyDescent="0.35">
      <c r="A1184" s="1" t="str">
        <f t="shared" si="18"/>
        <v/>
      </c>
      <c r="B11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5" spans="1:2" x14ac:dyDescent="0.35">
      <c r="A1185" s="1" t="str">
        <f t="shared" si="18"/>
        <v/>
      </c>
      <c r="B11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6" spans="1:2" x14ac:dyDescent="0.35">
      <c r="A1186" s="1" t="str">
        <f t="shared" si="18"/>
        <v/>
      </c>
      <c r="B11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7" spans="1:2" x14ac:dyDescent="0.35">
      <c r="A1187" s="1" t="str">
        <f t="shared" si="18"/>
        <v/>
      </c>
      <c r="B11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8" spans="1:2" x14ac:dyDescent="0.35">
      <c r="A1188" s="1" t="str">
        <f t="shared" si="18"/>
        <v/>
      </c>
      <c r="B11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9" spans="1:2" x14ac:dyDescent="0.35">
      <c r="A1189" s="1" t="str">
        <f t="shared" si="18"/>
        <v/>
      </c>
      <c r="B11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0" spans="1:2" x14ac:dyDescent="0.35">
      <c r="A1190" s="1" t="str">
        <f t="shared" si="18"/>
        <v/>
      </c>
      <c r="B11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1" spans="1:2" x14ac:dyDescent="0.35">
      <c r="A1191" s="1" t="str">
        <f t="shared" si="18"/>
        <v/>
      </c>
      <c r="B11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2" spans="1:2" x14ac:dyDescent="0.35">
      <c r="A1192" s="1" t="str">
        <f t="shared" si="18"/>
        <v/>
      </c>
      <c r="B11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3" spans="1:2" x14ac:dyDescent="0.35">
      <c r="A1193" s="1" t="str">
        <f t="shared" si="18"/>
        <v/>
      </c>
      <c r="B11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4" spans="1:2" x14ac:dyDescent="0.35">
      <c r="A1194" s="1" t="str">
        <f t="shared" si="18"/>
        <v/>
      </c>
      <c r="B11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5" spans="1:2" x14ac:dyDescent="0.35">
      <c r="A1195" s="1" t="str">
        <f t="shared" si="18"/>
        <v/>
      </c>
      <c r="B11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6" spans="1:2" x14ac:dyDescent="0.35">
      <c r="A1196" s="1" t="str">
        <f t="shared" si="18"/>
        <v/>
      </c>
      <c r="B11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7" spans="1:2" x14ac:dyDescent="0.35">
      <c r="A1197" s="1" t="str">
        <f t="shared" si="18"/>
        <v/>
      </c>
      <c r="B11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8" spans="1:2" x14ac:dyDescent="0.35">
      <c r="A1198" s="1" t="str">
        <f t="shared" si="18"/>
        <v/>
      </c>
      <c r="B11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9" spans="1:2" x14ac:dyDescent="0.35">
      <c r="A1199" s="1" t="str">
        <f t="shared" si="18"/>
        <v/>
      </c>
      <c r="B11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0" spans="1:2" x14ac:dyDescent="0.35">
      <c r="A1200" s="1" t="str">
        <f t="shared" si="18"/>
        <v/>
      </c>
      <c r="B12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1" spans="1:2" x14ac:dyDescent="0.35">
      <c r="A1201" s="1" t="str">
        <f t="shared" si="18"/>
        <v/>
      </c>
      <c r="B12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2" spans="1:2" x14ac:dyDescent="0.35">
      <c r="A1202" s="1" t="str">
        <f t="shared" si="18"/>
        <v/>
      </c>
      <c r="B12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3" spans="1:2" x14ac:dyDescent="0.35">
      <c r="A1203" s="1" t="str">
        <f t="shared" si="18"/>
        <v/>
      </c>
      <c r="B12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4" spans="1:2" x14ac:dyDescent="0.35">
      <c r="A1204" s="1" t="str">
        <f t="shared" si="18"/>
        <v/>
      </c>
      <c r="B12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5" spans="1:2" x14ac:dyDescent="0.35">
      <c r="A1205" s="1" t="str">
        <f t="shared" si="18"/>
        <v/>
      </c>
      <c r="B12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6" spans="1:2" x14ac:dyDescent="0.35">
      <c r="A1206" s="1" t="str">
        <f t="shared" si="18"/>
        <v/>
      </c>
      <c r="B12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7" spans="1:2" x14ac:dyDescent="0.35">
      <c r="A1207" s="1" t="str">
        <f t="shared" si="18"/>
        <v/>
      </c>
      <c r="B12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8" spans="1:2" x14ac:dyDescent="0.35">
      <c r="A1208" s="1" t="str">
        <f t="shared" si="18"/>
        <v/>
      </c>
      <c r="B12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9" spans="1:2" x14ac:dyDescent="0.35">
      <c r="A1209" s="1" t="str">
        <f t="shared" si="18"/>
        <v/>
      </c>
      <c r="B12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0" spans="1:2" x14ac:dyDescent="0.35">
      <c r="A1210" s="1" t="str">
        <f t="shared" si="18"/>
        <v/>
      </c>
      <c r="B12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1" spans="1:2" x14ac:dyDescent="0.35">
      <c r="A1211" s="1" t="str">
        <f t="shared" si="18"/>
        <v/>
      </c>
      <c r="B12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2" spans="1:2" x14ac:dyDescent="0.35">
      <c r="A1212" s="1" t="str">
        <f t="shared" si="18"/>
        <v/>
      </c>
      <c r="B12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3" spans="1:2" x14ac:dyDescent="0.35">
      <c r="A1213" s="1" t="str">
        <f t="shared" si="18"/>
        <v/>
      </c>
      <c r="B12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4" spans="1:2" x14ac:dyDescent="0.35">
      <c r="A1214" s="1" t="str">
        <f t="shared" si="18"/>
        <v/>
      </c>
      <c r="B12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5" spans="1:2" x14ac:dyDescent="0.35">
      <c r="A1215" s="1" t="str">
        <f t="shared" si="18"/>
        <v/>
      </c>
      <c r="B12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6" spans="1:2" x14ac:dyDescent="0.35">
      <c r="A1216" s="1" t="str">
        <f t="shared" si="18"/>
        <v/>
      </c>
      <c r="B12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7" spans="1:2" x14ac:dyDescent="0.35">
      <c r="A1217" s="1" t="str">
        <f t="shared" si="18"/>
        <v/>
      </c>
      <c r="B12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8" spans="1:2" x14ac:dyDescent="0.35">
      <c r="A1218" s="1" t="str">
        <f t="shared" ref="A1218:A1281" si="19">IFERROR(LEFT(RIGHT(C1218,LEN(C1218)-SEARCH("@",C1218)),SEARCH("/",RIGHT(C1218,LEN(C1218)-SEARCH("@",C1218)-1))),"")</f>
        <v/>
      </c>
      <c r="B12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9" spans="1:2" x14ac:dyDescent="0.35">
      <c r="A1219" s="1" t="str">
        <f t="shared" si="19"/>
        <v/>
      </c>
      <c r="B12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0" spans="1:2" x14ac:dyDescent="0.35">
      <c r="A1220" s="1" t="str">
        <f t="shared" si="19"/>
        <v/>
      </c>
      <c r="B12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1" spans="1:2" x14ac:dyDescent="0.35">
      <c r="A1221" s="1" t="str">
        <f t="shared" si="19"/>
        <v/>
      </c>
      <c r="B12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2" spans="1:2" x14ac:dyDescent="0.35">
      <c r="A1222" s="1" t="str">
        <f t="shared" si="19"/>
        <v/>
      </c>
      <c r="B12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3" spans="1:2" x14ac:dyDescent="0.35">
      <c r="A1223" s="1" t="str">
        <f t="shared" si="19"/>
        <v/>
      </c>
      <c r="B12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4" spans="1:2" x14ac:dyDescent="0.35">
      <c r="A1224" s="1" t="str">
        <f t="shared" si="19"/>
        <v/>
      </c>
      <c r="B12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5" spans="1:2" x14ac:dyDescent="0.35">
      <c r="A1225" s="1" t="str">
        <f t="shared" si="19"/>
        <v/>
      </c>
      <c r="B12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6" spans="1:2" x14ac:dyDescent="0.35">
      <c r="A1226" s="1" t="str">
        <f t="shared" si="19"/>
        <v/>
      </c>
      <c r="B12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7" spans="1:2" x14ac:dyDescent="0.35">
      <c r="A1227" s="1" t="str">
        <f t="shared" si="19"/>
        <v/>
      </c>
      <c r="B12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8" spans="1:2" x14ac:dyDescent="0.35">
      <c r="A1228" s="1" t="str">
        <f t="shared" si="19"/>
        <v/>
      </c>
      <c r="B12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9" spans="1:2" x14ac:dyDescent="0.35">
      <c r="A1229" s="1" t="str">
        <f t="shared" si="19"/>
        <v/>
      </c>
      <c r="B12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0" spans="1:2" x14ac:dyDescent="0.35">
      <c r="A1230" s="1" t="str">
        <f t="shared" si="19"/>
        <v/>
      </c>
      <c r="B12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1" spans="1:2" x14ac:dyDescent="0.35">
      <c r="A1231" s="1" t="str">
        <f t="shared" si="19"/>
        <v/>
      </c>
      <c r="B12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2" spans="1:2" x14ac:dyDescent="0.35">
      <c r="A1232" s="1" t="str">
        <f t="shared" si="19"/>
        <v/>
      </c>
      <c r="B12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3" spans="1:2" x14ac:dyDescent="0.35">
      <c r="A1233" s="1" t="str">
        <f t="shared" si="19"/>
        <v/>
      </c>
      <c r="B12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4" spans="1:2" x14ac:dyDescent="0.35">
      <c r="A1234" s="1" t="str">
        <f t="shared" si="19"/>
        <v/>
      </c>
      <c r="B12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5" spans="1:2" x14ac:dyDescent="0.35">
      <c r="A1235" s="1" t="str">
        <f t="shared" si="19"/>
        <v/>
      </c>
      <c r="B12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6" spans="1:2" x14ac:dyDescent="0.35">
      <c r="A1236" s="1" t="str">
        <f t="shared" si="19"/>
        <v/>
      </c>
      <c r="B12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7" spans="1:2" x14ac:dyDescent="0.35">
      <c r="A1237" s="1" t="str">
        <f t="shared" si="19"/>
        <v/>
      </c>
      <c r="B12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8" spans="1:2" x14ac:dyDescent="0.35">
      <c r="A1238" s="1" t="str">
        <f t="shared" si="19"/>
        <v/>
      </c>
      <c r="B12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9" spans="1:2" x14ac:dyDescent="0.35">
      <c r="A1239" s="1" t="str">
        <f t="shared" si="19"/>
        <v/>
      </c>
      <c r="B12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0" spans="1:2" x14ac:dyDescent="0.35">
      <c r="A1240" s="1" t="str">
        <f t="shared" si="19"/>
        <v/>
      </c>
      <c r="B12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1" spans="1:2" x14ac:dyDescent="0.35">
      <c r="A1241" s="1" t="str">
        <f t="shared" si="19"/>
        <v/>
      </c>
      <c r="B12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2" spans="1:2" x14ac:dyDescent="0.35">
      <c r="A1242" s="1" t="str">
        <f t="shared" si="19"/>
        <v/>
      </c>
      <c r="B12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3" spans="1:2" x14ac:dyDescent="0.35">
      <c r="A1243" s="1" t="str">
        <f t="shared" si="19"/>
        <v/>
      </c>
      <c r="B12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4" spans="1:2" x14ac:dyDescent="0.35">
      <c r="A1244" s="1" t="str">
        <f t="shared" si="19"/>
        <v/>
      </c>
      <c r="B12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5" spans="1:2" x14ac:dyDescent="0.35">
      <c r="A1245" s="1" t="str">
        <f t="shared" si="19"/>
        <v/>
      </c>
      <c r="B12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6" spans="1:2" x14ac:dyDescent="0.35">
      <c r="A1246" s="1" t="str">
        <f t="shared" si="19"/>
        <v/>
      </c>
      <c r="B12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7" spans="1:2" x14ac:dyDescent="0.35">
      <c r="A1247" s="1" t="str">
        <f t="shared" si="19"/>
        <v/>
      </c>
      <c r="B12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8" spans="1:2" x14ac:dyDescent="0.35">
      <c r="A1248" s="1" t="str">
        <f t="shared" si="19"/>
        <v/>
      </c>
      <c r="B12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9" spans="1:2" x14ac:dyDescent="0.35">
      <c r="A1249" s="1" t="str">
        <f t="shared" si="19"/>
        <v/>
      </c>
      <c r="B12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0" spans="1:2" x14ac:dyDescent="0.35">
      <c r="A1250" s="1" t="str">
        <f t="shared" si="19"/>
        <v/>
      </c>
      <c r="B12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1" spans="1:2" x14ac:dyDescent="0.35">
      <c r="A1251" s="1" t="str">
        <f t="shared" si="19"/>
        <v/>
      </c>
      <c r="B12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2" spans="1:2" x14ac:dyDescent="0.35">
      <c r="A1252" s="1" t="str">
        <f t="shared" si="19"/>
        <v/>
      </c>
      <c r="B12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3" spans="1:2" x14ac:dyDescent="0.35">
      <c r="A1253" s="1" t="str">
        <f t="shared" si="19"/>
        <v/>
      </c>
      <c r="B12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4" spans="1:2" x14ac:dyDescent="0.35">
      <c r="A1254" s="1" t="str">
        <f t="shared" si="19"/>
        <v/>
      </c>
      <c r="B12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5" spans="1:2" x14ac:dyDescent="0.35">
      <c r="A1255" s="1" t="str">
        <f t="shared" si="19"/>
        <v/>
      </c>
      <c r="B12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6" spans="1:2" x14ac:dyDescent="0.35">
      <c r="A1256" s="1" t="str">
        <f t="shared" si="19"/>
        <v/>
      </c>
      <c r="B12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7" spans="1:2" x14ac:dyDescent="0.35">
      <c r="A1257" s="1" t="str">
        <f t="shared" si="19"/>
        <v/>
      </c>
      <c r="B12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8" spans="1:2" x14ac:dyDescent="0.35">
      <c r="A1258" s="1" t="str">
        <f t="shared" si="19"/>
        <v/>
      </c>
      <c r="B12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9" spans="1:2" x14ac:dyDescent="0.35">
      <c r="A1259" s="1" t="str">
        <f t="shared" si="19"/>
        <v/>
      </c>
      <c r="B12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0" spans="1:2" x14ac:dyDescent="0.35">
      <c r="A1260" s="1" t="str">
        <f t="shared" si="19"/>
        <v/>
      </c>
      <c r="B12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1" spans="1:2" x14ac:dyDescent="0.35">
      <c r="A1261" s="1" t="str">
        <f t="shared" si="19"/>
        <v/>
      </c>
      <c r="B12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2" spans="1:2" x14ac:dyDescent="0.35">
      <c r="A1262" s="1" t="str">
        <f t="shared" si="19"/>
        <v/>
      </c>
      <c r="B12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3" spans="1:2" x14ac:dyDescent="0.35">
      <c r="A1263" s="1" t="str">
        <f t="shared" si="19"/>
        <v/>
      </c>
      <c r="B12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4" spans="1:2" x14ac:dyDescent="0.35">
      <c r="A1264" s="1" t="str">
        <f t="shared" si="19"/>
        <v/>
      </c>
      <c r="B12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5" spans="1:2" x14ac:dyDescent="0.35">
      <c r="A1265" s="1" t="str">
        <f t="shared" si="19"/>
        <v/>
      </c>
      <c r="B12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6" spans="1:2" x14ac:dyDescent="0.35">
      <c r="A1266" s="1" t="str">
        <f t="shared" si="19"/>
        <v/>
      </c>
      <c r="B12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7" spans="1:2" x14ac:dyDescent="0.35">
      <c r="A1267" s="1" t="str">
        <f t="shared" si="19"/>
        <v/>
      </c>
      <c r="B12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8" spans="1:2" x14ac:dyDescent="0.35">
      <c r="A1268" s="1" t="str">
        <f t="shared" si="19"/>
        <v/>
      </c>
      <c r="B12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9" spans="1:2" x14ac:dyDescent="0.35">
      <c r="A1269" s="1" t="str">
        <f t="shared" si="19"/>
        <v/>
      </c>
      <c r="B12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0" spans="1:2" x14ac:dyDescent="0.35">
      <c r="A1270" s="1" t="str">
        <f t="shared" si="19"/>
        <v/>
      </c>
      <c r="B12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1" spans="1:2" x14ac:dyDescent="0.35">
      <c r="A1271" s="1" t="str">
        <f t="shared" si="19"/>
        <v/>
      </c>
      <c r="B12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2" spans="1:2" x14ac:dyDescent="0.35">
      <c r="A1272" s="1" t="str">
        <f t="shared" si="19"/>
        <v/>
      </c>
      <c r="B12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3" spans="1:2" x14ac:dyDescent="0.35">
      <c r="A1273" s="1" t="str">
        <f t="shared" si="19"/>
        <v/>
      </c>
      <c r="B12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4" spans="1:2" x14ac:dyDescent="0.35">
      <c r="A1274" s="1" t="str">
        <f t="shared" si="19"/>
        <v/>
      </c>
      <c r="B12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5" spans="1:2" x14ac:dyDescent="0.35">
      <c r="A1275" s="1" t="str">
        <f t="shared" si="19"/>
        <v/>
      </c>
      <c r="B12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6" spans="1:2" x14ac:dyDescent="0.35">
      <c r="A1276" s="1" t="str">
        <f t="shared" si="19"/>
        <v/>
      </c>
      <c r="B12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7" spans="1:2" x14ac:dyDescent="0.35">
      <c r="A1277" s="1" t="str">
        <f t="shared" si="19"/>
        <v/>
      </c>
      <c r="B12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8" spans="1:2" x14ac:dyDescent="0.35">
      <c r="A1278" s="1" t="str">
        <f t="shared" si="19"/>
        <v/>
      </c>
      <c r="B12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9" spans="1:2" x14ac:dyDescent="0.35">
      <c r="A1279" s="1" t="str">
        <f t="shared" si="19"/>
        <v/>
      </c>
      <c r="B12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0" spans="1:2" x14ac:dyDescent="0.35">
      <c r="A1280" s="1" t="str">
        <f t="shared" si="19"/>
        <v/>
      </c>
      <c r="B12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1" spans="1:2" x14ac:dyDescent="0.35">
      <c r="A1281" s="1" t="str">
        <f t="shared" si="19"/>
        <v/>
      </c>
      <c r="B12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2" spans="1:2" x14ac:dyDescent="0.35">
      <c r="A1282" s="1" t="str">
        <f t="shared" ref="A1282:A1345" si="20">IFERROR(LEFT(RIGHT(C1282,LEN(C1282)-SEARCH("@",C1282)),SEARCH("/",RIGHT(C1282,LEN(C1282)-SEARCH("@",C1282)-1))),"")</f>
        <v/>
      </c>
      <c r="B12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3" spans="1:2" x14ac:dyDescent="0.35">
      <c r="A1283" s="1" t="str">
        <f t="shared" si="20"/>
        <v/>
      </c>
      <c r="B12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4" spans="1:2" x14ac:dyDescent="0.35">
      <c r="A1284" s="1" t="str">
        <f t="shared" si="20"/>
        <v/>
      </c>
      <c r="B12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5" spans="1:2" x14ac:dyDescent="0.35">
      <c r="A1285" s="1" t="str">
        <f t="shared" si="20"/>
        <v/>
      </c>
      <c r="B12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6" spans="1:2" x14ac:dyDescent="0.35">
      <c r="A1286" s="1" t="str">
        <f t="shared" si="20"/>
        <v/>
      </c>
      <c r="B12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7" spans="1:2" x14ac:dyDescent="0.35">
      <c r="A1287" s="1" t="str">
        <f t="shared" si="20"/>
        <v/>
      </c>
      <c r="B12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8" spans="1:2" x14ac:dyDescent="0.35">
      <c r="A1288" s="1" t="str">
        <f t="shared" si="20"/>
        <v/>
      </c>
      <c r="B12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9" spans="1:2" x14ac:dyDescent="0.35">
      <c r="A1289" s="1" t="str">
        <f t="shared" si="20"/>
        <v/>
      </c>
      <c r="B12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0" spans="1:2" x14ac:dyDescent="0.35">
      <c r="A1290" s="1" t="str">
        <f t="shared" si="20"/>
        <v/>
      </c>
      <c r="B12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1" spans="1:2" x14ac:dyDescent="0.35">
      <c r="A1291" s="1" t="str">
        <f t="shared" si="20"/>
        <v/>
      </c>
      <c r="B12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2" spans="1:2" x14ac:dyDescent="0.35">
      <c r="A1292" s="1" t="str">
        <f t="shared" si="20"/>
        <v/>
      </c>
      <c r="B12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3" spans="1:2" x14ac:dyDescent="0.35">
      <c r="A1293" s="1" t="str">
        <f t="shared" si="20"/>
        <v/>
      </c>
      <c r="B12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4" spans="1:2" x14ac:dyDescent="0.35">
      <c r="A1294" s="1" t="str">
        <f t="shared" si="20"/>
        <v/>
      </c>
      <c r="B12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5" spans="1:2" x14ac:dyDescent="0.35">
      <c r="A1295" s="1" t="str">
        <f t="shared" si="20"/>
        <v/>
      </c>
      <c r="B12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6" spans="1:2" x14ac:dyDescent="0.35">
      <c r="A1296" s="1" t="str">
        <f t="shared" si="20"/>
        <v/>
      </c>
      <c r="B12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7" spans="1:2" x14ac:dyDescent="0.35">
      <c r="A1297" s="1" t="str">
        <f t="shared" si="20"/>
        <v/>
      </c>
      <c r="B12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8" spans="1:2" x14ac:dyDescent="0.35">
      <c r="A1298" s="1" t="str">
        <f t="shared" si="20"/>
        <v/>
      </c>
      <c r="B12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9" spans="1:2" x14ac:dyDescent="0.35">
      <c r="A1299" s="1" t="str">
        <f t="shared" si="20"/>
        <v/>
      </c>
      <c r="B12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0" spans="1:2" x14ac:dyDescent="0.35">
      <c r="A1300" s="1" t="str">
        <f t="shared" si="20"/>
        <v/>
      </c>
      <c r="B13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1" spans="1:2" x14ac:dyDescent="0.35">
      <c r="A1301" s="1" t="str">
        <f t="shared" si="20"/>
        <v/>
      </c>
      <c r="B13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2" spans="1:2" x14ac:dyDescent="0.35">
      <c r="A1302" s="1" t="str">
        <f t="shared" si="20"/>
        <v/>
      </c>
      <c r="B13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3" spans="1:2" x14ac:dyDescent="0.35">
      <c r="A1303" s="1" t="str">
        <f t="shared" si="20"/>
        <v/>
      </c>
      <c r="B13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4" spans="1:2" x14ac:dyDescent="0.35">
      <c r="A1304" s="1" t="str">
        <f t="shared" si="20"/>
        <v/>
      </c>
      <c r="B13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5" spans="1:2" x14ac:dyDescent="0.35">
      <c r="A1305" s="1" t="str">
        <f t="shared" si="20"/>
        <v/>
      </c>
      <c r="B13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6" spans="1:2" x14ac:dyDescent="0.35">
      <c r="A1306" s="1" t="str">
        <f t="shared" si="20"/>
        <v/>
      </c>
      <c r="B13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7" spans="1:2" x14ac:dyDescent="0.35">
      <c r="A1307" s="1" t="str">
        <f t="shared" si="20"/>
        <v/>
      </c>
      <c r="B13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8" spans="1:2" x14ac:dyDescent="0.35">
      <c r="A1308" s="1" t="str">
        <f t="shared" si="20"/>
        <v/>
      </c>
      <c r="B13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9" spans="1:2" x14ac:dyDescent="0.35">
      <c r="A1309" s="1" t="str">
        <f t="shared" si="20"/>
        <v/>
      </c>
      <c r="B13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0" spans="1:2" x14ac:dyDescent="0.35">
      <c r="A1310" s="1" t="str">
        <f t="shared" si="20"/>
        <v/>
      </c>
      <c r="B13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1" spans="1:2" x14ac:dyDescent="0.35">
      <c r="A1311" s="1" t="str">
        <f t="shared" si="20"/>
        <v/>
      </c>
      <c r="B13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2" spans="1:2" x14ac:dyDescent="0.35">
      <c r="A1312" s="1" t="str">
        <f t="shared" si="20"/>
        <v/>
      </c>
      <c r="B13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3" spans="1:2" x14ac:dyDescent="0.35">
      <c r="A1313" s="1" t="str">
        <f t="shared" si="20"/>
        <v/>
      </c>
      <c r="B13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4" spans="1:2" x14ac:dyDescent="0.35">
      <c r="A1314" s="1" t="str">
        <f t="shared" si="20"/>
        <v/>
      </c>
      <c r="B13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5" spans="1:2" x14ac:dyDescent="0.35">
      <c r="A1315" s="1" t="str">
        <f t="shared" si="20"/>
        <v/>
      </c>
      <c r="B13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6" spans="1:2" x14ac:dyDescent="0.35">
      <c r="A1316" s="1" t="str">
        <f t="shared" si="20"/>
        <v/>
      </c>
      <c r="B13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7" spans="1:2" x14ac:dyDescent="0.35">
      <c r="A1317" s="1" t="str">
        <f t="shared" si="20"/>
        <v/>
      </c>
      <c r="B13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8" spans="1:2" x14ac:dyDescent="0.35">
      <c r="A1318" s="1" t="str">
        <f t="shared" si="20"/>
        <v/>
      </c>
      <c r="B13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9" spans="1:2" x14ac:dyDescent="0.35">
      <c r="A1319" s="1" t="str">
        <f t="shared" si="20"/>
        <v/>
      </c>
      <c r="B13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0" spans="1:2" x14ac:dyDescent="0.35">
      <c r="A1320" s="1" t="str">
        <f t="shared" si="20"/>
        <v/>
      </c>
      <c r="B13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1" spans="1:2" x14ac:dyDescent="0.35">
      <c r="A1321" s="1" t="str">
        <f t="shared" si="20"/>
        <v/>
      </c>
      <c r="B13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2" spans="1:2" x14ac:dyDescent="0.35">
      <c r="A1322" s="1" t="str">
        <f t="shared" si="20"/>
        <v/>
      </c>
      <c r="B13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3" spans="1:2" x14ac:dyDescent="0.35">
      <c r="A1323" s="1" t="str">
        <f t="shared" si="20"/>
        <v/>
      </c>
      <c r="B13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4" spans="1:2" x14ac:dyDescent="0.35">
      <c r="A1324" s="1" t="str">
        <f t="shared" si="20"/>
        <v/>
      </c>
      <c r="B13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5" spans="1:2" x14ac:dyDescent="0.35">
      <c r="A1325" s="1" t="str">
        <f t="shared" si="20"/>
        <v/>
      </c>
      <c r="B13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6" spans="1:2" x14ac:dyDescent="0.35">
      <c r="A1326" s="1" t="str">
        <f t="shared" si="20"/>
        <v/>
      </c>
      <c r="B13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7" spans="1:2" x14ac:dyDescent="0.35">
      <c r="A1327" s="1" t="str">
        <f t="shared" si="20"/>
        <v/>
      </c>
      <c r="B13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8" spans="1:2" x14ac:dyDescent="0.35">
      <c r="A1328" s="1" t="str">
        <f t="shared" si="20"/>
        <v/>
      </c>
      <c r="B13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9" spans="1:2" x14ac:dyDescent="0.35">
      <c r="A1329" s="1" t="str">
        <f t="shared" si="20"/>
        <v/>
      </c>
      <c r="B13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0" spans="1:2" x14ac:dyDescent="0.35">
      <c r="A1330" s="1" t="str">
        <f t="shared" si="20"/>
        <v/>
      </c>
      <c r="B13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1" spans="1:2" x14ac:dyDescent="0.35">
      <c r="A1331" s="1" t="str">
        <f t="shared" si="20"/>
        <v/>
      </c>
      <c r="B13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2" spans="1:2" x14ac:dyDescent="0.35">
      <c r="A1332" s="1" t="str">
        <f t="shared" si="20"/>
        <v/>
      </c>
      <c r="B13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3" spans="1:2" x14ac:dyDescent="0.35">
      <c r="A1333" s="1" t="str">
        <f t="shared" si="20"/>
        <v/>
      </c>
      <c r="B13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4" spans="1:2" x14ac:dyDescent="0.35">
      <c r="A1334" s="1" t="str">
        <f t="shared" si="20"/>
        <v/>
      </c>
      <c r="B13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5" spans="1:2" x14ac:dyDescent="0.35">
      <c r="A1335" s="1" t="str">
        <f t="shared" si="20"/>
        <v/>
      </c>
      <c r="B13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6" spans="1:2" x14ac:dyDescent="0.35">
      <c r="A1336" s="1" t="str">
        <f t="shared" si="20"/>
        <v/>
      </c>
      <c r="B13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7" spans="1:2" x14ac:dyDescent="0.35">
      <c r="A1337" s="1" t="str">
        <f t="shared" si="20"/>
        <v/>
      </c>
      <c r="B13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8" spans="1:2" x14ac:dyDescent="0.35">
      <c r="A1338" s="1" t="str">
        <f t="shared" si="20"/>
        <v/>
      </c>
      <c r="B13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9" spans="1:2" x14ac:dyDescent="0.35">
      <c r="A1339" s="1" t="str">
        <f t="shared" si="20"/>
        <v/>
      </c>
      <c r="B13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0" spans="1:2" x14ac:dyDescent="0.35">
      <c r="A1340" s="1" t="str">
        <f t="shared" si="20"/>
        <v/>
      </c>
      <c r="B13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1" spans="1:2" x14ac:dyDescent="0.35">
      <c r="A1341" s="1" t="str">
        <f t="shared" si="20"/>
        <v/>
      </c>
      <c r="B13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2" spans="1:2" x14ac:dyDescent="0.35">
      <c r="A1342" s="1" t="str">
        <f t="shared" si="20"/>
        <v/>
      </c>
      <c r="B13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3" spans="1:2" x14ac:dyDescent="0.35">
      <c r="A1343" s="1" t="str">
        <f t="shared" si="20"/>
        <v/>
      </c>
      <c r="B13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4" spans="1:2" x14ac:dyDescent="0.35">
      <c r="A1344" s="1" t="str">
        <f t="shared" si="20"/>
        <v/>
      </c>
      <c r="B13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5" spans="1:2" x14ac:dyDescent="0.35">
      <c r="A1345" s="1" t="str">
        <f t="shared" si="20"/>
        <v/>
      </c>
      <c r="B13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6" spans="1:2" x14ac:dyDescent="0.35">
      <c r="A1346" s="1" t="str">
        <f t="shared" ref="A1346:A1409" si="21">IFERROR(LEFT(RIGHT(C1346,LEN(C1346)-SEARCH("@",C1346)),SEARCH("/",RIGHT(C1346,LEN(C1346)-SEARCH("@",C1346)-1))),"")</f>
        <v/>
      </c>
      <c r="B13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7" spans="1:2" x14ac:dyDescent="0.35">
      <c r="A1347" s="1" t="str">
        <f t="shared" si="21"/>
        <v/>
      </c>
      <c r="B13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8" spans="1:2" x14ac:dyDescent="0.35">
      <c r="A1348" s="1" t="str">
        <f t="shared" si="21"/>
        <v/>
      </c>
      <c r="B13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9" spans="1:2" x14ac:dyDescent="0.35">
      <c r="A1349" s="1" t="str">
        <f t="shared" si="21"/>
        <v/>
      </c>
      <c r="B13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0" spans="1:2" x14ac:dyDescent="0.35">
      <c r="A1350" s="1" t="str">
        <f t="shared" si="21"/>
        <v/>
      </c>
      <c r="B13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1" spans="1:2" x14ac:dyDescent="0.35">
      <c r="A1351" s="1" t="str">
        <f t="shared" si="21"/>
        <v/>
      </c>
      <c r="B13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2" spans="1:2" x14ac:dyDescent="0.35">
      <c r="A1352" s="1" t="str">
        <f t="shared" si="21"/>
        <v/>
      </c>
      <c r="B13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3" spans="1:2" x14ac:dyDescent="0.35">
      <c r="A1353" s="1" t="str">
        <f t="shared" si="21"/>
        <v/>
      </c>
      <c r="B13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4" spans="1:2" x14ac:dyDescent="0.35">
      <c r="A1354" s="1" t="str">
        <f t="shared" si="21"/>
        <v/>
      </c>
      <c r="B13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5" spans="1:2" x14ac:dyDescent="0.35">
      <c r="A1355" s="1" t="str">
        <f t="shared" si="21"/>
        <v/>
      </c>
      <c r="B13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6" spans="1:2" x14ac:dyDescent="0.35">
      <c r="A1356" s="1" t="str">
        <f t="shared" si="21"/>
        <v/>
      </c>
      <c r="B13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7" spans="1:2" x14ac:dyDescent="0.35">
      <c r="A1357" s="1" t="str">
        <f t="shared" si="21"/>
        <v/>
      </c>
      <c r="B13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8" spans="1:2" x14ac:dyDescent="0.35">
      <c r="A1358" s="1" t="str">
        <f t="shared" si="21"/>
        <v/>
      </c>
      <c r="B13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9" spans="1:2" x14ac:dyDescent="0.35">
      <c r="A1359" s="1" t="str">
        <f t="shared" si="21"/>
        <v/>
      </c>
      <c r="B13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0" spans="1:2" x14ac:dyDescent="0.35">
      <c r="A1360" s="1" t="str">
        <f t="shared" si="21"/>
        <v/>
      </c>
      <c r="B13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1" spans="1:2" x14ac:dyDescent="0.35">
      <c r="A1361" s="1" t="str">
        <f t="shared" si="21"/>
        <v/>
      </c>
      <c r="B13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2" spans="1:2" x14ac:dyDescent="0.35">
      <c r="A1362" s="1" t="str">
        <f t="shared" si="21"/>
        <v/>
      </c>
      <c r="B13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3" spans="1:2" x14ac:dyDescent="0.35">
      <c r="A1363" s="1" t="str">
        <f t="shared" si="21"/>
        <v/>
      </c>
      <c r="B13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4" spans="1:2" x14ac:dyDescent="0.35">
      <c r="A1364" s="1" t="str">
        <f t="shared" si="21"/>
        <v/>
      </c>
      <c r="B13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5" spans="1:2" x14ac:dyDescent="0.35">
      <c r="A1365" s="1" t="str">
        <f t="shared" si="21"/>
        <v/>
      </c>
      <c r="B13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6" spans="1:2" x14ac:dyDescent="0.35">
      <c r="A1366" s="1" t="str">
        <f t="shared" si="21"/>
        <v/>
      </c>
      <c r="B13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7" spans="1:2" x14ac:dyDescent="0.35">
      <c r="A1367" s="1" t="str">
        <f t="shared" si="21"/>
        <v/>
      </c>
      <c r="B13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8" spans="1:2" x14ac:dyDescent="0.35">
      <c r="A1368" s="1" t="str">
        <f t="shared" si="21"/>
        <v/>
      </c>
      <c r="B13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9" spans="1:2" x14ac:dyDescent="0.35">
      <c r="A1369" s="1" t="str">
        <f t="shared" si="21"/>
        <v/>
      </c>
      <c r="B13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0" spans="1:2" x14ac:dyDescent="0.35">
      <c r="A1370" s="1" t="str">
        <f t="shared" si="21"/>
        <v/>
      </c>
      <c r="B13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1" spans="1:2" x14ac:dyDescent="0.35">
      <c r="A1371" s="1" t="str">
        <f t="shared" si="21"/>
        <v/>
      </c>
      <c r="B13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2" spans="1:2" x14ac:dyDescent="0.35">
      <c r="A1372" s="1" t="str">
        <f t="shared" si="21"/>
        <v/>
      </c>
      <c r="B13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3" spans="1:2" x14ac:dyDescent="0.35">
      <c r="A1373" s="1" t="str">
        <f t="shared" si="21"/>
        <v/>
      </c>
      <c r="B13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4" spans="1:2" x14ac:dyDescent="0.35">
      <c r="A1374" s="1" t="str">
        <f t="shared" si="21"/>
        <v/>
      </c>
      <c r="B13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5" spans="1:2" x14ac:dyDescent="0.35">
      <c r="A1375" s="1" t="str">
        <f t="shared" si="21"/>
        <v/>
      </c>
      <c r="B13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6" spans="1:2" x14ac:dyDescent="0.35">
      <c r="A1376" s="1" t="str">
        <f t="shared" si="21"/>
        <v/>
      </c>
      <c r="B13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7" spans="1:2" x14ac:dyDescent="0.35">
      <c r="A1377" s="1" t="str">
        <f t="shared" si="21"/>
        <v/>
      </c>
      <c r="B13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8" spans="1:2" x14ac:dyDescent="0.35">
      <c r="A1378" s="1" t="str">
        <f t="shared" si="21"/>
        <v/>
      </c>
      <c r="B13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9" spans="1:2" x14ac:dyDescent="0.35">
      <c r="A1379" s="1" t="str">
        <f t="shared" si="21"/>
        <v/>
      </c>
      <c r="B13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0" spans="1:2" x14ac:dyDescent="0.35">
      <c r="A1380" s="1" t="str">
        <f t="shared" si="21"/>
        <v/>
      </c>
      <c r="B13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1" spans="1:2" x14ac:dyDescent="0.35">
      <c r="A1381" s="1" t="str">
        <f t="shared" si="21"/>
        <v/>
      </c>
      <c r="B13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2" spans="1:2" x14ac:dyDescent="0.35">
      <c r="A1382" s="1" t="str">
        <f t="shared" si="21"/>
        <v/>
      </c>
      <c r="B13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3" spans="1:2" x14ac:dyDescent="0.35">
      <c r="A1383" s="1" t="str">
        <f t="shared" si="21"/>
        <v/>
      </c>
      <c r="B13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4" spans="1:2" x14ac:dyDescent="0.35">
      <c r="A1384" s="1" t="str">
        <f t="shared" si="21"/>
        <v/>
      </c>
      <c r="B13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5" spans="1:2" x14ac:dyDescent="0.35">
      <c r="A1385" s="1" t="str">
        <f t="shared" si="21"/>
        <v/>
      </c>
      <c r="B13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6" spans="1:2" x14ac:dyDescent="0.35">
      <c r="A1386" s="1" t="str">
        <f t="shared" si="21"/>
        <v/>
      </c>
      <c r="B13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7" spans="1:2" x14ac:dyDescent="0.35">
      <c r="A1387" s="1" t="str">
        <f t="shared" si="21"/>
        <v/>
      </c>
      <c r="B13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8" spans="1:2" x14ac:dyDescent="0.35">
      <c r="A1388" s="1" t="str">
        <f t="shared" si="21"/>
        <v/>
      </c>
      <c r="B13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9" spans="1:2" x14ac:dyDescent="0.35">
      <c r="A1389" s="1" t="str">
        <f t="shared" si="21"/>
        <v/>
      </c>
      <c r="B13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0" spans="1:2" x14ac:dyDescent="0.35">
      <c r="A1390" s="1" t="str">
        <f t="shared" si="21"/>
        <v/>
      </c>
      <c r="B13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1" spans="1:2" x14ac:dyDescent="0.35">
      <c r="A1391" s="1" t="str">
        <f t="shared" si="21"/>
        <v/>
      </c>
      <c r="B13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2" spans="1:2" x14ac:dyDescent="0.35">
      <c r="A1392" s="1" t="str">
        <f t="shared" si="21"/>
        <v/>
      </c>
      <c r="B13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3" spans="1:2" x14ac:dyDescent="0.35">
      <c r="A1393" s="1" t="str">
        <f t="shared" si="21"/>
        <v/>
      </c>
      <c r="B13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4" spans="1:2" x14ac:dyDescent="0.35">
      <c r="A1394" s="1" t="str">
        <f t="shared" si="21"/>
        <v/>
      </c>
      <c r="B13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5" spans="1:2" x14ac:dyDescent="0.35">
      <c r="A1395" s="1" t="str">
        <f t="shared" si="21"/>
        <v/>
      </c>
      <c r="B13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6" spans="1:2" x14ac:dyDescent="0.35">
      <c r="A1396" s="1" t="str">
        <f t="shared" si="21"/>
        <v/>
      </c>
      <c r="B13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7" spans="1:2" x14ac:dyDescent="0.35">
      <c r="A1397" s="1" t="str">
        <f t="shared" si="21"/>
        <v/>
      </c>
      <c r="B13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8" spans="1:2" x14ac:dyDescent="0.35">
      <c r="A1398" s="1" t="str">
        <f t="shared" si="21"/>
        <v/>
      </c>
      <c r="B13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9" spans="1:2" x14ac:dyDescent="0.35">
      <c r="A1399" s="1" t="str">
        <f t="shared" si="21"/>
        <v/>
      </c>
      <c r="B13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0" spans="1:2" x14ac:dyDescent="0.35">
      <c r="A1400" s="1" t="str">
        <f t="shared" si="21"/>
        <v/>
      </c>
      <c r="B14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1" spans="1:2" x14ac:dyDescent="0.35">
      <c r="A1401" s="1" t="str">
        <f t="shared" si="21"/>
        <v/>
      </c>
      <c r="B14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2" spans="1:2" x14ac:dyDescent="0.35">
      <c r="A1402" s="1" t="str">
        <f t="shared" si="21"/>
        <v/>
      </c>
      <c r="B14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3" spans="1:2" x14ac:dyDescent="0.35">
      <c r="A1403" s="1" t="str">
        <f t="shared" si="21"/>
        <v/>
      </c>
      <c r="B14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4" spans="1:2" x14ac:dyDescent="0.35">
      <c r="A1404" s="1" t="str">
        <f t="shared" si="21"/>
        <v/>
      </c>
      <c r="B14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5" spans="1:2" x14ac:dyDescent="0.35">
      <c r="A1405" s="1" t="str">
        <f t="shared" si="21"/>
        <v/>
      </c>
      <c r="B14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6" spans="1:2" x14ac:dyDescent="0.35">
      <c r="A1406" s="1" t="str">
        <f t="shared" si="21"/>
        <v/>
      </c>
      <c r="B14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7" spans="1:2" x14ac:dyDescent="0.35">
      <c r="A1407" s="1" t="str">
        <f t="shared" si="21"/>
        <v/>
      </c>
      <c r="B14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8" spans="1:2" x14ac:dyDescent="0.35">
      <c r="A1408" s="1" t="str">
        <f t="shared" si="21"/>
        <v/>
      </c>
      <c r="B14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9" spans="1:2" x14ac:dyDescent="0.35">
      <c r="A1409" s="1" t="str">
        <f t="shared" si="21"/>
        <v/>
      </c>
      <c r="B14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0" spans="1:2" x14ac:dyDescent="0.35">
      <c r="A1410" s="1" t="str">
        <f t="shared" ref="A1410:A1473" si="22">IFERROR(LEFT(RIGHT(C1410,LEN(C1410)-SEARCH("@",C1410)),SEARCH("/",RIGHT(C1410,LEN(C1410)-SEARCH("@",C1410)-1))),"")</f>
        <v/>
      </c>
      <c r="B14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1" spans="1:2" x14ac:dyDescent="0.35">
      <c r="A1411" s="1" t="str">
        <f t="shared" si="22"/>
        <v/>
      </c>
      <c r="B14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2" spans="1:2" x14ac:dyDescent="0.35">
      <c r="A1412" s="1" t="str">
        <f t="shared" si="22"/>
        <v/>
      </c>
      <c r="B14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3" spans="1:2" x14ac:dyDescent="0.35">
      <c r="A1413" s="1" t="str">
        <f t="shared" si="22"/>
        <v/>
      </c>
      <c r="B14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4" spans="1:2" x14ac:dyDescent="0.35">
      <c r="A1414" s="1" t="str">
        <f t="shared" si="22"/>
        <v/>
      </c>
      <c r="B14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5" spans="1:2" x14ac:dyDescent="0.35">
      <c r="A1415" s="1" t="str">
        <f t="shared" si="22"/>
        <v/>
      </c>
      <c r="B14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6" spans="1:2" x14ac:dyDescent="0.35">
      <c r="A1416" s="1" t="str">
        <f t="shared" si="22"/>
        <v/>
      </c>
      <c r="B14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7" spans="1:2" x14ac:dyDescent="0.35">
      <c r="A1417" s="1" t="str">
        <f t="shared" si="22"/>
        <v/>
      </c>
      <c r="B14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8" spans="1:2" x14ac:dyDescent="0.35">
      <c r="A1418" s="1" t="str">
        <f t="shared" si="22"/>
        <v/>
      </c>
      <c r="B14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9" spans="1:2" x14ac:dyDescent="0.35">
      <c r="A1419" s="1" t="str">
        <f t="shared" si="22"/>
        <v/>
      </c>
      <c r="B14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0" spans="1:2" x14ac:dyDescent="0.35">
      <c r="A1420" s="1" t="str">
        <f t="shared" si="22"/>
        <v/>
      </c>
      <c r="B14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1" spans="1:2" x14ac:dyDescent="0.35">
      <c r="A1421" s="1" t="str">
        <f t="shared" si="22"/>
        <v/>
      </c>
      <c r="B14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2" spans="1:2" x14ac:dyDescent="0.35">
      <c r="A1422" s="1" t="str">
        <f t="shared" si="22"/>
        <v/>
      </c>
      <c r="B14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3" spans="1:2" x14ac:dyDescent="0.35">
      <c r="A1423" s="1" t="str">
        <f t="shared" si="22"/>
        <v/>
      </c>
      <c r="B14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4" spans="1:2" x14ac:dyDescent="0.35">
      <c r="A1424" s="1" t="str">
        <f t="shared" si="22"/>
        <v/>
      </c>
      <c r="B14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5" spans="1:2" x14ac:dyDescent="0.35">
      <c r="A1425" s="1" t="str">
        <f t="shared" si="22"/>
        <v/>
      </c>
      <c r="B14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6" spans="1:2" x14ac:dyDescent="0.35">
      <c r="A1426" s="1" t="str">
        <f t="shared" si="22"/>
        <v/>
      </c>
      <c r="B14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7" spans="1:2" x14ac:dyDescent="0.35">
      <c r="A1427" s="1" t="str">
        <f t="shared" si="22"/>
        <v/>
      </c>
      <c r="B14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8" spans="1:2" x14ac:dyDescent="0.35">
      <c r="A1428" s="1" t="str">
        <f t="shared" si="22"/>
        <v/>
      </c>
      <c r="B14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9" spans="1:2" x14ac:dyDescent="0.35">
      <c r="A1429" s="1" t="str">
        <f t="shared" si="22"/>
        <v/>
      </c>
      <c r="B14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0" spans="1:2" x14ac:dyDescent="0.35">
      <c r="A1430" s="1" t="str">
        <f t="shared" si="22"/>
        <v/>
      </c>
      <c r="B14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1" spans="1:2" x14ac:dyDescent="0.35">
      <c r="A1431" s="1" t="str">
        <f t="shared" si="22"/>
        <v/>
      </c>
      <c r="B14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2" spans="1:2" x14ac:dyDescent="0.35">
      <c r="A1432" s="1" t="str">
        <f t="shared" si="22"/>
        <v/>
      </c>
      <c r="B14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3" spans="1:2" x14ac:dyDescent="0.35">
      <c r="A1433" s="1" t="str">
        <f t="shared" si="22"/>
        <v/>
      </c>
      <c r="B14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4" spans="1:2" x14ac:dyDescent="0.35">
      <c r="A1434" s="1" t="str">
        <f t="shared" si="22"/>
        <v/>
      </c>
      <c r="B14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5" spans="1:2" x14ac:dyDescent="0.35">
      <c r="A1435" s="1" t="str">
        <f t="shared" si="22"/>
        <v/>
      </c>
      <c r="B14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6" spans="1:2" x14ac:dyDescent="0.35">
      <c r="A1436" s="1" t="str">
        <f t="shared" si="22"/>
        <v/>
      </c>
      <c r="B14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7" spans="1:2" x14ac:dyDescent="0.35">
      <c r="A1437" s="1" t="str">
        <f t="shared" si="22"/>
        <v/>
      </c>
      <c r="B14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8" spans="1:2" x14ac:dyDescent="0.35">
      <c r="A1438" s="1" t="str">
        <f t="shared" si="22"/>
        <v/>
      </c>
      <c r="B14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9" spans="1:2" x14ac:dyDescent="0.35">
      <c r="A1439" s="1" t="str">
        <f t="shared" si="22"/>
        <v/>
      </c>
      <c r="B14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0" spans="1:2" x14ac:dyDescent="0.35">
      <c r="A1440" s="1" t="str">
        <f t="shared" si="22"/>
        <v/>
      </c>
      <c r="B14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1" spans="1:2" x14ac:dyDescent="0.35">
      <c r="A1441" s="1" t="str">
        <f t="shared" si="22"/>
        <v/>
      </c>
      <c r="B14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2" spans="1:2" x14ac:dyDescent="0.35">
      <c r="A1442" s="1" t="str">
        <f t="shared" si="22"/>
        <v/>
      </c>
      <c r="B14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3" spans="1:2" x14ac:dyDescent="0.35">
      <c r="A1443" s="1" t="str">
        <f t="shared" si="22"/>
        <v/>
      </c>
      <c r="B14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4" spans="1:2" x14ac:dyDescent="0.35">
      <c r="A1444" s="1" t="str">
        <f t="shared" si="22"/>
        <v/>
      </c>
      <c r="B14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5" spans="1:2" x14ac:dyDescent="0.35">
      <c r="A1445" s="1" t="str">
        <f t="shared" si="22"/>
        <v/>
      </c>
      <c r="B14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6" spans="1:2" x14ac:dyDescent="0.35">
      <c r="A1446" s="1" t="str">
        <f t="shared" si="22"/>
        <v/>
      </c>
      <c r="B14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7" spans="1:2" x14ac:dyDescent="0.35">
      <c r="A1447" s="1" t="str">
        <f t="shared" si="22"/>
        <v/>
      </c>
      <c r="B14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8" spans="1:2" x14ac:dyDescent="0.35">
      <c r="A1448" s="1" t="str">
        <f t="shared" si="22"/>
        <v/>
      </c>
      <c r="B14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9" spans="1:2" x14ac:dyDescent="0.35">
      <c r="A1449" s="1" t="str">
        <f t="shared" si="22"/>
        <v/>
      </c>
      <c r="B14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0" spans="1:2" x14ac:dyDescent="0.35">
      <c r="A1450" s="1" t="str">
        <f t="shared" si="22"/>
        <v/>
      </c>
      <c r="B14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1" spans="1:2" x14ac:dyDescent="0.35">
      <c r="A1451" s="1" t="str">
        <f t="shared" si="22"/>
        <v/>
      </c>
      <c r="B14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2" spans="1:2" x14ac:dyDescent="0.35">
      <c r="A1452" s="1" t="str">
        <f t="shared" si="22"/>
        <v/>
      </c>
      <c r="B14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3" spans="1:2" x14ac:dyDescent="0.35">
      <c r="A1453" s="1" t="str">
        <f t="shared" si="22"/>
        <v/>
      </c>
      <c r="B14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4" spans="1:2" x14ac:dyDescent="0.35">
      <c r="A1454" s="1" t="str">
        <f t="shared" si="22"/>
        <v/>
      </c>
      <c r="B14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5" spans="1:2" x14ac:dyDescent="0.35">
      <c r="A1455" s="1" t="str">
        <f t="shared" si="22"/>
        <v/>
      </c>
      <c r="B14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6" spans="1:2" x14ac:dyDescent="0.35">
      <c r="A1456" s="1" t="str">
        <f t="shared" si="22"/>
        <v/>
      </c>
      <c r="B14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7" spans="1:2" x14ac:dyDescent="0.35">
      <c r="A1457" s="1" t="str">
        <f t="shared" si="22"/>
        <v/>
      </c>
      <c r="B14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8" spans="1:2" x14ac:dyDescent="0.35">
      <c r="A1458" s="1" t="str">
        <f t="shared" si="22"/>
        <v/>
      </c>
      <c r="B14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9" spans="1:2" x14ac:dyDescent="0.35">
      <c r="A1459" s="1" t="str">
        <f t="shared" si="22"/>
        <v/>
      </c>
      <c r="B14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0" spans="1:2" x14ac:dyDescent="0.35">
      <c r="A1460" s="1" t="str">
        <f t="shared" si="22"/>
        <v/>
      </c>
      <c r="B14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1" spans="1:2" x14ac:dyDescent="0.35">
      <c r="A1461" s="1" t="str">
        <f t="shared" si="22"/>
        <v/>
      </c>
      <c r="B14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2" spans="1:2" x14ac:dyDescent="0.35">
      <c r="A1462" s="1" t="str">
        <f t="shared" si="22"/>
        <v/>
      </c>
      <c r="B14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3" spans="1:2" x14ac:dyDescent="0.35">
      <c r="A1463" s="1" t="str">
        <f t="shared" si="22"/>
        <v/>
      </c>
      <c r="B14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4" spans="1:2" x14ac:dyDescent="0.35">
      <c r="A1464" s="1" t="str">
        <f t="shared" si="22"/>
        <v/>
      </c>
      <c r="B14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5" spans="1:2" x14ac:dyDescent="0.35">
      <c r="A1465" s="1" t="str">
        <f t="shared" si="22"/>
        <v/>
      </c>
      <c r="B14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6" spans="1:2" x14ac:dyDescent="0.35">
      <c r="A1466" s="1" t="str">
        <f t="shared" si="22"/>
        <v/>
      </c>
      <c r="B14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7" spans="1:2" x14ac:dyDescent="0.35">
      <c r="A1467" s="1" t="str">
        <f t="shared" si="22"/>
        <v/>
      </c>
      <c r="B14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8" spans="1:2" x14ac:dyDescent="0.35">
      <c r="A1468" s="1" t="str">
        <f t="shared" si="22"/>
        <v/>
      </c>
      <c r="B14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9" spans="1:2" x14ac:dyDescent="0.35">
      <c r="A1469" s="1" t="str">
        <f t="shared" si="22"/>
        <v/>
      </c>
      <c r="B14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0" spans="1:2" x14ac:dyDescent="0.35">
      <c r="A1470" s="1" t="str">
        <f t="shared" si="22"/>
        <v/>
      </c>
      <c r="B14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1" spans="1:2" x14ac:dyDescent="0.35">
      <c r="A1471" s="1" t="str">
        <f t="shared" si="22"/>
        <v/>
      </c>
      <c r="B14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2" spans="1:2" x14ac:dyDescent="0.35">
      <c r="A1472" s="1" t="str">
        <f t="shared" si="22"/>
        <v/>
      </c>
      <c r="B14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3" spans="1:2" x14ac:dyDescent="0.35">
      <c r="A1473" s="1" t="str">
        <f t="shared" si="22"/>
        <v/>
      </c>
      <c r="B14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4" spans="1:2" x14ac:dyDescent="0.35">
      <c r="A1474" s="1" t="str">
        <f t="shared" ref="A1474:A1531" si="23">IFERROR(LEFT(RIGHT(C1474,LEN(C1474)-SEARCH("@",C1474)),SEARCH("/",RIGHT(C1474,LEN(C1474)-SEARCH("@",C1474)-1))),"")</f>
        <v/>
      </c>
      <c r="B14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5" spans="1:2" x14ac:dyDescent="0.35">
      <c r="A1475" s="1" t="str">
        <f t="shared" si="23"/>
        <v/>
      </c>
      <c r="B14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6" spans="1:2" x14ac:dyDescent="0.35">
      <c r="A1476" s="1" t="str">
        <f t="shared" si="23"/>
        <v/>
      </c>
      <c r="B14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7" spans="1:2" x14ac:dyDescent="0.35">
      <c r="A1477" s="1" t="str">
        <f t="shared" si="23"/>
        <v/>
      </c>
      <c r="B14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8" spans="1:2" x14ac:dyDescent="0.35">
      <c r="A1478" s="1" t="str">
        <f t="shared" si="23"/>
        <v/>
      </c>
      <c r="B14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9" spans="1:2" x14ac:dyDescent="0.35">
      <c r="A1479" s="1" t="str">
        <f t="shared" si="23"/>
        <v/>
      </c>
      <c r="B14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0" spans="1:2" x14ac:dyDescent="0.35">
      <c r="A1480" s="1" t="str">
        <f t="shared" si="23"/>
        <v/>
      </c>
      <c r="B14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1" spans="1:2" x14ac:dyDescent="0.35">
      <c r="A1481" s="1" t="str">
        <f t="shared" si="23"/>
        <v/>
      </c>
      <c r="B14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2" spans="1:2" x14ac:dyDescent="0.35">
      <c r="A1482" s="1" t="str">
        <f t="shared" si="23"/>
        <v/>
      </c>
      <c r="B14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3" spans="1:2" x14ac:dyDescent="0.35">
      <c r="A1483" s="1" t="str">
        <f t="shared" si="23"/>
        <v/>
      </c>
      <c r="B14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4" spans="1:2" x14ac:dyDescent="0.35">
      <c r="A1484" s="1" t="str">
        <f t="shared" si="23"/>
        <v/>
      </c>
      <c r="B14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5" spans="1:2" x14ac:dyDescent="0.35">
      <c r="A1485" s="1" t="str">
        <f t="shared" si="23"/>
        <v/>
      </c>
      <c r="B14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6" spans="1:2" x14ac:dyDescent="0.35">
      <c r="A1486" s="1" t="str">
        <f t="shared" si="23"/>
        <v/>
      </c>
      <c r="B14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7" spans="1:2" x14ac:dyDescent="0.35">
      <c r="A1487" s="1" t="str">
        <f t="shared" si="23"/>
        <v/>
      </c>
      <c r="B14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8" spans="1:2" x14ac:dyDescent="0.35">
      <c r="A1488" s="1" t="str">
        <f t="shared" si="23"/>
        <v/>
      </c>
      <c r="B14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9" spans="1:2" x14ac:dyDescent="0.35">
      <c r="A1489" s="1" t="str">
        <f t="shared" si="23"/>
        <v/>
      </c>
      <c r="B14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0" spans="1:2" x14ac:dyDescent="0.35">
      <c r="A1490" s="1" t="str">
        <f t="shared" si="23"/>
        <v/>
      </c>
      <c r="B14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1" spans="1:2" x14ac:dyDescent="0.35">
      <c r="A1491" s="1" t="str">
        <f t="shared" si="23"/>
        <v/>
      </c>
      <c r="B14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2" spans="1:2" x14ac:dyDescent="0.35">
      <c r="A1492" s="1" t="str">
        <f t="shared" si="23"/>
        <v/>
      </c>
      <c r="B14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3" spans="1:2" x14ac:dyDescent="0.35">
      <c r="A1493" s="1" t="str">
        <f t="shared" si="23"/>
        <v/>
      </c>
      <c r="B14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4" spans="1:2" x14ac:dyDescent="0.35">
      <c r="A1494" s="1" t="str">
        <f t="shared" si="23"/>
        <v/>
      </c>
      <c r="B14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5" spans="1:2" x14ac:dyDescent="0.35">
      <c r="A1495" s="1" t="str">
        <f t="shared" si="23"/>
        <v/>
      </c>
      <c r="B14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6" spans="1:2" x14ac:dyDescent="0.35">
      <c r="A1496" s="1" t="str">
        <f t="shared" si="23"/>
        <v/>
      </c>
      <c r="B14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7" spans="1:2" x14ac:dyDescent="0.35">
      <c r="A1497" s="1" t="str">
        <f t="shared" si="23"/>
        <v/>
      </c>
      <c r="B14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8" spans="1:2" x14ac:dyDescent="0.35">
      <c r="A1498" s="1" t="str">
        <f t="shared" si="23"/>
        <v/>
      </c>
      <c r="B14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9" spans="1:2" x14ac:dyDescent="0.35">
      <c r="A1499" s="1" t="str">
        <f t="shared" si="23"/>
        <v/>
      </c>
      <c r="B14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0" spans="1:2" x14ac:dyDescent="0.35">
      <c r="A1500" s="1" t="str">
        <f t="shared" si="23"/>
        <v/>
      </c>
      <c r="B15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1" spans="1:2" x14ac:dyDescent="0.35">
      <c r="A1501" s="1" t="str">
        <f t="shared" si="23"/>
        <v/>
      </c>
      <c r="B15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2" spans="1:2" x14ac:dyDescent="0.35">
      <c r="A1502" s="1" t="str">
        <f t="shared" si="23"/>
        <v/>
      </c>
      <c r="B15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3" spans="1:2" x14ac:dyDescent="0.35">
      <c r="A1503" s="1" t="str">
        <f t="shared" si="23"/>
        <v/>
      </c>
      <c r="B15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4" spans="1:2" x14ac:dyDescent="0.35">
      <c r="A1504" s="1" t="str">
        <f t="shared" si="23"/>
        <v/>
      </c>
      <c r="B15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5" spans="1:2" x14ac:dyDescent="0.35">
      <c r="A1505" s="1" t="str">
        <f t="shared" si="23"/>
        <v/>
      </c>
      <c r="B15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6" spans="1:2" x14ac:dyDescent="0.35">
      <c r="A1506" s="1" t="str">
        <f t="shared" si="23"/>
        <v/>
      </c>
      <c r="B15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7" spans="1:2" x14ac:dyDescent="0.35">
      <c r="A1507" s="1" t="str">
        <f t="shared" si="23"/>
        <v/>
      </c>
      <c r="B15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8" spans="1:2" x14ac:dyDescent="0.35">
      <c r="A1508" s="1" t="str">
        <f t="shared" si="23"/>
        <v/>
      </c>
      <c r="B15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9" spans="1:2" x14ac:dyDescent="0.35">
      <c r="A1509" s="1" t="str">
        <f t="shared" si="23"/>
        <v/>
      </c>
      <c r="B15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0" spans="1:2" x14ac:dyDescent="0.35">
      <c r="A1510" s="1" t="str">
        <f t="shared" si="23"/>
        <v/>
      </c>
      <c r="B15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1" spans="1:2" x14ac:dyDescent="0.35">
      <c r="A1511" s="1" t="str">
        <f t="shared" si="23"/>
        <v/>
      </c>
      <c r="B15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2" spans="1:2" x14ac:dyDescent="0.35">
      <c r="A1512" s="1" t="str">
        <f t="shared" si="23"/>
        <v/>
      </c>
      <c r="B15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3" spans="1:2" x14ac:dyDescent="0.35">
      <c r="A1513" s="1" t="str">
        <f t="shared" si="23"/>
        <v/>
      </c>
      <c r="B15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4" spans="1:2" x14ac:dyDescent="0.35">
      <c r="A1514" s="1" t="str">
        <f t="shared" si="23"/>
        <v/>
      </c>
      <c r="B15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5" spans="1:2" x14ac:dyDescent="0.35">
      <c r="A1515" s="1" t="str">
        <f t="shared" si="23"/>
        <v/>
      </c>
      <c r="B15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6" spans="1:2" x14ac:dyDescent="0.35">
      <c r="A1516" s="1" t="str">
        <f t="shared" si="23"/>
        <v/>
      </c>
      <c r="B15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7" spans="1:2" x14ac:dyDescent="0.35">
      <c r="A1517" s="1" t="str">
        <f t="shared" si="23"/>
        <v/>
      </c>
      <c r="B15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8" spans="1:2" x14ac:dyDescent="0.35">
      <c r="A1518" s="1" t="str">
        <f t="shared" si="23"/>
        <v/>
      </c>
      <c r="B15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9" spans="1:2" x14ac:dyDescent="0.35">
      <c r="A1519" s="1" t="str">
        <f t="shared" si="23"/>
        <v/>
      </c>
      <c r="B15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0" spans="1:2" x14ac:dyDescent="0.35">
      <c r="A1520" s="1" t="str">
        <f t="shared" si="23"/>
        <v/>
      </c>
      <c r="B15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1" spans="1:2" x14ac:dyDescent="0.35">
      <c r="A1521" s="1" t="str">
        <f t="shared" si="23"/>
        <v/>
      </c>
      <c r="B15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2" spans="1:2" x14ac:dyDescent="0.35">
      <c r="A1522" s="1" t="str">
        <f t="shared" si="23"/>
        <v/>
      </c>
      <c r="B15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3" spans="1:2" x14ac:dyDescent="0.35">
      <c r="A1523" s="1" t="str">
        <f t="shared" si="23"/>
        <v/>
      </c>
      <c r="B15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4" spans="1:2" x14ac:dyDescent="0.35">
      <c r="A1524" s="1" t="str">
        <f t="shared" si="23"/>
        <v/>
      </c>
      <c r="B15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5" spans="1:2" x14ac:dyDescent="0.35">
      <c r="A1525" s="1" t="str">
        <f t="shared" si="23"/>
        <v/>
      </c>
      <c r="B15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6" spans="1:2" x14ac:dyDescent="0.35">
      <c r="A1526" s="1" t="str">
        <f t="shared" si="23"/>
        <v/>
      </c>
      <c r="B15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7" spans="1:2" x14ac:dyDescent="0.35">
      <c r="A1527" s="1" t="str">
        <f t="shared" si="23"/>
        <v/>
      </c>
      <c r="B15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8" spans="1:2" x14ac:dyDescent="0.35">
      <c r="A1528" s="1" t="str">
        <f t="shared" si="23"/>
        <v/>
      </c>
      <c r="B15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9" spans="1:2" x14ac:dyDescent="0.35">
      <c r="A1529" s="1" t="str">
        <f t="shared" si="23"/>
        <v/>
      </c>
      <c r="B15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30" spans="1:2" x14ac:dyDescent="0.35">
      <c r="A1530" s="1" t="str">
        <f t="shared" si="23"/>
        <v/>
      </c>
      <c r="B15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31" spans="1:2" x14ac:dyDescent="0.35">
      <c r="A1531" s="1" t="str">
        <f t="shared" si="23"/>
        <v/>
      </c>
      <c r="B15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sheetData>
  <conditionalFormatting sqref="B11:K11 M11:XFD11 A1:J2 EO1:XFD10 B12:XFD13 K1:L4 A1532:XFD1048576 M14:XFD19 K6:L6 B14:J19 K5 B3:J10 B20:XFD1531 A3:A1531">
    <cfRule type="containsText" dxfId="28" priority="1" operator="containsText" text="ERREUR">
      <formula>NOT(ISERROR(SEARCH("ERREUR",A1)))</formula>
    </cfRule>
    <cfRule type="containsText" dxfId="27" priority="2" operator="containsText" text="OK">
      <formula>NOT(ISERROR(SEARCH("OK",A1)))</formula>
    </cfRule>
  </conditionalFormatting>
  <pageMargins left="0.7" right="0.7" top="0.75" bottom="0.75" header="0.3" footer="0.3"/>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74"/>
  <sheetViews>
    <sheetView showGridLines="0" topLeftCell="G1" zoomScale="70" zoomScaleNormal="70" zoomScaleSheetLayoutView="40" zoomScalePageLayoutView="30" workbookViewId="0">
      <selection activeCell="J5" sqref="J5:J12"/>
    </sheetView>
  </sheetViews>
  <sheetFormatPr baseColWidth="10" defaultColWidth="9.1796875" defaultRowHeight="14.5" x14ac:dyDescent="0.35"/>
  <cols>
    <col min="1" max="1" width="33.54296875" style="1" customWidth="1"/>
    <col min="2" max="2" width="14.81640625" style="1" customWidth="1"/>
    <col min="3" max="5" width="25.81640625" style="1" bestFit="1" customWidth="1"/>
    <col min="6" max="8" width="26.453125" style="1" bestFit="1" customWidth="1"/>
    <col min="9" max="9" width="26.453125" style="1" customWidth="1"/>
    <col min="10" max="10" width="25.81640625" style="1" bestFit="1" customWidth="1"/>
    <col min="11" max="11" width="26.453125" style="1" bestFit="1" customWidth="1"/>
    <col min="12" max="13" width="26.453125" style="1" customWidth="1"/>
    <col min="14" max="14" width="11.7265625" style="1" customWidth="1"/>
    <col min="15" max="15" width="14.81640625" style="1" customWidth="1"/>
    <col min="16" max="16" width="17.7265625" style="1" customWidth="1"/>
    <col min="17" max="18" width="25.81640625" style="1" bestFit="1" customWidth="1"/>
    <col min="19" max="22" width="25.81640625" style="1" customWidth="1"/>
    <col min="23" max="16384" width="9.1796875" style="1"/>
  </cols>
  <sheetData>
    <row r="1" spans="1:22" ht="26.5" thickBot="1" x14ac:dyDescent="0.65">
      <c r="A1" s="213" t="s">
        <v>43</v>
      </c>
      <c r="B1" s="214"/>
      <c r="C1" s="214"/>
      <c r="D1" s="214"/>
      <c r="E1" s="214"/>
      <c r="F1" s="214"/>
      <c r="G1" s="214"/>
      <c r="H1" s="214"/>
      <c r="I1" s="214"/>
      <c r="J1" s="214"/>
      <c r="K1" s="214"/>
      <c r="L1" s="214"/>
      <c r="M1" s="214"/>
      <c r="N1" s="214"/>
      <c r="O1" s="214"/>
      <c r="P1" s="214"/>
      <c r="Q1" s="214"/>
      <c r="R1" s="214"/>
      <c r="S1" s="214"/>
      <c r="T1" s="214"/>
      <c r="U1" s="214"/>
      <c r="V1" s="214"/>
    </row>
    <row r="2" spans="1:22" customFormat="1" ht="15" thickBot="1" x14ac:dyDescent="0.4"/>
    <row r="3" spans="1:22" ht="15" thickBot="1" x14ac:dyDescent="0.4">
      <c r="A3" s="51" t="s">
        <v>18</v>
      </c>
      <c r="B3" s="221" t="s">
        <v>6</v>
      </c>
      <c r="C3" s="222"/>
      <c r="D3" s="222"/>
      <c r="E3" s="222"/>
      <c r="F3" s="222"/>
      <c r="G3" s="222"/>
      <c r="H3" s="222"/>
      <c r="I3" s="222"/>
      <c r="J3" s="222"/>
      <c r="K3" s="222"/>
      <c r="L3" s="222"/>
      <c r="M3" s="222"/>
      <c r="O3" s="221" t="s">
        <v>3</v>
      </c>
      <c r="P3" s="222"/>
      <c r="Q3" s="222"/>
      <c r="R3" s="222"/>
      <c r="S3" s="222"/>
      <c r="T3" s="222"/>
      <c r="U3" s="222"/>
      <c r="V3" s="222"/>
    </row>
    <row r="4" spans="1:22" x14ac:dyDescent="0.35">
      <c r="A4" s="34" t="s">
        <v>41</v>
      </c>
      <c r="B4" s="35" t="str">
        <f>'Page de garde'!A7</f>
        <v>Témoin solvant</v>
      </c>
      <c r="C4" s="35" t="str">
        <f>'Page de garde'!A9</f>
        <v>EE2-33,8ng/L</v>
      </c>
      <c r="D4" s="35" t="str">
        <f>'Page de garde'!A10</f>
        <v>EE2-50,6ng/L</v>
      </c>
      <c r="E4" s="35" t="str">
        <f>'Page de garde'!A11</f>
        <v>EE2-76ng/L</v>
      </c>
      <c r="F4" s="35" t="str">
        <f>'Page de garde'!A12</f>
        <v>EE2-114ng/L</v>
      </c>
      <c r="G4" s="35" t="str">
        <f>'Page de garde'!A13</f>
        <v>EE2-170,9ng/L</v>
      </c>
      <c r="H4" s="35" t="str">
        <f>'Page de garde'!A14</f>
        <v>EE2-488ng/L</v>
      </c>
      <c r="I4" s="35" t="str">
        <f>'Page de garde'!A15</f>
        <v>Dutasteride-0,01mg/L</v>
      </c>
      <c r="J4" s="35" t="str">
        <f>'Page de garde'!A16</f>
        <v>Dutasteride-0,1mg/L</v>
      </c>
      <c r="K4" s="35" t="str">
        <f>'Page de garde'!A17</f>
        <v>Dutasteride-0,25mg/L</v>
      </c>
      <c r="L4" s="35" t="str">
        <f>'Page de garde'!A18</f>
        <v>Dutasteride-0,5mg/L</v>
      </c>
      <c r="M4" s="35" t="str">
        <f>'Page de garde'!A19</f>
        <v>Dutasteride-1mg/L</v>
      </c>
      <c r="N4" s="3"/>
      <c r="O4" s="36" t="str">
        <f>'Page de garde'!A36</f>
        <v>Testo -30µg/L</v>
      </c>
      <c r="P4" s="36" t="str">
        <f>'Page de garde'!A37</f>
        <v>Testo 30µg/L + EE2 -64ng/L</v>
      </c>
      <c r="Q4" s="36" t="str">
        <f>'Page de garde'!A38</f>
        <v>Testo 30µg/L + FAD-10µg/L</v>
      </c>
      <c r="R4" s="36" t="str">
        <f>'Page de garde'!A39</f>
        <v>Dutasteride-0,01mg/L + Testostérone</v>
      </c>
      <c r="S4" s="36" t="str">
        <f>'Page de garde'!A40</f>
        <v>Dutasteride-0,1mg/L + Testostérone</v>
      </c>
      <c r="T4" s="36" t="str">
        <f>'Page de garde'!A41</f>
        <v>Dutasteride-0,25mg/L + Testostérone</v>
      </c>
      <c r="U4" s="36" t="str">
        <f>'Page de garde'!A42</f>
        <v>Dutasteride-0,5mg/L + Testostérone</v>
      </c>
      <c r="V4" s="36" t="str">
        <f>'Page de garde'!A43</f>
        <v>Dutasteride-1mg/L + Testostérone</v>
      </c>
    </row>
    <row r="5" spans="1:22" x14ac:dyDescent="0.35">
      <c r="A5" s="223" t="s">
        <v>33</v>
      </c>
      <c r="B5" s="1">
        <v>246884</v>
      </c>
      <c r="C5" s="1">
        <v>397644</v>
      </c>
      <c r="D5" s="1">
        <v>1422832</v>
      </c>
      <c r="E5" s="1">
        <v>1640661</v>
      </c>
      <c r="F5" s="1">
        <v>4683919</v>
      </c>
      <c r="G5" s="1">
        <v>9610420</v>
      </c>
      <c r="H5" s="1">
        <v>15290233</v>
      </c>
      <c r="I5" s="1">
        <v>199945</v>
      </c>
      <c r="J5" s="1">
        <v>668408</v>
      </c>
      <c r="K5" s="1">
        <v>465399</v>
      </c>
      <c r="L5" s="1">
        <v>280335</v>
      </c>
      <c r="M5" s="1">
        <v>188190</v>
      </c>
      <c r="N5" s="3"/>
      <c r="O5" s="1">
        <v>1780128</v>
      </c>
      <c r="P5" s="1">
        <v>5924069</v>
      </c>
      <c r="Q5" s="1">
        <v>334438</v>
      </c>
      <c r="R5" s="1">
        <v>1164730</v>
      </c>
      <c r="S5" s="1">
        <v>2201525</v>
      </c>
      <c r="T5" s="1">
        <v>4411867</v>
      </c>
      <c r="U5" s="1">
        <v>248377</v>
      </c>
      <c r="V5" s="1">
        <v>4165664</v>
      </c>
    </row>
    <row r="6" spans="1:22" x14ac:dyDescent="0.35">
      <c r="A6" s="223"/>
      <c r="B6" s="1">
        <v>412061</v>
      </c>
      <c r="C6" s="1">
        <v>458138</v>
      </c>
      <c r="D6" s="1">
        <v>6662232</v>
      </c>
      <c r="E6" s="1">
        <v>2930386</v>
      </c>
      <c r="F6" s="1">
        <v>4406765</v>
      </c>
      <c r="G6" s="1">
        <v>6982220</v>
      </c>
      <c r="H6" s="1">
        <v>11518848</v>
      </c>
      <c r="I6" s="1">
        <v>313394</v>
      </c>
      <c r="J6" s="1">
        <v>324169</v>
      </c>
      <c r="K6" s="1">
        <v>26904</v>
      </c>
      <c r="L6" s="1">
        <v>30467</v>
      </c>
      <c r="M6" s="1">
        <v>110754</v>
      </c>
      <c r="N6" s="3"/>
      <c r="O6" s="1">
        <v>2789382</v>
      </c>
      <c r="P6" s="1">
        <v>6188540</v>
      </c>
      <c r="Q6" s="1">
        <v>160535</v>
      </c>
      <c r="R6" s="1">
        <v>3174872</v>
      </c>
      <c r="S6" s="1">
        <v>2061074</v>
      </c>
      <c r="T6" s="1">
        <v>6917698</v>
      </c>
      <c r="U6" s="1">
        <v>10463918</v>
      </c>
      <c r="V6" s="1">
        <v>1386381</v>
      </c>
    </row>
    <row r="7" spans="1:22" x14ac:dyDescent="0.35">
      <c r="A7" s="223"/>
      <c r="B7" s="1">
        <v>545414</v>
      </c>
      <c r="C7" s="1">
        <v>135305</v>
      </c>
      <c r="D7" s="1">
        <v>2038392</v>
      </c>
      <c r="E7" s="1">
        <v>1154121</v>
      </c>
      <c r="F7" s="1">
        <v>5673482</v>
      </c>
      <c r="G7" s="1">
        <v>7251217</v>
      </c>
      <c r="H7" s="1">
        <v>5454160</v>
      </c>
      <c r="I7" s="1">
        <v>422707</v>
      </c>
      <c r="J7" s="1">
        <v>230033</v>
      </c>
      <c r="K7" s="1">
        <v>1108181</v>
      </c>
      <c r="L7" s="1">
        <v>98119</v>
      </c>
      <c r="M7" s="1">
        <v>102988</v>
      </c>
      <c r="N7" s="3"/>
      <c r="O7" s="1">
        <v>3124382</v>
      </c>
      <c r="P7" s="1">
        <v>5316919</v>
      </c>
      <c r="Q7" s="1">
        <v>279815</v>
      </c>
      <c r="R7" s="1">
        <v>3226230</v>
      </c>
      <c r="S7" s="1">
        <v>1904298</v>
      </c>
      <c r="T7" s="1">
        <v>1815075</v>
      </c>
      <c r="U7" s="1">
        <v>4254180</v>
      </c>
      <c r="V7" s="1">
        <v>4685067</v>
      </c>
    </row>
    <row r="8" spans="1:22" x14ac:dyDescent="0.35">
      <c r="A8" s="223"/>
      <c r="B8" s="1">
        <v>633157</v>
      </c>
      <c r="C8" s="1">
        <v>65076</v>
      </c>
      <c r="D8" s="1">
        <v>1260528</v>
      </c>
      <c r="E8" s="1">
        <v>4538515</v>
      </c>
      <c r="F8" s="1">
        <v>4975726</v>
      </c>
      <c r="G8" s="1">
        <v>698961</v>
      </c>
      <c r="H8" s="1">
        <v>8876255</v>
      </c>
      <c r="I8" s="1">
        <v>148206</v>
      </c>
      <c r="J8" s="1">
        <v>159071</v>
      </c>
      <c r="K8" s="1">
        <v>222306</v>
      </c>
      <c r="L8" s="1">
        <v>140873</v>
      </c>
      <c r="M8" s="1">
        <v>330106</v>
      </c>
      <c r="N8" s="3"/>
      <c r="O8" s="1">
        <v>1551300</v>
      </c>
      <c r="P8" s="1">
        <v>6347298</v>
      </c>
      <c r="Q8" s="1">
        <v>138833</v>
      </c>
      <c r="R8" s="1">
        <v>3690759</v>
      </c>
      <c r="S8" s="1">
        <v>406831</v>
      </c>
      <c r="T8" s="1">
        <v>300907</v>
      </c>
      <c r="U8" s="1">
        <v>1758166</v>
      </c>
      <c r="V8" s="1">
        <v>7345284</v>
      </c>
    </row>
    <row r="9" spans="1:22" x14ac:dyDescent="0.35">
      <c r="A9" s="223"/>
      <c r="B9" s="1">
        <v>1588922</v>
      </c>
      <c r="C9" s="1">
        <v>769593</v>
      </c>
      <c r="D9" s="1">
        <v>915574</v>
      </c>
      <c r="E9" s="1">
        <v>1361850</v>
      </c>
      <c r="F9" s="1">
        <v>3049645</v>
      </c>
      <c r="G9" s="1">
        <v>9514576</v>
      </c>
      <c r="H9" s="1">
        <v>14379296</v>
      </c>
      <c r="I9" s="1">
        <v>602859</v>
      </c>
      <c r="J9" s="1">
        <v>105185</v>
      </c>
      <c r="K9" s="1">
        <v>485988</v>
      </c>
      <c r="L9" s="1">
        <v>71657</v>
      </c>
      <c r="M9" s="1">
        <v>82446</v>
      </c>
      <c r="N9" s="3"/>
      <c r="O9" s="1">
        <v>3365471</v>
      </c>
      <c r="P9" s="1">
        <v>6700553</v>
      </c>
      <c r="Q9" s="1">
        <v>489860</v>
      </c>
      <c r="R9" s="1">
        <v>1211145</v>
      </c>
      <c r="S9" s="1">
        <v>4325088</v>
      </c>
      <c r="T9" s="1">
        <v>3752353</v>
      </c>
      <c r="U9" s="1">
        <v>1063349</v>
      </c>
      <c r="V9" s="1">
        <v>197966</v>
      </c>
    </row>
    <row r="10" spans="1:22" x14ac:dyDescent="0.35">
      <c r="A10" s="223"/>
      <c r="B10" s="1">
        <v>314129</v>
      </c>
      <c r="C10" s="1">
        <v>522617</v>
      </c>
      <c r="D10" s="1">
        <v>19813</v>
      </c>
      <c r="E10" s="1">
        <v>2282256</v>
      </c>
      <c r="F10" s="1">
        <v>6746341</v>
      </c>
      <c r="G10" s="1">
        <v>8461366</v>
      </c>
      <c r="H10" s="1">
        <v>12691404</v>
      </c>
      <c r="I10" s="1">
        <v>458863</v>
      </c>
      <c r="J10" s="1">
        <v>137061</v>
      </c>
      <c r="K10" s="1">
        <v>619801</v>
      </c>
      <c r="L10" s="1">
        <v>177509</v>
      </c>
      <c r="M10" s="1">
        <v>132985</v>
      </c>
      <c r="N10" s="3"/>
      <c r="O10" s="1">
        <v>1450845</v>
      </c>
      <c r="P10" s="1">
        <v>5121347</v>
      </c>
      <c r="Q10" s="1">
        <v>255581</v>
      </c>
      <c r="R10" s="1">
        <v>3413142</v>
      </c>
      <c r="S10" s="1">
        <v>2900399</v>
      </c>
      <c r="T10" s="1">
        <v>388043</v>
      </c>
      <c r="U10" s="1">
        <v>454310</v>
      </c>
      <c r="V10" s="1">
        <v>1777019</v>
      </c>
    </row>
    <row r="11" spans="1:22" x14ac:dyDescent="0.35">
      <c r="A11" s="223"/>
      <c r="B11" s="1">
        <v>95712</v>
      </c>
      <c r="C11" s="1">
        <v>397374</v>
      </c>
      <c r="D11" s="1">
        <v>260242</v>
      </c>
      <c r="E11" s="1">
        <v>4083857</v>
      </c>
      <c r="F11" s="1">
        <v>6400856</v>
      </c>
      <c r="G11" s="1">
        <v>11306893</v>
      </c>
      <c r="H11" s="1">
        <v>10394725</v>
      </c>
      <c r="I11" s="1">
        <v>94333</v>
      </c>
      <c r="J11" s="1">
        <v>181594</v>
      </c>
      <c r="K11" s="1">
        <v>370317</v>
      </c>
      <c r="L11" s="1">
        <v>153101</v>
      </c>
      <c r="M11" s="1">
        <v>501585</v>
      </c>
      <c r="N11" s="3"/>
      <c r="O11" s="1">
        <v>4295419</v>
      </c>
      <c r="P11" s="1">
        <v>7011596</v>
      </c>
      <c r="Q11" s="1">
        <v>428627</v>
      </c>
      <c r="R11" s="1">
        <v>1325848</v>
      </c>
      <c r="S11" s="1">
        <v>2016973</v>
      </c>
      <c r="T11" s="1">
        <v>944001</v>
      </c>
      <c r="U11" s="1">
        <v>486400</v>
      </c>
      <c r="V11" s="1">
        <v>1963296</v>
      </c>
    </row>
    <row r="12" spans="1:22" x14ac:dyDescent="0.35">
      <c r="A12" s="223"/>
      <c r="B12" s="1">
        <v>972735</v>
      </c>
      <c r="C12" s="1">
        <v>12056</v>
      </c>
      <c r="D12" s="1">
        <v>1210575</v>
      </c>
      <c r="E12" s="1">
        <v>5376175</v>
      </c>
      <c r="F12" s="1">
        <v>1071692</v>
      </c>
      <c r="G12" s="1">
        <v>5766017</v>
      </c>
      <c r="H12" s="1">
        <v>8102358</v>
      </c>
      <c r="I12" s="1">
        <v>428952</v>
      </c>
      <c r="J12" s="1">
        <v>565802</v>
      </c>
      <c r="K12" s="1">
        <v>143069</v>
      </c>
      <c r="L12" s="1">
        <v>142895</v>
      </c>
      <c r="M12" s="1">
        <v>185328</v>
      </c>
      <c r="N12" s="3"/>
      <c r="O12" s="1">
        <v>2752177</v>
      </c>
      <c r="P12" s="1">
        <v>7513090</v>
      </c>
      <c r="Q12" s="1">
        <v>177895</v>
      </c>
      <c r="R12" s="1">
        <v>1677248</v>
      </c>
      <c r="S12" s="1">
        <v>778938</v>
      </c>
      <c r="T12" s="1">
        <v>8421525</v>
      </c>
      <c r="U12" s="1">
        <v>8414791</v>
      </c>
      <c r="V12" s="1">
        <v>4387410</v>
      </c>
    </row>
    <row r="13" spans="1:22" ht="16.5" x14ac:dyDescent="0.35">
      <c r="A13" s="223"/>
      <c r="B13" s="14"/>
      <c r="C13" s="13"/>
      <c r="D13" s="32"/>
      <c r="E13" s="32"/>
      <c r="F13" s="32"/>
      <c r="G13" s="32"/>
      <c r="H13" s="32"/>
      <c r="I13" s="32"/>
      <c r="J13" s="32"/>
      <c r="K13" s="13"/>
      <c r="L13" s="13"/>
      <c r="M13" s="13"/>
      <c r="N13" s="3"/>
      <c r="O13" s="1">
        <v>4167750</v>
      </c>
      <c r="P13" s="13"/>
      <c r="Q13" s="13"/>
      <c r="R13" s="32"/>
      <c r="S13" s="32"/>
      <c r="T13" s="32"/>
      <c r="U13" s="32"/>
      <c r="V13" s="32"/>
    </row>
    <row r="14" spans="1:22" ht="16.5" x14ac:dyDescent="0.35">
      <c r="A14" s="223"/>
      <c r="B14" s="14"/>
      <c r="C14" s="32"/>
      <c r="D14" s="32"/>
      <c r="E14" s="32"/>
      <c r="F14" s="32"/>
      <c r="G14" s="32"/>
      <c r="H14" s="32"/>
      <c r="I14" s="32"/>
      <c r="J14" s="32"/>
      <c r="K14" s="13"/>
      <c r="L14" s="13"/>
      <c r="M14" s="13"/>
      <c r="N14" s="3"/>
      <c r="O14" s="1">
        <v>150436</v>
      </c>
      <c r="P14" s="13"/>
      <c r="Q14" s="13"/>
      <c r="R14" s="32"/>
      <c r="S14" s="32"/>
      <c r="T14" s="32"/>
      <c r="U14" s="32"/>
      <c r="V14" s="32"/>
    </row>
    <row r="15" spans="1:22" ht="16.5" x14ac:dyDescent="0.35">
      <c r="A15" s="223"/>
      <c r="B15" s="14"/>
      <c r="C15" s="32"/>
      <c r="D15" s="32"/>
      <c r="E15" s="32"/>
      <c r="F15" s="32"/>
      <c r="G15" s="32"/>
      <c r="H15" s="32"/>
      <c r="I15" s="32"/>
      <c r="J15" s="32"/>
      <c r="K15" s="13"/>
      <c r="L15" s="13"/>
      <c r="M15" s="13"/>
      <c r="N15" s="3"/>
      <c r="O15" s="1">
        <v>2527929</v>
      </c>
      <c r="P15" s="13"/>
      <c r="Q15" s="13"/>
      <c r="R15" s="32"/>
      <c r="S15" s="32"/>
      <c r="T15" s="32"/>
      <c r="U15" s="32"/>
      <c r="V15" s="32"/>
    </row>
    <row r="16" spans="1:22" ht="16.5" x14ac:dyDescent="0.35">
      <c r="A16" s="223"/>
      <c r="B16" s="14"/>
      <c r="C16" s="32"/>
      <c r="D16" s="32"/>
      <c r="E16" s="32"/>
      <c r="F16" s="32"/>
      <c r="G16" s="32"/>
      <c r="H16" s="32"/>
      <c r="I16" s="32"/>
      <c r="J16" s="32"/>
      <c r="K16" s="13"/>
      <c r="L16" s="13"/>
      <c r="M16" s="13"/>
      <c r="N16" s="3"/>
      <c r="O16" s="1">
        <v>6735244</v>
      </c>
      <c r="P16" s="13"/>
      <c r="Q16" s="13"/>
      <c r="R16" s="32"/>
      <c r="S16" s="32"/>
      <c r="T16" s="32"/>
      <c r="U16" s="32"/>
      <c r="V16" s="32"/>
    </row>
    <row r="17" spans="1:22" ht="16.5" x14ac:dyDescent="0.35">
      <c r="A17" s="223"/>
      <c r="B17" s="14"/>
      <c r="C17" s="32"/>
      <c r="D17" s="32"/>
      <c r="E17" s="32"/>
      <c r="F17" s="32"/>
      <c r="G17" s="32"/>
      <c r="H17" s="32"/>
      <c r="I17" s="32"/>
      <c r="J17" s="32"/>
      <c r="K17" s="13"/>
      <c r="L17" s="13"/>
      <c r="M17" s="13"/>
      <c r="N17" s="3"/>
      <c r="O17" s="1">
        <v>641083</v>
      </c>
      <c r="P17" s="13"/>
      <c r="Q17" s="13"/>
      <c r="R17" s="32"/>
      <c r="S17" s="32"/>
      <c r="T17" s="32"/>
      <c r="U17" s="32"/>
      <c r="V17" s="32"/>
    </row>
    <row r="18" spans="1:22" ht="16.5" x14ac:dyDescent="0.35">
      <c r="A18" s="223"/>
      <c r="B18" s="14"/>
      <c r="C18" s="32"/>
      <c r="D18" s="32"/>
      <c r="E18" s="32"/>
      <c r="F18" s="32"/>
      <c r="G18" s="32"/>
      <c r="H18" s="32"/>
      <c r="I18" s="32"/>
      <c r="J18" s="32"/>
      <c r="K18" s="13"/>
      <c r="L18" s="13"/>
      <c r="M18" s="13"/>
      <c r="N18" s="3"/>
      <c r="O18" s="1">
        <v>2675592</v>
      </c>
      <c r="P18" s="13"/>
      <c r="Q18" s="13"/>
      <c r="R18" s="32"/>
      <c r="S18" s="32"/>
      <c r="T18" s="32"/>
      <c r="U18" s="32"/>
      <c r="V18" s="32"/>
    </row>
    <row r="19" spans="1:22" ht="16.5" x14ac:dyDescent="0.35">
      <c r="A19" s="223"/>
      <c r="B19" s="14"/>
      <c r="C19" s="32"/>
      <c r="D19" s="32"/>
      <c r="E19" s="32"/>
      <c r="F19" s="32"/>
      <c r="G19" s="32"/>
      <c r="H19" s="32"/>
      <c r="I19" s="32"/>
      <c r="J19" s="32"/>
      <c r="K19" s="13"/>
      <c r="L19" s="13"/>
      <c r="M19" s="13"/>
      <c r="N19" s="3"/>
      <c r="O19" s="1">
        <v>1048642</v>
      </c>
      <c r="P19" s="13"/>
      <c r="Q19" s="13"/>
      <c r="R19" s="32"/>
      <c r="S19" s="32"/>
      <c r="T19" s="32"/>
      <c r="U19" s="32"/>
      <c r="V19" s="32"/>
    </row>
    <row r="20" spans="1:22" ht="16.5" x14ac:dyDescent="0.35">
      <c r="A20" s="223"/>
      <c r="B20" s="14"/>
      <c r="C20" s="32"/>
      <c r="D20" s="32"/>
      <c r="E20" s="32"/>
      <c r="F20" s="32"/>
      <c r="G20" s="32"/>
      <c r="H20" s="32"/>
      <c r="I20" s="32"/>
      <c r="J20" s="32"/>
      <c r="K20" s="13"/>
      <c r="L20" s="13"/>
      <c r="M20" s="13"/>
      <c r="N20" s="3"/>
      <c r="O20" s="1">
        <v>499260</v>
      </c>
      <c r="P20" s="13"/>
      <c r="Q20" s="13"/>
      <c r="R20" s="32"/>
      <c r="S20" s="32"/>
      <c r="T20" s="32"/>
      <c r="U20" s="32"/>
      <c r="V20" s="32"/>
    </row>
    <row r="21" spans="1:22" x14ac:dyDescent="0.35">
      <c r="A21" s="3"/>
      <c r="B21" s="7"/>
      <c r="C21" s="7"/>
      <c r="D21" s="7"/>
      <c r="E21" s="7"/>
      <c r="F21" s="7"/>
      <c r="G21" s="7"/>
      <c r="H21" s="7"/>
      <c r="I21" s="7"/>
      <c r="J21" s="7"/>
      <c r="N21" s="3"/>
      <c r="O21" s="7"/>
      <c r="R21" s="7"/>
      <c r="S21" s="7"/>
      <c r="T21" s="7"/>
      <c r="U21" s="7"/>
      <c r="V21" s="7"/>
    </row>
    <row r="22" spans="1:22" x14ac:dyDescent="0.35">
      <c r="A22" s="3" t="str">
        <f>A4</f>
        <v>Noms des groupes</v>
      </c>
      <c r="B22" s="3" t="str">
        <f t="shared" ref="B22:V22" si="0">B4</f>
        <v>Témoin solvant</v>
      </c>
      <c r="C22" s="3" t="str">
        <f t="shared" si="0"/>
        <v>EE2-33,8ng/L</v>
      </c>
      <c r="D22" s="3" t="str">
        <f t="shared" si="0"/>
        <v>EE2-50,6ng/L</v>
      </c>
      <c r="E22" s="3" t="str">
        <f t="shared" si="0"/>
        <v>EE2-76ng/L</v>
      </c>
      <c r="F22" s="3" t="str">
        <f t="shared" si="0"/>
        <v>EE2-114ng/L</v>
      </c>
      <c r="G22" s="3" t="str">
        <f t="shared" si="0"/>
        <v>EE2-170,9ng/L</v>
      </c>
      <c r="H22" s="3" t="str">
        <f t="shared" si="0"/>
        <v>EE2-488ng/L</v>
      </c>
      <c r="I22" s="3" t="str">
        <f t="shared" si="0"/>
        <v>Dutasteride-0,01mg/L</v>
      </c>
      <c r="J22" s="3" t="str">
        <f t="shared" si="0"/>
        <v>Dutasteride-0,1mg/L</v>
      </c>
      <c r="K22" s="3" t="str">
        <f t="shared" si="0"/>
        <v>Dutasteride-0,25mg/L</v>
      </c>
      <c r="L22" s="3" t="str">
        <f t="shared" si="0"/>
        <v>Dutasteride-0,5mg/L</v>
      </c>
      <c r="M22" s="3" t="str">
        <f t="shared" si="0"/>
        <v>Dutasteride-1mg/L</v>
      </c>
      <c r="N22" s="3" t="s">
        <v>41</v>
      </c>
      <c r="O22" s="3" t="str">
        <f t="shared" si="0"/>
        <v>Testo -30µg/L</v>
      </c>
      <c r="P22" s="3" t="str">
        <f t="shared" si="0"/>
        <v>Testo 30µg/L + EE2 -64ng/L</v>
      </c>
      <c r="Q22" s="3" t="str">
        <f t="shared" si="0"/>
        <v>Testo 30µg/L + FAD-10µg/L</v>
      </c>
      <c r="R22" s="3" t="str">
        <f t="shared" si="0"/>
        <v>Dutasteride-0,01mg/L + Testostérone</v>
      </c>
      <c r="S22" s="3" t="str">
        <f t="shared" si="0"/>
        <v>Dutasteride-0,1mg/L + Testostérone</v>
      </c>
      <c r="T22" s="3" t="str">
        <f t="shared" si="0"/>
        <v>Dutasteride-0,25mg/L + Testostérone</v>
      </c>
      <c r="U22" s="3" t="str">
        <f t="shared" si="0"/>
        <v>Dutasteride-0,5mg/L + Testostérone</v>
      </c>
      <c r="V22" s="3" t="str">
        <f t="shared" si="0"/>
        <v>Dutasteride-1mg/L + Testostérone</v>
      </c>
    </row>
    <row r="23" spans="1:22" x14ac:dyDescent="0.35">
      <c r="A23" s="5" t="s">
        <v>0</v>
      </c>
      <c r="B23" s="5">
        <f t="shared" ref="B23:J23" si="1">AVERAGE(B5:B20)</f>
        <v>601126.75</v>
      </c>
      <c r="C23" s="5">
        <f t="shared" si="1"/>
        <v>344725.375</v>
      </c>
      <c r="D23" s="5">
        <f t="shared" si="1"/>
        <v>1723773.5</v>
      </c>
      <c r="E23" s="5">
        <f t="shared" si="1"/>
        <v>2920977.625</v>
      </c>
      <c r="F23" s="5">
        <f t="shared" si="1"/>
        <v>4626053.25</v>
      </c>
      <c r="G23" s="5">
        <f t="shared" si="1"/>
        <v>7448958.75</v>
      </c>
      <c r="H23" s="5">
        <f t="shared" si="1"/>
        <v>10838409.875</v>
      </c>
      <c r="I23" s="5">
        <f t="shared" si="1"/>
        <v>333657.375</v>
      </c>
      <c r="J23" s="5">
        <f t="shared" si="1"/>
        <v>296415.375</v>
      </c>
      <c r="K23" s="5"/>
      <c r="L23" s="5">
        <f>AVERAGE(L5:L20)</f>
        <v>136869.5</v>
      </c>
      <c r="M23" s="5"/>
      <c r="N23" s="5" t="s">
        <v>0</v>
      </c>
      <c r="O23" s="5">
        <f>AVERAGE(O5:O20)</f>
        <v>2472190</v>
      </c>
      <c r="P23" s="5">
        <f>AVERAGE(P5:P20)</f>
        <v>6265426.5</v>
      </c>
      <c r="Q23" s="5">
        <f>AVERAGE(Q5:Q20)</f>
        <v>283198</v>
      </c>
      <c r="R23" s="5">
        <f>AVERAGE(R5:R20)</f>
        <v>2360496.75</v>
      </c>
      <c r="S23" s="5">
        <f>AVERAGE(S5:S20)</f>
        <v>2074390.75</v>
      </c>
      <c r="T23" s="5">
        <f t="shared" ref="T23:V23" si="2">AVERAGE(T5:T20)</f>
        <v>3368933.625</v>
      </c>
      <c r="U23" s="5">
        <f t="shared" si="2"/>
        <v>3392936.375</v>
      </c>
      <c r="V23" s="5">
        <f t="shared" si="2"/>
        <v>3238510.875</v>
      </c>
    </row>
    <row r="24" spans="1:22" x14ac:dyDescent="0.35">
      <c r="A24" s="3" t="s">
        <v>1</v>
      </c>
      <c r="B24" s="3">
        <f t="shared" ref="B24:J24" si="3">STDEV(B5:B20)</f>
        <v>480625.71665805759</v>
      </c>
      <c r="C24" s="3">
        <f t="shared" si="3"/>
        <v>257272.00463430447</v>
      </c>
      <c r="D24" s="3">
        <f t="shared" si="3"/>
        <v>2096067.2121759017</v>
      </c>
      <c r="E24" s="3">
        <f t="shared" si="3"/>
        <v>1585498.3681069168</v>
      </c>
      <c r="F24" s="3">
        <f t="shared" si="3"/>
        <v>1852986.2234630696</v>
      </c>
      <c r="G24" s="3">
        <f t="shared" si="3"/>
        <v>3240348.832528187</v>
      </c>
      <c r="H24" s="3">
        <f t="shared" si="3"/>
        <v>3311801.8737465665</v>
      </c>
      <c r="I24" s="3">
        <f t="shared" si="3"/>
        <v>175301.71429928418</v>
      </c>
      <c r="J24" s="3">
        <f t="shared" si="3"/>
        <v>210487.47802927613</v>
      </c>
      <c r="K24" s="3"/>
      <c r="L24" s="3">
        <f>STDEV(L5:L20)</f>
        <v>75238.172604450883</v>
      </c>
      <c r="M24" s="3"/>
      <c r="N24" s="3" t="s">
        <v>1</v>
      </c>
      <c r="O24" s="3">
        <f>STDEV(O5:O20)</f>
        <v>1690208.5697664258</v>
      </c>
      <c r="P24" s="3">
        <f>STDEV(P5:P20)</f>
        <v>814203.55493153108</v>
      </c>
      <c r="Q24" s="3">
        <f>STDEV(Q5:Q20)</f>
        <v>127746.76057732345</v>
      </c>
      <c r="R24" s="3">
        <f>STDEV(R5:R20)</f>
        <v>1107026.5992402157</v>
      </c>
      <c r="S24" s="3">
        <f>STDEV(S5:S20)</f>
        <v>1210398.3926495027</v>
      </c>
      <c r="T24" s="3">
        <f t="shared" ref="T24:V24" si="4">STDEV(T5:T20)</f>
        <v>3069443.8720581168</v>
      </c>
      <c r="U24" s="3">
        <f t="shared" si="4"/>
        <v>3982653.9867639206</v>
      </c>
      <c r="V24" s="3">
        <f t="shared" si="4"/>
        <v>2316867.402596164</v>
      </c>
    </row>
    <row r="25" spans="1:22" ht="15" thickBot="1" x14ac:dyDescent="0.4"/>
    <row r="26" spans="1:22" ht="15" thickBot="1" x14ac:dyDescent="0.4">
      <c r="B26" s="221" t="s">
        <v>6</v>
      </c>
      <c r="C26" s="222"/>
      <c r="D26" s="222"/>
      <c r="E26" s="222"/>
      <c r="F26" s="222"/>
      <c r="G26" s="222"/>
      <c r="H26" s="222"/>
      <c r="I26" s="222"/>
      <c r="J26" s="222"/>
      <c r="K26" s="222"/>
      <c r="L26" s="222"/>
      <c r="M26" s="222"/>
      <c r="O26" s="221" t="s">
        <v>3</v>
      </c>
      <c r="P26" s="222"/>
      <c r="Q26" s="222"/>
      <c r="R26" s="222"/>
      <c r="S26" s="222"/>
      <c r="T26" s="222"/>
      <c r="U26" s="222"/>
      <c r="V26" s="222"/>
    </row>
    <row r="27" spans="1:22" x14ac:dyDescent="0.35">
      <c r="A27" s="34" t="s">
        <v>41</v>
      </c>
      <c r="B27" s="35" t="str">
        <f>B4</f>
        <v>Témoin solvant</v>
      </c>
      <c r="C27" s="35" t="str">
        <f t="shared" ref="C27:M27" si="5">C4</f>
        <v>EE2-33,8ng/L</v>
      </c>
      <c r="D27" s="35" t="str">
        <f t="shared" si="5"/>
        <v>EE2-50,6ng/L</v>
      </c>
      <c r="E27" s="35" t="str">
        <f t="shared" si="5"/>
        <v>EE2-76ng/L</v>
      </c>
      <c r="F27" s="35" t="str">
        <f t="shared" si="5"/>
        <v>EE2-114ng/L</v>
      </c>
      <c r="G27" s="35" t="str">
        <f t="shared" si="5"/>
        <v>EE2-170,9ng/L</v>
      </c>
      <c r="H27" s="35" t="str">
        <f t="shared" si="5"/>
        <v>EE2-488ng/L</v>
      </c>
      <c r="I27" s="35" t="str">
        <f t="shared" si="5"/>
        <v>Dutasteride-0,01mg/L</v>
      </c>
      <c r="J27" s="35" t="str">
        <f t="shared" si="5"/>
        <v>Dutasteride-0,1mg/L</v>
      </c>
      <c r="K27" s="35" t="str">
        <f t="shared" si="5"/>
        <v>Dutasteride-0,25mg/L</v>
      </c>
      <c r="L27" s="35" t="str">
        <f t="shared" si="5"/>
        <v>Dutasteride-0,5mg/L</v>
      </c>
      <c r="M27" s="35" t="str">
        <f t="shared" si="5"/>
        <v>Dutasteride-1mg/L</v>
      </c>
      <c r="N27" s="3"/>
      <c r="O27" s="36" t="str">
        <f>O4</f>
        <v>Testo -30µg/L</v>
      </c>
      <c r="P27" s="36" t="str">
        <f t="shared" ref="P27:R27" si="6">P4</f>
        <v>Testo 30µg/L + EE2 -64ng/L</v>
      </c>
      <c r="Q27" s="36" t="str">
        <f t="shared" si="6"/>
        <v>Testo 30µg/L + FAD-10µg/L</v>
      </c>
      <c r="R27" s="36" t="str">
        <f t="shared" si="6"/>
        <v>Dutasteride-0,01mg/L + Testostérone</v>
      </c>
      <c r="S27" s="36" t="str">
        <f t="shared" ref="S27:V27" si="7">S4</f>
        <v>Dutasteride-0,1mg/L + Testostérone</v>
      </c>
      <c r="T27" s="36" t="str">
        <f t="shared" si="7"/>
        <v>Dutasteride-0,25mg/L + Testostérone</v>
      </c>
      <c r="U27" s="36" t="str">
        <f t="shared" si="7"/>
        <v>Dutasteride-0,5mg/L + Testostérone</v>
      </c>
      <c r="V27" s="36" t="str">
        <f t="shared" si="7"/>
        <v>Dutasteride-1mg/L + Testostérone</v>
      </c>
    </row>
    <row r="28" spans="1:22" x14ac:dyDescent="0.35">
      <c r="A28" s="224" t="s">
        <v>34</v>
      </c>
      <c r="B28" s="11">
        <f t="shared" ref="B28:M28" si="8">IF(B5="","",(B5/$O$23))</f>
        <v>9.9864492615858808E-2</v>
      </c>
      <c r="C28" s="11">
        <f t="shared" si="8"/>
        <v>0.1608468604759343</v>
      </c>
      <c r="D28" s="11">
        <f t="shared" si="8"/>
        <v>0.57553505191753063</v>
      </c>
      <c r="E28" s="11">
        <f t="shared" si="8"/>
        <v>0.66364680708197998</v>
      </c>
      <c r="F28" s="11">
        <f t="shared" si="8"/>
        <v>1.8946436155797086</v>
      </c>
      <c r="G28" s="11">
        <f t="shared" si="8"/>
        <v>3.8874115662631108</v>
      </c>
      <c r="H28" s="11">
        <f t="shared" si="8"/>
        <v>6.1848939604156641</v>
      </c>
      <c r="I28" s="11">
        <f t="shared" si="8"/>
        <v>8.0877683349580731E-2</v>
      </c>
      <c r="J28" s="11">
        <f t="shared" si="8"/>
        <v>0.27037080483296189</v>
      </c>
      <c r="K28" s="11">
        <f t="shared" si="8"/>
        <v>0.18825373454305697</v>
      </c>
      <c r="L28" s="11">
        <f t="shared" si="8"/>
        <v>0.11339541054692398</v>
      </c>
      <c r="M28" s="11">
        <f t="shared" si="8"/>
        <v>7.6122789915014616E-2</v>
      </c>
      <c r="N28" s="6"/>
      <c r="O28" s="11">
        <f t="shared" ref="O28:S37" si="9">IF(O5="","",(O5/$O$23))</f>
        <v>0.72006116034770795</v>
      </c>
      <c r="P28" s="11">
        <f t="shared" si="9"/>
        <v>2.3962838616772983</v>
      </c>
      <c r="Q28" s="11">
        <f t="shared" si="9"/>
        <v>0.13528005533555268</v>
      </c>
      <c r="R28" s="11">
        <f t="shared" si="9"/>
        <v>0.47113288218138571</v>
      </c>
      <c r="S28" s="11">
        <f t="shared" si="9"/>
        <v>0.89051610110873358</v>
      </c>
      <c r="T28" s="11">
        <f t="shared" ref="T28:V43" si="10">IF(T5="","",(T5/$O$23))</f>
        <v>1.7845986756681322</v>
      </c>
      <c r="U28" s="11">
        <f t="shared" si="10"/>
        <v>0.10046841059950894</v>
      </c>
      <c r="V28" s="11">
        <f t="shared" si="10"/>
        <v>1.6850096473167515</v>
      </c>
    </row>
    <row r="29" spans="1:22" x14ac:dyDescent="0.35">
      <c r="A29" s="224"/>
      <c r="B29" s="11">
        <f t="shared" ref="B29:M29" si="11">IF(B6="","",(B6/$O$23))</f>
        <v>0.16667853198985516</v>
      </c>
      <c r="C29" s="11">
        <f t="shared" si="11"/>
        <v>0.18531666255425353</v>
      </c>
      <c r="D29" s="11">
        <f t="shared" si="11"/>
        <v>2.6948705398856885</v>
      </c>
      <c r="E29" s="11">
        <f t="shared" si="11"/>
        <v>1.1853401235341943</v>
      </c>
      <c r="F29" s="11">
        <f t="shared" si="11"/>
        <v>1.7825349184326447</v>
      </c>
      <c r="G29" s="11">
        <f t="shared" si="11"/>
        <v>2.8243055752187334</v>
      </c>
      <c r="H29" s="11">
        <f t="shared" si="11"/>
        <v>4.6593700322386224</v>
      </c>
      <c r="I29" s="11">
        <f t="shared" si="11"/>
        <v>0.12676776461356126</v>
      </c>
      <c r="J29" s="11">
        <f t="shared" si="11"/>
        <v>0.13112624838705764</v>
      </c>
      <c r="K29" s="11">
        <f t="shared" si="11"/>
        <v>1.0882658695326815E-2</v>
      </c>
      <c r="L29" s="11">
        <f t="shared" si="11"/>
        <v>1.2323890963073226E-2</v>
      </c>
      <c r="M29" s="11">
        <f t="shared" si="11"/>
        <v>4.4799954696038737E-2</v>
      </c>
      <c r="N29" s="6"/>
      <c r="O29" s="11">
        <f t="shared" si="9"/>
        <v>1.1283040543000336</v>
      </c>
      <c r="P29" s="11">
        <f t="shared" si="9"/>
        <v>2.5032622897107424</v>
      </c>
      <c r="Q29" s="11">
        <f t="shared" si="9"/>
        <v>6.4936351979419063E-2</v>
      </c>
      <c r="R29" s="11">
        <f t="shared" si="9"/>
        <v>1.2842346259793949</v>
      </c>
      <c r="S29" s="11">
        <f t="shared" si="9"/>
        <v>0.83370372018331929</v>
      </c>
      <c r="T29" s="11">
        <f t="shared" si="10"/>
        <v>2.7982064485334863</v>
      </c>
      <c r="U29" s="11">
        <f t="shared" si="10"/>
        <v>4.2326512120832138</v>
      </c>
      <c r="V29" s="11">
        <f t="shared" si="10"/>
        <v>0.56079063502400706</v>
      </c>
    </row>
    <row r="30" spans="1:22" x14ac:dyDescent="0.35">
      <c r="A30" s="224"/>
      <c r="B30" s="11">
        <f t="shared" ref="B30:M30" si="12">IF(B7="","",(B7/$O$23))</f>
        <v>0.22061977437009292</v>
      </c>
      <c r="C30" s="11">
        <f t="shared" si="12"/>
        <v>5.4730825705144023E-2</v>
      </c>
      <c r="D30" s="11">
        <f t="shared" si="12"/>
        <v>0.82452885902782558</v>
      </c>
      <c r="E30" s="11">
        <f t="shared" si="12"/>
        <v>0.46684154535047873</v>
      </c>
      <c r="F30" s="11">
        <f t="shared" si="12"/>
        <v>2.2949215068421118</v>
      </c>
      <c r="G30" s="11">
        <f t="shared" si="12"/>
        <v>2.9331147686868726</v>
      </c>
      <c r="H30" s="11">
        <f t="shared" si="12"/>
        <v>2.2062058336940122</v>
      </c>
      <c r="I30" s="11">
        <f t="shared" si="12"/>
        <v>0.17098483530796582</v>
      </c>
      <c r="J30" s="11">
        <f t="shared" si="12"/>
        <v>9.3048268943730056E-2</v>
      </c>
      <c r="K30" s="11">
        <f t="shared" si="12"/>
        <v>0.44825883123869931</v>
      </c>
      <c r="L30" s="11">
        <f t="shared" si="12"/>
        <v>3.9689101565818161E-2</v>
      </c>
      <c r="M30" s="11">
        <f t="shared" si="12"/>
        <v>4.1658610381888124E-2</v>
      </c>
      <c r="N30" s="6"/>
      <c r="O30" s="11">
        <f t="shared" si="9"/>
        <v>1.2638114384412202</v>
      </c>
      <c r="P30" s="11">
        <f t="shared" si="9"/>
        <v>2.1506918966584285</v>
      </c>
      <c r="Q30" s="11">
        <f t="shared" si="9"/>
        <v>0.11318507072676452</v>
      </c>
      <c r="R30" s="11">
        <f t="shared" si="9"/>
        <v>1.3050089192173742</v>
      </c>
      <c r="S30" s="11">
        <f t="shared" si="9"/>
        <v>0.77028788240386059</v>
      </c>
      <c r="T30" s="11">
        <f t="shared" si="10"/>
        <v>0.73419720976138569</v>
      </c>
      <c r="U30" s="11">
        <f t="shared" si="10"/>
        <v>1.7208143387037405</v>
      </c>
      <c r="V30" s="11">
        <f t="shared" si="10"/>
        <v>1.8951079811826761</v>
      </c>
    </row>
    <row r="31" spans="1:22" x14ac:dyDescent="0.35">
      <c r="A31" s="224"/>
      <c r="B31" s="11">
        <f t="shared" ref="B31:M31" si="13">IF(B8="","",(B8/$O$23))</f>
        <v>0.25611178752442165</v>
      </c>
      <c r="C31" s="11">
        <f t="shared" si="13"/>
        <v>2.6323219493647333E-2</v>
      </c>
      <c r="D31" s="11">
        <f t="shared" si="13"/>
        <v>0.50988314004991531</v>
      </c>
      <c r="E31" s="11">
        <f t="shared" si="13"/>
        <v>1.8358277478672755</v>
      </c>
      <c r="F31" s="11">
        <f t="shared" si="13"/>
        <v>2.0126794461590736</v>
      </c>
      <c r="G31" s="11">
        <f t="shared" si="13"/>
        <v>0.28272948276629223</v>
      </c>
      <c r="H31" s="11">
        <f t="shared" si="13"/>
        <v>3.5904420776720234</v>
      </c>
      <c r="I31" s="11">
        <f t="shared" si="13"/>
        <v>5.9949275743369237E-2</v>
      </c>
      <c r="J31" s="11">
        <f t="shared" si="13"/>
        <v>6.4344164485739361E-2</v>
      </c>
      <c r="K31" s="11">
        <f t="shared" si="13"/>
        <v>8.9922700116091395E-2</v>
      </c>
      <c r="L31" s="11">
        <f t="shared" si="13"/>
        <v>5.6983079779466789E-2</v>
      </c>
      <c r="M31" s="11">
        <f t="shared" si="13"/>
        <v>0.13352776283376278</v>
      </c>
      <c r="N31" s="6"/>
      <c r="O31" s="11">
        <f t="shared" si="9"/>
        <v>0.62750031348723201</v>
      </c>
      <c r="P31" s="11">
        <f t="shared" si="9"/>
        <v>2.5674798458047317</v>
      </c>
      <c r="Q31" s="11">
        <f t="shared" si="9"/>
        <v>5.6157900484995082E-2</v>
      </c>
      <c r="R31" s="11">
        <f t="shared" si="9"/>
        <v>1.4929107390613181</v>
      </c>
      <c r="S31" s="11">
        <f t="shared" si="9"/>
        <v>0.16456299879863603</v>
      </c>
      <c r="T31" s="11">
        <f t="shared" si="10"/>
        <v>0.1217167774321553</v>
      </c>
      <c r="U31" s="11">
        <f t="shared" si="10"/>
        <v>0.71117753894320423</v>
      </c>
      <c r="V31" s="11">
        <f t="shared" si="10"/>
        <v>2.9711648376540638</v>
      </c>
    </row>
    <row r="32" spans="1:22" x14ac:dyDescent="0.35">
      <c r="A32" s="224"/>
      <c r="B32" s="11">
        <f t="shared" ref="B32:M32" si="14">IF(B9="","",(B9/$O$23))</f>
        <v>0.64271839947576848</v>
      </c>
      <c r="C32" s="11">
        <f t="shared" si="14"/>
        <v>0.31130010233841249</v>
      </c>
      <c r="D32" s="11">
        <f t="shared" si="14"/>
        <v>0.37034936635129179</v>
      </c>
      <c r="E32" s="11">
        <f t="shared" si="14"/>
        <v>0.55086785400798477</v>
      </c>
      <c r="F32" s="11">
        <f t="shared" si="14"/>
        <v>1.2335803477888025</v>
      </c>
      <c r="G32" s="11">
        <f t="shared" si="14"/>
        <v>3.8486427014104905</v>
      </c>
      <c r="H32" s="11">
        <f t="shared" si="14"/>
        <v>5.8164202589606786</v>
      </c>
      <c r="I32" s="11">
        <f t="shared" si="14"/>
        <v>0.24385625700290026</v>
      </c>
      <c r="J32" s="11">
        <f t="shared" si="14"/>
        <v>4.2547296122061817E-2</v>
      </c>
      <c r="K32" s="11">
        <f t="shared" si="14"/>
        <v>0.19658197792240886</v>
      </c>
      <c r="L32" s="11">
        <f t="shared" si="14"/>
        <v>2.8985231717626882E-2</v>
      </c>
      <c r="M32" s="11">
        <f t="shared" si="14"/>
        <v>3.3349378486281396E-2</v>
      </c>
      <c r="N32" s="6"/>
      <c r="O32" s="11">
        <f t="shared" si="9"/>
        <v>1.3613318555612635</v>
      </c>
      <c r="P32" s="11">
        <f t="shared" si="9"/>
        <v>2.7103713711324775</v>
      </c>
      <c r="Q32" s="11">
        <f t="shared" si="9"/>
        <v>0.1981482005832885</v>
      </c>
      <c r="R32" s="11">
        <f t="shared" si="9"/>
        <v>0.48990773362888773</v>
      </c>
      <c r="S32" s="11">
        <f t="shared" si="9"/>
        <v>1.7494966001804069</v>
      </c>
      <c r="T32" s="11">
        <f t="shared" si="10"/>
        <v>1.5178254907592055</v>
      </c>
      <c r="U32" s="11">
        <f t="shared" si="10"/>
        <v>0.43012430274372115</v>
      </c>
      <c r="V32" s="11">
        <f t="shared" si="10"/>
        <v>8.0077178534012347E-2</v>
      </c>
    </row>
    <row r="33" spans="1:22" x14ac:dyDescent="0.35">
      <c r="A33" s="224"/>
      <c r="B33" s="11">
        <f t="shared" ref="B33:M33" si="15">IF(B10="","",(B10/$O$23))</f>
        <v>0.12706507185936355</v>
      </c>
      <c r="C33" s="11">
        <f t="shared" si="15"/>
        <v>0.21139839575437164</v>
      </c>
      <c r="D33" s="11">
        <f t="shared" si="15"/>
        <v>8.0143516477293418E-3</v>
      </c>
      <c r="E33" s="11">
        <f t="shared" si="15"/>
        <v>0.92317176268814294</v>
      </c>
      <c r="F33" s="11">
        <f t="shared" si="15"/>
        <v>2.7288926012968258</v>
      </c>
      <c r="G33" s="11">
        <f t="shared" si="15"/>
        <v>3.4226196206602242</v>
      </c>
      <c r="H33" s="11">
        <f t="shared" si="15"/>
        <v>5.1336685287134083</v>
      </c>
      <c r="I33" s="11">
        <f t="shared" si="15"/>
        <v>0.18560992480351429</v>
      </c>
      <c r="J33" s="11">
        <f t="shared" si="15"/>
        <v>5.5441127097836329E-2</v>
      </c>
      <c r="K33" s="11">
        <f t="shared" si="15"/>
        <v>0.25070929014355692</v>
      </c>
      <c r="L33" s="11">
        <f t="shared" si="15"/>
        <v>7.1802329109008606E-2</v>
      </c>
      <c r="M33" s="11">
        <f t="shared" si="15"/>
        <v>5.3792386507509539E-2</v>
      </c>
      <c r="N33" s="6"/>
      <c r="O33" s="11">
        <f t="shared" si="9"/>
        <v>0.5868663007293129</v>
      </c>
      <c r="P33" s="11">
        <f t="shared" si="9"/>
        <v>2.0715830902964578</v>
      </c>
      <c r="Q33" s="11">
        <f t="shared" si="9"/>
        <v>0.10338242610802567</v>
      </c>
      <c r="R33" s="11">
        <f t="shared" si="9"/>
        <v>1.3806147585743813</v>
      </c>
      <c r="S33" s="11">
        <f t="shared" si="9"/>
        <v>1.1732103924051145</v>
      </c>
      <c r="T33" s="11">
        <f t="shared" si="10"/>
        <v>0.1569632592964133</v>
      </c>
      <c r="U33" s="11">
        <f t="shared" si="10"/>
        <v>0.1837682378781566</v>
      </c>
      <c r="V33" s="11">
        <f t="shared" si="10"/>
        <v>0.71880357092294689</v>
      </c>
    </row>
    <row r="34" spans="1:22" x14ac:dyDescent="0.35">
      <c r="A34" s="224"/>
      <c r="B34" s="11">
        <f t="shared" ref="B34:M34" si="16">IF(B11="","",(B11/$O$23))</f>
        <v>3.8715470898272382E-2</v>
      </c>
      <c r="C34" s="11">
        <f t="shared" si="16"/>
        <v>0.16073764556931303</v>
      </c>
      <c r="D34" s="11">
        <f t="shared" si="16"/>
        <v>0.10526779899603186</v>
      </c>
      <c r="E34" s="11">
        <f t="shared" si="16"/>
        <v>1.6519187441094738</v>
      </c>
      <c r="F34" s="11">
        <f t="shared" si="16"/>
        <v>2.5891440382818471</v>
      </c>
      <c r="G34" s="11">
        <f t="shared" si="16"/>
        <v>4.5736343080426662</v>
      </c>
      <c r="H34" s="11">
        <f t="shared" si="16"/>
        <v>4.2046626675134195</v>
      </c>
      <c r="I34" s="11">
        <f t="shared" si="16"/>
        <v>3.815766587519568E-2</v>
      </c>
      <c r="J34" s="11">
        <f t="shared" si="16"/>
        <v>7.3454710196222781E-2</v>
      </c>
      <c r="K34" s="11">
        <f t="shared" si="16"/>
        <v>0.14979309842690083</v>
      </c>
      <c r="L34" s="11">
        <f t="shared" si="16"/>
        <v>6.1929301550447173E-2</v>
      </c>
      <c r="M34" s="11">
        <f t="shared" si="16"/>
        <v>0.20289095902823004</v>
      </c>
      <c r="N34" s="6"/>
      <c r="O34" s="11">
        <f t="shared" si="9"/>
        <v>1.7374954999413474</v>
      </c>
      <c r="P34" s="11">
        <f t="shared" si="9"/>
        <v>2.8361881570591256</v>
      </c>
      <c r="Q34" s="11">
        <f t="shared" si="9"/>
        <v>0.17337947326055037</v>
      </c>
      <c r="R34" s="11">
        <f t="shared" si="9"/>
        <v>0.53630505745917589</v>
      </c>
      <c r="S34" s="11">
        <f t="shared" si="9"/>
        <v>0.81586488093552678</v>
      </c>
      <c r="T34" s="11">
        <f t="shared" si="10"/>
        <v>0.38184807801989329</v>
      </c>
      <c r="U34" s="11">
        <f t="shared" si="10"/>
        <v>0.19674863177991983</v>
      </c>
      <c r="V34" s="11">
        <f t="shared" si="10"/>
        <v>0.79415255299956722</v>
      </c>
    </row>
    <row r="35" spans="1:22" x14ac:dyDescent="0.35">
      <c r="A35" s="224"/>
      <c r="B35" s="11">
        <f t="shared" ref="B35:M35" si="17">IF(B12="","",(B12/$O$23))</f>
        <v>0.39347097108231971</v>
      </c>
      <c r="C35" s="11">
        <f t="shared" si="17"/>
        <v>4.8766478304661052E-3</v>
      </c>
      <c r="D35" s="11">
        <f t="shared" si="17"/>
        <v>0.48967716882602064</v>
      </c>
      <c r="E35" s="11">
        <f t="shared" si="17"/>
        <v>2.1746609281649065</v>
      </c>
      <c r="F35" s="11">
        <f t="shared" si="17"/>
        <v>0.4334990433583179</v>
      </c>
      <c r="G35" s="11">
        <f t="shared" si="17"/>
        <v>2.3323518823391405</v>
      </c>
      <c r="H35" s="11">
        <f t="shared" si="17"/>
        <v>3.2774010088221375</v>
      </c>
      <c r="I35" s="11">
        <f t="shared" si="17"/>
        <v>0.17351093564815001</v>
      </c>
      <c r="J35" s="11">
        <f t="shared" si="17"/>
        <v>0.22886671331896011</v>
      </c>
      <c r="K35" s="11">
        <f t="shared" si="17"/>
        <v>5.7871361019986328E-2</v>
      </c>
      <c r="L35" s="11">
        <f t="shared" si="17"/>
        <v>5.780097808016374E-2</v>
      </c>
      <c r="M35" s="11">
        <f t="shared" si="17"/>
        <v>7.4965111904829324E-2</v>
      </c>
      <c r="N35" s="6"/>
      <c r="O35" s="11">
        <f t="shared" si="9"/>
        <v>1.1132546446672789</v>
      </c>
      <c r="P35" s="11">
        <f t="shared" si="9"/>
        <v>3.0390423066188279</v>
      </c>
      <c r="Q35" s="11">
        <f t="shared" si="9"/>
        <v>7.1958465975511587E-2</v>
      </c>
      <c r="R35" s="11">
        <f t="shared" si="9"/>
        <v>0.67844623592846831</v>
      </c>
      <c r="S35" s="11">
        <f t="shared" si="9"/>
        <v>0.31508015160647035</v>
      </c>
      <c r="T35" s="11">
        <f t="shared" si="10"/>
        <v>3.4065039499391228</v>
      </c>
      <c r="U35" s="11">
        <f t="shared" si="10"/>
        <v>3.4037800492680579</v>
      </c>
      <c r="V35" s="11">
        <f t="shared" si="10"/>
        <v>1.7747058276265173</v>
      </c>
    </row>
    <row r="36" spans="1:22" x14ac:dyDescent="0.35">
      <c r="A36" s="224"/>
      <c r="B36" s="11" t="str">
        <f t="shared" ref="B36:M36" si="18">IF(B13="","",(B13/$O$23))</f>
        <v/>
      </c>
      <c r="C36" s="11" t="str">
        <f t="shared" si="18"/>
        <v/>
      </c>
      <c r="D36" s="11" t="str">
        <f t="shared" si="18"/>
        <v/>
      </c>
      <c r="E36" s="11" t="str">
        <f t="shared" si="18"/>
        <v/>
      </c>
      <c r="F36" s="11" t="str">
        <f t="shared" si="18"/>
        <v/>
      </c>
      <c r="G36" s="11" t="str">
        <f t="shared" si="18"/>
        <v/>
      </c>
      <c r="H36" s="11" t="str">
        <f t="shared" si="18"/>
        <v/>
      </c>
      <c r="I36" s="11" t="str">
        <f t="shared" si="18"/>
        <v/>
      </c>
      <c r="J36" s="11" t="str">
        <f t="shared" si="18"/>
        <v/>
      </c>
      <c r="K36" s="11" t="str">
        <f t="shared" si="18"/>
        <v/>
      </c>
      <c r="L36" s="11" t="str">
        <f t="shared" si="18"/>
        <v/>
      </c>
      <c r="M36" s="11" t="str">
        <f t="shared" si="18"/>
        <v/>
      </c>
      <c r="N36" s="6"/>
      <c r="O36" s="11">
        <f t="shared" si="9"/>
        <v>1.6858534335953144</v>
      </c>
      <c r="P36" s="11" t="str">
        <f t="shared" si="9"/>
        <v/>
      </c>
      <c r="Q36" s="11" t="str">
        <f t="shared" si="9"/>
        <v/>
      </c>
      <c r="R36" s="11" t="str">
        <f t="shared" si="9"/>
        <v/>
      </c>
      <c r="S36" s="11" t="str">
        <f t="shared" si="9"/>
        <v/>
      </c>
      <c r="T36" s="11" t="str">
        <f t="shared" si="10"/>
        <v/>
      </c>
      <c r="U36" s="11" t="str">
        <f t="shared" si="10"/>
        <v/>
      </c>
      <c r="V36" s="11" t="str">
        <f t="shared" si="10"/>
        <v/>
      </c>
    </row>
    <row r="37" spans="1:22" x14ac:dyDescent="0.35">
      <c r="A37" s="224"/>
      <c r="B37" s="11" t="str">
        <f t="shared" ref="B37:M37" si="19">IF(B14="","",(B14/$O$23))</f>
        <v/>
      </c>
      <c r="C37" s="11" t="str">
        <f t="shared" si="19"/>
        <v/>
      </c>
      <c r="D37" s="11" t="str">
        <f t="shared" si="19"/>
        <v/>
      </c>
      <c r="E37" s="11" t="str">
        <f t="shared" si="19"/>
        <v/>
      </c>
      <c r="F37" s="11" t="str">
        <f t="shared" si="19"/>
        <v/>
      </c>
      <c r="G37" s="11" t="str">
        <f t="shared" si="19"/>
        <v/>
      </c>
      <c r="H37" s="11" t="str">
        <f t="shared" si="19"/>
        <v/>
      </c>
      <c r="I37" s="11" t="str">
        <f t="shared" si="19"/>
        <v/>
      </c>
      <c r="J37" s="11" t="str">
        <f t="shared" si="19"/>
        <v/>
      </c>
      <c r="K37" s="11" t="str">
        <f t="shared" si="19"/>
        <v/>
      </c>
      <c r="L37" s="11" t="str">
        <f t="shared" si="19"/>
        <v/>
      </c>
      <c r="M37" s="11" t="str">
        <f t="shared" si="19"/>
        <v/>
      </c>
      <c r="N37" s="6"/>
      <c r="O37" s="11">
        <f t="shared" si="9"/>
        <v>6.0851309972129973E-2</v>
      </c>
      <c r="P37" s="11" t="str">
        <f t="shared" si="9"/>
        <v/>
      </c>
      <c r="Q37" s="11" t="str">
        <f t="shared" si="9"/>
        <v/>
      </c>
      <c r="R37" s="11" t="str">
        <f t="shared" si="9"/>
        <v/>
      </c>
      <c r="S37" s="11" t="str">
        <f t="shared" si="9"/>
        <v/>
      </c>
      <c r="T37" s="11" t="str">
        <f t="shared" si="10"/>
        <v/>
      </c>
      <c r="U37" s="11" t="str">
        <f t="shared" si="10"/>
        <v/>
      </c>
      <c r="V37" s="11" t="str">
        <f t="shared" si="10"/>
        <v/>
      </c>
    </row>
    <row r="38" spans="1:22" x14ac:dyDescent="0.35">
      <c r="A38" s="224"/>
      <c r="B38" s="11" t="str">
        <f t="shared" ref="B38:M38" si="20">IF(B15="","",(B15/$O$23))</f>
        <v/>
      </c>
      <c r="C38" s="11" t="str">
        <f t="shared" si="20"/>
        <v/>
      </c>
      <c r="D38" s="11" t="str">
        <f t="shared" si="20"/>
        <v/>
      </c>
      <c r="E38" s="11" t="str">
        <f t="shared" si="20"/>
        <v/>
      </c>
      <c r="F38" s="11" t="str">
        <f t="shared" si="20"/>
        <v/>
      </c>
      <c r="G38" s="11" t="str">
        <f t="shared" si="20"/>
        <v/>
      </c>
      <c r="H38" s="11" t="str">
        <f t="shared" si="20"/>
        <v/>
      </c>
      <c r="I38" s="11" t="str">
        <f t="shared" si="20"/>
        <v/>
      </c>
      <c r="J38" s="11" t="str">
        <f t="shared" si="20"/>
        <v/>
      </c>
      <c r="K38" s="11" t="str">
        <f t="shared" si="20"/>
        <v/>
      </c>
      <c r="L38" s="11" t="str">
        <f t="shared" si="20"/>
        <v/>
      </c>
      <c r="M38" s="11" t="str">
        <f t="shared" si="20"/>
        <v/>
      </c>
      <c r="N38" s="6"/>
      <c r="O38" s="11">
        <f t="shared" ref="O38:S43" si="21">IF(O15="","",(O15/$O$23))</f>
        <v>1.0225464062228227</v>
      </c>
      <c r="P38" s="11" t="str">
        <f t="shared" si="21"/>
        <v/>
      </c>
      <c r="Q38" s="11" t="str">
        <f t="shared" si="21"/>
        <v/>
      </c>
      <c r="R38" s="11" t="str">
        <f t="shared" si="21"/>
        <v/>
      </c>
      <c r="S38" s="11" t="str">
        <f t="shared" si="21"/>
        <v/>
      </c>
      <c r="T38" s="11" t="str">
        <f t="shared" si="10"/>
        <v/>
      </c>
      <c r="U38" s="11" t="str">
        <f t="shared" si="10"/>
        <v/>
      </c>
      <c r="V38" s="11" t="str">
        <f t="shared" si="10"/>
        <v/>
      </c>
    </row>
    <row r="39" spans="1:22" x14ac:dyDescent="0.35">
      <c r="A39" s="224"/>
      <c r="B39" s="11" t="str">
        <f t="shared" ref="B39:M39" si="22">IF(B16="","",(B16/$O$23))</f>
        <v/>
      </c>
      <c r="C39" s="11" t="str">
        <f t="shared" si="22"/>
        <v/>
      </c>
      <c r="D39" s="11" t="str">
        <f t="shared" si="22"/>
        <v/>
      </c>
      <c r="E39" s="11" t="str">
        <f t="shared" si="22"/>
        <v/>
      </c>
      <c r="F39" s="11" t="str">
        <f t="shared" si="22"/>
        <v/>
      </c>
      <c r="G39" s="11" t="str">
        <f t="shared" si="22"/>
        <v/>
      </c>
      <c r="H39" s="11" t="str">
        <f t="shared" si="22"/>
        <v/>
      </c>
      <c r="I39" s="11" t="str">
        <f t="shared" si="22"/>
        <v/>
      </c>
      <c r="J39" s="11" t="str">
        <f t="shared" si="22"/>
        <v/>
      </c>
      <c r="K39" s="11" t="str">
        <f t="shared" si="22"/>
        <v/>
      </c>
      <c r="L39" s="11" t="str">
        <f t="shared" si="22"/>
        <v/>
      </c>
      <c r="M39" s="11" t="str">
        <f t="shared" si="22"/>
        <v/>
      </c>
      <c r="N39" s="6"/>
      <c r="O39" s="11">
        <f t="shared" si="21"/>
        <v>2.7244038686346923</v>
      </c>
      <c r="P39" s="11" t="str">
        <f t="shared" si="21"/>
        <v/>
      </c>
      <c r="Q39" s="11" t="str">
        <f t="shared" si="21"/>
        <v/>
      </c>
      <c r="R39" s="11" t="str">
        <f t="shared" si="21"/>
        <v/>
      </c>
      <c r="S39" s="11" t="str">
        <f t="shared" si="21"/>
        <v/>
      </c>
      <c r="T39" s="11" t="str">
        <f t="shared" si="10"/>
        <v/>
      </c>
      <c r="U39" s="11" t="str">
        <f t="shared" si="10"/>
        <v/>
      </c>
      <c r="V39" s="11" t="str">
        <f t="shared" si="10"/>
        <v/>
      </c>
    </row>
    <row r="40" spans="1:22" x14ac:dyDescent="0.35">
      <c r="A40" s="224"/>
      <c r="B40" s="11" t="str">
        <f t="shared" ref="B40:M40" si="23">IF(B17="","",(B17/$O$23))</f>
        <v/>
      </c>
      <c r="C40" s="11" t="str">
        <f t="shared" si="23"/>
        <v/>
      </c>
      <c r="D40" s="11" t="str">
        <f t="shared" si="23"/>
        <v/>
      </c>
      <c r="E40" s="11" t="str">
        <f t="shared" si="23"/>
        <v/>
      </c>
      <c r="F40" s="11" t="str">
        <f t="shared" si="23"/>
        <v/>
      </c>
      <c r="G40" s="11" t="str">
        <f t="shared" si="23"/>
        <v/>
      </c>
      <c r="H40" s="11" t="str">
        <f t="shared" si="23"/>
        <v/>
      </c>
      <c r="I40" s="11" t="str">
        <f t="shared" si="23"/>
        <v/>
      </c>
      <c r="J40" s="11" t="str">
        <f t="shared" si="23"/>
        <v/>
      </c>
      <c r="K40" s="11" t="str">
        <f t="shared" si="23"/>
        <v/>
      </c>
      <c r="L40" s="11" t="str">
        <f t="shared" si="23"/>
        <v/>
      </c>
      <c r="M40" s="11" t="str">
        <f t="shared" si="23"/>
        <v/>
      </c>
      <c r="N40" s="6"/>
      <c r="O40" s="11">
        <f t="shared" si="21"/>
        <v>0.25931785178323674</v>
      </c>
      <c r="P40" s="11" t="str">
        <f t="shared" si="21"/>
        <v/>
      </c>
      <c r="Q40" s="11" t="str">
        <f t="shared" si="21"/>
        <v/>
      </c>
      <c r="R40" s="11" t="str">
        <f t="shared" si="21"/>
        <v/>
      </c>
      <c r="S40" s="11" t="str">
        <f t="shared" si="21"/>
        <v/>
      </c>
      <c r="T40" s="11" t="str">
        <f t="shared" si="10"/>
        <v/>
      </c>
      <c r="U40" s="11" t="str">
        <f t="shared" si="10"/>
        <v/>
      </c>
      <c r="V40" s="11" t="str">
        <f t="shared" si="10"/>
        <v/>
      </c>
    </row>
    <row r="41" spans="1:22" x14ac:dyDescent="0.35">
      <c r="A41" s="224"/>
      <c r="B41" s="11" t="str">
        <f t="shared" ref="B41:M41" si="24">IF(B18="","",(B18/$O$23))</f>
        <v/>
      </c>
      <c r="C41" s="11" t="str">
        <f t="shared" si="24"/>
        <v/>
      </c>
      <c r="D41" s="11" t="str">
        <f t="shared" si="24"/>
        <v/>
      </c>
      <c r="E41" s="11" t="str">
        <f t="shared" si="24"/>
        <v/>
      </c>
      <c r="F41" s="11" t="str">
        <f t="shared" si="24"/>
        <v/>
      </c>
      <c r="G41" s="11" t="str">
        <f t="shared" si="24"/>
        <v/>
      </c>
      <c r="H41" s="11" t="str">
        <f t="shared" si="24"/>
        <v/>
      </c>
      <c r="I41" s="11" t="str">
        <f t="shared" si="24"/>
        <v/>
      </c>
      <c r="J41" s="11" t="str">
        <f t="shared" si="24"/>
        <v/>
      </c>
      <c r="K41" s="11" t="str">
        <f t="shared" si="24"/>
        <v/>
      </c>
      <c r="L41" s="11" t="str">
        <f t="shared" si="24"/>
        <v/>
      </c>
      <c r="M41" s="11" t="str">
        <f t="shared" si="24"/>
        <v/>
      </c>
      <c r="N41" s="6"/>
      <c r="O41" s="11">
        <f t="shared" si="21"/>
        <v>1.0822760386539869</v>
      </c>
      <c r="P41" s="11" t="str">
        <f t="shared" si="21"/>
        <v/>
      </c>
      <c r="Q41" s="11" t="str">
        <f t="shared" si="21"/>
        <v/>
      </c>
      <c r="R41" s="11" t="str">
        <f t="shared" si="21"/>
        <v/>
      </c>
      <c r="S41" s="11" t="str">
        <f t="shared" si="21"/>
        <v/>
      </c>
      <c r="T41" s="11" t="str">
        <f t="shared" si="10"/>
        <v/>
      </c>
      <c r="U41" s="11" t="str">
        <f t="shared" si="10"/>
        <v/>
      </c>
      <c r="V41" s="11" t="str">
        <f t="shared" si="10"/>
        <v/>
      </c>
    </row>
    <row r="42" spans="1:22" x14ac:dyDescent="0.35">
      <c r="A42" s="224"/>
      <c r="B42" s="11" t="str">
        <f t="shared" ref="B42:M42" si="25">IF(B19="","",(B19/$O$23))</f>
        <v/>
      </c>
      <c r="C42" s="11" t="str">
        <f t="shared" si="25"/>
        <v/>
      </c>
      <c r="D42" s="11" t="str">
        <f t="shared" si="25"/>
        <v/>
      </c>
      <c r="E42" s="11" t="str">
        <f t="shared" si="25"/>
        <v/>
      </c>
      <c r="F42" s="11" t="str">
        <f t="shared" si="25"/>
        <v/>
      </c>
      <c r="G42" s="11" t="str">
        <f t="shared" si="25"/>
        <v/>
      </c>
      <c r="H42" s="11" t="str">
        <f t="shared" si="25"/>
        <v/>
      </c>
      <c r="I42" s="11" t="str">
        <f t="shared" si="25"/>
        <v/>
      </c>
      <c r="J42" s="11" t="str">
        <f t="shared" si="25"/>
        <v/>
      </c>
      <c r="K42" s="11" t="str">
        <f t="shared" si="25"/>
        <v/>
      </c>
      <c r="L42" s="11" t="str">
        <f t="shared" si="25"/>
        <v/>
      </c>
      <c r="M42" s="11" t="str">
        <f t="shared" si="25"/>
        <v/>
      </c>
      <c r="N42" s="6"/>
      <c r="O42" s="11">
        <f t="shared" si="21"/>
        <v>0.42417532633009597</v>
      </c>
      <c r="P42" s="11" t="str">
        <f t="shared" si="21"/>
        <v/>
      </c>
      <c r="Q42" s="11" t="str">
        <f t="shared" si="21"/>
        <v/>
      </c>
      <c r="R42" s="11" t="str">
        <f t="shared" si="21"/>
        <v/>
      </c>
      <c r="S42" s="11" t="str">
        <f t="shared" si="21"/>
        <v/>
      </c>
      <c r="T42" s="11" t="str">
        <f t="shared" si="10"/>
        <v/>
      </c>
      <c r="U42" s="11" t="str">
        <f t="shared" si="10"/>
        <v/>
      </c>
      <c r="V42" s="11" t="str">
        <f t="shared" si="10"/>
        <v/>
      </c>
    </row>
    <row r="43" spans="1:22" x14ac:dyDescent="0.35">
      <c r="A43" s="224"/>
      <c r="B43" s="11" t="str">
        <f t="shared" ref="B43:M43" si="26">IF(B20="","",(B20/$O$23))</f>
        <v/>
      </c>
      <c r="C43" s="11" t="str">
        <f t="shared" si="26"/>
        <v/>
      </c>
      <c r="D43" s="11" t="str">
        <f t="shared" si="26"/>
        <v/>
      </c>
      <c r="E43" s="11" t="str">
        <f t="shared" si="26"/>
        <v/>
      </c>
      <c r="F43" s="11" t="str">
        <f t="shared" si="26"/>
        <v/>
      </c>
      <c r="G43" s="11" t="str">
        <f t="shared" si="26"/>
        <v/>
      </c>
      <c r="H43" s="11" t="str">
        <f t="shared" si="26"/>
        <v/>
      </c>
      <c r="I43" s="11" t="str">
        <f t="shared" si="26"/>
        <v/>
      </c>
      <c r="J43" s="11" t="str">
        <f t="shared" si="26"/>
        <v/>
      </c>
      <c r="K43" s="11" t="str">
        <f t="shared" si="26"/>
        <v/>
      </c>
      <c r="L43" s="11" t="str">
        <f t="shared" si="26"/>
        <v/>
      </c>
      <c r="M43" s="11" t="str">
        <f t="shared" si="26"/>
        <v/>
      </c>
      <c r="N43" s="6"/>
      <c r="O43" s="11">
        <f t="shared" si="21"/>
        <v>0.20195049733232479</v>
      </c>
      <c r="P43" s="11" t="str">
        <f t="shared" si="21"/>
        <v/>
      </c>
      <c r="Q43" s="11" t="str">
        <f t="shared" si="21"/>
        <v/>
      </c>
      <c r="R43" s="11" t="str">
        <f t="shared" si="21"/>
        <v/>
      </c>
      <c r="S43" s="11" t="str">
        <f t="shared" si="21"/>
        <v/>
      </c>
      <c r="T43" s="11" t="str">
        <f t="shared" si="10"/>
        <v/>
      </c>
      <c r="U43" s="11" t="str">
        <f t="shared" si="10"/>
        <v/>
      </c>
      <c r="V43" s="11" t="str">
        <f t="shared" si="10"/>
        <v/>
      </c>
    </row>
    <row r="44" spans="1:22" x14ac:dyDescent="0.35">
      <c r="A44" s="7"/>
      <c r="B44" s="3"/>
      <c r="C44" s="3"/>
      <c r="D44" s="3"/>
      <c r="E44" s="3"/>
      <c r="F44" s="3"/>
      <c r="G44" s="3"/>
      <c r="H44" s="3"/>
      <c r="I44" s="3"/>
      <c r="J44" s="3"/>
      <c r="K44" s="3"/>
      <c r="L44" s="3"/>
      <c r="M44" s="3"/>
      <c r="N44" s="7"/>
      <c r="O44" s="3"/>
      <c r="P44" s="3"/>
      <c r="Q44" s="3"/>
      <c r="R44" s="3"/>
      <c r="S44" s="3"/>
      <c r="T44" s="3"/>
      <c r="U44" s="3"/>
      <c r="V44" s="3"/>
    </row>
    <row r="45" spans="1:22" x14ac:dyDescent="0.35">
      <c r="A45" s="7" t="str">
        <f>A4</f>
        <v>Noms des groupes</v>
      </c>
      <c r="B45" s="7" t="str">
        <f t="shared" ref="B45:R45" si="27">B4</f>
        <v>Témoin solvant</v>
      </c>
      <c r="C45" s="7" t="str">
        <f t="shared" si="27"/>
        <v>EE2-33,8ng/L</v>
      </c>
      <c r="D45" s="7" t="str">
        <f t="shared" si="27"/>
        <v>EE2-50,6ng/L</v>
      </c>
      <c r="E45" s="7" t="str">
        <f t="shared" si="27"/>
        <v>EE2-76ng/L</v>
      </c>
      <c r="F45" s="7" t="str">
        <f t="shared" si="27"/>
        <v>EE2-114ng/L</v>
      </c>
      <c r="G45" s="7" t="str">
        <f t="shared" si="27"/>
        <v>EE2-170,9ng/L</v>
      </c>
      <c r="H45" s="7" t="str">
        <f t="shared" si="27"/>
        <v>EE2-488ng/L</v>
      </c>
      <c r="I45" s="7" t="str">
        <f t="shared" si="27"/>
        <v>Dutasteride-0,01mg/L</v>
      </c>
      <c r="J45" s="7" t="str">
        <f t="shared" si="27"/>
        <v>Dutasteride-0,1mg/L</v>
      </c>
      <c r="K45" s="7" t="str">
        <f t="shared" ref="K45:M45" si="28">K4</f>
        <v>Dutasteride-0,25mg/L</v>
      </c>
      <c r="L45" s="7" t="str">
        <f t="shared" si="28"/>
        <v>Dutasteride-0,5mg/L</v>
      </c>
      <c r="M45" s="7" t="str">
        <f t="shared" si="28"/>
        <v>Dutasteride-1mg/L</v>
      </c>
      <c r="N45" s="7"/>
      <c r="O45" s="7" t="str">
        <f t="shared" si="27"/>
        <v>Testo -30µg/L</v>
      </c>
      <c r="P45" s="7" t="str">
        <f t="shared" si="27"/>
        <v>Testo 30µg/L + EE2 -64ng/L</v>
      </c>
      <c r="Q45" s="7" t="str">
        <f t="shared" si="27"/>
        <v>Testo 30µg/L + FAD-10µg/L</v>
      </c>
      <c r="R45" s="7" t="str">
        <f t="shared" si="27"/>
        <v>Dutasteride-0,01mg/L + Testostérone</v>
      </c>
      <c r="S45" s="7" t="str">
        <f t="shared" ref="S45:V45" si="29">S4</f>
        <v>Dutasteride-0,1mg/L + Testostérone</v>
      </c>
      <c r="T45" s="7" t="str">
        <f t="shared" si="29"/>
        <v>Dutasteride-0,25mg/L + Testostérone</v>
      </c>
      <c r="U45" s="7" t="str">
        <f t="shared" si="29"/>
        <v>Dutasteride-0,5mg/L + Testostérone</v>
      </c>
      <c r="V45" s="7" t="str">
        <f t="shared" si="29"/>
        <v>Dutasteride-1mg/L + Testostérone</v>
      </c>
    </row>
    <row r="46" spans="1:22" x14ac:dyDescent="0.35">
      <c r="A46" s="8" t="s">
        <v>0</v>
      </c>
      <c r="B46" s="10">
        <f t="shared" ref="B46:H46" si="30">AVERAGE(B28:B43)</f>
        <v>0.2431555624769941</v>
      </c>
      <c r="C46" s="10">
        <f t="shared" si="30"/>
        <v>0.13944129496519281</v>
      </c>
      <c r="D46" s="10">
        <f t="shared" si="30"/>
        <v>0.69726578458775412</v>
      </c>
      <c r="E46" s="10">
        <f t="shared" si="30"/>
        <v>1.1815344391005544</v>
      </c>
      <c r="F46" s="10">
        <f t="shared" si="30"/>
        <v>1.8712369397174164</v>
      </c>
      <c r="G46" s="10">
        <f t="shared" si="30"/>
        <v>3.0131012381734412</v>
      </c>
      <c r="H46" s="10">
        <f t="shared" si="30"/>
        <v>4.384133046003746</v>
      </c>
      <c r="I46" s="10">
        <f>AVERAGE(I28:I43)</f>
        <v>0.13496429279302968</v>
      </c>
      <c r="J46" s="9">
        <f>AVERAGE(J28:J43)</f>
        <v>0.11989991667307125</v>
      </c>
      <c r="K46" s="9">
        <f t="shared" ref="K46:M46" si="31">AVERAGE(K28:K43)</f>
        <v>0.17403420651325344</v>
      </c>
      <c r="L46" s="9">
        <f t="shared" si="31"/>
        <v>5.5363665414066066E-2</v>
      </c>
      <c r="M46" s="9">
        <f t="shared" si="31"/>
        <v>8.2638369219194319E-2</v>
      </c>
      <c r="N46" s="8" t="s">
        <v>0</v>
      </c>
      <c r="O46" s="10">
        <f t="shared" ref="O46:R46" si="32">AVERAGE(O28:O43)</f>
        <v>0.99999999999999989</v>
      </c>
      <c r="P46" s="10">
        <f t="shared" si="32"/>
        <v>2.5343628523697612</v>
      </c>
      <c r="Q46" s="10">
        <f t="shared" si="32"/>
        <v>0.11455349305676343</v>
      </c>
      <c r="R46" s="10">
        <f t="shared" si="32"/>
        <v>0.95482011900379826</v>
      </c>
      <c r="S46" s="10">
        <f t="shared" ref="S46:V46" si="33">AVERAGE(S28:S43)</f>
        <v>0.83909034095275858</v>
      </c>
      <c r="T46" s="10">
        <f t="shared" si="33"/>
        <v>1.3627324861762242</v>
      </c>
      <c r="U46" s="10">
        <f t="shared" si="33"/>
        <v>1.3724415902499403</v>
      </c>
      <c r="V46" s="10">
        <f t="shared" si="33"/>
        <v>1.3099765289075678</v>
      </c>
    </row>
    <row r="47" spans="1:22" x14ac:dyDescent="0.35">
      <c r="A47" s="8" t="s">
        <v>1</v>
      </c>
      <c r="B47" s="8">
        <f t="shared" ref="B47:J47" si="34">STDEV(B28:B43)</f>
        <v>0.19441293616512387</v>
      </c>
      <c r="C47" s="8">
        <f t="shared" si="34"/>
        <v>0.10406643689777258</v>
      </c>
      <c r="D47" s="8">
        <f t="shared" si="34"/>
        <v>0.8478584624061668</v>
      </c>
      <c r="E47" s="8">
        <f t="shared" si="34"/>
        <v>0.64133354155907041</v>
      </c>
      <c r="F47" s="8">
        <f t="shared" si="34"/>
        <v>0.74953228654070658</v>
      </c>
      <c r="G47" s="8">
        <f t="shared" si="34"/>
        <v>1.3107199820920672</v>
      </c>
      <c r="H47" s="8">
        <f t="shared" si="34"/>
        <v>1.3396227125530664</v>
      </c>
      <c r="I47" s="8">
        <f t="shared" si="34"/>
        <v>7.0909482806452553E-2</v>
      </c>
      <c r="J47" s="8">
        <f t="shared" si="34"/>
        <v>8.5142112066336387E-2</v>
      </c>
      <c r="K47" s="8">
        <f t="shared" ref="K47:M47" si="35">STDEV(K28:K43)</f>
        <v>0.13604800690857383</v>
      </c>
      <c r="L47" s="8">
        <f t="shared" si="35"/>
        <v>3.0433814797588724E-2</v>
      </c>
      <c r="M47" s="8">
        <f t="shared" si="35"/>
        <v>5.7970841147920595E-2</v>
      </c>
      <c r="N47" s="8" t="s">
        <v>1</v>
      </c>
      <c r="O47" s="8">
        <f t="shared" ref="O47:R47" si="36">STDEV(O28:O43)</f>
        <v>0.68368878191661098</v>
      </c>
      <c r="P47" s="8">
        <f t="shared" si="36"/>
        <v>0.32934505637978118</v>
      </c>
      <c r="Q47" s="8">
        <f t="shared" si="36"/>
        <v>5.1673520472667343E-2</v>
      </c>
      <c r="R47" s="8">
        <f t="shared" si="36"/>
        <v>0.44779187653061275</v>
      </c>
      <c r="S47" s="8">
        <f t="shared" ref="S47:V47" si="37">STDEV(S28:S43)</f>
        <v>0.48960573121382361</v>
      </c>
      <c r="T47" s="8">
        <f t="shared" si="37"/>
        <v>1.2415889846889263</v>
      </c>
      <c r="U47" s="8">
        <f t="shared" si="37"/>
        <v>1.6109821602562591</v>
      </c>
      <c r="V47" s="8">
        <f t="shared" si="37"/>
        <v>0.93717206306803447</v>
      </c>
    </row>
    <row r="48" spans="1:22" x14ac:dyDescent="0.35">
      <c r="A48" s="8" t="s">
        <v>2</v>
      </c>
      <c r="B48" s="8">
        <f t="shared" ref="B48:J48" si="38" xml:space="preserve"> B47/SQRT(COUNT(B28:B43))</f>
        <v>6.8735352756373228E-2</v>
      </c>
      <c r="C48" s="8">
        <f t="shared" si="38"/>
        <v>3.679304161216846E-2</v>
      </c>
      <c r="D48" s="8">
        <f t="shared" si="38"/>
        <v>0.29976323412689998</v>
      </c>
      <c r="E48" s="8">
        <f t="shared" si="38"/>
        <v>0.22674564811940157</v>
      </c>
      <c r="F48" s="8">
        <f t="shared" si="38"/>
        <v>0.26499968126559603</v>
      </c>
      <c r="G48" s="8">
        <f t="shared" si="38"/>
        <v>0.46340949378700541</v>
      </c>
      <c r="H48" s="8">
        <f t="shared" si="38"/>
        <v>0.47362815213889514</v>
      </c>
      <c r="I48" s="8">
        <f t="shared" si="38"/>
        <v>2.5070288071436748E-2</v>
      </c>
      <c r="J48" s="8">
        <f t="shared" si="38"/>
        <v>3.0102282403325714E-2</v>
      </c>
      <c r="K48" s="8">
        <f t="shared" ref="K48:M48" si="39" xml:space="preserve"> K47/SQRT(COUNT(K28:K43))</f>
        <v>4.8100234125983403E-2</v>
      </c>
      <c r="L48" s="8">
        <f t="shared" si="39"/>
        <v>1.0759978410375241E-2</v>
      </c>
      <c r="M48" s="8">
        <f t="shared" si="39"/>
        <v>2.0495787443391394E-2</v>
      </c>
      <c r="N48" s="8" t="s">
        <v>2</v>
      </c>
      <c r="O48" s="8">
        <f t="shared" ref="O48:R48" si="40" xml:space="preserve"> O47/SQRT(COUNT(O28:O43))</f>
        <v>0.17092219547915274</v>
      </c>
      <c r="P48" s="8">
        <f t="shared" si="40"/>
        <v>0.11644106135820453</v>
      </c>
      <c r="Q48" s="8">
        <f t="shared" si="40"/>
        <v>1.8269348367002485E-2</v>
      </c>
      <c r="R48" s="8">
        <f t="shared" si="40"/>
        <v>0.15831833622752273</v>
      </c>
      <c r="S48" s="8">
        <f t="shared" ref="S48:V48" si="41" xml:space="preserve"> S47/SQRT(COUNT(S28:S43))</f>
        <v>0.17310176632454638</v>
      </c>
      <c r="T48" s="8">
        <f t="shared" si="41"/>
        <v>0.43896799526003011</v>
      </c>
      <c r="U48" s="8">
        <f t="shared" si="41"/>
        <v>0.56956820494387705</v>
      </c>
      <c r="V48" s="8">
        <f t="shared" si="41"/>
        <v>0.33134036046699694</v>
      </c>
    </row>
    <row r="49" spans="1:22" ht="15" thickBot="1" x14ac:dyDescent="0.4">
      <c r="A49" s="8"/>
      <c r="B49" s="8"/>
      <c r="C49" s="8"/>
      <c r="D49" s="8"/>
      <c r="E49" s="8"/>
      <c r="F49" s="8"/>
      <c r="G49" s="8"/>
      <c r="H49" s="8"/>
      <c r="I49" s="8"/>
      <c r="J49" s="8"/>
      <c r="K49" s="8"/>
      <c r="L49" s="8"/>
      <c r="M49" s="8"/>
      <c r="N49" s="8"/>
      <c r="O49" s="8"/>
      <c r="P49" s="8"/>
      <c r="Q49" s="8"/>
      <c r="R49" s="8"/>
      <c r="S49" s="8"/>
      <c r="T49" s="8"/>
      <c r="U49" s="8"/>
      <c r="V49" s="8"/>
    </row>
    <row r="50" spans="1:22" ht="26.5" thickBot="1" x14ac:dyDescent="0.65">
      <c r="A50" s="215" t="s">
        <v>44</v>
      </c>
      <c r="B50" s="216"/>
      <c r="C50" s="216"/>
      <c r="D50" s="216"/>
      <c r="E50" s="216"/>
      <c r="F50" s="216"/>
      <c r="G50" s="216"/>
      <c r="H50" s="216"/>
      <c r="I50" s="216"/>
      <c r="J50" s="216"/>
      <c r="K50" s="216"/>
      <c r="L50" s="216"/>
      <c r="M50" s="216"/>
      <c r="N50" s="216"/>
      <c r="O50" s="216"/>
      <c r="P50" s="216"/>
      <c r="Q50" s="216"/>
      <c r="R50" s="216"/>
      <c r="S50" s="216"/>
      <c r="T50" s="216"/>
      <c r="U50" s="216"/>
      <c r="V50" s="216"/>
    </row>
    <row r="51" spans="1:22" customFormat="1" ht="15" thickBot="1" x14ac:dyDescent="0.4"/>
    <row r="52" spans="1:22" x14ac:dyDescent="0.35">
      <c r="A52" s="45" t="str">
        <f t="shared" ref="A52:H52" si="42">A27</f>
        <v>Noms des groupes</v>
      </c>
      <c r="B52" s="46" t="str">
        <f t="shared" si="42"/>
        <v>Témoin solvant</v>
      </c>
      <c r="C52" s="46" t="str">
        <f t="shared" si="42"/>
        <v>EE2-33,8ng/L</v>
      </c>
      <c r="D52" s="46" t="str">
        <f t="shared" si="42"/>
        <v>EE2-50,6ng/L</v>
      </c>
      <c r="E52" s="46" t="str">
        <f t="shared" si="42"/>
        <v>EE2-76ng/L</v>
      </c>
      <c r="F52" s="46" t="str">
        <f t="shared" si="42"/>
        <v>EE2-114ng/L</v>
      </c>
      <c r="G52" s="46" t="str">
        <f t="shared" si="42"/>
        <v>EE2-170,9ng/L</v>
      </c>
      <c r="H52" s="46" t="str">
        <f t="shared" si="42"/>
        <v>EE2-488ng/L</v>
      </c>
      <c r="I52" s="46" t="str">
        <f>I4</f>
        <v>Dutasteride-0,01mg/L</v>
      </c>
      <c r="J52" s="46" t="str">
        <f>J4</f>
        <v>Dutasteride-0,1mg/L</v>
      </c>
      <c r="K52" s="46" t="str">
        <f t="shared" ref="K52:M52" si="43">K4</f>
        <v>Dutasteride-0,25mg/L</v>
      </c>
      <c r="L52" s="46" t="str">
        <f t="shared" si="43"/>
        <v>Dutasteride-0,5mg/L</v>
      </c>
      <c r="M52" s="46" t="str">
        <f t="shared" si="43"/>
        <v>Dutasteride-1mg/L</v>
      </c>
      <c r="N52" s="47"/>
      <c r="O52" s="46" t="str">
        <f>O27</f>
        <v>Testo -30µg/L</v>
      </c>
      <c r="P52" s="46" t="str">
        <f>P27</f>
        <v>Testo 30µg/L + EE2 -64ng/L</v>
      </c>
      <c r="Q52" s="46" t="str">
        <f>Q27</f>
        <v>Testo 30µg/L + FAD-10µg/L</v>
      </c>
      <c r="R52" s="46" t="str">
        <f>R27</f>
        <v>Dutasteride-0,01mg/L + Testostérone</v>
      </c>
      <c r="S52" s="46" t="str">
        <f t="shared" ref="S52:V52" si="44">S27</f>
        <v>Dutasteride-0,1mg/L + Testostérone</v>
      </c>
      <c r="T52" s="46" t="str">
        <f t="shared" si="44"/>
        <v>Dutasteride-0,25mg/L + Testostérone</v>
      </c>
      <c r="U52" s="46" t="str">
        <f t="shared" si="44"/>
        <v>Dutasteride-0,5mg/L + Testostérone</v>
      </c>
      <c r="V52" s="46" t="str">
        <f t="shared" si="44"/>
        <v>Dutasteride-1mg/L + Testostérone</v>
      </c>
    </row>
    <row r="53" spans="1:22" s="3" customFormat="1" x14ac:dyDescent="0.35">
      <c r="A53" s="61" t="s">
        <v>32</v>
      </c>
      <c r="B53" s="141">
        <f t="shared" ref="B53" si="45">B46</f>
        <v>0.2431555624769941</v>
      </c>
      <c r="C53" s="141">
        <f t="shared" ref="C53:V53" si="46">C46</f>
        <v>0.13944129496519281</v>
      </c>
      <c r="D53" s="141">
        <f t="shared" si="46"/>
        <v>0.69726578458775412</v>
      </c>
      <c r="E53" s="141">
        <f t="shared" si="46"/>
        <v>1.1815344391005544</v>
      </c>
      <c r="F53" s="141">
        <f t="shared" si="46"/>
        <v>1.8712369397174164</v>
      </c>
      <c r="G53" s="141">
        <f t="shared" si="46"/>
        <v>3.0131012381734412</v>
      </c>
      <c r="H53" s="141">
        <f t="shared" si="46"/>
        <v>4.384133046003746</v>
      </c>
      <c r="I53" s="141">
        <f t="shared" si="46"/>
        <v>0.13496429279302968</v>
      </c>
      <c r="J53" s="141">
        <f t="shared" si="46"/>
        <v>0.11989991667307125</v>
      </c>
      <c r="K53" s="141">
        <f t="shared" si="46"/>
        <v>0.17403420651325344</v>
      </c>
      <c r="L53" s="141">
        <f t="shared" si="46"/>
        <v>5.5363665414066066E-2</v>
      </c>
      <c r="M53" s="141">
        <f t="shared" si="46"/>
        <v>8.2638369219194319E-2</v>
      </c>
      <c r="N53" s="141"/>
      <c r="O53" s="141">
        <f t="shared" si="46"/>
        <v>0.99999999999999989</v>
      </c>
      <c r="P53" s="141">
        <f t="shared" si="46"/>
        <v>2.5343628523697612</v>
      </c>
      <c r="Q53" s="141">
        <f t="shared" si="46"/>
        <v>0.11455349305676343</v>
      </c>
      <c r="R53" s="141">
        <f t="shared" si="46"/>
        <v>0.95482011900379826</v>
      </c>
      <c r="S53" s="141">
        <f t="shared" si="46"/>
        <v>0.83909034095275858</v>
      </c>
      <c r="T53" s="141">
        <f t="shared" si="46"/>
        <v>1.3627324861762242</v>
      </c>
      <c r="U53" s="141">
        <f t="shared" si="46"/>
        <v>1.3724415902499403</v>
      </c>
      <c r="V53" s="141">
        <f t="shared" si="46"/>
        <v>1.3099765289075678</v>
      </c>
    </row>
    <row r="54" spans="1:22" s="3" customFormat="1" x14ac:dyDescent="0.35">
      <c r="A54" s="61" t="s">
        <v>2</v>
      </c>
      <c r="B54" s="141">
        <f t="shared" ref="B54" si="47">B48</f>
        <v>6.8735352756373228E-2</v>
      </c>
      <c r="C54" s="141">
        <f t="shared" ref="C54:V54" si="48">C48</f>
        <v>3.679304161216846E-2</v>
      </c>
      <c r="D54" s="141">
        <f t="shared" si="48"/>
        <v>0.29976323412689998</v>
      </c>
      <c r="E54" s="141">
        <f t="shared" si="48"/>
        <v>0.22674564811940157</v>
      </c>
      <c r="F54" s="141">
        <f t="shared" si="48"/>
        <v>0.26499968126559603</v>
      </c>
      <c r="G54" s="141">
        <f t="shared" si="48"/>
        <v>0.46340949378700541</v>
      </c>
      <c r="H54" s="141">
        <f t="shared" si="48"/>
        <v>0.47362815213889514</v>
      </c>
      <c r="I54" s="141">
        <f t="shared" si="48"/>
        <v>2.5070288071436748E-2</v>
      </c>
      <c r="J54" s="141">
        <f t="shared" si="48"/>
        <v>3.0102282403325714E-2</v>
      </c>
      <c r="K54" s="141">
        <f t="shared" si="48"/>
        <v>4.8100234125983403E-2</v>
      </c>
      <c r="L54" s="141">
        <f t="shared" si="48"/>
        <v>1.0759978410375241E-2</v>
      </c>
      <c r="M54" s="141">
        <f t="shared" si="48"/>
        <v>2.0495787443391394E-2</v>
      </c>
      <c r="N54" s="141"/>
      <c r="O54" s="141">
        <f t="shared" si="48"/>
        <v>0.17092219547915274</v>
      </c>
      <c r="P54" s="141">
        <f t="shared" si="48"/>
        <v>0.11644106135820453</v>
      </c>
      <c r="Q54" s="141">
        <f t="shared" si="48"/>
        <v>1.8269348367002485E-2</v>
      </c>
      <c r="R54" s="141">
        <f t="shared" si="48"/>
        <v>0.15831833622752273</v>
      </c>
      <c r="S54" s="141">
        <f t="shared" si="48"/>
        <v>0.17310176632454638</v>
      </c>
      <c r="T54" s="141">
        <f t="shared" si="48"/>
        <v>0.43896799526003011</v>
      </c>
      <c r="U54" s="141">
        <f t="shared" si="48"/>
        <v>0.56956820494387705</v>
      </c>
      <c r="V54" s="141">
        <f t="shared" si="48"/>
        <v>0.33134036046699694</v>
      </c>
    </row>
    <row r="55" spans="1:22" s="3" customFormat="1" x14ac:dyDescent="0.35">
      <c r="A55" s="61" t="s">
        <v>79</v>
      </c>
      <c r="B55" s="141">
        <f>(B53*100/$B53)-100</f>
        <v>0</v>
      </c>
      <c r="C55" s="141">
        <f t="shared" ref="C55:M55" si="49">(C53*100/$B53)-100</f>
        <v>-42.653462851220645</v>
      </c>
      <c r="D55" s="141">
        <f t="shared" si="49"/>
        <v>186.7570774383272</v>
      </c>
      <c r="E55" s="141">
        <f t="shared" si="49"/>
        <v>385.91709236030493</v>
      </c>
      <c r="F55" s="141">
        <f t="shared" si="49"/>
        <v>669.56369850451665</v>
      </c>
      <c r="G55" s="141">
        <f t="shared" si="49"/>
        <v>1139.1660743761609</v>
      </c>
      <c r="H55" s="141">
        <f t="shared" si="49"/>
        <v>1703.0157325389362</v>
      </c>
      <c r="I55" s="141">
        <f t="shared" si="49"/>
        <v>-44.49467188076391</v>
      </c>
      <c r="J55" s="141">
        <f t="shared" si="49"/>
        <v>-50.690037500410689</v>
      </c>
      <c r="K55" s="141">
        <f t="shared" si="49"/>
        <v>-28.426804330367929</v>
      </c>
      <c r="L55" s="141">
        <f t="shared" si="49"/>
        <v>-77.231174623321948</v>
      </c>
      <c r="M55" s="141">
        <f t="shared" si="49"/>
        <v>-66.014197504935538</v>
      </c>
      <c r="N55" s="141"/>
      <c r="O55" s="141">
        <f t="shared" ref="O55:V55" si="50">(O53*100/$O53)-100</f>
        <v>0</v>
      </c>
      <c r="P55" s="141">
        <f t="shared" si="50"/>
        <v>153.43628523697615</v>
      </c>
      <c r="Q55" s="141">
        <f t="shared" si="50"/>
        <v>-88.54465069432365</v>
      </c>
      <c r="R55" s="141">
        <f t="shared" si="50"/>
        <v>-4.5179880996201547</v>
      </c>
      <c r="S55" s="141">
        <f t="shared" si="50"/>
        <v>-16.090965904724129</v>
      </c>
      <c r="T55" s="141">
        <f t="shared" si="50"/>
        <v>36.273248617622443</v>
      </c>
      <c r="U55" s="141">
        <f t="shared" si="50"/>
        <v>37.244159024994048</v>
      </c>
      <c r="V55" s="141">
        <f t="shared" si="50"/>
        <v>30.997652890756797</v>
      </c>
    </row>
    <row r="56" spans="1:22" s="3" customFormat="1" x14ac:dyDescent="0.35">
      <c r="A56" s="61" t="s">
        <v>81</v>
      </c>
      <c r="B56" s="141">
        <f>[1]!SWTEST(B28:B43)</f>
        <v>0.21147057065151986</v>
      </c>
      <c r="C56" s="141">
        <f>[1]!SWTEST(C28:C43)</f>
        <v>0.60220159608885604</v>
      </c>
      <c r="D56" s="141">
        <f>[1]!SWTEST(D28:D43)</f>
        <v>2.9275674824811304E-3</v>
      </c>
      <c r="E56" s="141">
        <f>[1]!SWTEST(E28:E43)</f>
        <v>0.43090489412747712</v>
      </c>
      <c r="F56" s="141">
        <f>[1]!SWTEST(F28:F43)</f>
        <v>0.5303809280231937</v>
      </c>
      <c r="G56" s="141">
        <f>[1]!SWTEST(G28:G43)</f>
        <v>0.30666098637323969</v>
      </c>
      <c r="H56" s="141">
        <f>[1]!SWTEST(H28:H43)</f>
        <v>0.95620702095263121</v>
      </c>
      <c r="I56" s="141">
        <f>[1]!SWTEST(I28:I43)</f>
        <v>0.71825604340226368</v>
      </c>
      <c r="J56" s="141">
        <f>[1]!SWTEST(J28:J43)</f>
        <v>6.263691641617064E-2</v>
      </c>
      <c r="K56" s="141">
        <f>[1]!SWTEST(K28:K43)</f>
        <v>0.48549884199342275</v>
      </c>
      <c r="L56" s="141">
        <f>[1]!SWTEST(L28:L43)</f>
        <v>0.74939822804309075</v>
      </c>
      <c r="M56" s="141">
        <f>[1]!SWTEST(M28:M43)</f>
        <v>3.9686390585768394E-2</v>
      </c>
      <c r="N56" s="141"/>
      <c r="O56" s="141">
        <f>[1]!SWTEST(O28:O43)</f>
        <v>0.33740600487791483</v>
      </c>
      <c r="P56" s="141">
        <f>[1]!SWTEST(P28:P43)</f>
        <v>0.94016975236424583</v>
      </c>
      <c r="Q56" s="141">
        <f>[1]!SWTEST(Q28:Q43)</f>
        <v>0.51763161538970293</v>
      </c>
      <c r="R56" s="141">
        <f>[1]!SWTEST(R28:R43)</f>
        <v>4.0182050201917563E-2</v>
      </c>
      <c r="S56" s="141">
        <f>[1]!SWTEST(S28:S43)</f>
        <v>0.56127289509183631</v>
      </c>
      <c r="T56" s="141">
        <f>[1]!SWTEST(T28:T43)</f>
        <v>0.27694372128031552</v>
      </c>
      <c r="U56" s="141">
        <f>[1]!SWTEST(U28:U43)</f>
        <v>2.5597303473761213E-2</v>
      </c>
      <c r="V56" s="141">
        <f>[1]!SWTEST(V28:V43)</f>
        <v>0.63091164882324646</v>
      </c>
    </row>
    <row r="57" spans="1:22" s="3" customFormat="1" x14ac:dyDescent="0.35">
      <c r="A57" s="61" t="s">
        <v>85</v>
      </c>
      <c r="B57" s="141" t="str">
        <f>IF(B56&gt;0.05,"Oui","Non")</f>
        <v>Oui</v>
      </c>
      <c r="C57" s="141" t="str">
        <f t="shared" ref="C57:V57" si="51">IF(C56&gt;0.05,"Oui","Non")</f>
        <v>Oui</v>
      </c>
      <c r="D57" s="141" t="str">
        <f t="shared" si="51"/>
        <v>Non</v>
      </c>
      <c r="E57" s="141" t="str">
        <f t="shared" si="51"/>
        <v>Oui</v>
      </c>
      <c r="F57" s="141" t="str">
        <f t="shared" si="51"/>
        <v>Oui</v>
      </c>
      <c r="G57" s="141" t="str">
        <f t="shared" si="51"/>
        <v>Oui</v>
      </c>
      <c r="H57" s="141" t="str">
        <f t="shared" si="51"/>
        <v>Oui</v>
      </c>
      <c r="I57" s="141" t="str">
        <f t="shared" si="51"/>
        <v>Oui</v>
      </c>
      <c r="J57" s="141" t="str">
        <f t="shared" si="51"/>
        <v>Oui</v>
      </c>
      <c r="K57" s="141" t="str">
        <f t="shared" si="51"/>
        <v>Oui</v>
      </c>
      <c r="L57" s="141" t="str">
        <f t="shared" si="51"/>
        <v>Oui</v>
      </c>
      <c r="M57" s="141" t="str">
        <f t="shared" si="51"/>
        <v>Non</v>
      </c>
      <c r="N57" s="141"/>
      <c r="O57" s="141" t="str">
        <f t="shared" si="51"/>
        <v>Oui</v>
      </c>
      <c r="P57" s="141" t="str">
        <f t="shared" si="51"/>
        <v>Oui</v>
      </c>
      <c r="Q57" s="141" t="str">
        <f t="shared" si="51"/>
        <v>Oui</v>
      </c>
      <c r="R57" s="141" t="str">
        <f t="shared" si="51"/>
        <v>Non</v>
      </c>
      <c r="S57" s="141" t="str">
        <f t="shared" si="51"/>
        <v>Oui</v>
      </c>
      <c r="T57" s="141" t="str">
        <f t="shared" si="51"/>
        <v>Oui</v>
      </c>
      <c r="U57" s="141" t="str">
        <f t="shared" si="51"/>
        <v>Non</v>
      </c>
      <c r="V57" s="141" t="str">
        <f t="shared" si="51"/>
        <v>Oui</v>
      </c>
    </row>
    <row r="58" spans="1:22" s="3" customFormat="1" x14ac:dyDescent="0.35">
      <c r="A58" s="61"/>
      <c r="B58" s="141"/>
      <c r="C58" s="141"/>
      <c r="D58" s="141"/>
      <c r="E58" s="141"/>
      <c r="F58" s="141"/>
      <c r="G58" s="141"/>
      <c r="H58" s="141"/>
      <c r="I58" s="141"/>
      <c r="J58" s="141"/>
      <c r="K58" s="141"/>
      <c r="L58" s="141"/>
      <c r="M58" s="141"/>
      <c r="N58" s="148"/>
      <c r="O58" s="149"/>
      <c r="P58" s="141"/>
      <c r="Q58" s="141"/>
      <c r="R58" s="141"/>
      <c r="S58" s="141"/>
      <c r="T58" s="141"/>
      <c r="U58" s="141"/>
      <c r="V58" s="141"/>
    </row>
    <row r="59" spans="1:22" s="3" customFormat="1" x14ac:dyDescent="0.35">
      <c r="A59" s="61" t="s">
        <v>82</v>
      </c>
      <c r="B59" s="150"/>
      <c r="C59" s="150" t="str">
        <f t="shared" ref="C59:O59" si="52">IF($B57="Non",IF(C57="Non","MW",IF(C57="Oui","MW","")),IF($B57="Oui",IF(C57="Oui","T-Test Welch",IF(C57="Non","MW",""))))</f>
        <v>T-Test Welch</v>
      </c>
      <c r="D59" s="150" t="str">
        <f t="shared" si="52"/>
        <v>MW</v>
      </c>
      <c r="E59" s="150" t="str">
        <f t="shared" si="52"/>
        <v>T-Test Welch</v>
      </c>
      <c r="F59" s="150" t="str">
        <f t="shared" si="52"/>
        <v>T-Test Welch</v>
      </c>
      <c r="G59" s="150" t="str">
        <f t="shared" si="52"/>
        <v>T-Test Welch</v>
      </c>
      <c r="H59" s="150" t="str">
        <f t="shared" si="52"/>
        <v>T-Test Welch</v>
      </c>
      <c r="I59" s="150" t="str">
        <f t="shared" si="52"/>
        <v>T-Test Welch</v>
      </c>
      <c r="J59" s="150" t="str">
        <f t="shared" si="52"/>
        <v>T-Test Welch</v>
      </c>
      <c r="K59" s="150" t="str">
        <f t="shared" si="52"/>
        <v>T-Test Welch</v>
      </c>
      <c r="L59" s="150" t="str">
        <f t="shared" si="52"/>
        <v>T-Test Welch</v>
      </c>
      <c r="M59" s="150" t="str">
        <f t="shared" si="52"/>
        <v>MW</v>
      </c>
      <c r="N59" s="150"/>
      <c r="O59" s="150" t="str">
        <f t="shared" si="52"/>
        <v>T-Test Welch</v>
      </c>
      <c r="P59" s="150" t="str">
        <f t="shared" ref="P59:V59" si="53">IF($O57="Non",IF(P57="Non","MW",IF(P57="Oui","MW","")),IF($O57="Oui",IF(P57="Oui","T-Test Welch",IF(P57="Non","MW",""))))</f>
        <v>T-Test Welch</v>
      </c>
      <c r="Q59" s="150" t="str">
        <f t="shared" si="53"/>
        <v>T-Test Welch</v>
      </c>
      <c r="R59" s="150" t="str">
        <f t="shared" si="53"/>
        <v>MW</v>
      </c>
      <c r="S59" s="150" t="str">
        <f t="shared" si="53"/>
        <v>T-Test Welch</v>
      </c>
      <c r="T59" s="150" t="str">
        <f t="shared" si="53"/>
        <v>T-Test Welch</v>
      </c>
      <c r="U59" s="150" t="str">
        <f t="shared" si="53"/>
        <v>MW</v>
      </c>
      <c r="V59" s="150" t="str">
        <f t="shared" si="53"/>
        <v>T-Test Welch</v>
      </c>
    </row>
    <row r="60" spans="1:22" s="3" customFormat="1" x14ac:dyDescent="0.35">
      <c r="A60" s="61" t="s">
        <v>83</v>
      </c>
      <c r="B60" s="151"/>
      <c r="C60" s="151">
        <f>IF(C59="MW",[1]!MTEST($B28:$B43,C28:C43,2), IF(C59="T-Test Welch",_xlfn.T.TEST($B28:$B43,C28:C43,2,3),""))</f>
        <v>0.21106010594883387</v>
      </c>
      <c r="D60" s="151">
        <f>IF(D59="MW",[1]!MTEST($B28:$B43,D28:D43,2), IF(D59="T-Test Welch",_xlfn.T.TEST($B28:$B43,D28:D43,2,3),""))</f>
        <v>0.1721672360665969</v>
      </c>
      <c r="E60" s="151">
        <f>IF(E59="MW",[1]!MTEST($B28:$B43,E28:E43,2), IF(E59="T-Test Welch",_xlfn.T.TEST($B28:$B43,E28:E43,2,3),""))</f>
        <v>3.9008842518858627E-3</v>
      </c>
      <c r="F60" s="151">
        <f>IF(F59="MW",[1]!MTEST($B28:$B43,F28:F43,2), IF(F59="T-Test Welch",_xlfn.T.TEST($B28:$B43,F28:F43,2,3),""))</f>
        <v>3.5373016520202113E-4</v>
      </c>
      <c r="G60" s="151">
        <f>IF(G59="MW",[1]!MTEST($B28:$B43,G28:G43,2), IF(G59="T-Test Welch",_xlfn.T.TEST($B28:$B43,G28:G43,2,3),""))</f>
        <v>5.0353993021377255E-4</v>
      </c>
      <c r="H60" s="151">
        <f>IF(H59="MW",[1]!MTEST($B28:$B43,H28:H43,2), IF(H59="T-Test Welch",_xlfn.T.TEST($B28:$B43,H28:H43,2,3),""))</f>
        <v>4.3209116368788072E-5</v>
      </c>
      <c r="I60" s="151">
        <f>IF(I59="MW",[1]!MTEST($B28:$B43,I28:I43,2), IF(I59="T-Test Welch",_xlfn.T.TEST($B28:$B43,I28:I43,2,3),""))</f>
        <v>0.17397376204254952</v>
      </c>
      <c r="J60" s="151">
        <f>IF(J59="MW",[1]!MTEST($B28:$B43,J28:J43,2), IF(J59="T-Test Welch",_xlfn.T.TEST($B28:$B43,J28:J43,2,3),""))</f>
        <v>0.13280553881247595</v>
      </c>
      <c r="K60" s="151">
        <f>IF(K59="MW",[1]!MTEST($B28:$B43,K28:K43,2), IF(K59="T-Test Welch",_xlfn.T.TEST($B28:$B43,K28:K43,2,3),""))</f>
        <v>0.42539406560765625</v>
      </c>
      <c r="L60" s="151">
        <f>IF(L59="MW",[1]!MTEST($B28:$B43,L28:L43,2), IF(L59="T-Test Welch",_xlfn.T.TEST($B28:$B43,L28:L43,2,3),""))</f>
        <v>2.9326092621877135E-2</v>
      </c>
      <c r="M60" s="151">
        <f>IF(M59="MW",[1]!MTEST($B28:$B43,M28:M43,2), IF(M59="T-Test Welch",_xlfn.T.TEST($B28:$B43,M28:M43,2,3),""))</f>
        <v>3.5691900116804343E-2</v>
      </c>
      <c r="N60" s="151"/>
      <c r="O60" s="151">
        <f>IF(O59="MW",[1]!MTEST($B28:$B43,O28:O43,2), IF(O59="T-Test Welch",_xlfn.T.TEST($B28:$B43,O28:O43,2,3),""))</f>
        <v>5.8890352941185528E-4</v>
      </c>
      <c r="P60" s="151">
        <f>IF(P59="MW",[1]!MTEST($O28:$O43,P28:P43,2), IF(P59="T-Test Welch",_xlfn.T.TEST($O28:$O43,P28:P43,2,3),""))</f>
        <v>2.0162989064555513E-7</v>
      </c>
      <c r="Q60" s="151">
        <f>IF(Q59="MW",[1]!MTEST($O28:$O43,Q28:Q43,2), IF(Q59="T-Test Welch",_xlfn.T.TEST($O28:$O43,Q28:Q43,2,3),""))</f>
        <v>1.1027013820609206E-4</v>
      </c>
      <c r="R60" s="151">
        <f>IF(R59="MW",[1]!MTEST($O28:$O43,R28:R43,2), IF(R59="T-Test Welch",_xlfn.T.TEST($O28:$O43,R28:R43,2,3),""))</f>
        <v>0.80649594050733997</v>
      </c>
      <c r="S60" s="151">
        <f>IF(S59="MW",[1]!MTEST($O28:$O43,S28:S43,2), IF(S59="T-Test Welch",_xlfn.T.TEST($O28:$O43,S28:S43,2,3),""))</f>
        <v>0.51629909981991329</v>
      </c>
      <c r="T60" s="151">
        <f>IF(T59="MW",[1]!MTEST($O28:$O43,T28:T43,2), IF(T59="T-Test Welch",_xlfn.T.TEST($O28:$O43,T28:T43,2,3),""))</f>
        <v>0.46063444570649204</v>
      </c>
      <c r="U60" s="151">
        <f>IF(U59="MW",[1]!MTEST($O28:$O43,U28:U43,2), IF(U59="T-Test Welch",_xlfn.T.TEST($O28:$O43,U28:U43,2,3),""))</f>
        <v>0.75946286537993357</v>
      </c>
      <c r="V60" s="151">
        <f>IF(V59="MW",[1]!MTEST($O28:$O43,V28:V43,2), IF(V59="T-Test Welch",_xlfn.T.TEST($O28:$O43,V28:V43,2,3),""))</f>
        <v>0.42363706729769113</v>
      </c>
    </row>
    <row r="61" spans="1:22" s="3" customFormat="1" ht="15" thickBot="1" x14ac:dyDescent="0.4">
      <c r="A61" s="62" t="s">
        <v>84</v>
      </c>
      <c r="B61" s="142"/>
      <c r="C61" s="142" t="str">
        <f t="shared" ref="C61:O61" si="54">IF(C60&gt;0.05,"NS",IF(C60&gt;0.01,"*",IF(C60&gt;0.001,"**","***")))</f>
        <v>NS</v>
      </c>
      <c r="D61" s="142" t="str">
        <f t="shared" si="54"/>
        <v>NS</v>
      </c>
      <c r="E61" s="142" t="str">
        <f t="shared" si="54"/>
        <v>**</v>
      </c>
      <c r="F61" s="142" t="str">
        <f t="shared" si="54"/>
        <v>***</v>
      </c>
      <c r="G61" s="142" t="str">
        <f t="shared" si="54"/>
        <v>***</v>
      </c>
      <c r="H61" s="142" t="str">
        <f t="shared" si="54"/>
        <v>***</v>
      </c>
      <c r="I61" s="142" t="str">
        <f t="shared" si="54"/>
        <v>NS</v>
      </c>
      <c r="J61" s="142" t="str">
        <f t="shared" si="54"/>
        <v>NS</v>
      </c>
      <c r="K61" s="142" t="str">
        <f t="shared" si="54"/>
        <v>NS</v>
      </c>
      <c r="L61" s="142" t="str">
        <f t="shared" si="54"/>
        <v>*</v>
      </c>
      <c r="M61" s="142" t="str">
        <f t="shared" si="54"/>
        <v>*</v>
      </c>
      <c r="N61" s="142"/>
      <c r="O61" s="142" t="str">
        <f t="shared" si="54"/>
        <v>***</v>
      </c>
      <c r="P61" s="142" t="str">
        <f>IF(P60&gt;0.05,"NS",IF(P60&gt;0.01,"*",IF(P60&gt;0.001,"**","***")))</f>
        <v>***</v>
      </c>
      <c r="Q61" s="142" t="str">
        <f t="shared" ref="Q61:V61" si="55">IF(Q60&gt;0.05,"NS",IF(Q60&gt;0.01,"*",IF(Q60&gt;0.001,"**","***")))</f>
        <v>***</v>
      </c>
      <c r="R61" s="142" t="str">
        <f t="shared" si="55"/>
        <v>NS</v>
      </c>
      <c r="S61" s="142" t="str">
        <f t="shared" si="55"/>
        <v>NS</v>
      </c>
      <c r="T61" s="142" t="str">
        <f t="shared" si="55"/>
        <v>NS</v>
      </c>
      <c r="U61" s="142" t="str">
        <f t="shared" si="55"/>
        <v>NS</v>
      </c>
      <c r="V61" s="142" t="str">
        <f t="shared" si="55"/>
        <v>NS</v>
      </c>
    </row>
    <row r="63" spans="1:22" x14ac:dyDescent="0.35">
      <c r="A63" s="2" t="s">
        <v>39</v>
      </c>
    </row>
    <row r="64" spans="1:22" x14ac:dyDescent="0.35">
      <c r="A64" s="1" t="s">
        <v>23</v>
      </c>
      <c r="B64" s="1">
        <f>B46+(3*B47)</f>
        <v>0.82639437097236568</v>
      </c>
    </row>
    <row r="65" spans="1:22" x14ac:dyDescent="0.35">
      <c r="A65" s="1" t="s">
        <v>24</v>
      </c>
      <c r="B65" s="1">
        <f>B46+(10*B47)</f>
        <v>2.1872849241282326</v>
      </c>
    </row>
    <row r="66" spans="1:22" ht="15" thickBot="1" x14ac:dyDescent="0.4"/>
    <row r="67" spans="1:22" ht="26.5" thickBot="1" x14ac:dyDescent="0.65">
      <c r="A67" s="215" t="s">
        <v>45</v>
      </c>
      <c r="B67" s="216"/>
      <c r="C67" s="216"/>
      <c r="D67" s="216"/>
      <c r="E67" s="216"/>
      <c r="F67" s="216"/>
      <c r="G67" s="216"/>
      <c r="H67" s="216"/>
      <c r="I67" s="216"/>
      <c r="J67" s="216"/>
      <c r="K67" s="216"/>
      <c r="L67" s="216"/>
      <c r="M67" s="216"/>
      <c r="N67" s="216"/>
      <c r="O67" s="216"/>
      <c r="P67" s="216"/>
      <c r="Q67" s="216"/>
      <c r="R67" s="216"/>
      <c r="S67" s="216"/>
      <c r="T67" s="216"/>
      <c r="U67" s="216"/>
      <c r="V67" s="216"/>
    </row>
    <row r="68" spans="1:22" ht="16.5" x14ac:dyDescent="0.35">
      <c r="A68" s="12"/>
      <c r="B68" s="12"/>
      <c r="C68" s="12"/>
      <c r="D68" s="12"/>
      <c r="E68" s="12"/>
      <c r="F68" s="12"/>
      <c r="N68" s="12"/>
      <c r="O68" s="12"/>
      <c r="P68" s="12"/>
      <c r="Q68" s="12"/>
      <c r="R68" s="12"/>
      <c r="S68" s="12"/>
      <c r="T68" s="12"/>
      <c r="U68" s="12"/>
      <c r="V68" s="12"/>
    </row>
    <row r="69" spans="1:22" ht="16.5" x14ac:dyDescent="0.35">
      <c r="A69" s="12"/>
      <c r="B69" s="12"/>
      <c r="C69" s="12"/>
      <c r="D69" s="12"/>
      <c r="E69" s="12"/>
      <c r="F69" s="12"/>
      <c r="N69" s="12"/>
      <c r="O69" s="12"/>
      <c r="P69" s="12"/>
      <c r="Q69" s="12"/>
      <c r="R69" s="12"/>
      <c r="S69" s="12"/>
      <c r="T69" s="12"/>
      <c r="U69" s="12"/>
      <c r="V69" s="12"/>
    </row>
    <row r="70" spans="1:22" ht="16.5" x14ac:dyDescent="0.35">
      <c r="A70" s="12"/>
      <c r="B70" s="12"/>
      <c r="C70" s="12"/>
      <c r="D70" s="12"/>
      <c r="E70" s="12"/>
      <c r="F70" s="12"/>
      <c r="N70" s="12"/>
      <c r="O70" s="12"/>
      <c r="P70" s="12"/>
      <c r="Q70" s="12"/>
      <c r="R70" s="12"/>
      <c r="S70" s="12"/>
      <c r="T70" s="12"/>
      <c r="U70" s="12"/>
      <c r="V70" s="12"/>
    </row>
    <row r="71" spans="1:22" ht="16.5" x14ac:dyDescent="0.35">
      <c r="A71" s="12"/>
      <c r="B71" s="12"/>
      <c r="C71" s="12"/>
      <c r="D71" s="12"/>
      <c r="E71" s="12"/>
      <c r="F71" s="12"/>
      <c r="N71" s="12"/>
      <c r="O71" s="12"/>
      <c r="P71" s="12"/>
      <c r="Q71" s="12"/>
      <c r="R71" s="12"/>
      <c r="S71" s="12"/>
      <c r="T71" s="12"/>
      <c r="U71" s="12"/>
      <c r="V71" s="12"/>
    </row>
    <row r="72" spans="1:22" ht="16.5" x14ac:dyDescent="0.35">
      <c r="A72" s="12"/>
      <c r="B72" s="12"/>
      <c r="C72" s="12"/>
      <c r="D72" s="12"/>
      <c r="E72" s="12"/>
      <c r="F72" s="12"/>
      <c r="N72" s="12"/>
      <c r="O72" s="12"/>
      <c r="P72" s="12"/>
      <c r="Q72" s="12"/>
      <c r="R72" s="12"/>
      <c r="S72" s="12"/>
      <c r="T72" s="12"/>
      <c r="U72" s="12"/>
      <c r="V72" s="12"/>
    </row>
    <row r="73" spans="1:22" ht="16.5" x14ac:dyDescent="0.35">
      <c r="A73" s="12"/>
      <c r="B73" s="12"/>
      <c r="C73" s="12"/>
      <c r="D73" s="12"/>
      <c r="E73" s="12"/>
      <c r="F73" s="12"/>
      <c r="N73" s="12"/>
      <c r="O73" s="12"/>
      <c r="P73" s="12"/>
      <c r="Q73" s="12"/>
      <c r="R73" s="12"/>
      <c r="S73" s="12"/>
      <c r="T73" s="12"/>
      <c r="U73" s="12"/>
      <c r="V73" s="12"/>
    </row>
    <row r="74" spans="1:22" ht="16.5" x14ac:dyDescent="0.35">
      <c r="A74" s="12"/>
      <c r="B74" s="12"/>
      <c r="C74" s="12"/>
      <c r="D74" s="12"/>
      <c r="E74" s="12"/>
      <c r="F74" s="12"/>
      <c r="N74" s="12"/>
      <c r="O74" s="12"/>
      <c r="P74" s="12"/>
      <c r="Q74" s="12"/>
      <c r="R74" s="12"/>
      <c r="S74" s="12"/>
      <c r="T74" s="12"/>
      <c r="U74" s="12"/>
      <c r="V74" s="12"/>
    </row>
  </sheetData>
  <protectedRanges>
    <protectedRange sqref="O51:V51" name="Plage2"/>
    <protectedRange sqref="R5:V20" name="Plage1"/>
    <protectedRange sqref="B51:J51" name="Plage2_1"/>
    <protectedRange sqref="O5:O20 B5:J20" name="Plage1_1"/>
  </protectedRanges>
  <mergeCells count="9">
    <mergeCell ref="A1:V1"/>
    <mergeCell ref="A67:V67"/>
    <mergeCell ref="A5:A20"/>
    <mergeCell ref="B3:M3"/>
    <mergeCell ref="O3:V3"/>
    <mergeCell ref="B26:M26"/>
    <mergeCell ref="O26:V26"/>
    <mergeCell ref="A28:A43"/>
    <mergeCell ref="A50:V50"/>
  </mergeCells>
  <pageMargins left="0.7" right="0.7" top="0.75" bottom="0.75" header="0.3" footer="0.3"/>
  <pageSetup paperSize="9" scale="21" orientation="landscape" r:id="rId1"/>
  <headerFooter>
    <oddHeader>&amp;C&amp;"-,Gras"&amp;14Données brutes et normalisées R1&amp;R&amp;"-,Gras"&amp;14Page : &amp;P/&amp;P</oddHeader>
  </headerFooter>
  <colBreaks count="1" manualBreakCount="1">
    <brk id="14" max="1048575"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N1711"/>
  <sheetViews>
    <sheetView showGridLines="0" topLeftCell="A1686" zoomScale="80" zoomScaleNormal="80" workbookViewId="0">
      <selection activeCell="A1010" sqref="A1010:I1711"/>
    </sheetView>
  </sheetViews>
  <sheetFormatPr baseColWidth="10" defaultColWidth="11.453125" defaultRowHeight="14.5" x14ac:dyDescent="0.35"/>
  <cols>
    <col min="1" max="2" width="15" style="1" customWidth="1"/>
    <col min="3" max="3" width="25.453125" style="1" customWidth="1"/>
    <col min="4" max="4" width="14" style="1" customWidth="1"/>
    <col min="5" max="5" width="21.1796875" style="1" customWidth="1"/>
    <col min="6" max="6" width="11.453125" style="1"/>
    <col min="7" max="7" width="21.453125" style="1" customWidth="1"/>
    <col min="8" max="8" width="12.26953125" style="1" customWidth="1"/>
    <col min="9" max="9" width="17.1796875" style="1" customWidth="1"/>
    <col min="10" max="10" width="11.453125" style="1"/>
    <col min="11" max="11" width="37.453125" style="1" bestFit="1" customWidth="1"/>
    <col min="12" max="12" width="38.453125" style="1" bestFit="1" customWidth="1"/>
    <col min="13" max="14" width="12.81640625" style="1" customWidth="1"/>
    <col min="15" max="25" width="12.26953125" style="1" customWidth="1"/>
    <col min="26" max="16384" width="11.453125" style="1"/>
  </cols>
  <sheetData>
    <row r="1" spans="1:144" x14ac:dyDescent="0.35">
      <c r="A1" s="1" t="s">
        <v>107</v>
      </c>
      <c r="B1" s="1" t="s">
        <v>108</v>
      </c>
      <c r="C1" s="1" t="s">
        <v>109</v>
      </c>
      <c r="D1" s="1" t="s">
        <v>110</v>
      </c>
      <c r="E1" s="1" t="s">
        <v>111</v>
      </c>
      <c r="F1" s="1" t="s">
        <v>112</v>
      </c>
      <c r="G1" s="1" t="s">
        <v>113</v>
      </c>
      <c r="H1" s="1" t="s">
        <v>117</v>
      </c>
      <c r="I1" s="1" t="s">
        <v>118</v>
      </c>
      <c r="K1" s="118" t="s">
        <v>112</v>
      </c>
      <c r="L1" s="1" t="s">
        <v>119</v>
      </c>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row>
    <row r="2" spans="1:144" x14ac:dyDescent="0.35">
      <c r="A2" s="1" t="str">
        <f t="shared" ref="A2:A65" si="0">IFERROR(LEFT(RIGHT(C2,LEN(C2)-SEARCH("@",C2)),SEARCH("/",RIGHT(C2,LEN(C2)-SEARCH("@",C2)-1))),"")</f>
        <v/>
      </c>
      <c r="B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 s="152"/>
      <c r="K2" s="156" t="s">
        <v>120</v>
      </c>
      <c r="L2" s="156" t="s">
        <v>121</v>
      </c>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row>
    <row r="3" spans="1:144" x14ac:dyDescent="0.35">
      <c r="A3" s="1" t="str">
        <f t="shared" si="0"/>
        <v/>
      </c>
      <c r="B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K3" s="118" t="s">
        <v>153</v>
      </c>
      <c r="L3" s="118" t="s">
        <v>114</v>
      </c>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row>
    <row r="4" spans="1:144" x14ac:dyDescent="0.35">
      <c r="A4" s="1" t="str">
        <f t="shared" si="0"/>
        <v/>
      </c>
      <c r="B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K4" s="118" t="s">
        <v>100</v>
      </c>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row>
    <row r="5" spans="1:144" x14ac:dyDescent="0.35">
      <c r="A5" s="1" t="str">
        <f t="shared" si="0"/>
        <v/>
      </c>
      <c r="B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K5" s="145" t="s">
        <v>164</v>
      </c>
      <c r="L5" s="44"/>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row>
    <row r="6" spans="1:144" x14ac:dyDescent="0.35">
      <c r="A6" s="1" t="str">
        <f t="shared" si="0"/>
        <v/>
      </c>
      <c r="B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row>
    <row r="7" spans="1:144" x14ac:dyDescent="0.35">
      <c r="A7" s="1" t="str">
        <f t="shared" si="0"/>
        <v/>
      </c>
      <c r="B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row>
    <row r="8" spans="1:144" x14ac:dyDescent="0.35">
      <c r="A8" s="1" t="str">
        <f t="shared" si="0"/>
        <v/>
      </c>
      <c r="B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row>
    <row r="9" spans="1:144" x14ac:dyDescent="0.35">
      <c r="A9" s="1" t="str">
        <f t="shared" si="0"/>
        <v/>
      </c>
      <c r="B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row>
    <row r="10" spans="1:144" x14ac:dyDescent="0.35">
      <c r="A10" s="1" t="str">
        <f t="shared" si="0"/>
        <v/>
      </c>
      <c r="B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row>
    <row r="11" spans="1:144" x14ac:dyDescent="0.35">
      <c r="A11" s="1" t="str">
        <f t="shared" si="0"/>
        <v/>
      </c>
      <c r="B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 spans="1:144" x14ac:dyDescent="0.35">
      <c r="A12" s="1" t="str">
        <f t="shared" si="0"/>
        <v/>
      </c>
      <c r="B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 spans="1:144" x14ac:dyDescent="0.35">
      <c r="A13" s="1" t="str">
        <f t="shared" si="0"/>
        <v/>
      </c>
      <c r="B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 spans="1:144" x14ac:dyDescent="0.35">
      <c r="A14" s="1" t="str">
        <f t="shared" si="0"/>
        <v/>
      </c>
      <c r="B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 spans="1:144" x14ac:dyDescent="0.35">
      <c r="A15" s="1" t="str">
        <f t="shared" si="0"/>
        <v/>
      </c>
      <c r="B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 spans="1:144" x14ac:dyDescent="0.35">
      <c r="A16" s="1" t="str">
        <f t="shared" si="0"/>
        <v/>
      </c>
      <c r="B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 spans="1:2" x14ac:dyDescent="0.35">
      <c r="A17" s="1" t="str">
        <f t="shared" si="0"/>
        <v/>
      </c>
      <c r="B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8" spans="1:2" x14ac:dyDescent="0.35">
      <c r="A18" s="1" t="str">
        <f t="shared" si="0"/>
        <v/>
      </c>
      <c r="B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9" spans="1:2" x14ac:dyDescent="0.35">
      <c r="A19" s="1" t="str">
        <f t="shared" si="0"/>
        <v/>
      </c>
      <c r="B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0" spans="1:2" x14ac:dyDescent="0.35">
      <c r="A20" s="1" t="str">
        <f t="shared" si="0"/>
        <v/>
      </c>
      <c r="B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1" spans="1:2" x14ac:dyDescent="0.35">
      <c r="A21" s="1" t="str">
        <f t="shared" si="0"/>
        <v/>
      </c>
      <c r="B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2" spans="1:2" x14ac:dyDescent="0.35">
      <c r="A22" s="1" t="str">
        <f t="shared" si="0"/>
        <v/>
      </c>
      <c r="B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3" spans="1:2" x14ac:dyDescent="0.35">
      <c r="A23" s="1" t="str">
        <f t="shared" si="0"/>
        <v/>
      </c>
      <c r="B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4" spans="1:2" x14ac:dyDescent="0.35">
      <c r="A24" s="1" t="str">
        <f t="shared" si="0"/>
        <v/>
      </c>
      <c r="B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5" spans="1:2" x14ac:dyDescent="0.35">
      <c r="A25" s="1" t="str">
        <f t="shared" si="0"/>
        <v/>
      </c>
      <c r="B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6" spans="1:2" x14ac:dyDescent="0.35">
      <c r="A26" s="1" t="str">
        <f t="shared" si="0"/>
        <v/>
      </c>
      <c r="B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7" spans="1:2" x14ac:dyDescent="0.35">
      <c r="A27" s="1" t="str">
        <f t="shared" si="0"/>
        <v/>
      </c>
      <c r="B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8" spans="1:2" x14ac:dyDescent="0.35">
      <c r="A28" s="1" t="str">
        <f t="shared" si="0"/>
        <v/>
      </c>
      <c r="B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9" spans="1:2" x14ac:dyDescent="0.35">
      <c r="A29" s="1" t="str">
        <f t="shared" si="0"/>
        <v/>
      </c>
      <c r="B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0" spans="1:2" x14ac:dyDescent="0.35">
      <c r="A30" s="1" t="str">
        <f t="shared" si="0"/>
        <v/>
      </c>
      <c r="B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1" spans="1:2" x14ac:dyDescent="0.35">
      <c r="A31" s="1" t="str">
        <f t="shared" si="0"/>
        <v/>
      </c>
      <c r="B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2" spans="1:2" x14ac:dyDescent="0.35">
      <c r="A32" s="1" t="str">
        <f t="shared" si="0"/>
        <v/>
      </c>
      <c r="B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3" spans="1:2" x14ac:dyDescent="0.35">
      <c r="A33" s="1" t="str">
        <f t="shared" si="0"/>
        <v/>
      </c>
      <c r="B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4" spans="1:2" x14ac:dyDescent="0.35">
      <c r="A34" s="1" t="str">
        <f t="shared" si="0"/>
        <v/>
      </c>
      <c r="B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5" spans="1:2" x14ac:dyDescent="0.35">
      <c r="A35" s="1" t="str">
        <f t="shared" si="0"/>
        <v/>
      </c>
      <c r="B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6" spans="1:2" x14ac:dyDescent="0.35">
      <c r="A36" s="1" t="str">
        <f t="shared" si="0"/>
        <v/>
      </c>
      <c r="B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7" spans="1:2" x14ac:dyDescent="0.35">
      <c r="A37" s="1" t="str">
        <f t="shared" si="0"/>
        <v/>
      </c>
      <c r="B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8" spans="1:2" x14ac:dyDescent="0.35">
      <c r="A38" s="1" t="str">
        <f t="shared" si="0"/>
        <v/>
      </c>
      <c r="B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9" spans="1:2" x14ac:dyDescent="0.35">
      <c r="A39" s="1" t="str">
        <f t="shared" si="0"/>
        <v/>
      </c>
      <c r="B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0" spans="1:2" x14ac:dyDescent="0.35">
      <c r="A40" s="1" t="str">
        <f t="shared" si="0"/>
        <v/>
      </c>
      <c r="B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1" spans="1:2" x14ac:dyDescent="0.35">
      <c r="A41" s="1" t="str">
        <f t="shared" si="0"/>
        <v/>
      </c>
      <c r="B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2" spans="1:2" x14ac:dyDescent="0.35">
      <c r="A42" s="1" t="str">
        <f t="shared" si="0"/>
        <v/>
      </c>
      <c r="B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3" spans="1:2" x14ac:dyDescent="0.35">
      <c r="A43" s="1" t="str">
        <f t="shared" si="0"/>
        <v/>
      </c>
      <c r="B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4" spans="1:2" x14ac:dyDescent="0.35">
      <c r="A44" s="1" t="str">
        <f t="shared" si="0"/>
        <v/>
      </c>
      <c r="B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5" spans="1:2" x14ac:dyDescent="0.35">
      <c r="A45" s="1" t="str">
        <f t="shared" si="0"/>
        <v/>
      </c>
      <c r="B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6" spans="1:2" x14ac:dyDescent="0.35">
      <c r="A46" s="1" t="str">
        <f t="shared" si="0"/>
        <v/>
      </c>
      <c r="B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7" spans="1:2" x14ac:dyDescent="0.35">
      <c r="A47" s="1" t="str">
        <f t="shared" si="0"/>
        <v/>
      </c>
      <c r="B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8" spans="1:2" x14ac:dyDescent="0.35">
      <c r="A48" s="1" t="str">
        <f t="shared" si="0"/>
        <v/>
      </c>
      <c r="B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9" spans="1:2" x14ac:dyDescent="0.35">
      <c r="A49" s="1" t="str">
        <f t="shared" si="0"/>
        <v/>
      </c>
      <c r="B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0" spans="1:2" x14ac:dyDescent="0.35">
      <c r="A50" s="1" t="str">
        <f t="shared" si="0"/>
        <v/>
      </c>
      <c r="B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1" spans="1:2" x14ac:dyDescent="0.35">
      <c r="A51" s="1" t="str">
        <f t="shared" si="0"/>
        <v/>
      </c>
      <c r="B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2" spans="1:2" x14ac:dyDescent="0.35">
      <c r="A52" s="1" t="str">
        <f t="shared" si="0"/>
        <v/>
      </c>
      <c r="B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3" spans="1:2" x14ac:dyDescent="0.35">
      <c r="A53" s="1" t="str">
        <f t="shared" si="0"/>
        <v/>
      </c>
      <c r="B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4" spans="1:2" x14ac:dyDescent="0.35">
      <c r="A54" s="1" t="str">
        <f t="shared" si="0"/>
        <v/>
      </c>
      <c r="B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5" spans="1:2" x14ac:dyDescent="0.35">
      <c r="A55" s="1" t="str">
        <f t="shared" si="0"/>
        <v/>
      </c>
      <c r="B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6" spans="1:2" x14ac:dyDescent="0.35">
      <c r="A56" s="1" t="str">
        <f t="shared" si="0"/>
        <v/>
      </c>
      <c r="B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7" spans="1:2" x14ac:dyDescent="0.35">
      <c r="A57" s="1" t="str">
        <f t="shared" si="0"/>
        <v/>
      </c>
      <c r="B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8" spans="1:2" x14ac:dyDescent="0.35">
      <c r="A58" s="1" t="str">
        <f t="shared" si="0"/>
        <v/>
      </c>
      <c r="B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9" spans="1:2" x14ac:dyDescent="0.35">
      <c r="A59" s="1" t="str">
        <f t="shared" si="0"/>
        <v/>
      </c>
      <c r="B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0" spans="1:2" x14ac:dyDescent="0.35">
      <c r="A60" s="1" t="str">
        <f t="shared" si="0"/>
        <v/>
      </c>
      <c r="B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1" spans="1:2" x14ac:dyDescent="0.35">
      <c r="A61" s="1" t="str">
        <f t="shared" si="0"/>
        <v/>
      </c>
      <c r="B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2" spans="1:2" x14ac:dyDescent="0.35">
      <c r="A62" s="1" t="str">
        <f t="shared" si="0"/>
        <v/>
      </c>
      <c r="B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3" spans="1:2" x14ac:dyDescent="0.35">
      <c r="A63" s="1" t="str">
        <f t="shared" si="0"/>
        <v/>
      </c>
      <c r="B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4" spans="1:2" x14ac:dyDescent="0.35">
      <c r="A64" s="1" t="str">
        <f t="shared" si="0"/>
        <v/>
      </c>
      <c r="B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5" spans="1:2" x14ac:dyDescent="0.35">
      <c r="A65" s="1" t="str">
        <f t="shared" si="0"/>
        <v/>
      </c>
      <c r="B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6" spans="1:2" x14ac:dyDescent="0.35">
      <c r="A66" s="1" t="str">
        <f t="shared" ref="A66:A129" si="1">IFERROR(LEFT(RIGHT(C66,LEN(C66)-SEARCH("@",C66)),SEARCH("/",RIGHT(C66,LEN(C66)-SEARCH("@",C66)-1))),"")</f>
        <v/>
      </c>
      <c r="B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7" spans="1:2" x14ac:dyDescent="0.35">
      <c r="A67" s="1" t="str">
        <f t="shared" si="1"/>
        <v/>
      </c>
      <c r="B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8" spans="1:2" x14ac:dyDescent="0.35">
      <c r="A68" s="1" t="str">
        <f t="shared" si="1"/>
        <v/>
      </c>
      <c r="B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 spans="1:2" x14ac:dyDescent="0.35">
      <c r="A69" s="1" t="str">
        <f t="shared" si="1"/>
        <v/>
      </c>
      <c r="B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 spans="1:2" x14ac:dyDescent="0.35">
      <c r="A70" s="1" t="str">
        <f t="shared" si="1"/>
        <v/>
      </c>
      <c r="B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 spans="1:2" x14ac:dyDescent="0.35">
      <c r="A71" s="1" t="str">
        <f t="shared" si="1"/>
        <v/>
      </c>
      <c r="B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 spans="1:2" x14ac:dyDescent="0.35">
      <c r="A72" s="1" t="str">
        <f t="shared" si="1"/>
        <v/>
      </c>
      <c r="B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 spans="1:2" x14ac:dyDescent="0.35">
      <c r="A73" s="1" t="str">
        <f t="shared" si="1"/>
        <v/>
      </c>
      <c r="B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 spans="1:2" x14ac:dyDescent="0.35">
      <c r="A74" s="1" t="str">
        <f t="shared" si="1"/>
        <v/>
      </c>
      <c r="B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 spans="1:2" x14ac:dyDescent="0.35">
      <c r="A75" s="1" t="str">
        <f t="shared" si="1"/>
        <v/>
      </c>
      <c r="B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 spans="1:2" x14ac:dyDescent="0.35">
      <c r="A76" s="1" t="str">
        <f t="shared" si="1"/>
        <v/>
      </c>
      <c r="B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 spans="1:2" x14ac:dyDescent="0.35">
      <c r="A77" s="1" t="str">
        <f t="shared" si="1"/>
        <v/>
      </c>
      <c r="B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 spans="1:2" x14ac:dyDescent="0.35">
      <c r="A78" s="1" t="str">
        <f t="shared" si="1"/>
        <v/>
      </c>
      <c r="B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 spans="1:2" x14ac:dyDescent="0.35">
      <c r="A79" s="1" t="str">
        <f t="shared" si="1"/>
        <v/>
      </c>
      <c r="B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 spans="1:2" x14ac:dyDescent="0.35">
      <c r="A80" s="1" t="str">
        <f t="shared" si="1"/>
        <v/>
      </c>
      <c r="B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 spans="1:2" x14ac:dyDescent="0.35">
      <c r="A81" s="1" t="str">
        <f t="shared" si="1"/>
        <v/>
      </c>
      <c r="B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 spans="1:2" x14ac:dyDescent="0.35">
      <c r="A82" s="1" t="str">
        <f t="shared" si="1"/>
        <v/>
      </c>
      <c r="B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 spans="1:2" x14ac:dyDescent="0.35">
      <c r="A83" s="1" t="str">
        <f t="shared" si="1"/>
        <v/>
      </c>
      <c r="B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 spans="1:2" x14ac:dyDescent="0.35">
      <c r="A84" s="1" t="str">
        <f t="shared" si="1"/>
        <v/>
      </c>
      <c r="B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 spans="1:2" x14ac:dyDescent="0.35">
      <c r="A85" s="1" t="str">
        <f t="shared" si="1"/>
        <v/>
      </c>
      <c r="B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 spans="1:2" x14ac:dyDescent="0.35">
      <c r="A86" s="1" t="str">
        <f t="shared" si="1"/>
        <v/>
      </c>
      <c r="B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 spans="1:2" x14ac:dyDescent="0.35">
      <c r="A87" s="1" t="str">
        <f t="shared" si="1"/>
        <v/>
      </c>
      <c r="B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 spans="1:2" x14ac:dyDescent="0.35">
      <c r="A88" s="1" t="str">
        <f t="shared" si="1"/>
        <v/>
      </c>
      <c r="B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 spans="1:2" x14ac:dyDescent="0.35">
      <c r="A89" s="1" t="str">
        <f t="shared" si="1"/>
        <v/>
      </c>
      <c r="B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 spans="1:2" x14ac:dyDescent="0.35">
      <c r="A90" s="1" t="str">
        <f t="shared" si="1"/>
        <v/>
      </c>
      <c r="B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 spans="1:2" x14ac:dyDescent="0.35">
      <c r="A91" s="1" t="str">
        <f t="shared" si="1"/>
        <v/>
      </c>
      <c r="B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 spans="1:2" x14ac:dyDescent="0.35">
      <c r="A92" s="1" t="str">
        <f t="shared" si="1"/>
        <v/>
      </c>
      <c r="B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 spans="1:2" x14ac:dyDescent="0.35">
      <c r="A93" s="1" t="str">
        <f t="shared" si="1"/>
        <v/>
      </c>
      <c r="B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 spans="1:2" x14ac:dyDescent="0.35">
      <c r="A94" s="1" t="str">
        <f t="shared" si="1"/>
        <v/>
      </c>
      <c r="B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 spans="1:2" x14ac:dyDescent="0.35">
      <c r="A95" s="1" t="str">
        <f t="shared" si="1"/>
        <v/>
      </c>
      <c r="B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 spans="1:2" x14ac:dyDescent="0.35">
      <c r="A96" s="1" t="str">
        <f t="shared" si="1"/>
        <v/>
      </c>
      <c r="B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 spans="1:2" x14ac:dyDescent="0.35">
      <c r="A97" s="1" t="str">
        <f t="shared" si="1"/>
        <v/>
      </c>
      <c r="B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 spans="1:2" x14ac:dyDescent="0.35">
      <c r="A98" s="1" t="str">
        <f t="shared" si="1"/>
        <v/>
      </c>
      <c r="B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 spans="1:2" x14ac:dyDescent="0.35">
      <c r="A99" s="1" t="str">
        <f t="shared" si="1"/>
        <v/>
      </c>
      <c r="B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 spans="1:2" x14ac:dyDescent="0.35">
      <c r="A100" s="1" t="str">
        <f t="shared" si="1"/>
        <v/>
      </c>
      <c r="B1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 spans="1:2" x14ac:dyDescent="0.35">
      <c r="A101" s="1" t="str">
        <f t="shared" si="1"/>
        <v/>
      </c>
      <c r="B1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 spans="1:2" x14ac:dyDescent="0.35">
      <c r="A102" s="1" t="str">
        <f t="shared" si="1"/>
        <v/>
      </c>
      <c r="B1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 spans="1:2" x14ac:dyDescent="0.35">
      <c r="A103" s="1" t="str">
        <f t="shared" si="1"/>
        <v/>
      </c>
      <c r="B1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 spans="1:2" x14ac:dyDescent="0.35">
      <c r="A104" s="1" t="str">
        <f t="shared" si="1"/>
        <v/>
      </c>
      <c r="B1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 spans="1:2" x14ac:dyDescent="0.35">
      <c r="A105" s="1" t="str">
        <f t="shared" si="1"/>
        <v/>
      </c>
      <c r="B1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 spans="1:2" x14ac:dyDescent="0.35">
      <c r="A106" s="1" t="str">
        <f t="shared" si="1"/>
        <v/>
      </c>
      <c r="B1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 spans="1:2" x14ac:dyDescent="0.35">
      <c r="A107" s="1" t="str">
        <f t="shared" si="1"/>
        <v/>
      </c>
      <c r="B1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 spans="1:2" x14ac:dyDescent="0.35">
      <c r="A108" s="1" t="str">
        <f t="shared" si="1"/>
        <v/>
      </c>
      <c r="B1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 spans="1:2" x14ac:dyDescent="0.35">
      <c r="A109" s="1" t="str">
        <f t="shared" si="1"/>
        <v/>
      </c>
      <c r="B1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 spans="1:2" x14ac:dyDescent="0.35">
      <c r="A110" s="1" t="str">
        <f t="shared" si="1"/>
        <v/>
      </c>
      <c r="B1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 spans="1:2" x14ac:dyDescent="0.35">
      <c r="A111" s="1" t="str">
        <f t="shared" si="1"/>
        <v/>
      </c>
      <c r="B1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 spans="1:2" x14ac:dyDescent="0.35">
      <c r="A112" s="1" t="str">
        <f t="shared" si="1"/>
        <v/>
      </c>
      <c r="B1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 spans="1:2" x14ac:dyDescent="0.35">
      <c r="A113" s="1" t="str">
        <f t="shared" si="1"/>
        <v/>
      </c>
      <c r="B1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 spans="1:2" x14ac:dyDescent="0.35">
      <c r="A114" s="1" t="str">
        <f t="shared" si="1"/>
        <v/>
      </c>
      <c r="B1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 spans="1:2" x14ac:dyDescent="0.35">
      <c r="A115" s="1" t="str">
        <f t="shared" si="1"/>
        <v/>
      </c>
      <c r="B1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 spans="1:2" x14ac:dyDescent="0.35">
      <c r="A116" s="1" t="str">
        <f t="shared" si="1"/>
        <v/>
      </c>
      <c r="B1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 spans="1:2" x14ac:dyDescent="0.35">
      <c r="A117" s="1" t="str">
        <f t="shared" si="1"/>
        <v/>
      </c>
      <c r="B1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 spans="1:2" x14ac:dyDescent="0.35">
      <c r="A118" s="1" t="str">
        <f t="shared" si="1"/>
        <v/>
      </c>
      <c r="B1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 spans="1:2" x14ac:dyDescent="0.35">
      <c r="A119" s="1" t="str">
        <f t="shared" si="1"/>
        <v/>
      </c>
      <c r="B1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 spans="1:2" x14ac:dyDescent="0.35">
      <c r="A120" s="1" t="str">
        <f t="shared" si="1"/>
        <v/>
      </c>
      <c r="B1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 spans="1:2" x14ac:dyDescent="0.35">
      <c r="A121" s="1" t="str">
        <f t="shared" si="1"/>
        <v/>
      </c>
      <c r="B1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 spans="1:2" x14ac:dyDescent="0.35">
      <c r="A122" s="1" t="str">
        <f t="shared" si="1"/>
        <v/>
      </c>
      <c r="B1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 spans="1:2" x14ac:dyDescent="0.35">
      <c r="A123" s="1" t="str">
        <f t="shared" si="1"/>
        <v/>
      </c>
      <c r="B1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 spans="1:2" x14ac:dyDescent="0.35">
      <c r="A124" s="1" t="str">
        <f t="shared" si="1"/>
        <v/>
      </c>
      <c r="B1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 spans="1:2" x14ac:dyDescent="0.35">
      <c r="A125" s="1" t="str">
        <f t="shared" si="1"/>
        <v/>
      </c>
      <c r="B1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 spans="1:2" x14ac:dyDescent="0.35">
      <c r="A126" s="1" t="str">
        <f t="shared" si="1"/>
        <v/>
      </c>
      <c r="B1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 spans="1:2" x14ac:dyDescent="0.35">
      <c r="A127" s="1" t="str">
        <f t="shared" si="1"/>
        <v/>
      </c>
      <c r="B1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 spans="1:2" x14ac:dyDescent="0.35">
      <c r="A128" s="1" t="str">
        <f t="shared" si="1"/>
        <v/>
      </c>
      <c r="B1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 spans="1:2" x14ac:dyDescent="0.35">
      <c r="A129" s="1" t="str">
        <f t="shared" si="1"/>
        <v/>
      </c>
      <c r="B1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 spans="1:2" x14ac:dyDescent="0.35">
      <c r="A130" s="1" t="str">
        <f t="shared" ref="A130:A193" si="2">IFERROR(LEFT(RIGHT(C130,LEN(C130)-SEARCH("@",C130)),SEARCH("/",RIGHT(C130,LEN(C130)-SEARCH("@",C130)-1))),"")</f>
        <v/>
      </c>
      <c r="B1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 spans="1:2" x14ac:dyDescent="0.35">
      <c r="A131" s="1" t="str">
        <f t="shared" si="2"/>
        <v/>
      </c>
      <c r="B1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 spans="1:2" x14ac:dyDescent="0.35">
      <c r="A132" s="1" t="str">
        <f t="shared" si="2"/>
        <v/>
      </c>
      <c r="B1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 spans="1:2" x14ac:dyDescent="0.35">
      <c r="A133" s="1" t="str">
        <f t="shared" si="2"/>
        <v/>
      </c>
      <c r="B1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 spans="1:2" x14ac:dyDescent="0.35">
      <c r="A134" s="1" t="str">
        <f t="shared" si="2"/>
        <v/>
      </c>
      <c r="B1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 spans="1:2" x14ac:dyDescent="0.35">
      <c r="A135" s="1" t="str">
        <f t="shared" si="2"/>
        <v/>
      </c>
      <c r="B1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 spans="1:2" x14ac:dyDescent="0.35">
      <c r="A136" s="1" t="str">
        <f t="shared" si="2"/>
        <v/>
      </c>
      <c r="B1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 spans="1:2" x14ac:dyDescent="0.35">
      <c r="A137" s="1" t="str">
        <f t="shared" si="2"/>
        <v/>
      </c>
      <c r="B1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 spans="1:2" x14ac:dyDescent="0.35">
      <c r="A138" s="1" t="str">
        <f t="shared" si="2"/>
        <v/>
      </c>
      <c r="B1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 spans="1:2" x14ac:dyDescent="0.35">
      <c r="A139" s="1" t="str">
        <f t="shared" si="2"/>
        <v/>
      </c>
      <c r="B1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 spans="1:2" x14ac:dyDescent="0.35">
      <c r="A140" s="1" t="str">
        <f t="shared" si="2"/>
        <v/>
      </c>
      <c r="B1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 spans="1:2" x14ac:dyDescent="0.35">
      <c r="A141" s="1" t="str">
        <f t="shared" si="2"/>
        <v/>
      </c>
      <c r="B1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 spans="1:2" x14ac:dyDescent="0.35">
      <c r="A142" s="1" t="str">
        <f t="shared" si="2"/>
        <v/>
      </c>
      <c r="B1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 spans="1:2" x14ac:dyDescent="0.35">
      <c r="A143" s="1" t="str">
        <f t="shared" si="2"/>
        <v/>
      </c>
      <c r="B1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 spans="1:2" x14ac:dyDescent="0.35">
      <c r="A144" s="1" t="str">
        <f t="shared" si="2"/>
        <v/>
      </c>
      <c r="B1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 spans="1:2" x14ac:dyDescent="0.35">
      <c r="A145" s="1" t="str">
        <f t="shared" si="2"/>
        <v/>
      </c>
      <c r="B1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 spans="1:2" x14ac:dyDescent="0.35">
      <c r="A146" s="1" t="str">
        <f t="shared" si="2"/>
        <v/>
      </c>
      <c r="B1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 spans="1:2" x14ac:dyDescent="0.35">
      <c r="A147" s="1" t="str">
        <f t="shared" si="2"/>
        <v/>
      </c>
      <c r="B1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 spans="1:2" x14ac:dyDescent="0.35">
      <c r="A148" s="1" t="str">
        <f t="shared" si="2"/>
        <v/>
      </c>
      <c r="B1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 spans="1:2" x14ac:dyDescent="0.35">
      <c r="A149" s="1" t="str">
        <f t="shared" si="2"/>
        <v/>
      </c>
      <c r="B1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 spans="1:2" x14ac:dyDescent="0.35">
      <c r="A150" s="1" t="str">
        <f t="shared" si="2"/>
        <v/>
      </c>
      <c r="B1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 spans="1:2" x14ac:dyDescent="0.35">
      <c r="A151" s="1" t="str">
        <f t="shared" si="2"/>
        <v/>
      </c>
      <c r="B1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 spans="1:2" x14ac:dyDescent="0.35">
      <c r="A152" s="1" t="str">
        <f t="shared" si="2"/>
        <v/>
      </c>
      <c r="B1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 spans="1:2" x14ac:dyDescent="0.35">
      <c r="A153" s="1" t="str">
        <f t="shared" si="2"/>
        <v/>
      </c>
      <c r="B1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 spans="1:2" x14ac:dyDescent="0.35">
      <c r="A154" s="1" t="str">
        <f t="shared" si="2"/>
        <v/>
      </c>
      <c r="B1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 spans="1:2" x14ac:dyDescent="0.35">
      <c r="A155" s="1" t="str">
        <f t="shared" si="2"/>
        <v/>
      </c>
      <c r="B1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 spans="1:2" x14ac:dyDescent="0.35">
      <c r="A156" s="1" t="str">
        <f t="shared" si="2"/>
        <v/>
      </c>
      <c r="B1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 spans="1:2" x14ac:dyDescent="0.35">
      <c r="A157" s="1" t="str">
        <f t="shared" si="2"/>
        <v/>
      </c>
      <c r="B1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 spans="1:2" x14ac:dyDescent="0.35">
      <c r="A158" s="1" t="str">
        <f t="shared" si="2"/>
        <v/>
      </c>
      <c r="B1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 spans="1:2" x14ac:dyDescent="0.35">
      <c r="A159" s="1" t="str">
        <f t="shared" si="2"/>
        <v/>
      </c>
      <c r="B1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 spans="1:2" x14ac:dyDescent="0.35">
      <c r="A160" s="1" t="str">
        <f t="shared" si="2"/>
        <v/>
      </c>
      <c r="B1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 spans="1:2" x14ac:dyDescent="0.35">
      <c r="A161" s="1" t="str">
        <f t="shared" si="2"/>
        <v/>
      </c>
      <c r="B1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 spans="1:2" x14ac:dyDescent="0.35">
      <c r="A162" s="1" t="str">
        <f t="shared" si="2"/>
        <v/>
      </c>
      <c r="B1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 spans="1:2" x14ac:dyDescent="0.35">
      <c r="A163" s="1" t="str">
        <f t="shared" si="2"/>
        <v/>
      </c>
      <c r="B1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 spans="1:2" x14ac:dyDescent="0.35">
      <c r="A164" s="1" t="str">
        <f t="shared" si="2"/>
        <v/>
      </c>
      <c r="B1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 spans="1:2" x14ac:dyDescent="0.35">
      <c r="A165" s="1" t="str">
        <f t="shared" si="2"/>
        <v/>
      </c>
      <c r="B1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 spans="1:2" x14ac:dyDescent="0.35">
      <c r="A166" s="1" t="str">
        <f t="shared" si="2"/>
        <v/>
      </c>
      <c r="B1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 spans="1:2" x14ac:dyDescent="0.35">
      <c r="A167" s="1" t="str">
        <f t="shared" si="2"/>
        <v/>
      </c>
      <c r="B1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 spans="1:2" x14ac:dyDescent="0.35">
      <c r="A168" s="1" t="str">
        <f t="shared" si="2"/>
        <v/>
      </c>
      <c r="B1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 spans="1:2" x14ac:dyDescent="0.35">
      <c r="A169" s="1" t="str">
        <f t="shared" si="2"/>
        <v/>
      </c>
      <c r="B1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 spans="1:2" x14ac:dyDescent="0.35">
      <c r="A170" s="1" t="str">
        <f t="shared" si="2"/>
        <v/>
      </c>
      <c r="B1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1" spans="1:2" x14ac:dyDescent="0.35">
      <c r="A171" s="1" t="str">
        <f t="shared" si="2"/>
        <v/>
      </c>
      <c r="B1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2" spans="1:2" x14ac:dyDescent="0.35">
      <c r="A172" s="1" t="str">
        <f t="shared" si="2"/>
        <v/>
      </c>
      <c r="B1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3" spans="1:2" x14ac:dyDescent="0.35">
      <c r="A173" s="1" t="str">
        <f t="shared" si="2"/>
        <v/>
      </c>
      <c r="B1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4" spans="1:2" x14ac:dyDescent="0.35">
      <c r="A174" s="1" t="str">
        <f t="shared" si="2"/>
        <v/>
      </c>
      <c r="B1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5" spans="1:2" x14ac:dyDescent="0.35">
      <c r="A175" s="1" t="str">
        <f t="shared" si="2"/>
        <v/>
      </c>
      <c r="B1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6" spans="1:2" x14ac:dyDescent="0.35">
      <c r="A176" s="1" t="str">
        <f t="shared" si="2"/>
        <v/>
      </c>
      <c r="B1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7" spans="1:2" x14ac:dyDescent="0.35">
      <c r="A177" s="1" t="str">
        <f t="shared" si="2"/>
        <v/>
      </c>
      <c r="B1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8" spans="1:2" x14ac:dyDescent="0.35">
      <c r="A178" s="1" t="str">
        <f t="shared" si="2"/>
        <v/>
      </c>
      <c r="B1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9" spans="1:2" x14ac:dyDescent="0.35">
      <c r="A179" s="1" t="str">
        <f t="shared" si="2"/>
        <v/>
      </c>
      <c r="B1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80" spans="1:2" x14ac:dyDescent="0.35">
      <c r="A180" s="1" t="str">
        <f t="shared" si="2"/>
        <v/>
      </c>
      <c r="B1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81" spans="1:2" x14ac:dyDescent="0.35">
      <c r="A181" s="1" t="str">
        <f t="shared" si="2"/>
        <v/>
      </c>
      <c r="B1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82" spans="1:2" x14ac:dyDescent="0.35">
      <c r="A182" s="1" t="str">
        <f t="shared" si="2"/>
        <v/>
      </c>
      <c r="B1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83" spans="1:2" x14ac:dyDescent="0.35">
      <c r="A183" s="1" t="str">
        <f t="shared" si="2"/>
        <v/>
      </c>
      <c r="B1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84" spans="1:2" x14ac:dyDescent="0.35">
      <c r="A184" s="1" t="str">
        <f t="shared" si="2"/>
        <v/>
      </c>
      <c r="B1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85" spans="1:2" x14ac:dyDescent="0.35">
      <c r="A185" s="1" t="str">
        <f t="shared" si="2"/>
        <v/>
      </c>
      <c r="B1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86" spans="1:2" x14ac:dyDescent="0.35">
      <c r="A186" s="1" t="str">
        <f t="shared" si="2"/>
        <v/>
      </c>
      <c r="B1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87" spans="1:2" x14ac:dyDescent="0.35">
      <c r="A187" s="1" t="str">
        <f t="shared" si="2"/>
        <v/>
      </c>
      <c r="B1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88" spans="1:2" x14ac:dyDescent="0.35">
      <c r="A188" s="1" t="str">
        <f t="shared" si="2"/>
        <v/>
      </c>
      <c r="B1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89" spans="1:2" x14ac:dyDescent="0.35">
      <c r="A189" s="1" t="str">
        <f t="shared" si="2"/>
        <v/>
      </c>
      <c r="B1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90" spans="1:2" x14ac:dyDescent="0.35">
      <c r="A190" s="1" t="str">
        <f t="shared" si="2"/>
        <v/>
      </c>
      <c r="B1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91" spans="1:2" x14ac:dyDescent="0.35">
      <c r="A191" s="1" t="str">
        <f t="shared" si="2"/>
        <v/>
      </c>
      <c r="B1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92" spans="1:2" x14ac:dyDescent="0.35">
      <c r="A192" s="1" t="str">
        <f t="shared" si="2"/>
        <v/>
      </c>
      <c r="B1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93" spans="1:2" x14ac:dyDescent="0.35">
      <c r="A193" s="1" t="str">
        <f t="shared" si="2"/>
        <v/>
      </c>
      <c r="B1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94" spans="1:2" x14ac:dyDescent="0.35">
      <c r="A194" s="1" t="str">
        <f t="shared" ref="A194:A257" si="3">IFERROR(LEFT(RIGHT(C194,LEN(C194)-SEARCH("@",C194)),SEARCH("/",RIGHT(C194,LEN(C194)-SEARCH("@",C194)-1))),"")</f>
        <v/>
      </c>
      <c r="B1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95" spans="1:2" x14ac:dyDescent="0.35">
      <c r="A195" s="1" t="str">
        <f t="shared" si="3"/>
        <v/>
      </c>
      <c r="B1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96" spans="1:2" x14ac:dyDescent="0.35">
      <c r="A196" s="1" t="str">
        <f t="shared" si="3"/>
        <v/>
      </c>
      <c r="B1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97" spans="1:2" x14ac:dyDescent="0.35">
      <c r="A197" s="1" t="str">
        <f t="shared" si="3"/>
        <v/>
      </c>
      <c r="B1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98" spans="1:2" x14ac:dyDescent="0.35">
      <c r="A198" s="1" t="str">
        <f t="shared" si="3"/>
        <v/>
      </c>
      <c r="B1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99" spans="1:2" x14ac:dyDescent="0.35">
      <c r="A199" s="1" t="str">
        <f t="shared" si="3"/>
        <v/>
      </c>
      <c r="B1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00" spans="1:2" x14ac:dyDescent="0.35">
      <c r="A200" s="1" t="str">
        <f t="shared" si="3"/>
        <v/>
      </c>
      <c r="B2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01" spans="1:2" x14ac:dyDescent="0.35">
      <c r="A201" s="1" t="str">
        <f t="shared" si="3"/>
        <v/>
      </c>
      <c r="B2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02" spans="1:2" x14ac:dyDescent="0.35">
      <c r="A202" s="1" t="str">
        <f t="shared" si="3"/>
        <v/>
      </c>
      <c r="B2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03" spans="1:2" x14ac:dyDescent="0.35">
      <c r="A203" s="1" t="str">
        <f t="shared" si="3"/>
        <v/>
      </c>
      <c r="B2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04" spans="1:2" x14ac:dyDescent="0.35">
      <c r="A204" s="1" t="str">
        <f t="shared" si="3"/>
        <v/>
      </c>
      <c r="B2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05" spans="1:2" x14ac:dyDescent="0.35">
      <c r="A205" s="1" t="str">
        <f t="shared" si="3"/>
        <v/>
      </c>
      <c r="B2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06" spans="1:2" x14ac:dyDescent="0.35">
      <c r="A206" s="1" t="str">
        <f t="shared" si="3"/>
        <v/>
      </c>
      <c r="B2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07" spans="1:2" x14ac:dyDescent="0.35">
      <c r="A207" s="1" t="str">
        <f t="shared" si="3"/>
        <v/>
      </c>
      <c r="B2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08" spans="1:2" x14ac:dyDescent="0.35">
      <c r="A208" s="1" t="str">
        <f t="shared" si="3"/>
        <v/>
      </c>
      <c r="B2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09" spans="1:2" x14ac:dyDescent="0.35">
      <c r="A209" s="1" t="str">
        <f t="shared" si="3"/>
        <v/>
      </c>
      <c r="B2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10" spans="1:2" x14ac:dyDescent="0.35">
      <c r="A210" s="1" t="str">
        <f t="shared" si="3"/>
        <v/>
      </c>
      <c r="B2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11" spans="1:2" x14ac:dyDescent="0.35">
      <c r="A211" s="1" t="str">
        <f t="shared" si="3"/>
        <v/>
      </c>
      <c r="B2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12" spans="1:2" x14ac:dyDescent="0.35">
      <c r="A212" s="1" t="str">
        <f t="shared" si="3"/>
        <v/>
      </c>
      <c r="B2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13" spans="1:2" x14ac:dyDescent="0.35">
      <c r="A213" s="1" t="str">
        <f t="shared" si="3"/>
        <v/>
      </c>
      <c r="B2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14" spans="1:2" x14ac:dyDescent="0.35">
      <c r="A214" s="1" t="str">
        <f t="shared" si="3"/>
        <v/>
      </c>
      <c r="B2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15" spans="1:2" x14ac:dyDescent="0.35">
      <c r="A215" s="1" t="str">
        <f t="shared" si="3"/>
        <v/>
      </c>
      <c r="B2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16" spans="1:2" x14ac:dyDescent="0.35">
      <c r="A216" s="1" t="str">
        <f t="shared" si="3"/>
        <v/>
      </c>
      <c r="B2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17" spans="1:2" x14ac:dyDescent="0.35">
      <c r="A217" s="1" t="str">
        <f t="shared" si="3"/>
        <v/>
      </c>
      <c r="B2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18" spans="1:2" x14ac:dyDescent="0.35">
      <c r="A218" s="1" t="str">
        <f t="shared" si="3"/>
        <v/>
      </c>
      <c r="B2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19" spans="1:2" x14ac:dyDescent="0.35">
      <c r="A219" s="1" t="str">
        <f t="shared" si="3"/>
        <v/>
      </c>
      <c r="B2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20" spans="1:2" x14ac:dyDescent="0.35">
      <c r="A220" s="1" t="str">
        <f t="shared" si="3"/>
        <v/>
      </c>
      <c r="B2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21" spans="1:2" x14ac:dyDescent="0.35">
      <c r="A221" s="1" t="str">
        <f t="shared" si="3"/>
        <v/>
      </c>
      <c r="B2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22" spans="1:2" x14ac:dyDescent="0.35">
      <c r="A222" s="1" t="str">
        <f t="shared" si="3"/>
        <v/>
      </c>
      <c r="B2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23" spans="1:2" x14ac:dyDescent="0.35">
      <c r="A223" s="1" t="str">
        <f t="shared" si="3"/>
        <v/>
      </c>
      <c r="B2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24" spans="1:2" x14ac:dyDescent="0.35">
      <c r="A224" s="1" t="str">
        <f t="shared" si="3"/>
        <v/>
      </c>
      <c r="B2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25" spans="1:2" x14ac:dyDescent="0.35">
      <c r="A225" s="1" t="str">
        <f t="shared" si="3"/>
        <v/>
      </c>
      <c r="B2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26" spans="1:2" x14ac:dyDescent="0.35">
      <c r="A226" s="1" t="str">
        <f t="shared" si="3"/>
        <v/>
      </c>
      <c r="B2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27" spans="1:2" x14ac:dyDescent="0.35">
      <c r="A227" s="1" t="str">
        <f t="shared" si="3"/>
        <v/>
      </c>
      <c r="B2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28" spans="1:2" x14ac:dyDescent="0.35">
      <c r="A228" s="1" t="str">
        <f t="shared" si="3"/>
        <v/>
      </c>
      <c r="B2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29" spans="1:2" x14ac:dyDescent="0.35">
      <c r="A229" s="1" t="str">
        <f t="shared" si="3"/>
        <v/>
      </c>
      <c r="B2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30" spans="1:2" x14ac:dyDescent="0.35">
      <c r="A230" s="1" t="str">
        <f t="shared" si="3"/>
        <v/>
      </c>
      <c r="B2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31" spans="1:2" x14ac:dyDescent="0.35">
      <c r="A231" s="1" t="str">
        <f t="shared" si="3"/>
        <v/>
      </c>
      <c r="B2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32" spans="1:2" x14ac:dyDescent="0.35">
      <c r="A232" s="1" t="str">
        <f t="shared" si="3"/>
        <v/>
      </c>
      <c r="B2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33" spans="1:2" x14ac:dyDescent="0.35">
      <c r="A233" s="1" t="str">
        <f t="shared" si="3"/>
        <v/>
      </c>
      <c r="B2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34" spans="1:2" x14ac:dyDescent="0.35">
      <c r="A234" s="1" t="str">
        <f t="shared" si="3"/>
        <v/>
      </c>
      <c r="B2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35" spans="1:2" x14ac:dyDescent="0.35">
      <c r="A235" s="1" t="str">
        <f t="shared" si="3"/>
        <v/>
      </c>
      <c r="B2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36" spans="1:2" x14ac:dyDescent="0.35">
      <c r="A236" s="1" t="str">
        <f t="shared" si="3"/>
        <v/>
      </c>
      <c r="B2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37" spans="1:2" x14ac:dyDescent="0.35">
      <c r="A237" s="1" t="str">
        <f t="shared" si="3"/>
        <v/>
      </c>
      <c r="B2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38" spans="1:2" x14ac:dyDescent="0.35">
      <c r="A238" s="1" t="str">
        <f t="shared" si="3"/>
        <v/>
      </c>
      <c r="B2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39" spans="1:2" x14ac:dyDescent="0.35">
      <c r="A239" s="1" t="str">
        <f t="shared" si="3"/>
        <v/>
      </c>
      <c r="B2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40" spans="1:2" x14ac:dyDescent="0.35">
      <c r="A240" s="1" t="str">
        <f t="shared" si="3"/>
        <v/>
      </c>
      <c r="B2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41" spans="1:2" x14ac:dyDescent="0.35">
      <c r="A241" s="1" t="str">
        <f t="shared" si="3"/>
        <v/>
      </c>
      <c r="B2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42" spans="1:2" x14ac:dyDescent="0.35">
      <c r="A242" s="1" t="str">
        <f t="shared" si="3"/>
        <v/>
      </c>
      <c r="B2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43" spans="1:2" x14ac:dyDescent="0.35">
      <c r="A243" s="1" t="str">
        <f t="shared" si="3"/>
        <v/>
      </c>
      <c r="B2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44" spans="1:2" x14ac:dyDescent="0.35">
      <c r="A244" s="1" t="str">
        <f t="shared" si="3"/>
        <v/>
      </c>
      <c r="B2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45" spans="1:2" x14ac:dyDescent="0.35">
      <c r="A245" s="1" t="str">
        <f t="shared" si="3"/>
        <v/>
      </c>
      <c r="B2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46" spans="1:2" x14ac:dyDescent="0.35">
      <c r="A246" s="1" t="str">
        <f t="shared" si="3"/>
        <v/>
      </c>
      <c r="B2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47" spans="1:2" x14ac:dyDescent="0.35">
      <c r="A247" s="1" t="str">
        <f t="shared" si="3"/>
        <v/>
      </c>
      <c r="B2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48" spans="1:2" x14ac:dyDescent="0.35">
      <c r="A248" s="1" t="str">
        <f t="shared" si="3"/>
        <v/>
      </c>
      <c r="B2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49" spans="1:2" x14ac:dyDescent="0.35">
      <c r="A249" s="1" t="str">
        <f t="shared" si="3"/>
        <v/>
      </c>
      <c r="B2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50" spans="1:2" x14ac:dyDescent="0.35">
      <c r="A250" s="1" t="str">
        <f t="shared" si="3"/>
        <v/>
      </c>
      <c r="B2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51" spans="1:2" x14ac:dyDescent="0.35">
      <c r="A251" s="1" t="str">
        <f t="shared" si="3"/>
        <v/>
      </c>
      <c r="B2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52" spans="1:2" x14ac:dyDescent="0.35">
      <c r="A252" s="1" t="str">
        <f t="shared" si="3"/>
        <v/>
      </c>
      <c r="B2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53" spans="1:2" x14ac:dyDescent="0.35">
      <c r="A253" s="1" t="str">
        <f t="shared" si="3"/>
        <v/>
      </c>
      <c r="B2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54" spans="1:2" x14ac:dyDescent="0.35">
      <c r="A254" s="1" t="str">
        <f t="shared" si="3"/>
        <v/>
      </c>
      <c r="B2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55" spans="1:2" x14ac:dyDescent="0.35">
      <c r="A255" s="1" t="str">
        <f t="shared" si="3"/>
        <v/>
      </c>
      <c r="B2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56" spans="1:2" x14ac:dyDescent="0.35">
      <c r="A256" s="1" t="str">
        <f t="shared" si="3"/>
        <v/>
      </c>
      <c r="B2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57" spans="1:2" x14ac:dyDescent="0.35">
      <c r="A257" s="1" t="str">
        <f t="shared" si="3"/>
        <v/>
      </c>
      <c r="B2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58" spans="1:2" x14ac:dyDescent="0.35">
      <c r="A258" s="1" t="str">
        <f t="shared" ref="A258:A321" si="4">IFERROR(LEFT(RIGHT(C258,LEN(C258)-SEARCH("@",C258)),SEARCH("/",RIGHT(C258,LEN(C258)-SEARCH("@",C258)-1))),"")</f>
        <v/>
      </c>
      <c r="B2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59" spans="1:2" x14ac:dyDescent="0.35">
      <c r="A259" s="1" t="str">
        <f t="shared" si="4"/>
        <v/>
      </c>
      <c r="B2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60" spans="1:2" x14ac:dyDescent="0.35">
      <c r="A260" s="1" t="str">
        <f t="shared" si="4"/>
        <v/>
      </c>
      <c r="B2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61" spans="1:2" x14ac:dyDescent="0.35">
      <c r="A261" s="1" t="str">
        <f t="shared" si="4"/>
        <v/>
      </c>
      <c r="B2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62" spans="1:2" x14ac:dyDescent="0.35">
      <c r="A262" s="1" t="str">
        <f t="shared" si="4"/>
        <v/>
      </c>
      <c r="B2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63" spans="1:2" x14ac:dyDescent="0.35">
      <c r="A263" s="1" t="str">
        <f t="shared" si="4"/>
        <v/>
      </c>
      <c r="B2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64" spans="1:2" x14ac:dyDescent="0.35">
      <c r="A264" s="1" t="str">
        <f t="shared" si="4"/>
        <v/>
      </c>
      <c r="B2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65" spans="1:2" x14ac:dyDescent="0.35">
      <c r="A265" s="1" t="str">
        <f t="shared" si="4"/>
        <v/>
      </c>
      <c r="B2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66" spans="1:2" x14ac:dyDescent="0.35">
      <c r="A266" s="1" t="str">
        <f t="shared" si="4"/>
        <v/>
      </c>
      <c r="B2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67" spans="1:2" x14ac:dyDescent="0.35">
      <c r="A267" s="1" t="str">
        <f t="shared" si="4"/>
        <v/>
      </c>
      <c r="B2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68" spans="1:2" x14ac:dyDescent="0.35">
      <c r="A268" s="1" t="str">
        <f t="shared" si="4"/>
        <v/>
      </c>
      <c r="B2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69" spans="1:2" x14ac:dyDescent="0.35">
      <c r="A269" s="1" t="str">
        <f t="shared" si="4"/>
        <v/>
      </c>
      <c r="B2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70" spans="1:2" x14ac:dyDescent="0.35">
      <c r="A270" s="1" t="str">
        <f t="shared" si="4"/>
        <v/>
      </c>
      <c r="B2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71" spans="1:2" x14ac:dyDescent="0.35">
      <c r="A271" s="1" t="str">
        <f t="shared" si="4"/>
        <v/>
      </c>
      <c r="B2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72" spans="1:2" x14ac:dyDescent="0.35">
      <c r="A272" s="1" t="str">
        <f t="shared" si="4"/>
        <v/>
      </c>
      <c r="B2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73" spans="1:2" x14ac:dyDescent="0.35">
      <c r="A273" s="1" t="str">
        <f t="shared" si="4"/>
        <v/>
      </c>
      <c r="B2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74" spans="1:2" x14ac:dyDescent="0.35">
      <c r="A274" s="1" t="str">
        <f t="shared" si="4"/>
        <v/>
      </c>
      <c r="B2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75" spans="1:2" x14ac:dyDescent="0.35">
      <c r="A275" s="1" t="str">
        <f t="shared" si="4"/>
        <v/>
      </c>
      <c r="B2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76" spans="1:2" x14ac:dyDescent="0.35">
      <c r="A276" s="1" t="str">
        <f t="shared" si="4"/>
        <v/>
      </c>
      <c r="B2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77" spans="1:2" x14ac:dyDescent="0.35">
      <c r="A277" s="1" t="str">
        <f t="shared" si="4"/>
        <v/>
      </c>
      <c r="B2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78" spans="1:2" x14ac:dyDescent="0.35">
      <c r="A278" s="1" t="str">
        <f t="shared" si="4"/>
        <v/>
      </c>
      <c r="B2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79" spans="1:2" x14ac:dyDescent="0.35">
      <c r="A279" s="1" t="str">
        <f t="shared" si="4"/>
        <v/>
      </c>
      <c r="B2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80" spans="1:2" x14ac:dyDescent="0.35">
      <c r="A280" s="1" t="str">
        <f t="shared" si="4"/>
        <v/>
      </c>
      <c r="B2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81" spans="1:2" x14ac:dyDescent="0.35">
      <c r="A281" s="1" t="str">
        <f t="shared" si="4"/>
        <v/>
      </c>
      <c r="B2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82" spans="1:2" x14ac:dyDescent="0.35">
      <c r="A282" s="1" t="str">
        <f t="shared" si="4"/>
        <v/>
      </c>
      <c r="B2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83" spans="1:2" x14ac:dyDescent="0.35">
      <c r="A283" s="1" t="str">
        <f t="shared" si="4"/>
        <v/>
      </c>
      <c r="B2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84" spans="1:2" x14ac:dyDescent="0.35">
      <c r="A284" s="1" t="str">
        <f t="shared" si="4"/>
        <v/>
      </c>
      <c r="B2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85" spans="1:2" x14ac:dyDescent="0.35">
      <c r="A285" s="1" t="str">
        <f t="shared" si="4"/>
        <v/>
      </c>
      <c r="B2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86" spans="1:2" x14ac:dyDescent="0.35">
      <c r="A286" s="1" t="str">
        <f t="shared" si="4"/>
        <v/>
      </c>
      <c r="B2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87" spans="1:2" x14ac:dyDescent="0.35">
      <c r="A287" s="1" t="str">
        <f t="shared" si="4"/>
        <v/>
      </c>
      <c r="B2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88" spans="1:2" x14ac:dyDescent="0.35">
      <c r="A288" s="1" t="str">
        <f t="shared" si="4"/>
        <v/>
      </c>
      <c r="B2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89" spans="1:2" x14ac:dyDescent="0.35">
      <c r="A289" s="1" t="str">
        <f t="shared" si="4"/>
        <v/>
      </c>
      <c r="B2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90" spans="1:2" x14ac:dyDescent="0.35">
      <c r="A290" s="1" t="str">
        <f t="shared" si="4"/>
        <v/>
      </c>
      <c r="B2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91" spans="1:2" x14ac:dyDescent="0.35">
      <c r="A291" s="1" t="str">
        <f t="shared" si="4"/>
        <v/>
      </c>
      <c r="B2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92" spans="1:2" x14ac:dyDescent="0.35">
      <c r="A292" s="1" t="str">
        <f t="shared" si="4"/>
        <v/>
      </c>
      <c r="B2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93" spans="1:2" x14ac:dyDescent="0.35">
      <c r="A293" s="1" t="str">
        <f t="shared" si="4"/>
        <v/>
      </c>
      <c r="B2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94" spans="1:2" x14ac:dyDescent="0.35">
      <c r="A294" s="1" t="str">
        <f t="shared" si="4"/>
        <v/>
      </c>
      <c r="B2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95" spans="1:2" x14ac:dyDescent="0.35">
      <c r="A295" s="1" t="str">
        <f t="shared" si="4"/>
        <v/>
      </c>
      <c r="B2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96" spans="1:2" x14ac:dyDescent="0.35">
      <c r="A296" s="1" t="str">
        <f t="shared" si="4"/>
        <v/>
      </c>
      <c r="B2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97" spans="1:2" x14ac:dyDescent="0.35">
      <c r="A297" s="1" t="str">
        <f t="shared" si="4"/>
        <v/>
      </c>
      <c r="B2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98" spans="1:2" x14ac:dyDescent="0.35">
      <c r="A298" s="1" t="str">
        <f t="shared" si="4"/>
        <v/>
      </c>
      <c r="B2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99" spans="1:2" x14ac:dyDescent="0.35">
      <c r="A299" s="1" t="str">
        <f t="shared" si="4"/>
        <v/>
      </c>
      <c r="B2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00" spans="1:2" x14ac:dyDescent="0.35">
      <c r="A300" s="1" t="str">
        <f t="shared" si="4"/>
        <v/>
      </c>
      <c r="B3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01" spans="1:2" x14ac:dyDescent="0.35">
      <c r="A301" s="1" t="str">
        <f t="shared" si="4"/>
        <v/>
      </c>
      <c r="B3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02" spans="1:2" x14ac:dyDescent="0.35">
      <c r="A302" s="1" t="str">
        <f t="shared" si="4"/>
        <v/>
      </c>
      <c r="B3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03" spans="1:2" x14ac:dyDescent="0.35">
      <c r="A303" s="1" t="str">
        <f t="shared" si="4"/>
        <v/>
      </c>
      <c r="B3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04" spans="1:2" x14ac:dyDescent="0.35">
      <c r="A304" s="1" t="str">
        <f t="shared" si="4"/>
        <v/>
      </c>
      <c r="B3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05" spans="1:2" x14ac:dyDescent="0.35">
      <c r="A305" s="1" t="str">
        <f t="shared" si="4"/>
        <v/>
      </c>
      <c r="B3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06" spans="1:2" x14ac:dyDescent="0.35">
      <c r="A306" s="1" t="str">
        <f t="shared" si="4"/>
        <v/>
      </c>
      <c r="B3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07" spans="1:2" x14ac:dyDescent="0.35">
      <c r="A307" s="1" t="str">
        <f t="shared" si="4"/>
        <v/>
      </c>
      <c r="B3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08" spans="1:2" x14ac:dyDescent="0.35">
      <c r="A308" s="1" t="str">
        <f t="shared" si="4"/>
        <v/>
      </c>
      <c r="B3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09" spans="1:2" x14ac:dyDescent="0.35">
      <c r="A309" s="1" t="str">
        <f t="shared" si="4"/>
        <v/>
      </c>
      <c r="B3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10" spans="1:2" x14ac:dyDescent="0.35">
      <c r="A310" s="1" t="str">
        <f t="shared" si="4"/>
        <v/>
      </c>
      <c r="B3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11" spans="1:2" x14ac:dyDescent="0.35">
      <c r="A311" s="1" t="str">
        <f t="shared" si="4"/>
        <v/>
      </c>
      <c r="B3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12" spans="1:2" x14ac:dyDescent="0.35">
      <c r="A312" s="1" t="str">
        <f t="shared" si="4"/>
        <v/>
      </c>
      <c r="B3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13" spans="1:2" x14ac:dyDescent="0.35">
      <c r="A313" s="1" t="str">
        <f t="shared" si="4"/>
        <v/>
      </c>
      <c r="B3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14" spans="1:2" x14ac:dyDescent="0.35">
      <c r="A314" s="1" t="str">
        <f t="shared" si="4"/>
        <v/>
      </c>
      <c r="B3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15" spans="1:2" x14ac:dyDescent="0.35">
      <c r="A315" s="1" t="str">
        <f t="shared" si="4"/>
        <v/>
      </c>
      <c r="B3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16" spans="1:2" x14ac:dyDescent="0.35">
      <c r="A316" s="1" t="str">
        <f t="shared" si="4"/>
        <v/>
      </c>
      <c r="B3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17" spans="1:2" x14ac:dyDescent="0.35">
      <c r="A317" s="1" t="str">
        <f t="shared" si="4"/>
        <v/>
      </c>
      <c r="B3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18" spans="1:2" x14ac:dyDescent="0.35">
      <c r="A318" s="1" t="str">
        <f t="shared" si="4"/>
        <v/>
      </c>
      <c r="B3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19" spans="1:2" x14ac:dyDescent="0.35">
      <c r="A319" s="1" t="str">
        <f t="shared" si="4"/>
        <v/>
      </c>
      <c r="B3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20" spans="1:2" x14ac:dyDescent="0.35">
      <c r="A320" s="1" t="str">
        <f t="shared" si="4"/>
        <v/>
      </c>
      <c r="B3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21" spans="1:2" x14ac:dyDescent="0.35">
      <c r="A321" s="1" t="str">
        <f t="shared" si="4"/>
        <v/>
      </c>
      <c r="B3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22" spans="1:2" x14ac:dyDescent="0.35">
      <c r="A322" s="1" t="str">
        <f t="shared" ref="A322:A385" si="5">IFERROR(LEFT(RIGHT(C322,LEN(C322)-SEARCH("@",C322)),SEARCH("/",RIGHT(C322,LEN(C322)-SEARCH("@",C322)-1))),"")</f>
        <v/>
      </c>
      <c r="B3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23" spans="1:2" x14ac:dyDescent="0.35">
      <c r="A323" s="1" t="str">
        <f t="shared" si="5"/>
        <v/>
      </c>
      <c r="B3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24" spans="1:2" x14ac:dyDescent="0.35">
      <c r="A324" s="1" t="str">
        <f t="shared" si="5"/>
        <v/>
      </c>
      <c r="B3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25" spans="1:2" x14ac:dyDescent="0.35">
      <c r="A325" s="1" t="str">
        <f t="shared" si="5"/>
        <v/>
      </c>
      <c r="B3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26" spans="1:2" x14ac:dyDescent="0.35">
      <c r="A326" s="1" t="str">
        <f t="shared" si="5"/>
        <v/>
      </c>
      <c r="B3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27" spans="1:2" x14ac:dyDescent="0.35">
      <c r="A327" s="1" t="str">
        <f t="shared" si="5"/>
        <v/>
      </c>
      <c r="B3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28" spans="1:2" x14ac:dyDescent="0.35">
      <c r="A328" s="1" t="str">
        <f t="shared" si="5"/>
        <v/>
      </c>
      <c r="B3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29" spans="1:2" x14ac:dyDescent="0.35">
      <c r="A329" s="1" t="str">
        <f t="shared" si="5"/>
        <v/>
      </c>
      <c r="B3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30" spans="1:2" x14ac:dyDescent="0.35">
      <c r="A330" s="1" t="str">
        <f t="shared" si="5"/>
        <v/>
      </c>
      <c r="B3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31" spans="1:2" x14ac:dyDescent="0.35">
      <c r="A331" s="1" t="str">
        <f t="shared" si="5"/>
        <v/>
      </c>
      <c r="B3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32" spans="1:2" x14ac:dyDescent="0.35">
      <c r="A332" s="1" t="str">
        <f t="shared" si="5"/>
        <v/>
      </c>
      <c r="B3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33" spans="1:2" x14ac:dyDescent="0.35">
      <c r="A333" s="1" t="str">
        <f t="shared" si="5"/>
        <v/>
      </c>
      <c r="B3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34" spans="1:2" x14ac:dyDescent="0.35">
      <c r="A334" s="1" t="str">
        <f t="shared" si="5"/>
        <v/>
      </c>
      <c r="B3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35" spans="1:2" x14ac:dyDescent="0.35">
      <c r="A335" s="1" t="str">
        <f t="shared" si="5"/>
        <v/>
      </c>
      <c r="B3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36" spans="1:2" x14ac:dyDescent="0.35">
      <c r="A336" s="1" t="str">
        <f t="shared" si="5"/>
        <v/>
      </c>
      <c r="B3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37" spans="1:2" x14ac:dyDescent="0.35">
      <c r="A337" s="1" t="str">
        <f t="shared" si="5"/>
        <v/>
      </c>
      <c r="B3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38" spans="1:2" x14ac:dyDescent="0.35">
      <c r="A338" s="1" t="str">
        <f t="shared" si="5"/>
        <v/>
      </c>
      <c r="B3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39" spans="1:2" x14ac:dyDescent="0.35">
      <c r="A339" s="1" t="str">
        <f t="shared" si="5"/>
        <v/>
      </c>
      <c r="B3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40" spans="1:2" x14ac:dyDescent="0.35">
      <c r="A340" s="1" t="str">
        <f t="shared" si="5"/>
        <v/>
      </c>
      <c r="B3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41" spans="1:2" x14ac:dyDescent="0.35">
      <c r="A341" s="1" t="str">
        <f t="shared" si="5"/>
        <v/>
      </c>
      <c r="B3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42" spans="1:2" x14ac:dyDescent="0.35">
      <c r="A342" s="1" t="str">
        <f t="shared" si="5"/>
        <v/>
      </c>
      <c r="B3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43" spans="1:2" x14ac:dyDescent="0.35">
      <c r="A343" s="1" t="str">
        <f t="shared" si="5"/>
        <v/>
      </c>
      <c r="B3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44" spans="1:2" x14ac:dyDescent="0.35">
      <c r="A344" s="1" t="str">
        <f t="shared" si="5"/>
        <v/>
      </c>
      <c r="B3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45" spans="1:2" x14ac:dyDescent="0.35">
      <c r="A345" s="1" t="str">
        <f t="shared" si="5"/>
        <v/>
      </c>
      <c r="B3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46" spans="1:2" x14ac:dyDescent="0.35">
      <c r="A346" s="1" t="str">
        <f t="shared" si="5"/>
        <v/>
      </c>
      <c r="B3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47" spans="1:2" x14ac:dyDescent="0.35">
      <c r="A347" s="1" t="str">
        <f t="shared" si="5"/>
        <v/>
      </c>
      <c r="B3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48" spans="1:2" x14ac:dyDescent="0.35">
      <c r="A348" s="1" t="str">
        <f t="shared" si="5"/>
        <v/>
      </c>
      <c r="B3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49" spans="1:2" x14ac:dyDescent="0.35">
      <c r="A349" s="1" t="str">
        <f t="shared" si="5"/>
        <v/>
      </c>
      <c r="B3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50" spans="1:2" x14ac:dyDescent="0.35">
      <c r="A350" s="1" t="str">
        <f t="shared" si="5"/>
        <v/>
      </c>
      <c r="B3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51" spans="1:2" x14ac:dyDescent="0.35">
      <c r="A351" s="1" t="str">
        <f t="shared" si="5"/>
        <v/>
      </c>
      <c r="B3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52" spans="1:2" x14ac:dyDescent="0.35">
      <c r="A352" s="1" t="str">
        <f t="shared" si="5"/>
        <v/>
      </c>
      <c r="B3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53" spans="1:2" x14ac:dyDescent="0.35">
      <c r="A353" s="1" t="str">
        <f t="shared" si="5"/>
        <v/>
      </c>
      <c r="B3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54" spans="1:2" x14ac:dyDescent="0.35">
      <c r="A354" s="1" t="str">
        <f t="shared" si="5"/>
        <v/>
      </c>
      <c r="B3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55" spans="1:2" x14ac:dyDescent="0.35">
      <c r="A355" s="1" t="str">
        <f t="shared" si="5"/>
        <v/>
      </c>
      <c r="B3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56" spans="1:2" x14ac:dyDescent="0.35">
      <c r="A356" s="1" t="str">
        <f t="shared" si="5"/>
        <v/>
      </c>
      <c r="B3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57" spans="1:2" x14ac:dyDescent="0.35">
      <c r="A357" s="1" t="str">
        <f t="shared" si="5"/>
        <v/>
      </c>
      <c r="B3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58" spans="1:2" x14ac:dyDescent="0.35">
      <c r="A358" s="1" t="str">
        <f t="shared" si="5"/>
        <v/>
      </c>
      <c r="B3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59" spans="1:2" x14ac:dyDescent="0.35">
      <c r="A359" s="1" t="str">
        <f t="shared" si="5"/>
        <v/>
      </c>
      <c r="B3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60" spans="1:2" x14ac:dyDescent="0.35">
      <c r="A360" s="1" t="str">
        <f t="shared" si="5"/>
        <v/>
      </c>
      <c r="B3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61" spans="1:2" x14ac:dyDescent="0.35">
      <c r="A361" s="1" t="str">
        <f t="shared" si="5"/>
        <v/>
      </c>
      <c r="B3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62" spans="1:2" x14ac:dyDescent="0.35">
      <c r="A362" s="1" t="str">
        <f t="shared" si="5"/>
        <v/>
      </c>
      <c r="B3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63" spans="1:2" x14ac:dyDescent="0.35">
      <c r="A363" s="1" t="str">
        <f t="shared" si="5"/>
        <v/>
      </c>
      <c r="B3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64" spans="1:2" x14ac:dyDescent="0.35">
      <c r="A364" s="1" t="str">
        <f t="shared" si="5"/>
        <v/>
      </c>
      <c r="B3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65" spans="1:2" x14ac:dyDescent="0.35">
      <c r="A365" s="1" t="str">
        <f t="shared" si="5"/>
        <v/>
      </c>
      <c r="B3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66" spans="1:2" x14ac:dyDescent="0.35">
      <c r="A366" s="1" t="str">
        <f t="shared" si="5"/>
        <v/>
      </c>
      <c r="B3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67" spans="1:2" x14ac:dyDescent="0.35">
      <c r="A367" s="1" t="str">
        <f t="shared" si="5"/>
        <v/>
      </c>
      <c r="B3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68" spans="1:2" x14ac:dyDescent="0.35">
      <c r="A368" s="1" t="str">
        <f t="shared" si="5"/>
        <v/>
      </c>
      <c r="B3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69" spans="1:2" x14ac:dyDescent="0.35">
      <c r="A369" s="1" t="str">
        <f t="shared" si="5"/>
        <v/>
      </c>
      <c r="B3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70" spans="1:2" x14ac:dyDescent="0.35">
      <c r="A370" s="1" t="str">
        <f t="shared" si="5"/>
        <v/>
      </c>
      <c r="B3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71" spans="1:2" x14ac:dyDescent="0.35">
      <c r="A371" s="1" t="str">
        <f t="shared" si="5"/>
        <v/>
      </c>
      <c r="B3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72" spans="1:2" x14ac:dyDescent="0.35">
      <c r="A372" s="1" t="str">
        <f t="shared" si="5"/>
        <v/>
      </c>
      <c r="B3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73" spans="1:2" x14ac:dyDescent="0.35">
      <c r="A373" s="1" t="str">
        <f t="shared" si="5"/>
        <v/>
      </c>
      <c r="B3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74" spans="1:2" x14ac:dyDescent="0.35">
      <c r="A374" s="1" t="str">
        <f t="shared" si="5"/>
        <v/>
      </c>
      <c r="B3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75" spans="1:2" x14ac:dyDescent="0.35">
      <c r="A375" s="1" t="str">
        <f t="shared" si="5"/>
        <v/>
      </c>
      <c r="B3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76" spans="1:2" x14ac:dyDescent="0.35">
      <c r="A376" s="1" t="str">
        <f t="shared" si="5"/>
        <v/>
      </c>
      <c r="B3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77" spans="1:2" x14ac:dyDescent="0.35">
      <c r="A377" s="1" t="str">
        <f t="shared" si="5"/>
        <v/>
      </c>
      <c r="B3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78" spans="1:2" x14ac:dyDescent="0.35">
      <c r="A378" s="1" t="str">
        <f t="shared" si="5"/>
        <v/>
      </c>
      <c r="B3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79" spans="1:2" x14ac:dyDescent="0.35">
      <c r="A379" s="1" t="str">
        <f t="shared" si="5"/>
        <v/>
      </c>
      <c r="B3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80" spans="1:2" x14ac:dyDescent="0.35">
      <c r="A380" s="1" t="str">
        <f t="shared" si="5"/>
        <v/>
      </c>
      <c r="B3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81" spans="1:2" x14ac:dyDescent="0.35">
      <c r="A381" s="1" t="str">
        <f t="shared" si="5"/>
        <v/>
      </c>
      <c r="B3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82" spans="1:2" x14ac:dyDescent="0.35">
      <c r="A382" s="1" t="str">
        <f t="shared" si="5"/>
        <v/>
      </c>
      <c r="B3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83" spans="1:2" x14ac:dyDescent="0.35">
      <c r="A383" s="1" t="str">
        <f t="shared" si="5"/>
        <v/>
      </c>
      <c r="B3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84" spans="1:2" x14ac:dyDescent="0.35">
      <c r="A384" s="1" t="str">
        <f t="shared" si="5"/>
        <v/>
      </c>
      <c r="B3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85" spans="1:2" x14ac:dyDescent="0.35">
      <c r="A385" s="1" t="str">
        <f t="shared" si="5"/>
        <v/>
      </c>
      <c r="B3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86" spans="1:2" x14ac:dyDescent="0.35">
      <c r="A386" s="1" t="str">
        <f t="shared" ref="A386:A449" si="6">IFERROR(LEFT(RIGHT(C386,LEN(C386)-SEARCH("@",C386)),SEARCH("/",RIGHT(C386,LEN(C386)-SEARCH("@",C386)-1))),"")</f>
        <v/>
      </c>
      <c r="B3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87" spans="1:2" x14ac:dyDescent="0.35">
      <c r="A387" s="1" t="str">
        <f t="shared" si="6"/>
        <v/>
      </c>
      <c r="B3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88" spans="1:2" x14ac:dyDescent="0.35">
      <c r="A388" s="1" t="str">
        <f t="shared" si="6"/>
        <v/>
      </c>
      <c r="B3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89" spans="1:2" x14ac:dyDescent="0.35">
      <c r="A389" s="1" t="str">
        <f t="shared" si="6"/>
        <v/>
      </c>
      <c r="B3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90" spans="1:2" x14ac:dyDescent="0.35">
      <c r="A390" s="1" t="str">
        <f t="shared" si="6"/>
        <v/>
      </c>
      <c r="B3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91" spans="1:2" x14ac:dyDescent="0.35">
      <c r="A391" s="1" t="str">
        <f t="shared" si="6"/>
        <v/>
      </c>
      <c r="B3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92" spans="1:2" x14ac:dyDescent="0.35">
      <c r="A392" s="1" t="str">
        <f t="shared" si="6"/>
        <v/>
      </c>
      <c r="B3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93" spans="1:2" x14ac:dyDescent="0.35">
      <c r="A393" s="1" t="str">
        <f t="shared" si="6"/>
        <v/>
      </c>
      <c r="B3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94" spans="1:2" x14ac:dyDescent="0.35">
      <c r="A394" s="1" t="str">
        <f t="shared" si="6"/>
        <v/>
      </c>
      <c r="B3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95" spans="1:2" x14ac:dyDescent="0.35">
      <c r="A395" s="1" t="str">
        <f t="shared" si="6"/>
        <v/>
      </c>
      <c r="B3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96" spans="1:2" x14ac:dyDescent="0.35">
      <c r="A396" s="1" t="str">
        <f t="shared" si="6"/>
        <v/>
      </c>
      <c r="B3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97" spans="1:2" x14ac:dyDescent="0.35">
      <c r="A397" s="1" t="str">
        <f t="shared" si="6"/>
        <v/>
      </c>
      <c r="B3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98" spans="1:2" x14ac:dyDescent="0.35">
      <c r="A398" s="1" t="str">
        <f t="shared" si="6"/>
        <v/>
      </c>
      <c r="B3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99" spans="1:2" x14ac:dyDescent="0.35">
      <c r="A399" s="1" t="str">
        <f t="shared" si="6"/>
        <v/>
      </c>
      <c r="B3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00" spans="1:2" x14ac:dyDescent="0.35">
      <c r="A400" s="1" t="str">
        <f t="shared" si="6"/>
        <v/>
      </c>
      <c r="B4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01" spans="1:2" x14ac:dyDescent="0.35">
      <c r="A401" s="1" t="str">
        <f t="shared" si="6"/>
        <v/>
      </c>
      <c r="B4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02" spans="1:2" x14ac:dyDescent="0.35">
      <c r="A402" s="1" t="str">
        <f t="shared" si="6"/>
        <v/>
      </c>
      <c r="B4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03" spans="1:2" x14ac:dyDescent="0.35">
      <c r="A403" s="1" t="str">
        <f t="shared" si="6"/>
        <v/>
      </c>
      <c r="B4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04" spans="1:2" x14ac:dyDescent="0.35">
      <c r="A404" s="1" t="str">
        <f t="shared" si="6"/>
        <v/>
      </c>
      <c r="B4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05" spans="1:2" x14ac:dyDescent="0.35">
      <c r="A405" s="1" t="str">
        <f t="shared" si="6"/>
        <v/>
      </c>
      <c r="B4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06" spans="1:2" x14ac:dyDescent="0.35">
      <c r="A406" s="1" t="str">
        <f t="shared" si="6"/>
        <v/>
      </c>
      <c r="B4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07" spans="1:2" x14ac:dyDescent="0.35">
      <c r="A407" s="1" t="str">
        <f t="shared" si="6"/>
        <v/>
      </c>
      <c r="B4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08" spans="1:2" x14ac:dyDescent="0.35">
      <c r="A408" s="1" t="str">
        <f t="shared" si="6"/>
        <v/>
      </c>
      <c r="B4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09" spans="1:2" x14ac:dyDescent="0.35">
      <c r="A409" s="1" t="str">
        <f t="shared" si="6"/>
        <v/>
      </c>
      <c r="B4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10" spans="1:2" x14ac:dyDescent="0.35">
      <c r="A410" s="1" t="str">
        <f t="shared" si="6"/>
        <v/>
      </c>
      <c r="B4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11" spans="1:2" x14ac:dyDescent="0.35">
      <c r="A411" s="1" t="str">
        <f t="shared" si="6"/>
        <v/>
      </c>
      <c r="B4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12" spans="1:2" x14ac:dyDescent="0.35">
      <c r="A412" s="1" t="str">
        <f t="shared" si="6"/>
        <v/>
      </c>
      <c r="B4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13" spans="1:2" x14ac:dyDescent="0.35">
      <c r="A413" s="1" t="str">
        <f t="shared" si="6"/>
        <v/>
      </c>
      <c r="B4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14" spans="1:2" x14ac:dyDescent="0.35">
      <c r="A414" s="1" t="str">
        <f t="shared" si="6"/>
        <v/>
      </c>
      <c r="B4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15" spans="1:2" x14ac:dyDescent="0.35">
      <c r="A415" s="1" t="str">
        <f t="shared" si="6"/>
        <v/>
      </c>
      <c r="B4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16" spans="1:2" x14ac:dyDescent="0.35">
      <c r="A416" s="1" t="str">
        <f t="shared" si="6"/>
        <v/>
      </c>
      <c r="B4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17" spans="1:2" x14ac:dyDescent="0.35">
      <c r="A417" s="1" t="str">
        <f t="shared" si="6"/>
        <v/>
      </c>
      <c r="B4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18" spans="1:2" x14ac:dyDescent="0.35">
      <c r="A418" s="1" t="str">
        <f t="shared" si="6"/>
        <v/>
      </c>
      <c r="B4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19" spans="1:2" x14ac:dyDescent="0.35">
      <c r="A419" s="1" t="str">
        <f t="shared" si="6"/>
        <v/>
      </c>
      <c r="B4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20" spans="1:2" x14ac:dyDescent="0.35">
      <c r="A420" s="1" t="str">
        <f t="shared" si="6"/>
        <v/>
      </c>
      <c r="B4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21" spans="1:2" x14ac:dyDescent="0.35">
      <c r="A421" s="1" t="str">
        <f t="shared" si="6"/>
        <v/>
      </c>
      <c r="B4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22" spans="1:2" x14ac:dyDescent="0.35">
      <c r="A422" s="1" t="str">
        <f t="shared" si="6"/>
        <v/>
      </c>
      <c r="B4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23" spans="1:2" x14ac:dyDescent="0.35">
      <c r="A423" s="1" t="str">
        <f t="shared" si="6"/>
        <v/>
      </c>
      <c r="B4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24" spans="1:2" x14ac:dyDescent="0.35">
      <c r="A424" s="1" t="str">
        <f t="shared" si="6"/>
        <v/>
      </c>
      <c r="B4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25" spans="1:2" x14ac:dyDescent="0.35">
      <c r="A425" s="1" t="str">
        <f t="shared" si="6"/>
        <v/>
      </c>
      <c r="B4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26" spans="1:2" x14ac:dyDescent="0.35">
      <c r="A426" s="1" t="str">
        <f t="shared" si="6"/>
        <v/>
      </c>
      <c r="B4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27" spans="1:2" x14ac:dyDescent="0.35">
      <c r="A427" s="1" t="str">
        <f t="shared" si="6"/>
        <v/>
      </c>
      <c r="B4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28" spans="1:2" x14ac:dyDescent="0.35">
      <c r="A428" s="1" t="str">
        <f t="shared" si="6"/>
        <v/>
      </c>
      <c r="B4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29" spans="1:2" x14ac:dyDescent="0.35">
      <c r="A429" s="1" t="str">
        <f t="shared" si="6"/>
        <v/>
      </c>
      <c r="B4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30" spans="1:2" x14ac:dyDescent="0.35">
      <c r="A430" s="1" t="str">
        <f t="shared" si="6"/>
        <v/>
      </c>
      <c r="B4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31" spans="1:2" x14ac:dyDescent="0.35">
      <c r="A431" s="1" t="str">
        <f t="shared" si="6"/>
        <v/>
      </c>
      <c r="B4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32" spans="1:2" x14ac:dyDescent="0.35">
      <c r="A432" s="1" t="str">
        <f t="shared" si="6"/>
        <v/>
      </c>
      <c r="B4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33" spans="1:2" x14ac:dyDescent="0.35">
      <c r="A433" s="1" t="str">
        <f t="shared" si="6"/>
        <v/>
      </c>
      <c r="B4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34" spans="1:2" x14ac:dyDescent="0.35">
      <c r="A434" s="1" t="str">
        <f t="shared" si="6"/>
        <v/>
      </c>
      <c r="B4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35" spans="1:2" x14ac:dyDescent="0.35">
      <c r="A435" s="1" t="str">
        <f t="shared" si="6"/>
        <v/>
      </c>
      <c r="B4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36" spans="1:2" x14ac:dyDescent="0.35">
      <c r="A436" s="1" t="str">
        <f t="shared" si="6"/>
        <v/>
      </c>
      <c r="B4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37" spans="1:2" x14ac:dyDescent="0.35">
      <c r="A437" s="1" t="str">
        <f t="shared" si="6"/>
        <v/>
      </c>
      <c r="B4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38" spans="1:2" x14ac:dyDescent="0.35">
      <c r="A438" s="1" t="str">
        <f t="shared" si="6"/>
        <v/>
      </c>
      <c r="B4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39" spans="1:2" x14ac:dyDescent="0.35">
      <c r="A439" s="1" t="str">
        <f t="shared" si="6"/>
        <v/>
      </c>
      <c r="B4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40" spans="1:2" x14ac:dyDescent="0.35">
      <c r="A440" s="1" t="str">
        <f t="shared" si="6"/>
        <v/>
      </c>
      <c r="B4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41" spans="1:2" x14ac:dyDescent="0.35">
      <c r="A441" s="1" t="str">
        <f t="shared" si="6"/>
        <v/>
      </c>
      <c r="B4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42" spans="1:2" x14ac:dyDescent="0.35">
      <c r="A442" s="1" t="str">
        <f t="shared" si="6"/>
        <v/>
      </c>
      <c r="B4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43" spans="1:2" x14ac:dyDescent="0.35">
      <c r="A443" s="1" t="str">
        <f t="shared" si="6"/>
        <v/>
      </c>
      <c r="B4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44" spans="1:2" x14ac:dyDescent="0.35">
      <c r="A444" s="1" t="str">
        <f t="shared" si="6"/>
        <v/>
      </c>
      <c r="B4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45" spans="1:2" x14ac:dyDescent="0.35">
      <c r="A445" s="1" t="str">
        <f t="shared" si="6"/>
        <v/>
      </c>
      <c r="B4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46" spans="1:2" x14ac:dyDescent="0.35">
      <c r="A446" s="1" t="str">
        <f t="shared" si="6"/>
        <v/>
      </c>
      <c r="B4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47" spans="1:2" x14ac:dyDescent="0.35">
      <c r="A447" s="1" t="str">
        <f t="shared" si="6"/>
        <v/>
      </c>
      <c r="B4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48" spans="1:2" x14ac:dyDescent="0.35">
      <c r="A448" s="1" t="str">
        <f t="shared" si="6"/>
        <v/>
      </c>
      <c r="B4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49" spans="1:2" x14ac:dyDescent="0.35">
      <c r="A449" s="1" t="str">
        <f t="shared" si="6"/>
        <v/>
      </c>
      <c r="B4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50" spans="1:2" x14ac:dyDescent="0.35">
      <c r="A450" s="1" t="str">
        <f t="shared" ref="A450:A513" si="7">IFERROR(LEFT(RIGHT(C450,LEN(C450)-SEARCH("@",C450)),SEARCH("/",RIGHT(C450,LEN(C450)-SEARCH("@",C450)-1))),"")</f>
        <v/>
      </c>
      <c r="B4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51" spans="1:2" x14ac:dyDescent="0.35">
      <c r="A451" s="1" t="str">
        <f t="shared" si="7"/>
        <v/>
      </c>
      <c r="B4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52" spans="1:2" x14ac:dyDescent="0.35">
      <c r="A452" s="1" t="str">
        <f t="shared" si="7"/>
        <v/>
      </c>
      <c r="B4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53" spans="1:2" x14ac:dyDescent="0.35">
      <c r="A453" s="1" t="str">
        <f t="shared" si="7"/>
        <v/>
      </c>
      <c r="B4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54" spans="1:2" x14ac:dyDescent="0.35">
      <c r="A454" s="1" t="str">
        <f t="shared" si="7"/>
        <v/>
      </c>
      <c r="B4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55" spans="1:2" x14ac:dyDescent="0.35">
      <c r="A455" s="1" t="str">
        <f t="shared" si="7"/>
        <v/>
      </c>
      <c r="B4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56" spans="1:2" x14ac:dyDescent="0.35">
      <c r="A456" s="1" t="str">
        <f t="shared" si="7"/>
        <v/>
      </c>
      <c r="B4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57" spans="1:2" x14ac:dyDescent="0.35">
      <c r="A457" s="1" t="str">
        <f t="shared" si="7"/>
        <v/>
      </c>
      <c r="B4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58" spans="1:2" x14ac:dyDescent="0.35">
      <c r="A458" s="1" t="str">
        <f t="shared" si="7"/>
        <v/>
      </c>
      <c r="B4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59" spans="1:2" x14ac:dyDescent="0.35">
      <c r="A459" s="1" t="str">
        <f t="shared" si="7"/>
        <v/>
      </c>
      <c r="B4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60" spans="1:2" x14ac:dyDescent="0.35">
      <c r="A460" s="1" t="str">
        <f t="shared" si="7"/>
        <v/>
      </c>
      <c r="B4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61" spans="1:2" x14ac:dyDescent="0.35">
      <c r="A461" s="1" t="str">
        <f t="shared" si="7"/>
        <v/>
      </c>
      <c r="B4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62" spans="1:2" x14ac:dyDescent="0.35">
      <c r="A462" s="1" t="str">
        <f t="shared" si="7"/>
        <v/>
      </c>
      <c r="B4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63" spans="1:2" x14ac:dyDescent="0.35">
      <c r="A463" s="1" t="str">
        <f t="shared" si="7"/>
        <v/>
      </c>
      <c r="B4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64" spans="1:2" x14ac:dyDescent="0.35">
      <c r="A464" s="1" t="str">
        <f t="shared" si="7"/>
        <v/>
      </c>
      <c r="B4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65" spans="1:2" x14ac:dyDescent="0.35">
      <c r="A465" s="1" t="str">
        <f t="shared" si="7"/>
        <v/>
      </c>
      <c r="B4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66" spans="1:2" x14ac:dyDescent="0.35">
      <c r="A466" s="1" t="str">
        <f t="shared" si="7"/>
        <v/>
      </c>
      <c r="B4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67" spans="1:2" x14ac:dyDescent="0.35">
      <c r="A467" s="1" t="str">
        <f t="shared" si="7"/>
        <v/>
      </c>
      <c r="B4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68" spans="1:2" x14ac:dyDescent="0.35">
      <c r="A468" s="1" t="str">
        <f t="shared" si="7"/>
        <v/>
      </c>
      <c r="B4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69" spans="1:2" x14ac:dyDescent="0.35">
      <c r="A469" s="1" t="str">
        <f t="shared" si="7"/>
        <v/>
      </c>
      <c r="B4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70" spans="1:2" x14ac:dyDescent="0.35">
      <c r="A470" s="1" t="str">
        <f t="shared" si="7"/>
        <v/>
      </c>
      <c r="B4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71" spans="1:2" x14ac:dyDescent="0.35">
      <c r="A471" s="1" t="str">
        <f t="shared" si="7"/>
        <v/>
      </c>
      <c r="B4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72" spans="1:2" x14ac:dyDescent="0.35">
      <c r="A472" s="1" t="str">
        <f t="shared" si="7"/>
        <v/>
      </c>
      <c r="B4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73" spans="1:2" x14ac:dyDescent="0.35">
      <c r="A473" s="1" t="str">
        <f t="shared" si="7"/>
        <v/>
      </c>
      <c r="B4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74" spans="1:2" x14ac:dyDescent="0.35">
      <c r="A474" s="1" t="str">
        <f t="shared" si="7"/>
        <v/>
      </c>
      <c r="B4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75" spans="1:2" x14ac:dyDescent="0.35">
      <c r="A475" s="1" t="str">
        <f t="shared" si="7"/>
        <v/>
      </c>
      <c r="B4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76" spans="1:2" x14ac:dyDescent="0.35">
      <c r="A476" s="1" t="str">
        <f t="shared" si="7"/>
        <v/>
      </c>
      <c r="B4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77" spans="1:2" x14ac:dyDescent="0.35">
      <c r="A477" s="1" t="str">
        <f t="shared" si="7"/>
        <v/>
      </c>
      <c r="B4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78" spans="1:2" x14ac:dyDescent="0.35">
      <c r="A478" s="1" t="str">
        <f t="shared" si="7"/>
        <v/>
      </c>
      <c r="B4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79" spans="1:2" x14ac:dyDescent="0.35">
      <c r="A479" s="1" t="str">
        <f t="shared" si="7"/>
        <v/>
      </c>
      <c r="B4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80" spans="1:2" x14ac:dyDescent="0.35">
      <c r="A480" s="1" t="str">
        <f t="shared" si="7"/>
        <v/>
      </c>
      <c r="B4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81" spans="1:2" x14ac:dyDescent="0.35">
      <c r="A481" s="1" t="str">
        <f t="shared" si="7"/>
        <v/>
      </c>
      <c r="B4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82" spans="1:2" x14ac:dyDescent="0.35">
      <c r="A482" s="1" t="str">
        <f t="shared" si="7"/>
        <v/>
      </c>
      <c r="B4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83" spans="1:2" x14ac:dyDescent="0.35">
      <c r="A483" s="1" t="str">
        <f t="shared" si="7"/>
        <v/>
      </c>
      <c r="B4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84" spans="1:2" x14ac:dyDescent="0.35">
      <c r="A484" s="1" t="str">
        <f t="shared" si="7"/>
        <v/>
      </c>
      <c r="B4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85" spans="1:2" x14ac:dyDescent="0.35">
      <c r="A485" s="1" t="str">
        <f t="shared" si="7"/>
        <v/>
      </c>
      <c r="B4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86" spans="1:2" x14ac:dyDescent="0.35">
      <c r="A486" s="1" t="str">
        <f t="shared" si="7"/>
        <v/>
      </c>
      <c r="B4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87" spans="1:2" x14ac:dyDescent="0.35">
      <c r="A487" s="1" t="str">
        <f t="shared" si="7"/>
        <v/>
      </c>
      <c r="B4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88" spans="1:2" x14ac:dyDescent="0.35">
      <c r="A488" s="1" t="str">
        <f t="shared" si="7"/>
        <v/>
      </c>
      <c r="B4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89" spans="1:2" x14ac:dyDescent="0.35">
      <c r="A489" s="1" t="str">
        <f t="shared" si="7"/>
        <v/>
      </c>
      <c r="B4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90" spans="1:2" x14ac:dyDescent="0.35">
      <c r="A490" s="1" t="str">
        <f t="shared" si="7"/>
        <v/>
      </c>
      <c r="B4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91" spans="1:2" x14ac:dyDescent="0.35">
      <c r="A491" s="1" t="str">
        <f t="shared" si="7"/>
        <v/>
      </c>
      <c r="B4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92" spans="1:2" x14ac:dyDescent="0.35">
      <c r="A492" s="1" t="str">
        <f t="shared" si="7"/>
        <v/>
      </c>
      <c r="B4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93" spans="1:2" x14ac:dyDescent="0.35">
      <c r="A493" s="1" t="str">
        <f t="shared" si="7"/>
        <v/>
      </c>
      <c r="B4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94" spans="1:2" x14ac:dyDescent="0.35">
      <c r="A494" s="1" t="str">
        <f t="shared" si="7"/>
        <v/>
      </c>
      <c r="B4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95" spans="1:2" x14ac:dyDescent="0.35">
      <c r="A495" s="1" t="str">
        <f t="shared" si="7"/>
        <v/>
      </c>
      <c r="B4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96" spans="1:2" x14ac:dyDescent="0.35">
      <c r="A496" s="1" t="str">
        <f t="shared" si="7"/>
        <v/>
      </c>
      <c r="B4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97" spans="1:2" x14ac:dyDescent="0.35">
      <c r="A497" s="1" t="str">
        <f t="shared" si="7"/>
        <v/>
      </c>
      <c r="B4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98" spans="1:2" x14ac:dyDescent="0.35">
      <c r="A498" s="1" t="str">
        <f t="shared" si="7"/>
        <v/>
      </c>
      <c r="B4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99" spans="1:2" x14ac:dyDescent="0.35">
      <c r="A499" s="1" t="str">
        <f t="shared" si="7"/>
        <v/>
      </c>
      <c r="B4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00" spans="1:2" x14ac:dyDescent="0.35">
      <c r="A500" s="1" t="str">
        <f t="shared" si="7"/>
        <v/>
      </c>
      <c r="B5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01" spans="1:2" x14ac:dyDescent="0.35">
      <c r="A501" s="1" t="str">
        <f t="shared" si="7"/>
        <v/>
      </c>
      <c r="B5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02" spans="1:2" x14ac:dyDescent="0.35">
      <c r="A502" s="1" t="str">
        <f t="shared" si="7"/>
        <v/>
      </c>
      <c r="B5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03" spans="1:2" x14ac:dyDescent="0.35">
      <c r="A503" s="1" t="str">
        <f t="shared" si="7"/>
        <v/>
      </c>
      <c r="B5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04" spans="1:2" x14ac:dyDescent="0.35">
      <c r="A504" s="1" t="str">
        <f t="shared" si="7"/>
        <v/>
      </c>
      <c r="B5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05" spans="1:2" x14ac:dyDescent="0.35">
      <c r="A505" s="1" t="str">
        <f t="shared" si="7"/>
        <v/>
      </c>
      <c r="B5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06" spans="1:2" x14ac:dyDescent="0.35">
      <c r="A506" s="1" t="str">
        <f t="shared" si="7"/>
        <v/>
      </c>
      <c r="B5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07" spans="1:2" x14ac:dyDescent="0.35">
      <c r="A507" s="1" t="str">
        <f t="shared" si="7"/>
        <v/>
      </c>
      <c r="B5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08" spans="1:2" x14ac:dyDescent="0.35">
      <c r="A508" s="1" t="str">
        <f t="shared" si="7"/>
        <v/>
      </c>
      <c r="B5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09" spans="1:2" x14ac:dyDescent="0.35">
      <c r="A509" s="1" t="str">
        <f t="shared" si="7"/>
        <v/>
      </c>
      <c r="B5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10" spans="1:2" x14ac:dyDescent="0.35">
      <c r="A510" s="1" t="str">
        <f t="shared" si="7"/>
        <v/>
      </c>
      <c r="B5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11" spans="1:2" x14ac:dyDescent="0.35">
      <c r="A511" s="1" t="str">
        <f t="shared" si="7"/>
        <v/>
      </c>
      <c r="B5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12" spans="1:2" x14ac:dyDescent="0.35">
      <c r="A512" s="1" t="str">
        <f t="shared" si="7"/>
        <v/>
      </c>
      <c r="B5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13" spans="1:2" x14ac:dyDescent="0.35">
      <c r="A513" s="1" t="str">
        <f t="shared" si="7"/>
        <v/>
      </c>
      <c r="B5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14" spans="1:2" x14ac:dyDescent="0.35">
      <c r="A514" s="1" t="str">
        <f t="shared" ref="A514:A577" si="8">IFERROR(LEFT(RIGHT(C514,LEN(C514)-SEARCH("@",C514)),SEARCH("/",RIGHT(C514,LEN(C514)-SEARCH("@",C514)-1))),"")</f>
        <v/>
      </c>
      <c r="B5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15" spans="1:2" x14ac:dyDescent="0.35">
      <c r="A515" s="1" t="str">
        <f t="shared" si="8"/>
        <v/>
      </c>
      <c r="B5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16" spans="1:2" x14ac:dyDescent="0.35">
      <c r="A516" s="1" t="str">
        <f t="shared" si="8"/>
        <v/>
      </c>
      <c r="B5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17" spans="1:2" x14ac:dyDescent="0.35">
      <c r="A517" s="1" t="str">
        <f t="shared" si="8"/>
        <v/>
      </c>
      <c r="B5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18" spans="1:2" x14ac:dyDescent="0.35">
      <c r="A518" s="1" t="str">
        <f t="shared" si="8"/>
        <v/>
      </c>
      <c r="B5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19" spans="1:2" x14ac:dyDescent="0.35">
      <c r="A519" s="1" t="str">
        <f t="shared" si="8"/>
        <v/>
      </c>
      <c r="B5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20" spans="1:2" x14ac:dyDescent="0.35">
      <c r="A520" s="1" t="str">
        <f t="shared" si="8"/>
        <v/>
      </c>
      <c r="B5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21" spans="1:2" x14ac:dyDescent="0.35">
      <c r="A521" s="1" t="str">
        <f t="shared" si="8"/>
        <v/>
      </c>
      <c r="B5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22" spans="1:2" x14ac:dyDescent="0.35">
      <c r="A522" s="1" t="str">
        <f t="shared" si="8"/>
        <v/>
      </c>
      <c r="B5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23" spans="1:2" x14ac:dyDescent="0.35">
      <c r="A523" s="1" t="str">
        <f t="shared" si="8"/>
        <v/>
      </c>
      <c r="B5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24" spans="1:2" x14ac:dyDescent="0.35">
      <c r="A524" s="1" t="str">
        <f t="shared" si="8"/>
        <v/>
      </c>
      <c r="B5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25" spans="1:2" x14ac:dyDescent="0.35">
      <c r="A525" s="1" t="str">
        <f t="shared" si="8"/>
        <v/>
      </c>
      <c r="B5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26" spans="1:2" x14ac:dyDescent="0.35">
      <c r="A526" s="1" t="str">
        <f t="shared" si="8"/>
        <v/>
      </c>
      <c r="B5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27" spans="1:2" x14ac:dyDescent="0.35">
      <c r="A527" s="1" t="str">
        <f t="shared" si="8"/>
        <v/>
      </c>
      <c r="B5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28" spans="1:2" x14ac:dyDescent="0.35">
      <c r="A528" s="1" t="str">
        <f t="shared" si="8"/>
        <v/>
      </c>
      <c r="B5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29" spans="1:2" x14ac:dyDescent="0.35">
      <c r="A529" s="1" t="str">
        <f t="shared" si="8"/>
        <v/>
      </c>
      <c r="B5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30" spans="1:2" x14ac:dyDescent="0.35">
      <c r="A530" s="1" t="str">
        <f t="shared" si="8"/>
        <v/>
      </c>
      <c r="B5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31" spans="1:2" x14ac:dyDescent="0.35">
      <c r="A531" s="1" t="str">
        <f t="shared" si="8"/>
        <v/>
      </c>
      <c r="B5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32" spans="1:2" x14ac:dyDescent="0.35">
      <c r="A532" s="1" t="str">
        <f t="shared" si="8"/>
        <v/>
      </c>
      <c r="B5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33" spans="1:2" x14ac:dyDescent="0.35">
      <c r="A533" s="1" t="str">
        <f t="shared" si="8"/>
        <v/>
      </c>
      <c r="B5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34" spans="1:2" x14ac:dyDescent="0.35">
      <c r="A534" s="1" t="str">
        <f t="shared" si="8"/>
        <v/>
      </c>
      <c r="B5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35" spans="1:2" x14ac:dyDescent="0.35">
      <c r="A535" s="1" t="str">
        <f t="shared" si="8"/>
        <v/>
      </c>
      <c r="B5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36" spans="1:2" x14ac:dyDescent="0.35">
      <c r="A536" s="1" t="str">
        <f t="shared" si="8"/>
        <v/>
      </c>
      <c r="B5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37" spans="1:2" x14ac:dyDescent="0.35">
      <c r="A537" s="1" t="str">
        <f t="shared" si="8"/>
        <v/>
      </c>
      <c r="B5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38" spans="1:2" x14ac:dyDescent="0.35">
      <c r="A538" s="1" t="str">
        <f t="shared" si="8"/>
        <v/>
      </c>
      <c r="B5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39" spans="1:2" x14ac:dyDescent="0.35">
      <c r="A539" s="1" t="str">
        <f t="shared" si="8"/>
        <v/>
      </c>
      <c r="B5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40" spans="1:2" x14ac:dyDescent="0.35">
      <c r="A540" s="1" t="str">
        <f t="shared" si="8"/>
        <v/>
      </c>
      <c r="B5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41" spans="1:2" x14ac:dyDescent="0.35">
      <c r="A541" s="1" t="str">
        <f t="shared" si="8"/>
        <v/>
      </c>
      <c r="B5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42" spans="1:2" x14ac:dyDescent="0.35">
      <c r="A542" s="1" t="str">
        <f t="shared" si="8"/>
        <v/>
      </c>
      <c r="B5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43" spans="1:2" x14ac:dyDescent="0.35">
      <c r="A543" s="1" t="str">
        <f t="shared" si="8"/>
        <v/>
      </c>
      <c r="B5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44" spans="1:2" x14ac:dyDescent="0.35">
      <c r="A544" s="1" t="str">
        <f t="shared" si="8"/>
        <v/>
      </c>
      <c r="B5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45" spans="1:2" x14ac:dyDescent="0.35">
      <c r="A545" s="1" t="str">
        <f t="shared" si="8"/>
        <v/>
      </c>
      <c r="B5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46" spans="1:2" x14ac:dyDescent="0.35">
      <c r="A546" s="1" t="str">
        <f t="shared" si="8"/>
        <v/>
      </c>
      <c r="B5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47" spans="1:2" x14ac:dyDescent="0.35">
      <c r="A547" s="1" t="str">
        <f t="shared" si="8"/>
        <v/>
      </c>
      <c r="B5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48" spans="1:2" x14ac:dyDescent="0.35">
      <c r="A548" s="1" t="str">
        <f t="shared" si="8"/>
        <v/>
      </c>
      <c r="B5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49" spans="1:2" x14ac:dyDescent="0.35">
      <c r="A549" s="1" t="str">
        <f t="shared" si="8"/>
        <v/>
      </c>
      <c r="B5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50" spans="1:2" x14ac:dyDescent="0.35">
      <c r="A550" s="1" t="str">
        <f t="shared" si="8"/>
        <v/>
      </c>
      <c r="B5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51" spans="1:2" x14ac:dyDescent="0.35">
      <c r="A551" s="1" t="str">
        <f t="shared" si="8"/>
        <v/>
      </c>
      <c r="B5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52" spans="1:2" x14ac:dyDescent="0.35">
      <c r="A552" s="1" t="str">
        <f t="shared" si="8"/>
        <v/>
      </c>
      <c r="B5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53" spans="1:2" x14ac:dyDescent="0.35">
      <c r="A553" s="1" t="str">
        <f t="shared" si="8"/>
        <v/>
      </c>
      <c r="B5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54" spans="1:2" x14ac:dyDescent="0.35">
      <c r="A554" s="1" t="str">
        <f t="shared" si="8"/>
        <v/>
      </c>
      <c r="B5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55" spans="1:2" x14ac:dyDescent="0.35">
      <c r="A555" s="1" t="str">
        <f t="shared" si="8"/>
        <v/>
      </c>
      <c r="B5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56" spans="1:2" x14ac:dyDescent="0.35">
      <c r="A556" s="1" t="str">
        <f t="shared" si="8"/>
        <v/>
      </c>
      <c r="B5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57" spans="1:2" x14ac:dyDescent="0.35">
      <c r="A557" s="1" t="str">
        <f t="shared" si="8"/>
        <v/>
      </c>
      <c r="B5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58" spans="1:2" x14ac:dyDescent="0.35">
      <c r="A558" s="1" t="str">
        <f t="shared" si="8"/>
        <v/>
      </c>
      <c r="B5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59" spans="1:2" x14ac:dyDescent="0.35">
      <c r="A559" s="1" t="str">
        <f t="shared" si="8"/>
        <v/>
      </c>
      <c r="B5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60" spans="1:2" x14ac:dyDescent="0.35">
      <c r="A560" s="1" t="str">
        <f t="shared" si="8"/>
        <v/>
      </c>
      <c r="B5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61" spans="1:2" x14ac:dyDescent="0.35">
      <c r="A561" s="1" t="str">
        <f t="shared" si="8"/>
        <v/>
      </c>
      <c r="B5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62" spans="1:2" x14ac:dyDescent="0.35">
      <c r="A562" s="1" t="str">
        <f t="shared" si="8"/>
        <v/>
      </c>
      <c r="B5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63" spans="1:2" x14ac:dyDescent="0.35">
      <c r="A563" s="1" t="str">
        <f t="shared" si="8"/>
        <v/>
      </c>
      <c r="B5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64" spans="1:2" x14ac:dyDescent="0.35">
      <c r="A564" s="1" t="str">
        <f t="shared" si="8"/>
        <v/>
      </c>
      <c r="B5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65" spans="1:2" x14ac:dyDescent="0.35">
      <c r="A565" s="1" t="str">
        <f t="shared" si="8"/>
        <v/>
      </c>
      <c r="B5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66" spans="1:2" x14ac:dyDescent="0.35">
      <c r="A566" s="1" t="str">
        <f t="shared" si="8"/>
        <v/>
      </c>
      <c r="B5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67" spans="1:2" x14ac:dyDescent="0.35">
      <c r="A567" s="1" t="str">
        <f t="shared" si="8"/>
        <v/>
      </c>
      <c r="B5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68" spans="1:2" x14ac:dyDescent="0.35">
      <c r="A568" s="1" t="str">
        <f t="shared" si="8"/>
        <v/>
      </c>
      <c r="B5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69" spans="1:2" x14ac:dyDescent="0.35">
      <c r="A569" s="1" t="str">
        <f t="shared" si="8"/>
        <v/>
      </c>
      <c r="B5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70" spans="1:2" x14ac:dyDescent="0.35">
      <c r="A570" s="1" t="str">
        <f t="shared" si="8"/>
        <v/>
      </c>
      <c r="B5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71" spans="1:2" x14ac:dyDescent="0.35">
      <c r="A571" s="1" t="str">
        <f t="shared" si="8"/>
        <v/>
      </c>
      <c r="B5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72" spans="1:2" x14ac:dyDescent="0.35">
      <c r="A572" s="1" t="str">
        <f t="shared" si="8"/>
        <v/>
      </c>
      <c r="B5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73" spans="1:2" x14ac:dyDescent="0.35">
      <c r="A573" s="1" t="str">
        <f t="shared" si="8"/>
        <v/>
      </c>
      <c r="B5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74" spans="1:2" x14ac:dyDescent="0.35">
      <c r="A574" s="1" t="str">
        <f t="shared" si="8"/>
        <v/>
      </c>
      <c r="B5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75" spans="1:2" x14ac:dyDescent="0.35">
      <c r="A575" s="1" t="str">
        <f t="shared" si="8"/>
        <v/>
      </c>
      <c r="B5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76" spans="1:2" x14ac:dyDescent="0.35">
      <c r="A576" s="1" t="str">
        <f t="shared" si="8"/>
        <v/>
      </c>
      <c r="B5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77" spans="1:2" x14ac:dyDescent="0.35">
      <c r="A577" s="1" t="str">
        <f t="shared" si="8"/>
        <v/>
      </c>
      <c r="B5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78" spans="1:2" x14ac:dyDescent="0.35">
      <c r="A578" s="1" t="str">
        <f t="shared" ref="A578:A641" si="9">IFERROR(LEFT(RIGHT(C578,LEN(C578)-SEARCH("@",C578)),SEARCH("/",RIGHT(C578,LEN(C578)-SEARCH("@",C578)-1))),"")</f>
        <v/>
      </c>
      <c r="B5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79" spans="1:2" x14ac:dyDescent="0.35">
      <c r="A579" s="1" t="str">
        <f t="shared" si="9"/>
        <v/>
      </c>
      <c r="B5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80" spans="1:2" x14ac:dyDescent="0.35">
      <c r="A580" s="1" t="str">
        <f t="shared" si="9"/>
        <v/>
      </c>
      <c r="B5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81" spans="1:2" x14ac:dyDescent="0.35">
      <c r="A581" s="1" t="str">
        <f t="shared" si="9"/>
        <v/>
      </c>
      <c r="B5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82" spans="1:2" x14ac:dyDescent="0.35">
      <c r="A582" s="1" t="str">
        <f t="shared" si="9"/>
        <v/>
      </c>
      <c r="B5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83" spans="1:2" x14ac:dyDescent="0.35">
      <c r="A583" s="1" t="str">
        <f t="shared" si="9"/>
        <v/>
      </c>
      <c r="B5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84" spans="1:2" x14ac:dyDescent="0.35">
      <c r="A584" s="1" t="str">
        <f t="shared" si="9"/>
        <v/>
      </c>
      <c r="B5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85" spans="1:2" x14ac:dyDescent="0.35">
      <c r="A585" s="1" t="str">
        <f t="shared" si="9"/>
        <v/>
      </c>
      <c r="B5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86" spans="1:2" x14ac:dyDescent="0.35">
      <c r="A586" s="1" t="str">
        <f t="shared" si="9"/>
        <v/>
      </c>
      <c r="B5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87" spans="1:2" x14ac:dyDescent="0.35">
      <c r="A587" s="1" t="str">
        <f t="shared" si="9"/>
        <v/>
      </c>
      <c r="B5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88" spans="1:2" x14ac:dyDescent="0.35">
      <c r="A588" s="1" t="str">
        <f t="shared" si="9"/>
        <v/>
      </c>
      <c r="B5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89" spans="1:2" x14ac:dyDescent="0.35">
      <c r="A589" s="1" t="str">
        <f t="shared" si="9"/>
        <v/>
      </c>
      <c r="B5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90" spans="1:2" x14ac:dyDescent="0.35">
      <c r="A590" s="1" t="str">
        <f t="shared" si="9"/>
        <v/>
      </c>
      <c r="B5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91" spans="1:2" x14ac:dyDescent="0.35">
      <c r="A591" s="1" t="str">
        <f t="shared" si="9"/>
        <v/>
      </c>
      <c r="B5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92" spans="1:2" x14ac:dyDescent="0.35">
      <c r="A592" s="1" t="str">
        <f t="shared" si="9"/>
        <v/>
      </c>
      <c r="B5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93" spans="1:2" x14ac:dyDescent="0.35">
      <c r="A593" s="1" t="str">
        <f t="shared" si="9"/>
        <v/>
      </c>
      <c r="B5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94" spans="1:2" x14ac:dyDescent="0.35">
      <c r="A594" s="1" t="str">
        <f t="shared" si="9"/>
        <v/>
      </c>
      <c r="B5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95" spans="1:2" x14ac:dyDescent="0.35">
      <c r="A595" s="1" t="str">
        <f t="shared" si="9"/>
        <v/>
      </c>
      <c r="B5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96" spans="1:2" x14ac:dyDescent="0.35">
      <c r="A596" s="1" t="str">
        <f t="shared" si="9"/>
        <v/>
      </c>
      <c r="B5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97" spans="1:2" x14ac:dyDescent="0.35">
      <c r="A597" s="1" t="str">
        <f t="shared" si="9"/>
        <v/>
      </c>
      <c r="B5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98" spans="1:2" x14ac:dyDescent="0.35">
      <c r="A598" s="1" t="str">
        <f t="shared" si="9"/>
        <v/>
      </c>
      <c r="B5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99" spans="1:2" x14ac:dyDescent="0.35">
      <c r="A599" s="1" t="str">
        <f t="shared" si="9"/>
        <v/>
      </c>
      <c r="B5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00" spans="1:2" x14ac:dyDescent="0.35">
      <c r="A600" s="1" t="str">
        <f t="shared" si="9"/>
        <v/>
      </c>
      <c r="B6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01" spans="1:2" x14ac:dyDescent="0.35">
      <c r="A601" s="1" t="str">
        <f t="shared" si="9"/>
        <v/>
      </c>
      <c r="B6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02" spans="1:2" x14ac:dyDescent="0.35">
      <c r="A602" s="1" t="str">
        <f t="shared" si="9"/>
        <v/>
      </c>
      <c r="B6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03" spans="1:2" x14ac:dyDescent="0.35">
      <c r="A603" s="1" t="str">
        <f t="shared" si="9"/>
        <v/>
      </c>
      <c r="B6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04" spans="1:2" x14ac:dyDescent="0.35">
      <c r="A604" s="1" t="str">
        <f t="shared" si="9"/>
        <v/>
      </c>
      <c r="B6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05" spans="1:2" x14ac:dyDescent="0.35">
      <c r="A605" s="1" t="str">
        <f t="shared" si="9"/>
        <v/>
      </c>
      <c r="B6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06" spans="1:2" x14ac:dyDescent="0.35">
      <c r="A606" s="1" t="str">
        <f t="shared" si="9"/>
        <v/>
      </c>
      <c r="B6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07" spans="1:2" x14ac:dyDescent="0.35">
      <c r="A607" s="1" t="str">
        <f t="shared" si="9"/>
        <v/>
      </c>
      <c r="B6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08" spans="1:2" x14ac:dyDescent="0.35">
      <c r="A608" s="1" t="str">
        <f t="shared" si="9"/>
        <v/>
      </c>
      <c r="B6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09" spans="1:2" x14ac:dyDescent="0.35">
      <c r="A609" s="1" t="str">
        <f t="shared" si="9"/>
        <v/>
      </c>
      <c r="B6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10" spans="1:2" x14ac:dyDescent="0.35">
      <c r="A610" s="1" t="str">
        <f t="shared" si="9"/>
        <v/>
      </c>
      <c r="B6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11" spans="1:2" x14ac:dyDescent="0.35">
      <c r="A611" s="1" t="str">
        <f t="shared" si="9"/>
        <v/>
      </c>
      <c r="B6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12" spans="1:2" x14ac:dyDescent="0.35">
      <c r="A612" s="1" t="str">
        <f t="shared" si="9"/>
        <v/>
      </c>
      <c r="B6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13" spans="1:2" x14ac:dyDescent="0.35">
      <c r="A613" s="1" t="str">
        <f t="shared" si="9"/>
        <v/>
      </c>
      <c r="B6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14" spans="1:2" x14ac:dyDescent="0.35">
      <c r="A614" s="1" t="str">
        <f t="shared" si="9"/>
        <v/>
      </c>
      <c r="B6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15" spans="1:2" x14ac:dyDescent="0.35">
      <c r="A615" s="1" t="str">
        <f t="shared" si="9"/>
        <v/>
      </c>
      <c r="B6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16" spans="1:2" x14ac:dyDescent="0.35">
      <c r="A616" s="1" t="str">
        <f t="shared" si="9"/>
        <v/>
      </c>
      <c r="B6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17" spans="1:2" x14ac:dyDescent="0.35">
      <c r="A617" s="1" t="str">
        <f t="shared" si="9"/>
        <v/>
      </c>
      <c r="B6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18" spans="1:2" x14ac:dyDescent="0.35">
      <c r="A618" s="1" t="str">
        <f t="shared" si="9"/>
        <v/>
      </c>
      <c r="B6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19" spans="1:2" x14ac:dyDescent="0.35">
      <c r="A619" s="1" t="str">
        <f t="shared" si="9"/>
        <v/>
      </c>
      <c r="B6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20" spans="1:2" x14ac:dyDescent="0.35">
      <c r="A620" s="1" t="str">
        <f t="shared" si="9"/>
        <v/>
      </c>
      <c r="B6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21" spans="1:2" x14ac:dyDescent="0.35">
      <c r="A621" s="1" t="str">
        <f t="shared" si="9"/>
        <v/>
      </c>
      <c r="B6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22" spans="1:2" x14ac:dyDescent="0.35">
      <c r="A622" s="1" t="str">
        <f t="shared" si="9"/>
        <v/>
      </c>
      <c r="B6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23" spans="1:2" x14ac:dyDescent="0.35">
      <c r="A623" s="1" t="str">
        <f t="shared" si="9"/>
        <v/>
      </c>
      <c r="B6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24" spans="1:2" x14ac:dyDescent="0.35">
      <c r="A624" s="1" t="str">
        <f t="shared" si="9"/>
        <v/>
      </c>
      <c r="B6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25" spans="1:2" x14ac:dyDescent="0.35">
      <c r="A625" s="1" t="str">
        <f t="shared" si="9"/>
        <v/>
      </c>
      <c r="B6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26" spans="1:2" x14ac:dyDescent="0.35">
      <c r="A626" s="1" t="str">
        <f t="shared" si="9"/>
        <v/>
      </c>
      <c r="B6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27" spans="1:2" x14ac:dyDescent="0.35">
      <c r="A627" s="1" t="str">
        <f t="shared" si="9"/>
        <v/>
      </c>
      <c r="B6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28" spans="1:2" x14ac:dyDescent="0.35">
      <c r="A628" s="1" t="str">
        <f t="shared" si="9"/>
        <v/>
      </c>
      <c r="B6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29" spans="1:2" x14ac:dyDescent="0.35">
      <c r="A629" s="1" t="str">
        <f t="shared" si="9"/>
        <v/>
      </c>
      <c r="B6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30" spans="1:2" x14ac:dyDescent="0.35">
      <c r="A630" s="1" t="str">
        <f t="shared" si="9"/>
        <v/>
      </c>
      <c r="B6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31" spans="1:2" x14ac:dyDescent="0.35">
      <c r="A631" s="1" t="str">
        <f t="shared" si="9"/>
        <v/>
      </c>
      <c r="B6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32" spans="1:2" x14ac:dyDescent="0.35">
      <c r="A632" s="1" t="str">
        <f t="shared" si="9"/>
        <v/>
      </c>
      <c r="B6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33" spans="1:2" x14ac:dyDescent="0.35">
      <c r="A633" s="1" t="str">
        <f t="shared" si="9"/>
        <v/>
      </c>
      <c r="B6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34" spans="1:2" x14ac:dyDescent="0.35">
      <c r="A634" s="1" t="str">
        <f t="shared" si="9"/>
        <v/>
      </c>
      <c r="B6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35" spans="1:2" x14ac:dyDescent="0.35">
      <c r="A635" s="1" t="str">
        <f t="shared" si="9"/>
        <v/>
      </c>
      <c r="B6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36" spans="1:2" x14ac:dyDescent="0.35">
      <c r="A636" s="1" t="str">
        <f t="shared" si="9"/>
        <v/>
      </c>
      <c r="B6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37" spans="1:2" x14ac:dyDescent="0.35">
      <c r="A637" s="1" t="str">
        <f t="shared" si="9"/>
        <v/>
      </c>
      <c r="B6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38" spans="1:2" x14ac:dyDescent="0.35">
      <c r="A638" s="1" t="str">
        <f t="shared" si="9"/>
        <v/>
      </c>
      <c r="B6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39" spans="1:2" x14ac:dyDescent="0.35">
      <c r="A639" s="1" t="str">
        <f t="shared" si="9"/>
        <v/>
      </c>
      <c r="B6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40" spans="1:2" x14ac:dyDescent="0.35">
      <c r="A640" s="1" t="str">
        <f t="shared" si="9"/>
        <v/>
      </c>
      <c r="B6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41" spans="1:2" x14ac:dyDescent="0.35">
      <c r="A641" s="1" t="str">
        <f t="shared" si="9"/>
        <v/>
      </c>
      <c r="B6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42" spans="1:2" x14ac:dyDescent="0.35">
      <c r="A642" s="1" t="str">
        <f t="shared" ref="A642:A705" si="10">IFERROR(LEFT(RIGHT(C642,LEN(C642)-SEARCH("@",C642)),SEARCH("/",RIGHT(C642,LEN(C642)-SEARCH("@",C642)-1))),"")</f>
        <v/>
      </c>
      <c r="B6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43" spans="1:2" x14ac:dyDescent="0.35">
      <c r="A643" s="1" t="str">
        <f t="shared" si="10"/>
        <v/>
      </c>
      <c r="B6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44" spans="1:2" x14ac:dyDescent="0.35">
      <c r="A644" s="1" t="str">
        <f t="shared" si="10"/>
        <v/>
      </c>
      <c r="B6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45" spans="1:2" x14ac:dyDescent="0.35">
      <c r="A645" s="1" t="str">
        <f t="shared" si="10"/>
        <v/>
      </c>
      <c r="B6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46" spans="1:2" x14ac:dyDescent="0.35">
      <c r="A646" s="1" t="str">
        <f t="shared" si="10"/>
        <v/>
      </c>
      <c r="B6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47" spans="1:2" x14ac:dyDescent="0.35">
      <c r="A647" s="1" t="str">
        <f t="shared" si="10"/>
        <v/>
      </c>
      <c r="B6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48" spans="1:2" x14ac:dyDescent="0.35">
      <c r="A648" s="1" t="str">
        <f t="shared" si="10"/>
        <v/>
      </c>
      <c r="B6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49" spans="1:2" x14ac:dyDescent="0.35">
      <c r="A649" s="1" t="str">
        <f t="shared" si="10"/>
        <v/>
      </c>
      <c r="B6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50" spans="1:2" x14ac:dyDescent="0.35">
      <c r="A650" s="1" t="str">
        <f t="shared" si="10"/>
        <v/>
      </c>
      <c r="B6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51" spans="1:2" x14ac:dyDescent="0.35">
      <c r="A651" s="1" t="str">
        <f t="shared" si="10"/>
        <v/>
      </c>
      <c r="B6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52" spans="1:2" x14ac:dyDescent="0.35">
      <c r="A652" s="1" t="str">
        <f t="shared" si="10"/>
        <v/>
      </c>
      <c r="B6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53" spans="1:2" x14ac:dyDescent="0.35">
      <c r="A653" s="1" t="str">
        <f t="shared" si="10"/>
        <v/>
      </c>
      <c r="B6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54" spans="1:2" x14ac:dyDescent="0.35">
      <c r="A654" s="1" t="str">
        <f t="shared" si="10"/>
        <v/>
      </c>
      <c r="B6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55" spans="1:2" x14ac:dyDescent="0.35">
      <c r="A655" s="1" t="str">
        <f t="shared" si="10"/>
        <v/>
      </c>
      <c r="B6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56" spans="1:2" x14ac:dyDescent="0.35">
      <c r="A656" s="1" t="str">
        <f t="shared" si="10"/>
        <v/>
      </c>
      <c r="B6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57" spans="1:2" x14ac:dyDescent="0.35">
      <c r="A657" s="1" t="str">
        <f t="shared" si="10"/>
        <v/>
      </c>
      <c r="B6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58" spans="1:2" x14ac:dyDescent="0.35">
      <c r="A658" s="1" t="str">
        <f t="shared" si="10"/>
        <v/>
      </c>
      <c r="B6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59" spans="1:2" x14ac:dyDescent="0.35">
      <c r="A659" s="1" t="str">
        <f t="shared" si="10"/>
        <v/>
      </c>
      <c r="B6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60" spans="1:2" x14ac:dyDescent="0.35">
      <c r="A660" s="1" t="str">
        <f t="shared" si="10"/>
        <v/>
      </c>
      <c r="B6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61" spans="1:2" x14ac:dyDescent="0.35">
      <c r="A661" s="1" t="str">
        <f t="shared" si="10"/>
        <v/>
      </c>
      <c r="B6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62" spans="1:2" x14ac:dyDescent="0.35">
      <c r="A662" s="1" t="str">
        <f t="shared" si="10"/>
        <v/>
      </c>
      <c r="B6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63" spans="1:2" x14ac:dyDescent="0.35">
      <c r="A663" s="1" t="str">
        <f t="shared" si="10"/>
        <v/>
      </c>
      <c r="B6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64" spans="1:2" x14ac:dyDescent="0.35">
      <c r="A664" s="1" t="str">
        <f t="shared" si="10"/>
        <v/>
      </c>
      <c r="B6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65" spans="1:2" x14ac:dyDescent="0.35">
      <c r="A665" s="1" t="str">
        <f t="shared" si="10"/>
        <v/>
      </c>
      <c r="B6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66" spans="1:2" x14ac:dyDescent="0.35">
      <c r="A666" s="1" t="str">
        <f t="shared" si="10"/>
        <v/>
      </c>
      <c r="B6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67" spans="1:2" x14ac:dyDescent="0.35">
      <c r="A667" s="1" t="str">
        <f t="shared" si="10"/>
        <v/>
      </c>
      <c r="B6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68" spans="1:2" x14ac:dyDescent="0.35">
      <c r="A668" s="1" t="str">
        <f t="shared" si="10"/>
        <v/>
      </c>
      <c r="B6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69" spans="1:2" x14ac:dyDescent="0.35">
      <c r="A669" s="1" t="str">
        <f t="shared" si="10"/>
        <v/>
      </c>
      <c r="B6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70" spans="1:2" x14ac:dyDescent="0.35">
      <c r="A670" s="1" t="str">
        <f t="shared" si="10"/>
        <v/>
      </c>
      <c r="B6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71" spans="1:2" x14ac:dyDescent="0.35">
      <c r="A671" s="1" t="str">
        <f t="shared" si="10"/>
        <v/>
      </c>
      <c r="B6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72" spans="1:2" x14ac:dyDescent="0.35">
      <c r="A672" s="1" t="str">
        <f t="shared" si="10"/>
        <v/>
      </c>
      <c r="B6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73" spans="1:2" x14ac:dyDescent="0.35">
      <c r="A673" s="1" t="str">
        <f t="shared" si="10"/>
        <v/>
      </c>
      <c r="B6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74" spans="1:2" x14ac:dyDescent="0.35">
      <c r="A674" s="1" t="str">
        <f t="shared" si="10"/>
        <v/>
      </c>
      <c r="B6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75" spans="1:2" x14ac:dyDescent="0.35">
      <c r="A675" s="1" t="str">
        <f t="shared" si="10"/>
        <v/>
      </c>
      <c r="B6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76" spans="1:2" x14ac:dyDescent="0.35">
      <c r="A676" s="1" t="str">
        <f t="shared" si="10"/>
        <v/>
      </c>
      <c r="B6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77" spans="1:2" x14ac:dyDescent="0.35">
      <c r="A677" s="1" t="str">
        <f t="shared" si="10"/>
        <v/>
      </c>
      <c r="B6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78" spans="1:2" x14ac:dyDescent="0.35">
      <c r="A678" s="1" t="str">
        <f t="shared" si="10"/>
        <v/>
      </c>
      <c r="B6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79" spans="1:2" x14ac:dyDescent="0.35">
      <c r="A679" s="1" t="str">
        <f t="shared" si="10"/>
        <v/>
      </c>
      <c r="B6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80" spans="1:2" x14ac:dyDescent="0.35">
      <c r="A680" s="1" t="str">
        <f t="shared" si="10"/>
        <v/>
      </c>
      <c r="B6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81" spans="1:2" x14ac:dyDescent="0.35">
      <c r="A681" s="1" t="str">
        <f t="shared" si="10"/>
        <v/>
      </c>
      <c r="B6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82" spans="1:2" x14ac:dyDescent="0.35">
      <c r="A682" s="1" t="str">
        <f t="shared" si="10"/>
        <v/>
      </c>
      <c r="B6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83" spans="1:2" x14ac:dyDescent="0.35">
      <c r="A683" s="1" t="str">
        <f t="shared" si="10"/>
        <v/>
      </c>
      <c r="B6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84" spans="1:2" x14ac:dyDescent="0.35">
      <c r="A684" s="1" t="str">
        <f t="shared" si="10"/>
        <v/>
      </c>
      <c r="B6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85" spans="1:2" x14ac:dyDescent="0.35">
      <c r="A685" s="1" t="str">
        <f t="shared" si="10"/>
        <v/>
      </c>
      <c r="B6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86" spans="1:2" x14ac:dyDescent="0.35">
      <c r="A686" s="1" t="str">
        <f t="shared" si="10"/>
        <v/>
      </c>
      <c r="B6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87" spans="1:2" x14ac:dyDescent="0.35">
      <c r="A687" s="1" t="str">
        <f t="shared" si="10"/>
        <v/>
      </c>
      <c r="B6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88" spans="1:2" x14ac:dyDescent="0.35">
      <c r="A688" s="1" t="str">
        <f t="shared" si="10"/>
        <v/>
      </c>
      <c r="B6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89" spans="1:2" x14ac:dyDescent="0.35">
      <c r="A689" s="1" t="str">
        <f t="shared" si="10"/>
        <v/>
      </c>
      <c r="B6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0" spans="1:2" x14ac:dyDescent="0.35">
      <c r="A690" s="1" t="str">
        <f t="shared" si="10"/>
        <v/>
      </c>
      <c r="B6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1" spans="1:2" x14ac:dyDescent="0.35">
      <c r="A691" s="1" t="str">
        <f t="shared" si="10"/>
        <v/>
      </c>
      <c r="B6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2" spans="1:2" x14ac:dyDescent="0.35">
      <c r="A692" s="1" t="str">
        <f t="shared" si="10"/>
        <v/>
      </c>
      <c r="B6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3" spans="1:2" x14ac:dyDescent="0.35">
      <c r="A693" s="1" t="str">
        <f t="shared" si="10"/>
        <v/>
      </c>
      <c r="B6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4" spans="1:2" x14ac:dyDescent="0.35">
      <c r="A694" s="1" t="str">
        <f t="shared" si="10"/>
        <v/>
      </c>
      <c r="B6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5" spans="1:2" x14ac:dyDescent="0.35">
      <c r="A695" s="1" t="str">
        <f t="shared" si="10"/>
        <v/>
      </c>
      <c r="B6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6" spans="1:2" x14ac:dyDescent="0.35">
      <c r="A696" s="1" t="str">
        <f t="shared" si="10"/>
        <v/>
      </c>
      <c r="B6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7" spans="1:2" x14ac:dyDescent="0.35">
      <c r="A697" s="1" t="str">
        <f t="shared" si="10"/>
        <v/>
      </c>
      <c r="B6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8" spans="1:2" x14ac:dyDescent="0.35">
      <c r="A698" s="1" t="str">
        <f t="shared" si="10"/>
        <v/>
      </c>
      <c r="B6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9" spans="1:2" x14ac:dyDescent="0.35">
      <c r="A699" s="1" t="str">
        <f t="shared" si="10"/>
        <v/>
      </c>
      <c r="B6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0" spans="1:2" x14ac:dyDescent="0.35">
      <c r="A700" s="1" t="str">
        <f t="shared" si="10"/>
        <v/>
      </c>
      <c r="B7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1" spans="1:2" x14ac:dyDescent="0.35">
      <c r="A701" s="1" t="str">
        <f t="shared" si="10"/>
        <v/>
      </c>
      <c r="B7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2" spans="1:2" x14ac:dyDescent="0.35">
      <c r="A702" s="1" t="str">
        <f t="shared" si="10"/>
        <v/>
      </c>
      <c r="B7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3" spans="1:2" x14ac:dyDescent="0.35">
      <c r="A703" s="1" t="str">
        <f t="shared" si="10"/>
        <v/>
      </c>
      <c r="B7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4" spans="1:2" x14ac:dyDescent="0.35">
      <c r="A704" s="1" t="str">
        <f t="shared" si="10"/>
        <v/>
      </c>
      <c r="B7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5" spans="1:2" x14ac:dyDescent="0.35">
      <c r="A705" s="1" t="str">
        <f t="shared" si="10"/>
        <v/>
      </c>
      <c r="B7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6" spans="1:2" x14ac:dyDescent="0.35">
      <c r="A706" s="1" t="str">
        <f t="shared" ref="A706:A769" si="11">IFERROR(LEFT(RIGHT(C706,LEN(C706)-SEARCH("@",C706)),SEARCH("/",RIGHT(C706,LEN(C706)-SEARCH("@",C706)-1))),"")</f>
        <v/>
      </c>
      <c r="B7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7" spans="1:2" x14ac:dyDescent="0.35">
      <c r="A707" s="1" t="str">
        <f t="shared" si="11"/>
        <v/>
      </c>
      <c r="B7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8" spans="1:2" x14ac:dyDescent="0.35">
      <c r="A708" s="1" t="str">
        <f t="shared" si="11"/>
        <v/>
      </c>
      <c r="B7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9" spans="1:2" x14ac:dyDescent="0.35">
      <c r="A709" s="1" t="str">
        <f t="shared" si="11"/>
        <v/>
      </c>
      <c r="B7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0" spans="1:2" x14ac:dyDescent="0.35">
      <c r="A710" s="1" t="str">
        <f t="shared" si="11"/>
        <v/>
      </c>
      <c r="B7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1" spans="1:2" x14ac:dyDescent="0.35">
      <c r="A711" s="1" t="str">
        <f t="shared" si="11"/>
        <v/>
      </c>
      <c r="B7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2" spans="1:2" x14ac:dyDescent="0.35">
      <c r="A712" s="1" t="str">
        <f t="shared" si="11"/>
        <v/>
      </c>
      <c r="B7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3" spans="1:2" x14ac:dyDescent="0.35">
      <c r="A713" s="1" t="str">
        <f t="shared" si="11"/>
        <v/>
      </c>
      <c r="B7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4" spans="1:2" x14ac:dyDescent="0.35">
      <c r="A714" s="1" t="str">
        <f t="shared" si="11"/>
        <v/>
      </c>
      <c r="B7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5" spans="1:2" x14ac:dyDescent="0.35">
      <c r="A715" s="1" t="str">
        <f t="shared" si="11"/>
        <v/>
      </c>
      <c r="B7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6" spans="1:2" x14ac:dyDescent="0.35">
      <c r="A716" s="1" t="str">
        <f t="shared" si="11"/>
        <v/>
      </c>
      <c r="B7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7" spans="1:2" x14ac:dyDescent="0.35">
      <c r="A717" s="1" t="str">
        <f t="shared" si="11"/>
        <v/>
      </c>
      <c r="B7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8" spans="1:2" x14ac:dyDescent="0.35">
      <c r="A718" s="1" t="str">
        <f t="shared" si="11"/>
        <v/>
      </c>
      <c r="B7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9" spans="1:2" x14ac:dyDescent="0.35">
      <c r="A719" s="1" t="str">
        <f t="shared" si="11"/>
        <v/>
      </c>
      <c r="B7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0" spans="1:2" x14ac:dyDescent="0.35">
      <c r="A720" s="1" t="str">
        <f t="shared" si="11"/>
        <v/>
      </c>
      <c r="B7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1" spans="1:2" x14ac:dyDescent="0.35">
      <c r="A721" s="1" t="str">
        <f t="shared" si="11"/>
        <v/>
      </c>
      <c r="B7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2" spans="1:2" x14ac:dyDescent="0.35">
      <c r="A722" s="1" t="str">
        <f t="shared" si="11"/>
        <v/>
      </c>
      <c r="B7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3" spans="1:2" x14ac:dyDescent="0.35">
      <c r="A723" s="1" t="str">
        <f t="shared" si="11"/>
        <v/>
      </c>
      <c r="B7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4" spans="1:2" x14ac:dyDescent="0.35">
      <c r="A724" s="1" t="str">
        <f t="shared" si="11"/>
        <v/>
      </c>
      <c r="B7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5" spans="1:2" x14ac:dyDescent="0.35">
      <c r="A725" s="1" t="str">
        <f t="shared" si="11"/>
        <v/>
      </c>
      <c r="B7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6" spans="1:2" x14ac:dyDescent="0.35">
      <c r="A726" s="1" t="str">
        <f t="shared" si="11"/>
        <v/>
      </c>
      <c r="B7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7" spans="1:2" x14ac:dyDescent="0.35">
      <c r="A727" s="1" t="str">
        <f t="shared" si="11"/>
        <v/>
      </c>
      <c r="B7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8" spans="1:2" x14ac:dyDescent="0.35">
      <c r="A728" s="1" t="str">
        <f t="shared" si="11"/>
        <v/>
      </c>
      <c r="B7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9" spans="1:2" x14ac:dyDescent="0.35">
      <c r="A729" s="1" t="str">
        <f t="shared" si="11"/>
        <v/>
      </c>
      <c r="B7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0" spans="1:2" x14ac:dyDescent="0.35">
      <c r="A730" s="1" t="str">
        <f t="shared" si="11"/>
        <v/>
      </c>
      <c r="B7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1" spans="1:2" x14ac:dyDescent="0.35">
      <c r="A731" s="1" t="str">
        <f t="shared" si="11"/>
        <v/>
      </c>
      <c r="B7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2" spans="1:2" x14ac:dyDescent="0.35">
      <c r="A732" s="1" t="str">
        <f t="shared" si="11"/>
        <v/>
      </c>
      <c r="B7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3" spans="1:2" x14ac:dyDescent="0.35">
      <c r="A733" s="1" t="str">
        <f t="shared" si="11"/>
        <v/>
      </c>
      <c r="B7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4" spans="1:2" x14ac:dyDescent="0.35">
      <c r="A734" s="1" t="str">
        <f t="shared" si="11"/>
        <v/>
      </c>
      <c r="B7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5" spans="1:2" x14ac:dyDescent="0.35">
      <c r="A735" s="1" t="str">
        <f t="shared" si="11"/>
        <v/>
      </c>
      <c r="B7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6" spans="1:2" x14ac:dyDescent="0.35">
      <c r="A736" s="1" t="str">
        <f t="shared" si="11"/>
        <v/>
      </c>
      <c r="B7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7" spans="1:2" x14ac:dyDescent="0.35">
      <c r="A737" s="1" t="str">
        <f t="shared" si="11"/>
        <v/>
      </c>
      <c r="B7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8" spans="1:2" x14ac:dyDescent="0.35">
      <c r="A738" s="1" t="str">
        <f t="shared" si="11"/>
        <v/>
      </c>
      <c r="B7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9" spans="1:2" x14ac:dyDescent="0.35">
      <c r="A739" s="1" t="str">
        <f t="shared" si="11"/>
        <v/>
      </c>
      <c r="B7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0" spans="1:2" x14ac:dyDescent="0.35">
      <c r="A740" s="1" t="str">
        <f t="shared" si="11"/>
        <v/>
      </c>
      <c r="B7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1" spans="1:2" x14ac:dyDescent="0.35">
      <c r="A741" s="1" t="str">
        <f t="shared" si="11"/>
        <v/>
      </c>
      <c r="B7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2" spans="1:2" x14ac:dyDescent="0.35">
      <c r="A742" s="1" t="str">
        <f t="shared" si="11"/>
        <v/>
      </c>
      <c r="B7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3" spans="1:2" x14ac:dyDescent="0.35">
      <c r="A743" s="1" t="str">
        <f t="shared" si="11"/>
        <v/>
      </c>
      <c r="B7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4" spans="1:2" x14ac:dyDescent="0.35">
      <c r="A744" s="1" t="str">
        <f t="shared" si="11"/>
        <v/>
      </c>
      <c r="B7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5" spans="1:2" x14ac:dyDescent="0.35">
      <c r="A745" s="1" t="str">
        <f t="shared" si="11"/>
        <v/>
      </c>
      <c r="B7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6" spans="1:2" x14ac:dyDescent="0.35">
      <c r="A746" s="1" t="str">
        <f t="shared" si="11"/>
        <v/>
      </c>
      <c r="B7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7" spans="1:2" x14ac:dyDescent="0.35">
      <c r="A747" s="1" t="str">
        <f t="shared" si="11"/>
        <v/>
      </c>
      <c r="B7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8" spans="1:2" x14ac:dyDescent="0.35">
      <c r="A748" s="1" t="str">
        <f t="shared" si="11"/>
        <v/>
      </c>
      <c r="B7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9" spans="1:2" x14ac:dyDescent="0.35">
      <c r="A749" s="1" t="str">
        <f t="shared" si="11"/>
        <v/>
      </c>
      <c r="B7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0" spans="1:2" x14ac:dyDescent="0.35">
      <c r="A750" s="1" t="str">
        <f t="shared" si="11"/>
        <v/>
      </c>
      <c r="B7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1" spans="1:2" x14ac:dyDescent="0.35">
      <c r="A751" s="1" t="str">
        <f t="shared" si="11"/>
        <v/>
      </c>
      <c r="B7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2" spans="1:2" x14ac:dyDescent="0.35">
      <c r="A752" s="1" t="str">
        <f t="shared" si="11"/>
        <v/>
      </c>
      <c r="B7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3" spans="1:2" x14ac:dyDescent="0.35">
      <c r="A753" s="1" t="str">
        <f t="shared" si="11"/>
        <v/>
      </c>
      <c r="B7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4" spans="1:2" x14ac:dyDescent="0.35">
      <c r="A754" s="1" t="str">
        <f t="shared" si="11"/>
        <v/>
      </c>
      <c r="B7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5" spans="1:2" x14ac:dyDescent="0.35">
      <c r="A755" s="1" t="str">
        <f t="shared" si="11"/>
        <v/>
      </c>
      <c r="B7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6" spans="1:2" x14ac:dyDescent="0.35">
      <c r="A756" s="1" t="str">
        <f t="shared" si="11"/>
        <v/>
      </c>
      <c r="B7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7" spans="1:2" x14ac:dyDescent="0.35">
      <c r="A757" s="1" t="str">
        <f t="shared" si="11"/>
        <v/>
      </c>
      <c r="B7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8" spans="1:2" x14ac:dyDescent="0.35">
      <c r="A758" s="1" t="str">
        <f t="shared" si="11"/>
        <v/>
      </c>
      <c r="B7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9" spans="1:2" x14ac:dyDescent="0.35">
      <c r="A759" s="1" t="str">
        <f t="shared" si="11"/>
        <v/>
      </c>
      <c r="B7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0" spans="1:2" x14ac:dyDescent="0.35">
      <c r="A760" s="1" t="str">
        <f t="shared" si="11"/>
        <v/>
      </c>
      <c r="B7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1" spans="1:2" x14ac:dyDescent="0.35">
      <c r="A761" s="1" t="str">
        <f t="shared" si="11"/>
        <v/>
      </c>
      <c r="B7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2" spans="1:2" x14ac:dyDescent="0.35">
      <c r="A762" s="1" t="str">
        <f t="shared" si="11"/>
        <v/>
      </c>
      <c r="B7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3" spans="1:2" x14ac:dyDescent="0.35">
      <c r="A763" s="1" t="str">
        <f t="shared" si="11"/>
        <v/>
      </c>
      <c r="B7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4" spans="1:2" x14ac:dyDescent="0.35">
      <c r="A764" s="1" t="str">
        <f t="shared" si="11"/>
        <v/>
      </c>
      <c r="B7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5" spans="1:2" x14ac:dyDescent="0.35">
      <c r="A765" s="1" t="str">
        <f t="shared" si="11"/>
        <v/>
      </c>
      <c r="B7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6" spans="1:2" x14ac:dyDescent="0.35">
      <c r="A766" s="1" t="str">
        <f t="shared" si="11"/>
        <v/>
      </c>
      <c r="B7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7" spans="1:2" x14ac:dyDescent="0.35">
      <c r="A767" s="1" t="str">
        <f t="shared" si="11"/>
        <v/>
      </c>
      <c r="B7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8" spans="1:2" x14ac:dyDescent="0.35">
      <c r="A768" s="1" t="str">
        <f t="shared" si="11"/>
        <v/>
      </c>
      <c r="B7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9" spans="1:2" x14ac:dyDescent="0.35">
      <c r="A769" s="1" t="str">
        <f t="shared" si="11"/>
        <v/>
      </c>
      <c r="B7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0" spans="1:2" x14ac:dyDescent="0.35">
      <c r="A770" s="1" t="str">
        <f t="shared" ref="A770:A833" si="12">IFERROR(LEFT(RIGHT(C770,LEN(C770)-SEARCH("@",C770)),SEARCH("/",RIGHT(C770,LEN(C770)-SEARCH("@",C770)-1))),"")</f>
        <v/>
      </c>
      <c r="B7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1" spans="1:2" x14ac:dyDescent="0.35">
      <c r="A771" s="1" t="str">
        <f t="shared" si="12"/>
        <v/>
      </c>
      <c r="B7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2" spans="1:2" x14ac:dyDescent="0.35">
      <c r="A772" s="1" t="str">
        <f t="shared" si="12"/>
        <v/>
      </c>
      <c r="B7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3" spans="1:2" x14ac:dyDescent="0.35">
      <c r="A773" s="1" t="str">
        <f t="shared" si="12"/>
        <v/>
      </c>
      <c r="B7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4" spans="1:2" x14ac:dyDescent="0.35">
      <c r="A774" s="1" t="str">
        <f t="shared" si="12"/>
        <v/>
      </c>
      <c r="B7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5" spans="1:2" x14ac:dyDescent="0.35">
      <c r="A775" s="1" t="str">
        <f t="shared" si="12"/>
        <v/>
      </c>
      <c r="B7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6" spans="1:2" x14ac:dyDescent="0.35">
      <c r="A776" s="1" t="str">
        <f t="shared" si="12"/>
        <v/>
      </c>
      <c r="B7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7" spans="1:2" x14ac:dyDescent="0.35">
      <c r="A777" s="1" t="str">
        <f t="shared" si="12"/>
        <v/>
      </c>
      <c r="B7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8" spans="1:2" x14ac:dyDescent="0.35">
      <c r="A778" s="1" t="str">
        <f t="shared" si="12"/>
        <v/>
      </c>
      <c r="B7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9" spans="1:2" x14ac:dyDescent="0.35">
      <c r="A779" s="1" t="str">
        <f t="shared" si="12"/>
        <v/>
      </c>
      <c r="B7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0" spans="1:2" x14ac:dyDescent="0.35">
      <c r="A780" s="1" t="str">
        <f t="shared" si="12"/>
        <v/>
      </c>
      <c r="B7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1" spans="1:2" x14ac:dyDescent="0.35">
      <c r="A781" s="1" t="str">
        <f t="shared" si="12"/>
        <v/>
      </c>
      <c r="B7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2" spans="1:2" x14ac:dyDescent="0.35">
      <c r="A782" s="1" t="str">
        <f t="shared" si="12"/>
        <v/>
      </c>
      <c r="B7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3" spans="1:2" x14ac:dyDescent="0.35">
      <c r="A783" s="1" t="str">
        <f t="shared" si="12"/>
        <v/>
      </c>
      <c r="B7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4" spans="1:2" x14ac:dyDescent="0.35">
      <c r="A784" s="1" t="str">
        <f t="shared" si="12"/>
        <v/>
      </c>
      <c r="B7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5" spans="1:2" x14ac:dyDescent="0.35">
      <c r="A785" s="1" t="str">
        <f t="shared" si="12"/>
        <v/>
      </c>
      <c r="B7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6" spans="1:2" x14ac:dyDescent="0.35">
      <c r="A786" s="1" t="str">
        <f t="shared" si="12"/>
        <v/>
      </c>
      <c r="B7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7" spans="1:2" x14ac:dyDescent="0.35">
      <c r="A787" s="1" t="str">
        <f t="shared" si="12"/>
        <v/>
      </c>
      <c r="B7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8" spans="1:2" x14ac:dyDescent="0.35">
      <c r="A788" s="1" t="str">
        <f t="shared" si="12"/>
        <v/>
      </c>
      <c r="B7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9" spans="1:2" x14ac:dyDescent="0.35">
      <c r="A789" s="1" t="str">
        <f t="shared" si="12"/>
        <v/>
      </c>
      <c r="B7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0" spans="1:2" x14ac:dyDescent="0.35">
      <c r="A790" s="1" t="str">
        <f t="shared" si="12"/>
        <v/>
      </c>
      <c r="B7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1" spans="1:2" x14ac:dyDescent="0.35">
      <c r="A791" s="1" t="str">
        <f t="shared" si="12"/>
        <v/>
      </c>
      <c r="B7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2" spans="1:2" x14ac:dyDescent="0.35">
      <c r="A792" s="1" t="str">
        <f t="shared" si="12"/>
        <v/>
      </c>
      <c r="B7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3" spans="1:2" x14ac:dyDescent="0.35">
      <c r="A793" s="1" t="str">
        <f t="shared" si="12"/>
        <v/>
      </c>
      <c r="B7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4" spans="1:2" x14ac:dyDescent="0.35">
      <c r="A794" s="1" t="str">
        <f t="shared" si="12"/>
        <v/>
      </c>
      <c r="B7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5" spans="1:2" x14ac:dyDescent="0.35">
      <c r="A795" s="1" t="str">
        <f t="shared" si="12"/>
        <v/>
      </c>
      <c r="B7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6" spans="1:2" x14ac:dyDescent="0.35">
      <c r="A796" s="1" t="str">
        <f t="shared" si="12"/>
        <v/>
      </c>
      <c r="B7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7" spans="1:2" x14ac:dyDescent="0.35">
      <c r="A797" s="1" t="str">
        <f t="shared" si="12"/>
        <v/>
      </c>
      <c r="B7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8" spans="1:2" x14ac:dyDescent="0.35">
      <c r="A798" s="1" t="str">
        <f t="shared" si="12"/>
        <v/>
      </c>
      <c r="B7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9" spans="1:2" x14ac:dyDescent="0.35">
      <c r="A799" s="1" t="str">
        <f t="shared" si="12"/>
        <v/>
      </c>
      <c r="B7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0" spans="1:2" x14ac:dyDescent="0.35">
      <c r="A800" s="1" t="str">
        <f t="shared" si="12"/>
        <v/>
      </c>
      <c r="B8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1" spans="1:2" x14ac:dyDescent="0.35">
      <c r="A801" s="1" t="str">
        <f t="shared" si="12"/>
        <v/>
      </c>
      <c r="B8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2" spans="1:2" x14ac:dyDescent="0.35">
      <c r="A802" s="1" t="str">
        <f t="shared" si="12"/>
        <v/>
      </c>
      <c r="B8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3" spans="1:2" x14ac:dyDescent="0.35">
      <c r="A803" s="1" t="str">
        <f t="shared" si="12"/>
        <v/>
      </c>
      <c r="B8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4" spans="1:2" x14ac:dyDescent="0.35">
      <c r="A804" s="1" t="str">
        <f t="shared" si="12"/>
        <v/>
      </c>
      <c r="B8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5" spans="1:2" x14ac:dyDescent="0.35">
      <c r="A805" s="1" t="str">
        <f t="shared" si="12"/>
        <v/>
      </c>
      <c r="B8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6" spans="1:2" x14ac:dyDescent="0.35">
      <c r="A806" s="1" t="str">
        <f t="shared" si="12"/>
        <v/>
      </c>
      <c r="B8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7" spans="1:2" x14ac:dyDescent="0.35">
      <c r="A807" s="1" t="str">
        <f t="shared" si="12"/>
        <v/>
      </c>
      <c r="B8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8" spans="1:2" x14ac:dyDescent="0.35">
      <c r="A808" s="1" t="str">
        <f t="shared" si="12"/>
        <v/>
      </c>
      <c r="B8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9" spans="1:2" x14ac:dyDescent="0.35">
      <c r="A809" s="1" t="str">
        <f t="shared" si="12"/>
        <v/>
      </c>
      <c r="B8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0" spans="1:2" x14ac:dyDescent="0.35">
      <c r="A810" s="1" t="str">
        <f t="shared" si="12"/>
        <v/>
      </c>
      <c r="B8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1" spans="1:2" x14ac:dyDescent="0.35">
      <c r="A811" s="1" t="str">
        <f t="shared" si="12"/>
        <v/>
      </c>
      <c r="B8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2" spans="1:2" x14ac:dyDescent="0.35">
      <c r="A812" s="1" t="str">
        <f t="shared" si="12"/>
        <v/>
      </c>
      <c r="B8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3" spans="1:2" x14ac:dyDescent="0.35">
      <c r="A813" s="1" t="str">
        <f t="shared" si="12"/>
        <v/>
      </c>
      <c r="B8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4" spans="1:2" x14ac:dyDescent="0.35">
      <c r="A814" s="1" t="str">
        <f t="shared" si="12"/>
        <v/>
      </c>
      <c r="B8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5" spans="1:2" x14ac:dyDescent="0.35">
      <c r="A815" s="1" t="str">
        <f t="shared" si="12"/>
        <v/>
      </c>
      <c r="B8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6" spans="1:2" x14ac:dyDescent="0.35">
      <c r="A816" s="1" t="str">
        <f t="shared" si="12"/>
        <v/>
      </c>
      <c r="B8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7" spans="1:2" x14ac:dyDescent="0.35">
      <c r="A817" s="1" t="str">
        <f t="shared" si="12"/>
        <v/>
      </c>
      <c r="B8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8" spans="1:2" x14ac:dyDescent="0.35">
      <c r="A818" s="1" t="str">
        <f t="shared" si="12"/>
        <v/>
      </c>
      <c r="B8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9" spans="1:2" x14ac:dyDescent="0.35">
      <c r="A819" s="1" t="str">
        <f t="shared" si="12"/>
        <v/>
      </c>
      <c r="B8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0" spans="1:2" x14ac:dyDescent="0.35">
      <c r="A820" s="1" t="str">
        <f t="shared" si="12"/>
        <v/>
      </c>
      <c r="B8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1" spans="1:2" x14ac:dyDescent="0.35">
      <c r="A821" s="1" t="str">
        <f t="shared" si="12"/>
        <v/>
      </c>
      <c r="B8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2" spans="1:2" x14ac:dyDescent="0.35">
      <c r="A822" s="1" t="str">
        <f t="shared" si="12"/>
        <v/>
      </c>
      <c r="B8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3" spans="1:2" x14ac:dyDescent="0.35">
      <c r="A823" s="1" t="str">
        <f t="shared" si="12"/>
        <v/>
      </c>
      <c r="B8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4" spans="1:2" x14ac:dyDescent="0.35">
      <c r="A824" s="1" t="str">
        <f t="shared" si="12"/>
        <v/>
      </c>
      <c r="B8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5" spans="1:2" x14ac:dyDescent="0.35">
      <c r="A825" s="1" t="str">
        <f t="shared" si="12"/>
        <v/>
      </c>
      <c r="B8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6" spans="1:2" x14ac:dyDescent="0.35">
      <c r="A826" s="1" t="str">
        <f t="shared" si="12"/>
        <v/>
      </c>
      <c r="B8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7" spans="1:2" x14ac:dyDescent="0.35">
      <c r="A827" s="1" t="str">
        <f t="shared" si="12"/>
        <v/>
      </c>
      <c r="B8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8" spans="1:2" x14ac:dyDescent="0.35">
      <c r="A828" s="1" t="str">
        <f t="shared" si="12"/>
        <v/>
      </c>
      <c r="B8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9" spans="1:2" x14ac:dyDescent="0.35">
      <c r="A829" s="1" t="str">
        <f t="shared" si="12"/>
        <v/>
      </c>
      <c r="B8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0" spans="1:2" x14ac:dyDescent="0.35">
      <c r="A830" s="1" t="str">
        <f t="shared" si="12"/>
        <v/>
      </c>
      <c r="B8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1" spans="1:2" x14ac:dyDescent="0.35">
      <c r="A831" s="1" t="str">
        <f t="shared" si="12"/>
        <v/>
      </c>
      <c r="B8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2" spans="1:2" x14ac:dyDescent="0.35">
      <c r="A832" s="1" t="str">
        <f t="shared" si="12"/>
        <v/>
      </c>
      <c r="B8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3" spans="1:2" x14ac:dyDescent="0.35">
      <c r="A833" s="1" t="str">
        <f t="shared" si="12"/>
        <v/>
      </c>
      <c r="B8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4" spans="1:2" x14ac:dyDescent="0.35">
      <c r="A834" s="1" t="str">
        <f t="shared" ref="A834:A897" si="13">IFERROR(LEFT(RIGHT(C834,LEN(C834)-SEARCH("@",C834)),SEARCH("/",RIGHT(C834,LEN(C834)-SEARCH("@",C834)-1))),"")</f>
        <v/>
      </c>
      <c r="B8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5" spans="1:2" x14ac:dyDescent="0.35">
      <c r="A835" s="1" t="str">
        <f t="shared" si="13"/>
        <v/>
      </c>
      <c r="B8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6" spans="1:2" x14ac:dyDescent="0.35">
      <c r="A836" s="1" t="str">
        <f t="shared" si="13"/>
        <v/>
      </c>
      <c r="B8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7" spans="1:2" x14ac:dyDescent="0.35">
      <c r="A837" s="1" t="str">
        <f t="shared" si="13"/>
        <v/>
      </c>
      <c r="B8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8" spans="1:2" x14ac:dyDescent="0.35">
      <c r="A838" s="1" t="str">
        <f t="shared" si="13"/>
        <v/>
      </c>
      <c r="B8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9" spans="1:2" x14ac:dyDescent="0.35">
      <c r="A839" s="1" t="str">
        <f t="shared" si="13"/>
        <v/>
      </c>
      <c r="B8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0" spans="1:2" x14ac:dyDescent="0.35">
      <c r="A840" s="1" t="str">
        <f t="shared" si="13"/>
        <v/>
      </c>
      <c r="B8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1" spans="1:2" x14ac:dyDescent="0.35">
      <c r="A841" s="1" t="str">
        <f t="shared" si="13"/>
        <v/>
      </c>
      <c r="B8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2" spans="1:2" x14ac:dyDescent="0.35">
      <c r="A842" s="1" t="str">
        <f t="shared" si="13"/>
        <v/>
      </c>
      <c r="B8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3" spans="1:2" x14ac:dyDescent="0.35">
      <c r="A843" s="1" t="str">
        <f t="shared" si="13"/>
        <v/>
      </c>
      <c r="B8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4" spans="1:2" x14ac:dyDescent="0.35">
      <c r="A844" s="1" t="str">
        <f t="shared" si="13"/>
        <v/>
      </c>
      <c r="B8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5" spans="1:2" x14ac:dyDescent="0.35">
      <c r="A845" s="1" t="str">
        <f t="shared" si="13"/>
        <v/>
      </c>
      <c r="B8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6" spans="1:2" x14ac:dyDescent="0.35">
      <c r="A846" s="1" t="str">
        <f t="shared" si="13"/>
        <v/>
      </c>
      <c r="B8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7" spans="1:2" x14ac:dyDescent="0.35">
      <c r="A847" s="1" t="str">
        <f t="shared" si="13"/>
        <v/>
      </c>
      <c r="B8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8" spans="1:2" x14ac:dyDescent="0.35">
      <c r="A848" s="1" t="str">
        <f t="shared" si="13"/>
        <v/>
      </c>
      <c r="B8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9" spans="1:2" x14ac:dyDescent="0.35">
      <c r="A849" s="1" t="str">
        <f t="shared" si="13"/>
        <v/>
      </c>
      <c r="B8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0" spans="1:2" x14ac:dyDescent="0.35">
      <c r="A850" s="1" t="str">
        <f t="shared" si="13"/>
        <v/>
      </c>
      <c r="B8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1" spans="1:2" x14ac:dyDescent="0.35">
      <c r="A851" s="1" t="str">
        <f t="shared" si="13"/>
        <v/>
      </c>
      <c r="B8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2" spans="1:2" x14ac:dyDescent="0.35">
      <c r="A852" s="1" t="str">
        <f t="shared" si="13"/>
        <v/>
      </c>
      <c r="B8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3" spans="1:2" x14ac:dyDescent="0.35">
      <c r="A853" s="1" t="str">
        <f t="shared" si="13"/>
        <v/>
      </c>
      <c r="B8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4" spans="1:2" x14ac:dyDescent="0.35">
      <c r="A854" s="1" t="str">
        <f t="shared" si="13"/>
        <v/>
      </c>
      <c r="B8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5" spans="1:2" x14ac:dyDescent="0.35">
      <c r="A855" s="1" t="str">
        <f t="shared" si="13"/>
        <v/>
      </c>
      <c r="B8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6" spans="1:2" x14ac:dyDescent="0.35">
      <c r="A856" s="1" t="str">
        <f t="shared" si="13"/>
        <v/>
      </c>
      <c r="B8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7" spans="1:2" x14ac:dyDescent="0.35">
      <c r="A857" s="1" t="str">
        <f t="shared" si="13"/>
        <v/>
      </c>
      <c r="B8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8" spans="1:2" x14ac:dyDescent="0.35">
      <c r="A858" s="1" t="str">
        <f t="shared" si="13"/>
        <v/>
      </c>
      <c r="B8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9" spans="1:2" x14ac:dyDescent="0.35">
      <c r="A859" s="1" t="str">
        <f t="shared" si="13"/>
        <v/>
      </c>
      <c r="B8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0" spans="1:2" x14ac:dyDescent="0.35">
      <c r="A860" s="1" t="str">
        <f t="shared" si="13"/>
        <v/>
      </c>
      <c r="B8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1" spans="1:2" x14ac:dyDescent="0.35">
      <c r="A861" s="1" t="str">
        <f t="shared" si="13"/>
        <v/>
      </c>
      <c r="B8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2" spans="1:2" x14ac:dyDescent="0.35">
      <c r="A862" s="1" t="str">
        <f t="shared" si="13"/>
        <v/>
      </c>
      <c r="B8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3" spans="1:2" x14ac:dyDescent="0.35">
      <c r="A863" s="1" t="str">
        <f t="shared" si="13"/>
        <v/>
      </c>
      <c r="B8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4" spans="1:2" x14ac:dyDescent="0.35">
      <c r="A864" s="1" t="str">
        <f t="shared" si="13"/>
        <v/>
      </c>
      <c r="B8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5" spans="1:2" x14ac:dyDescent="0.35">
      <c r="A865" s="1" t="str">
        <f t="shared" si="13"/>
        <v/>
      </c>
      <c r="B8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6" spans="1:2" x14ac:dyDescent="0.35">
      <c r="A866" s="1" t="str">
        <f t="shared" si="13"/>
        <v/>
      </c>
      <c r="B8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7" spans="1:2" x14ac:dyDescent="0.35">
      <c r="A867" s="1" t="str">
        <f t="shared" si="13"/>
        <v/>
      </c>
      <c r="B8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8" spans="1:2" x14ac:dyDescent="0.35">
      <c r="A868" s="1" t="str">
        <f t="shared" si="13"/>
        <v/>
      </c>
      <c r="B8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9" spans="1:2" x14ac:dyDescent="0.35">
      <c r="A869" s="1" t="str">
        <f t="shared" si="13"/>
        <v/>
      </c>
      <c r="B8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0" spans="1:2" x14ac:dyDescent="0.35">
      <c r="A870" s="1" t="str">
        <f t="shared" si="13"/>
        <v/>
      </c>
      <c r="B8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1" spans="1:2" x14ac:dyDescent="0.35">
      <c r="A871" s="1" t="str">
        <f t="shared" si="13"/>
        <v/>
      </c>
      <c r="B8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2" spans="1:2" x14ac:dyDescent="0.35">
      <c r="A872" s="1" t="str">
        <f t="shared" si="13"/>
        <v/>
      </c>
      <c r="B8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3" spans="1:2" x14ac:dyDescent="0.35">
      <c r="A873" s="1" t="str">
        <f t="shared" si="13"/>
        <v/>
      </c>
      <c r="B8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4" spans="1:2" x14ac:dyDescent="0.35">
      <c r="A874" s="1" t="str">
        <f t="shared" si="13"/>
        <v/>
      </c>
      <c r="B8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5" spans="1:2" x14ac:dyDescent="0.35">
      <c r="A875" s="1" t="str">
        <f t="shared" si="13"/>
        <v/>
      </c>
      <c r="B8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6" spans="1:2" x14ac:dyDescent="0.35">
      <c r="A876" s="1" t="str">
        <f t="shared" si="13"/>
        <v/>
      </c>
      <c r="B8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7" spans="1:2" x14ac:dyDescent="0.35">
      <c r="A877" s="1" t="str">
        <f t="shared" si="13"/>
        <v/>
      </c>
      <c r="B8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8" spans="1:2" x14ac:dyDescent="0.35">
      <c r="A878" s="1" t="str">
        <f t="shared" si="13"/>
        <v/>
      </c>
      <c r="B8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9" spans="1:2" x14ac:dyDescent="0.35">
      <c r="A879" s="1" t="str">
        <f t="shared" si="13"/>
        <v/>
      </c>
      <c r="B8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0" spans="1:2" x14ac:dyDescent="0.35">
      <c r="A880" s="1" t="str">
        <f t="shared" si="13"/>
        <v/>
      </c>
      <c r="B8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1" spans="1:2" x14ac:dyDescent="0.35">
      <c r="A881" s="1" t="str">
        <f t="shared" si="13"/>
        <v/>
      </c>
      <c r="B8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2" spans="1:2" x14ac:dyDescent="0.35">
      <c r="A882" s="1" t="str">
        <f t="shared" si="13"/>
        <v/>
      </c>
      <c r="B8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3" spans="1:2" x14ac:dyDescent="0.35">
      <c r="A883" s="1" t="str">
        <f t="shared" si="13"/>
        <v/>
      </c>
      <c r="B8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4" spans="1:2" x14ac:dyDescent="0.35">
      <c r="A884" s="1" t="str">
        <f t="shared" si="13"/>
        <v/>
      </c>
      <c r="B8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5" spans="1:2" x14ac:dyDescent="0.35">
      <c r="A885" s="1" t="str">
        <f t="shared" si="13"/>
        <v/>
      </c>
      <c r="B8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6" spans="1:2" x14ac:dyDescent="0.35">
      <c r="A886" s="1" t="str">
        <f t="shared" si="13"/>
        <v/>
      </c>
      <c r="B8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7" spans="1:2" x14ac:dyDescent="0.35">
      <c r="A887" s="1" t="str">
        <f t="shared" si="13"/>
        <v/>
      </c>
      <c r="B8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8" spans="1:2" x14ac:dyDescent="0.35">
      <c r="A888" s="1" t="str">
        <f t="shared" si="13"/>
        <v/>
      </c>
      <c r="B8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9" spans="1:2" x14ac:dyDescent="0.35">
      <c r="A889" s="1" t="str">
        <f t="shared" si="13"/>
        <v/>
      </c>
      <c r="B8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0" spans="1:2" x14ac:dyDescent="0.35">
      <c r="A890" s="1" t="str">
        <f t="shared" si="13"/>
        <v/>
      </c>
      <c r="B8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1" spans="1:2" x14ac:dyDescent="0.35">
      <c r="A891" s="1" t="str">
        <f t="shared" si="13"/>
        <v/>
      </c>
      <c r="B8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2" spans="1:2" x14ac:dyDescent="0.35">
      <c r="A892" s="1" t="str">
        <f t="shared" si="13"/>
        <v/>
      </c>
      <c r="B8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3" spans="1:2" x14ac:dyDescent="0.35">
      <c r="A893" s="1" t="str">
        <f t="shared" si="13"/>
        <v/>
      </c>
      <c r="B8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4" spans="1:2" x14ac:dyDescent="0.35">
      <c r="A894" s="1" t="str">
        <f t="shared" si="13"/>
        <v/>
      </c>
      <c r="B8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5" spans="1:2" x14ac:dyDescent="0.35">
      <c r="A895" s="1" t="str">
        <f t="shared" si="13"/>
        <v/>
      </c>
      <c r="B8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6" spans="1:2" x14ac:dyDescent="0.35">
      <c r="A896" s="1" t="str">
        <f t="shared" si="13"/>
        <v/>
      </c>
      <c r="B8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7" spans="1:2" x14ac:dyDescent="0.35">
      <c r="A897" s="1" t="str">
        <f t="shared" si="13"/>
        <v/>
      </c>
      <c r="B8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8" spans="1:2" x14ac:dyDescent="0.35">
      <c r="A898" s="1" t="str">
        <f t="shared" ref="A898:A961" si="14">IFERROR(LEFT(RIGHT(C898,LEN(C898)-SEARCH("@",C898)),SEARCH("/",RIGHT(C898,LEN(C898)-SEARCH("@",C898)-1))),"")</f>
        <v/>
      </c>
      <c r="B8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9" spans="1:2" x14ac:dyDescent="0.35">
      <c r="A899" s="1" t="str">
        <f t="shared" si="14"/>
        <v/>
      </c>
      <c r="B8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0" spans="1:2" x14ac:dyDescent="0.35">
      <c r="A900" s="1" t="str">
        <f t="shared" si="14"/>
        <v/>
      </c>
      <c r="B9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1" spans="1:2" x14ac:dyDescent="0.35">
      <c r="A901" s="1" t="str">
        <f t="shared" si="14"/>
        <v/>
      </c>
      <c r="B9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2" spans="1:2" x14ac:dyDescent="0.35">
      <c r="A902" s="1" t="str">
        <f t="shared" si="14"/>
        <v/>
      </c>
      <c r="B9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3" spans="1:2" x14ac:dyDescent="0.35">
      <c r="A903" s="1" t="str">
        <f t="shared" si="14"/>
        <v/>
      </c>
      <c r="B9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4" spans="1:2" x14ac:dyDescent="0.35">
      <c r="A904" s="1" t="str">
        <f t="shared" si="14"/>
        <v/>
      </c>
      <c r="B9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5" spans="1:2" x14ac:dyDescent="0.35">
      <c r="A905" s="1" t="str">
        <f t="shared" si="14"/>
        <v/>
      </c>
      <c r="B9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6" spans="1:2" x14ac:dyDescent="0.35">
      <c r="A906" s="1" t="str">
        <f t="shared" si="14"/>
        <v/>
      </c>
      <c r="B9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7" spans="1:2" x14ac:dyDescent="0.35">
      <c r="A907" s="1" t="str">
        <f t="shared" si="14"/>
        <v/>
      </c>
      <c r="B9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8" spans="1:2" x14ac:dyDescent="0.35">
      <c r="A908" s="1" t="str">
        <f t="shared" si="14"/>
        <v/>
      </c>
      <c r="B9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9" spans="1:2" x14ac:dyDescent="0.35">
      <c r="A909" s="1" t="str">
        <f t="shared" si="14"/>
        <v/>
      </c>
      <c r="B9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0" spans="1:2" x14ac:dyDescent="0.35">
      <c r="A910" s="1" t="str">
        <f t="shared" si="14"/>
        <v/>
      </c>
      <c r="B9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1" spans="1:2" x14ac:dyDescent="0.35">
      <c r="A911" s="1" t="str">
        <f t="shared" si="14"/>
        <v/>
      </c>
      <c r="B9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2" spans="1:2" x14ac:dyDescent="0.35">
      <c r="A912" s="1" t="str">
        <f t="shared" si="14"/>
        <v/>
      </c>
      <c r="B9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3" spans="1:2" x14ac:dyDescent="0.35">
      <c r="A913" s="1" t="str">
        <f t="shared" si="14"/>
        <v/>
      </c>
      <c r="B9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4" spans="1:2" x14ac:dyDescent="0.35">
      <c r="A914" s="1" t="str">
        <f t="shared" si="14"/>
        <v/>
      </c>
      <c r="B9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5" spans="1:2" x14ac:dyDescent="0.35">
      <c r="A915" s="1" t="str">
        <f t="shared" si="14"/>
        <v/>
      </c>
      <c r="B9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6" spans="1:2" x14ac:dyDescent="0.35">
      <c r="A916" s="1" t="str">
        <f t="shared" si="14"/>
        <v/>
      </c>
      <c r="B9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7" spans="1:2" x14ac:dyDescent="0.35">
      <c r="A917" s="1" t="str">
        <f t="shared" si="14"/>
        <v/>
      </c>
      <c r="B9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8" spans="1:2" x14ac:dyDescent="0.35">
      <c r="A918" s="1" t="str">
        <f t="shared" si="14"/>
        <v/>
      </c>
      <c r="B9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9" spans="1:2" x14ac:dyDescent="0.35">
      <c r="A919" s="1" t="str">
        <f t="shared" si="14"/>
        <v/>
      </c>
      <c r="B9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0" spans="1:2" x14ac:dyDescent="0.35">
      <c r="A920" s="1" t="str">
        <f t="shared" si="14"/>
        <v/>
      </c>
      <c r="B9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1" spans="1:2" x14ac:dyDescent="0.35">
      <c r="A921" s="1" t="str">
        <f t="shared" si="14"/>
        <v/>
      </c>
      <c r="B9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2" spans="1:2" x14ac:dyDescent="0.35">
      <c r="A922" s="1" t="str">
        <f t="shared" si="14"/>
        <v/>
      </c>
      <c r="B9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3" spans="1:2" x14ac:dyDescent="0.35">
      <c r="A923" s="1" t="str">
        <f t="shared" si="14"/>
        <v/>
      </c>
      <c r="B9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4" spans="1:2" x14ac:dyDescent="0.35">
      <c r="A924" s="1" t="str">
        <f t="shared" si="14"/>
        <v/>
      </c>
      <c r="B9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5" spans="1:2" x14ac:dyDescent="0.35">
      <c r="A925" s="1" t="str">
        <f t="shared" si="14"/>
        <v/>
      </c>
      <c r="B9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6" spans="1:2" x14ac:dyDescent="0.35">
      <c r="A926" s="1" t="str">
        <f t="shared" si="14"/>
        <v/>
      </c>
      <c r="B9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7" spans="1:2" x14ac:dyDescent="0.35">
      <c r="A927" s="1" t="str">
        <f t="shared" si="14"/>
        <v/>
      </c>
      <c r="B9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8" spans="1:2" x14ac:dyDescent="0.35">
      <c r="A928" s="1" t="str">
        <f t="shared" si="14"/>
        <v/>
      </c>
      <c r="B9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9" spans="1:2" x14ac:dyDescent="0.35">
      <c r="A929" s="1" t="str">
        <f t="shared" si="14"/>
        <v/>
      </c>
      <c r="B9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0" spans="1:2" x14ac:dyDescent="0.35">
      <c r="A930" s="1" t="str">
        <f t="shared" si="14"/>
        <v/>
      </c>
      <c r="B9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1" spans="1:2" x14ac:dyDescent="0.35">
      <c r="A931" s="1" t="str">
        <f t="shared" si="14"/>
        <v/>
      </c>
      <c r="B9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2" spans="1:2" x14ac:dyDescent="0.35">
      <c r="A932" s="1" t="str">
        <f t="shared" si="14"/>
        <v/>
      </c>
      <c r="B9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3" spans="1:2" x14ac:dyDescent="0.35">
      <c r="A933" s="1" t="str">
        <f t="shared" si="14"/>
        <v/>
      </c>
      <c r="B9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4" spans="1:2" x14ac:dyDescent="0.35">
      <c r="A934" s="1" t="str">
        <f t="shared" si="14"/>
        <v/>
      </c>
      <c r="B9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5" spans="1:2" x14ac:dyDescent="0.35">
      <c r="A935" s="1" t="str">
        <f t="shared" si="14"/>
        <v/>
      </c>
      <c r="B9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6" spans="1:2" x14ac:dyDescent="0.35">
      <c r="A936" s="1" t="str">
        <f t="shared" si="14"/>
        <v/>
      </c>
      <c r="B9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7" spans="1:2" x14ac:dyDescent="0.35">
      <c r="A937" s="1" t="str">
        <f t="shared" si="14"/>
        <v/>
      </c>
      <c r="B9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8" spans="1:2" x14ac:dyDescent="0.35">
      <c r="A938" s="1" t="str">
        <f t="shared" si="14"/>
        <v/>
      </c>
      <c r="B9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9" spans="1:2" x14ac:dyDescent="0.35">
      <c r="A939" s="1" t="str">
        <f t="shared" si="14"/>
        <v/>
      </c>
      <c r="B9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0" spans="1:2" x14ac:dyDescent="0.35">
      <c r="A940" s="1" t="str">
        <f t="shared" si="14"/>
        <v/>
      </c>
      <c r="B9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1" spans="1:2" x14ac:dyDescent="0.35">
      <c r="A941" s="1" t="str">
        <f t="shared" si="14"/>
        <v/>
      </c>
      <c r="B9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2" spans="1:2" x14ac:dyDescent="0.35">
      <c r="A942" s="1" t="str">
        <f t="shared" si="14"/>
        <v/>
      </c>
      <c r="B9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3" spans="1:2" x14ac:dyDescent="0.35">
      <c r="A943" s="1" t="str">
        <f t="shared" si="14"/>
        <v/>
      </c>
      <c r="B9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4" spans="1:2" x14ac:dyDescent="0.35">
      <c r="A944" s="1" t="str">
        <f t="shared" si="14"/>
        <v/>
      </c>
      <c r="B9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5" spans="1:2" x14ac:dyDescent="0.35">
      <c r="A945" s="1" t="str">
        <f t="shared" si="14"/>
        <v/>
      </c>
      <c r="B9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6" spans="1:2" x14ac:dyDescent="0.35">
      <c r="A946" s="1" t="str">
        <f t="shared" si="14"/>
        <v/>
      </c>
      <c r="B9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7" spans="1:2" x14ac:dyDescent="0.35">
      <c r="A947" s="1" t="str">
        <f t="shared" si="14"/>
        <v/>
      </c>
      <c r="B9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8" spans="1:2" x14ac:dyDescent="0.35">
      <c r="A948" s="1" t="str">
        <f t="shared" si="14"/>
        <v/>
      </c>
      <c r="B9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9" spans="1:2" x14ac:dyDescent="0.35">
      <c r="A949" s="1" t="str">
        <f t="shared" si="14"/>
        <v/>
      </c>
      <c r="B9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0" spans="1:2" x14ac:dyDescent="0.35">
      <c r="A950" s="1" t="str">
        <f t="shared" si="14"/>
        <v/>
      </c>
      <c r="B9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1" spans="1:2" x14ac:dyDescent="0.35">
      <c r="A951" s="1" t="str">
        <f t="shared" si="14"/>
        <v/>
      </c>
      <c r="B9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2" spans="1:2" x14ac:dyDescent="0.35">
      <c r="A952" s="1" t="str">
        <f t="shared" si="14"/>
        <v/>
      </c>
      <c r="B9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3" spans="1:2" x14ac:dyDescent="0.35">
      <c r="A953" s="1" t="str">
        <f t="shared" si="14"/>
        <v/>
      </c>
      <c r="B9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4" spans="1:2" x14ac:dyDescent="0.35">
      <c r="A954" s="1" t="str">
        <f t="shared" si="14"/>
        <v/>
      </c>
      <c r="B9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5" spans="1:2" x14ac:dyDescent="0.35">
      <c r="A955" s="1" t="str">
        <f t="shared" si="14"/>
        <v/>
      </c>
      <c r="B9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6" spans="1:2" x14ac:dyDescent="0.35">
      <c r="A956" s="1" t="str">
        <f t="shared" si="14"/>
        <v/>
      </c>
      <c r="B9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7" spans="1:2" x14ac:dyDescent="0.35">
      <c r="A957" s="1" t="str">
        <f t="shared" si="14"/>
        <v/>
      </c>
      <c r="B9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8" spans="1:2" x14ac:dyDescent="0.35">
      <c r="A958" s="1" t="str">
        <f t="shared" si="14"/>
        <v/>
      </c>
      <c r="B9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9" spans="1:2" x14ac:dyDescent="0.35">
      <c r="A959" s="1" t="str">
        <f t="shared" si="14"/>
        <v/>
      </c>
      <c r="B9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0" spans="1:2" x14ac:dyDescent="0.35">
      <c r="A960" s="1" t="str">
        <f t="shared" si="14"/>
        <v/>
      </c>
      <c r="B9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1" spans="1:2" x14ac:dyDescent="0.35">
      <c r="A961" s="1" t="str">
        <f t="shared" si="14"/>
        <v/>
      </c>
      <c r="B9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2" spans="1:2" x14ac:dyDescent="0.35">
      <c r="A962" s="1" t="str">
        <f t="shared" ref="A962:A1010" si="15">IFERROR(LEFT(RIGHT(C962,LEN(C962)-SEARCH("@",C962)),SEARCH("/",RIGHT(C962,LEN(C962)-SEARCH("@",C962)-1))),"")</f>
        <v/>
      </c>
      <c r="B9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3" spans="1:2" x14ac:dyDescent="0.35">
      <c r="A963" s="1" t="str">
        <f t="shared" si="15"/>
        <v/>
      </c>
      <c r="B9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4" spans="1:2" x14ac:dyDescent="0.35">
      <c r="A964" s="1" t="str">
        <f t="shared" si="15"/>
        <v/>
      </c>
      <c r="B9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5" spans="1:2" x14ac:dyDescent="0.35">
      <c r="A965" s="1" t="str">
        <f t="shared" si="15"/>
        <v/>
      </c>
      <c r="B9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6" spans="1:2" x14ac:dyDescent="0.35">
      <c r="A966" s="1" t="str">
        <f t="shared" si="15"/>
        <v/>
      </c>
      <c r="B9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7" spans="1:2" x14ac:dyDescent="0.35">
      <c r="A967" s="1" t="str">
        <f t="shared" si="15"/>
        <v/>
      </c>
      <c r="B9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8" spans="1:2" x14ac:dyDescent="0.35">
      <c r="A968" s="1" t="str">
        <f t="shared" si="15"/>
        <v/>
      </c>
      <c r="B9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9" spans="1:2" x14ac:dyDescent="0.35">
      <c r="A969" s="1" t="str">
        <f t="shared" si="15"/>
        <v/>
      </c>
      <c r="B9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0" spans="1:2" x14ac:dyDescent="0.35">
      <c r="A970" s="1" t="str">
        <f t="shared" si="15"/>
        <v/>
      </c>
      <c r="B9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1" spans="1:2" x14ac:dyDescent="0.35">
      <c r="A971" s="1" t="str">
        <f t="shared" si="15"/>
        <v/>
      </c>
      <c r="B9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2" spans="1:2" x14ac:dyDescent="0.35">
      <c r="A972" s="1" t="str">
        <f t="shared" si="15"/>
        <v/>
      </c>
      <c r="B9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3" spans="1:2" x14ac:dyDescent="0.35">
      <c r="A973" s="1" t="str">
        <f t="shared" si="15"/>
        <v/>
      </c>
      <c r="B9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4" spans="1:2" x14ac:dyDescent="0.35">
      <c r="A974" s="1" t="str">
        <f t="shared" si="15"/>
        <v/>
      </c>
      <c r="B9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5" spans="1:2" x14ac:dyDescent="0.35">
      <c r="A975" s="1" t="str">
        <f t="shared" si="15"/>
        <v/>
      </c>
      <c r="B9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6" spans="1:2" x14ac:dyDescent="0.35">
      <c r="A976" s="1" t="str">
        <f t="shared" si="15"/>
        <v/>
      </c>
      <c r="B9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7" spans="1:2" x14ac:dyDescent="0.35">
      <c r="A977" s="1" t="str">
        <f t="shared" si="15"/>
        <v/>
      </c>
      <c r="B9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8" spans="1:2" x14ac:dyDescent="0.35">
      <c r="A978" s="1" t="str">
        <f t="shared" si="15"/>
        <v/>
      </c>
      <c r="B9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9" spans="1:2" x14ac:dyDescent="0.35">
      <c r="A979" s="1" t="str">
        <f t="shared" si="15"/>
        <v/>
      </c>
      <c r="B9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0" spans="1:2" x14ac:dyDescent="0.35">
      <c r="A980" s="1" t="str">
        <f t="shared" si="15"/>
        <v/>
      </c>
      <c r="B9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1" spans="1:2" x14ac:dyDescent="0.35">
      <c r="A981" s="1" t="str">
        <f t="shared" si="15"/>
        <v/>
      </c>
      <c r="B9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2" spans="1:2" x14ac:dyDescent="0.35">
      <c r="A982" s="1" t="str">
        <f t="shared" si="15"/>
        <v/>
      </c>
      <c r="B9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3" spans="1:2" x14ac:dyDescent="0.35">
      <c r="A983" s="1" t="str">
        <f t="shared" si="15"/>
        <v/>
      </c>
      <c r="B9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4" spans="1:2" x14ac:dyDescent="0.35">
      <c r="A984" s="1" t="str">
        <f t="shared" si="15"/>
        <v/>
      </c>
      <c r="B9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5" spans="1:2" x14ac:dyDescent="0.35">
      <c r="A985" s="1" t="str">
        <f t="shared" si="15"/>
        <v/>
      </c>
      <c r="B9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6" spans="1:2" x14ac:dyDescent="0.35">
      <c r="A986" s="1" t="str">
        <f t="shared" si="15"/>
        <v/>
      </c>
      <c r="B9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7" spans="1:2" x14ac:dyDescent="0.35">
      <c r="A987" s="1" t="str">
        <f t="shared" si="15"/>
        <v/>
      </c>
      <c r="B9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8" spans="1:2" x14ac:dyDescent="0.35">
      <c r="A988" s="1" t="str">
        <f t="shared" si="15"/>
        <v/>
      </c>
      <c r="B9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9" spans="1:2" x14ac:dyDescent="0.35">
      <c r="A989" s="1" t="str">
        <f t="shared" si="15"/>
        <v/>
      </c>
      <c r="B9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0" spans="1:2" x14ac:dyDescent="0.35">
      <c r="A990" s="1" t="str">
        <f t="shared" si="15"/>
        <v/>
      </c>
      <c r="B9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1" spans="1:2" x14ac:dyDescent="0.35">
      <c r="A991" s="1" t="str">
        <f t="shared" si="15"/>
        <v/>
      </c>
      <c r="B9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2" spans="1:2" x14ac:dyDescent="0.35">
      <c r="A992" s="1" t="str">
        <f t="shared" si="15"/>
        <v/>
      </c>
      <c r="B9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3" spans="1:2" x14ac:dyDescent="0.35">
      <c r="A993" s="1" t="str">
        <f t="shared" si="15"/>
        <v/>
      </c>
      <c r="B9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4" spans="1:2" x14ac:dyDescent="0.35">
      <c r="A994" s="1" t="str">
        <f t="shared" si="15"/>
        <v/>
      </c>
      <c r="B9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5" spans="1:2" x14ac:dyDescent="0.35">
      <c r="A995" s="1" t="str">
        <f t="shared" si="15"/>
        <v/>
      </c>
      <c r="B9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6" spans="1:2" x14ac:dyDescent="0.35">
      <c r="A996" s="1" t="str">
        <f t="shared" si="15"/>
        <v/>
      </c>
      <c r="B9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7" spans="1:2" x14ac:dyDescent="0.35">
      <c r="A997" s="1" t="str">
        <f t="shared" si="15"/>
        <v/>
      </c>
      <c r="B9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8" spans="1:2" x14ac:dyDescent="0.35">
      <c r="A998" s="1" t="str">
        <f t="shared" si="15"/>
        <v/>
      </c>
      <c r="B9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9" spans="1:2" x14ac:dyDescent="0.35">
      <c r="A999" s="1" t="str">
        <f t="shared" si="15"/>
        <v/>
      </c>
      <c r="B9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0" spans="1:2" x14ac:dyDescent="0.35">
      <c r="A1000" s="1" t="str">
        <f t="shared" si="15"/>
        <v/>
      </c>
      <c r="B10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1" spans="1:2" x14ac:dyDescent="0.35">
      <c r="A1001" s="1" t="str">
        <f t="shared" si="15"/>
        <v/>
      </c>
      <c r="B10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2" spans="1:2" x14ac:dyDescent="0.35">
      <c r="A1002" s="1" t="str">
        <f t="shared" si="15"/>
        <v/>
      </c>
      <c r="B10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3" spans="1:2" x14ac:dyDescent="0.35">
      <c r="A1003" s="1" t="str">
        <f t="shared" si="15"/>
        <v/>
      </c>
      <c r="B10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4" spans="1:2" x14ac:dyDescent="0.35">
      <c r="A1004" s="1" t="str">
        <f t="shared" si="15"/>
        <v/>
      </c>
      <c r="B10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5" spans="1:2" x14ac:dyDescent="0.35">
      <c r="A1005" s="1" t="str">
        <f t="shared" si="15"/>
        <v/>
      </c>
      <c r="B10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6" spans="1:2" x14ac:dyDescent="0.35">
      <c r="A1006" s="1" t="str">
        <f t="shared" si="15"/>
        <v/>
      </c>
      <c r="B10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7" spans="1:2" x14ac:dyDescent="0.35">
      <c r="A1007" s="1" t="str">
        <f t="shared" si="15"/>
        <v/>
      </c>
      <c r="B10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8" spans="1:2" x14ac:dyDescent="0.35">
      <c r="A1008" s="1" t="str">
        <f t="shared" si="15"/>
        <v/>
      </c>
      <c r="B10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9" spans="1:2" x14ac:dyDescent="0.35">
      <c r="A1009" s="1" t="str">
        <f t="shared" si="15"/>
        <v/>
      </c>
      <c r="B10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0" spans="1:2" x14ac:dyDescent="0.35">
      <c r="A1010" s="1" t="str">
        <f t="shared" si="15"/>
        <v/>
      </c>
      <c r="B10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1" spans="1:2" x14ac:dyDescent="0.35">
      <c r="A1011" s="1" t="str">
        <f t="shared" ref="A1011:A1074" si="16">IFERROR(LEFT(RIGHT(C1011,LEN(C1011)-SEARCH("@",C1011)),SEARCH("/",RIGHT(C1011,LEN(C1011)-SEARCH("@",C1011)-1))),"")</f>
        <v/>
      </c>
      <c r="B10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2" spans="1:2" x14ac:dyDescent="0.35">
      <c r="A1012" s="1" t="str">
        <f t="shared" si="16"/>
        <v/>
      </c>
      <c r="B10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3" spans="1:2" x14ac:dyDescent="0.35">
      <c r="A1013" s="1" t="str">
        <f t="shared" si="16"/>
        <v/>
      </c>
      <c r="B10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4" spans="1:2" x14ac:dyDescent="0.35">
      <c r="A1014" s="1" t="str">
        <f t="shared" si="16"/>
        <v/>
      </c>
      <c r="B10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5" spans="1:2" x14ac:dyDescent="0.35">
      <c r="A1015" s="1" t="str">
        <f t="shared" si="16"/>
        <v/>
      </c>
      <c r="B10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6" spans="1:2" x14ac:dyDescent="0.35">
      <c r="A1016" s="1" t="str">
        <f t="shared" si="16"/>
        <v/>
      </c>
      <c r="B10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7" spans="1:2" x14ac:dyDescent="0.35">
      <c r="A1017" s="1" t="str">
        <f t="shared" si="16"/>
        <v/>
      </c>
      <c r="B10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8" spans="1:2" x14ac:dyDescent="0.35">
      <c r="A1018" s="1" t="str">
        <f t="shared" si="16"/>
        <v/>
      </c>
      <c r="B10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9" spans="1:2" x14ac:dyDescent="0.35">
      <c r="A1019" s="1" t="str">
        <f t="shared" si="16"/>
        <v/>
      </c>
      <c r="B10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0" spans="1:2" x14ac:dyDescent="0.35">
      <c r="A1020" s="1" t="str">
        <f t="shared" si="16"/>
        <v/>
      </c>
      <c r="B10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1" spans="1:2" x14ac:dyDescent="0.35">
      <c r="A1021" s="1" t="str">
        <f t="shared" si="16"/>
        <v/>
      </c>
      <c r="B10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2" spans="1:2" x14ac:dyDescent="0.35">
      <c r="A1022" s="1" t="str">
        <f t="shared" si="16"/>
        <v/>
      </c>
      <c r="B10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3" spans="1:2" x14ac:dyDescent="0.35">
      <c r="A1023" s="1" t="str">
        <f t="shared" si="16"/>
        <v/>
      </c>
      <c r="B10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4" spans="1:2" x14ac:dyDescent="0.35">
      <c r="A1024" s="1" t="str">
        <f t="shared" si="16"/>
        <v/>
      </c>
      <c r="B10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5" spans="1:2" x14ac:dyDescent="0.35">
      <c r="A1025" s="1" t="str">
        <f t="shared" si="16"/>
        <v/>
      </c>
      <c r="B10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6" spans="1:2" x14ac:dyDescent="0.35">
      <c r="A1026" s="1" t="str">
        <f t="shared" si="16"/>
        <v/>
      </c>
      <c r="B10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7" spans="1:2" x14ac:dyDescent="0.35">
      <c r="A1027" s="1" t="str">
        <f t="shared" si="16"/>
        <v/>
      </c>
      <c r="B10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8" spans="1:2" x14ac:dyDescent="0.35">
      <c r="A1028" s="1" t="str">
        <f t="shared" si="16"/>
        <v/>
      </c>
      <c r="B10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9" spans="1:2" x14ac:dyDescent="0.35">
      <c r="A1029" s="1" t="str">
        <f t="shared" si="16"/>
        <v/>
      </c>
      <c r="B10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0" spans="1:2" x14ac:dyDescent="0.35">
      <c r="A1030" s="1" t="str">
        <f t="shared" si="16"/>
        <v/>
      </c>
      <c r="B10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1" spans="1:2" x14ac:dyDescent="0.35">
      <c r="A1031" s="1" t="str">
        <f t="shared" si="16"/>
        <v/>
      </c>
      <c r="B10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2" spans="1:2" x14ac:dyDescent="0.35">
      <c r="A1032" s="1" t="str">
        <f t="shared" si="16"/>
        <v/>
      </c>
      <c r="B10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3" spans="1:2" x14ac:dyDescent="0.35">
      <c r="A1033" s="1" t="str">
        <f t="shared" si="16"/>
        <v/>
      </c>
      <c r="B10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4" spans="1:2" x14ac:dyDescent="0.35">
      <c r="A1034" s="1" t="str">
        <f t="shared" si="16"/>
        <v/>
      </c>
      <c r="B10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5" spans="1:2" x14ac:dyDescent="0.35">
      <c r="A1035" s="1" t="str">
        <f t="shared" si="16"/>
        <v/>
      </c>
      <c r="B10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6" spans="1:2" x14ac:dyDescent="0.35">
      <c r="A1036" s="1" t="str">
        <f t="shared" si="16"/>
        <v/>
      </c>
      <c r="B10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7" spans="1:2" x14ac:dyDescent="0.35">
      <c r="A1037" s="1" t="str">
        <f t="shared" si="16"/>
        <v/>
      </c>
      <c r="B10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8" spans="1:2" x14ac:dyDescent="0.35">
      <c r="A1038" s="1" t="str">
        <f t="shared" si="16"/>
        <v/>
      </c>
      <c r="B10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9" spans="1:2" x14ac:dyDescent="0.35">
      <c r="A1039" s="1" t="str">
        <f t="shared" si="16"/>
        <v/>
      </c>
      <c r="B10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0" spans="1:2" x14ac:dyDescent="0.35">
      <c r="A1040" s="1" t="str">
        <f t="shared" si="16"/>
        <v/>
      </c>
      <c r="B10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1" spans="1:2" x14ac:dyDescent="0.35">
      <c r="A1041" s="1" t="str">
        <f t="shared" si="16"/>
        <v/>
      </c>
      <c r="B10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2" spans="1:2" x14ac:dyDescent="0.35">
      <c r="A1042" s="1" t="str">
        <f t="shared" si="16"/>
        <v/>
      </c>
      <c r="B10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3" spans="1:2" x14ac:dyDescent="0.35">
      <c r="A1043" s="1" t="str">
        <f t="shared" si="16"/>
        <v/>
      </c>
      <c r="B10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4" spans="1:2" x14ac:dyDescent="0.35">
      <c r="A1044" s="1" t="str">
        <f t="shared" si="16"/>
        <v/>
      </c>
      <c r="B10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5" spans="1:2" x14ac:dyDescent="0.35">
      <c r="A1045" s="1" t="str">
        <f t="shared" si="16"/>
        <v/>
      </c>
      <c r="B10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6" spans="1:2" x14ac:dyDescent="0.35">
      <c r="A1046" s="1" t="str">
        <f t="shared" si="16"/>
        <v/>
      </c>
      <c r="B10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7" spans="1:2" x14ac:dyDescent="0.35">
      <c r="A1047" s="1" t="str">
        <f t="shared" si="16"/>
        <v/>
      </c>
      <c r="B10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8" spans="1:2" x14ac:dyDescent="0.35">
      <c r="A1048" s="1" t="str">
        <f t="shared" si="16"/>
        <v/>
      </c>
      <c r="B10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9" spans="1:2" x14ac:dyDescent="0.35">
      <c r="A1049" s="1" t="str">
        <f t="shared" si="16"/>
        <v/>
      </c>
      <c r="B10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0" spans="1:2" x14ac:dyDescent="0.35">
      <c r="A1050" s="1" t="str">
        <f t="shared" si="16"/>
        <v/>
      </c>
      <c r="B10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1" spans="1:2" x14ac:dyDescent="0.35">
      <c r="A1051" s="1" t="str">
        <f t="shared" si="16"/>
        <v/>
      </c>
      <c r="B10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2" spans="1:2" x14ac:dyDescent="0.35">
      <c r="A1052" s="1" t="str">
        <f t="shared" si="16"/>
        <v/>
      </c>
      <c r="B10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3" spans="1:2" x14ac:dyDescent="0.35">
      <c r="A1053" s="1" t="str">
        <f t="shared" si="16"/>
        <v/>
      </c>
      <c r="B10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4" spans="1:2" x14ac:dyDescent="0.35">
      <c r="A1054" s="1" t="str">
        <f t="shared" si="16"/>
        <v/>
      </c>
      <c r="B10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5" spans="1:2" x14ac:dyDescent="0.35">
      <c r="A1055" s="1" t="str">
        <f t="shared" si="16"/>
        <v/>
      </c>
      <c r="B10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6" spans="1:2" x14ac:dyDescent="0.35">
      <c r="A1056" s="1" t="str">
        <f t="shared" si="16"/>
        <v/>
      </c>
      <c r="B10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7" spans="1:2" x14ac:dyDescent="0.35">
      <c r="A1057" s="1" t="str">
        <f t="shared" si="16"/>
        <v/>
      </c>
      <c r="B10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8" spans="1:2" x14ac:dyDescent="0.35">
      <c r="A1058" s="1" t="str">
        <f t="shared" si="16"/>
        <v/>
      </c>
      <c r="B10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9" spans="1:2" x14ac:dyDescent="0.35">
      <c r="A1059" s="1" t="str">
        <f t="shared" si="16"/>
        <v/>
      </c>
      <c r="B10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0" spans="1:2" x14ac:dyDescent="0.35">
      <c r="A1060" s="1" t="str">
        <f t="shared" si="16"/>
        <v/>
      </c>
      <c r="B10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1" spans="1:2" x14ac:dyDescent="0.35">
      <c r="A1061" s="1" t="str">
        <f t="shared" si="16"/>
        <v/>
      </c>
      <c r="B10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2" spans="1:2" x14ac:dyDescent="0.35">
      <c r="A1062" s="1" t="str">
        <f t="shared" si="16"/>
        <v/>
      </c>
      <c r="B10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3" spans="1:2" x14ac:dyDescent="0.35">
      <c r="A1063" s="1" t="str">
        <f t="shared" si="16"/>
        <v/>
      </c>
      <c r="B10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4" spans="1:2" x14ac:dyDescent="0.35">
      <c r="A1064" s="1" t="str">
        <f t="shared" si="16"/>
        <v/>
      </c>
      <c r="B10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5" spans="1:2" x14ac:dyDescent="0.35">
      <c r="A1065" s="1" t="str">
        <f t="shared" si="16"/>
        <v/>
      </c>
      <c r="B10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6" spans="1:2" x14ac:dyDescent="0.35">
      <c r="A1066" s="1" t="str">
        <f t="shared" si="16"/>
        <v/>
      </c>
      <c r="B10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7" spans="1:2" x14ac:dyDescent="0.35">
      <c r="A1067" s="1" t="str">
        <f t="shared" si="16"/>
        <v/>
      </c>
      <c r="B10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8" spans="1:2" x14ac:dyDescent="0.35">
      <c r="A1068" s="1" t="str">
        <f t="shared" si="16"/>
        <v/>
      </c>
      <c r="B10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9" spans="1:2" x14ac:dyDescent="0.35">
      <c r="A1069" s="1" t="str">
        <f t="shared" si="16"/>
        <v/>
      </c>
      <c r="B10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0" spans="1:2" x14ac:dyDescent="0.35">
      <c r="A1070" s="1" t="str">
        <f t="shared" si="16"/>
        <v/>
      </c>
      <c r="B10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1" spans="1:2" x14ac:dyDescent="0.35">
      <c r="A1071" s="1" t="str">
        <f t="shared" si="16"/>
        <v/>
      </c>
      <c r="B10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2" spans="1:2" x14ac:dyDescent="0.35">
      <c r="A1072" s="1" t="str">
        <f t="shared" si="16"/>
        <v/>
      </c>
      <c r="B10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3" spans="1:2" x14ac:dyDescent="0.35">
      <c r="A1073" s="1" t="str">
        <f t="shared" si="16"/>
        <v/>
      </c>
      <c r="B10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4" spans="1:2" x14ac:dyDescent="0.35">
      <c r="A1074" s="1" t="str">
        <f t="shared" si="16"/>
        <v/>
      </c>
      <c r="B10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5" spans="1:2" x14ac:dyDescent="0.35">
      <c r="A1075" s="1" t="str">
        <f t="shared" ref="A1075:A1138" si="17">IFERROR(LEFT(RIGHT(C1075,LEN(C1075)-SEARCH("@",C1075)),SEARCH("/",RIGHT(C1075,LEN(C1075)-SEARCH("@",C1075)-1))),"")</f>
        <v/>
      </c>
      <c r="B10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6" spans="1:2" x14ac:dyDescent="0.35">
      <c r="A1076" s="1" t="str">
        <f t="shared" si="17"/>
        <v/>
      </c>
      <c r="B10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7" spans="1:2" x14ac:dyDescent="0.35">
      <c r="A1077" s="1" t="str">
        <f t="shared" si="17"/>
        <v/>
      </c>
      <c r="B10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8" spans="1:2" x14ac:dyDescent="0.35">
      <c r="A1078" s="1" t="str">
        <f t="shared" si="17"/>
        <v/>
      </c>
      <c r="B10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9" spans="1:2" x14ac:dyDescent="0.35">
      <c r="A1079" s="1" t="str">
        <f t="shared" si="17"/>
        <v/>
      </c>
      <c r="B10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0" spans="1:2" x14ac:dyDescent="0.35">
      <c r="A1080" s="1" t="str">
        <f t="shared" si="17"/>
        <v/>
      </c>
      <c r="B10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1" spans="1:2" x14ac:dyDescent="0.35">
      <c r="A1081" s="1" t="str">
        <f t="shared" si="17"/>
        <v/>
      </c>
      <c r="B10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2" spans="1:2" x14ac:dyDescent="0.35">
      <c r="A1082" s="1" t="str">
        <f t="shared" si="17"/>
        <v/>
      </c>
      <c r="B10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3" spans="1:2" x14ac:dyDescent="0.35">
      <c r="A1083" s="1" t="str">
        <f t="shared" si="17"/>
        <v/>
      </c>
      <c r="B10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4" spans="1:2" x14ac:dyDescent="0.35">
      <c r="A1084" s="1" t="str">
        <f t="shared" si="17"/>
        <v/>
      </c>
      <c r="B10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5" spans="1:2" x14ac:dyDescent="0.35">
      <c r="A1085" s="1" t="str">
        <f t="shared" si="17"/>
        <v/>
      </c>
      <c r="B10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6" spans="1:2" x14ac:dyDescent="0.35">
      <c r="A1086" s="1" t="str">
        <f t="shared" si="17"/>
        <v/>
      </c>
      <c r="B10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7" spans="1:2" x14ac:dyDescent="0.35">
      <c r="A1087" s="1" t="str">
        <f t="shared" si="17"/>
        <v/>
      </c>
      <c r="B10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8" spans="1:2" x14ac:dyDescent="0.35">
      <c r="A1088" s="1" t="str">
        <f t="shared" si="17"/>
        <v/>
      </c>
      <c r="B10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9" spans="1:2" x14ac:dyDescent="0.35">
      <c r="A1089" s="1" t="str">
        <f t="shared" si="17"/>
        <v/>
      </c>
      <c r="B10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0" spans="1:2" x14ac:dyDescent="0.35">
      <c r="A1090" s="1" t="str">
        <f t="shared" si="17"/>
        <v/>
      </c>
      <c r="B10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1" spans="1:2" x14ac:dyDescent="0.35">
      <c r="A1091" s="1" t="str">
        <f t="shared" si="17"/>
        <v/>
      </c>
      <c r="B10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2" spans="1:2" x14ac:dyDescent="0.35">
      <c r="A1092" s="1" t="str">
        <f t="shared" si="17"/>
        <v/>
      </c>
      <c r="B10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3" spans="1:2" x14ac:dyDescent="0.35">
      <c r="A1093" s="1" t="str">
        <f t="shared" si="17"/>
        <v/>
      </c>
      <c r="B10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4" spans="1:2" x14ac:dyDescent="0.35">
      <c r="A1094" s="1" t="str">
        <f t="shared" si="17"/>
        <v/>
      </c>
      <c r="B10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5" spans="1:2" x14ac:dyDescent="0.35">
      <c r="A1095" s="1" t="str">
        <f t="shared" si="17"/>
        <v/>
      </c>
      <c r="B10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6" spans="1:2" x14ac:dyDescent="0.35">
      <c r="A1096" s="1" t="str">
        <f t="shared" si="17"/>
        <v/>
      </c>
      <c r="B10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7" spans="1:2" x14ac:dyDescent="0.35">
      <c r="A1097" s="1" t="str">
        <f t="shared" si="17"/>
        <v/>
      </c>
      <c r="B10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8" spans="1:2" x14ac:dyDescent="0.35">
      <c r="A1098" s="1" t="str">
        <f t="shared" si="17"/>
        <v/>
      </c>
      <c r="B10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9" spans="1:2" x14ac:dyDescent="0.35">
      <c r="A1099" s="1" t="str">
        <f t="shared" si="17"/>
        <v/>
      </c>
      <c r="B10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0" spans="1:2" x14ac:dyDescent="0.35">
      <c r="A1100" s="1" t="str">
        <f t="shared" si="17"/>
        <v/>
      </c>
      <c r="B11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1" spans="1:2" x14ac:dyDescent="0.35">
      <c r="A1101" s="1" t="str">
        <f t="shared" si="17"/>
        <v/>
      </c>
      <c r="B11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2" spans="1:2" x14ac:dyDescent="0.35">
      <c r="A1102" s="1" t="str">
        <f t="shared" si="17"/>
        <v/>
      </c>
      <c r="B11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3" spans="1:2" x14ac:dyDescent="0.35">
      <c r="A1103" s="1" t="str">
        <f t="shared" si="17"/>
        <v/>
      </c>
      <c r="B11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4" spans="1:2" x14ac:dyDescent="0.35">
      <c r="A1104" s="1" t="str">
        <f t="shared" si="17"/>
        <v/>
      </c>
      <c r="B11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5" spans="1:2" x14ac:dyDescent="0.35">
      <c r="A1105" s="1" t="str">
        <f t="shared" si="17"/>
        <v/>
      </c>
      <c r="B11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6" spans="1:2" x14ac:dyDescent="0.35">
      <c r="A1106" s="1" t="str">
        <f t="shared" si="17"/>
        <v/>
      </c>
      <c r="B11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7" spans="1:2" x14ac:dyDescent="0.35">
      <c r="A1107" s="1" t="str">
        <f t="shared" si="17"/>
        <v/>
      </c>
      <c r="B11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8" spans="1:2" x14ac:dyDescent="0.35">
      <c r="A1108" s="1" t="str">
        <f t="shared" si="17"/>
        <v/>
      </c>
      <c r="B11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9" spans="1:2" x14ac:dyDescent="0.35">
      <c r="A1109" s="1" t="str">
        <f t="shared" si="17"/>
        <v/>
      </c>
      <c r="B11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0" spans="1:2" x14ac:dyDescent="0.35">
      <c r="A1110" s="1" t="str">
        <f t="shared" si="17"/>
        <v/>
      </c>
      <c r="B11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1" spans="1:2" x14ac:dyDescent="0.35">
      <c r="A1111" s="1" t="str">
        <f t="shared" si="17"/>
        <v/>
      </c>
      <c r="B11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2" spans="1:2" x14ac:dyDescent="0.35">
      <c r="A1112" s="1" t="str">
        <f t="shared" si="17"/>
        <v/>
      </c>
      <c r="B11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3" spans="1:2" x14ac:dyDescent="0.35">
      <c r="A1113" s="1" t="str">
        <f t="shared" si="17"/>
        <v/>
      </c>
      <c r="B11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4" spans="1:2" x14ac:dyDescent="0.35">
      <c r="A1114" s="1" t="str">
        <f t="shared" si="17"/>
        <v/>
      </c>
      <c r="B11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5" spans="1:2" x14ac:dyDescent="0.35">
      <c r="A1115" s="1" t="str">
        <f t="shared" si="17"/>
        <v/>
      </c>
      <c r="B11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6" spans="1:2" x14ac:dyDescent="0.35">
      <c r="A1116" s="1" t="str">
        <f t="shared" si="17"/>
        <v/>
      </c>
      <c r="B11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7" spans="1:2" x14ac:dyDescent="0.35">
      <c r="A1117" s="1" t="str">
        <f t="shared" si="17"/>
        <v/>
      </c>
      <c r="B11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8" spans="1:2" x14ac:dyDescent="0.35">
      <c r="A1118" s="1" t="str">
        <f t="shared" si="17"/>
        <v/>
      </c>
      <c r="B11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9" spans="1:2" x14ac:dyDescent="0.35">
      <c r="A1119" s="1" t="str">
        <f t="shared" si="17"/>
        <v/>
      </c>
      <c r="B11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0" spans="1:2" x14ac:dyDescent="0.35">
      <c r="A1120" s="1" t="str">
        <f t="shared" si="17"/>
        <v/>
      </c>
      <c r="B11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1" spans="1:2" x14ac:dyDescent="0.35">
      <c r="A1121" s="1" t="str">
        <f t="shared" si="17"/>
        <v/>
      </c>
      <c r="B11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2" spans="1:2" x14ac:dyDescent="0.35">
      <c r="A1122" s="1" t="str">
        <f t="shared" si="17"/>
        <v/>
      </c>
      <c r="B11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3" spans="1:2" x14ac:dyDescent="0.35">
      <c r="A1123" s="1" t="str">
        <f t="shared" si="17"/>
        <v/>
      </c>
      <c r="B11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4" spans="1:2" x14ac:dyDescent="0.35">
      <c r="A1124" s="1" t="str">
        <f t="shared" si="17"/>
        <v/>
      </c>
      <c r="B11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5" spans="1:2" x14ac:dyDescent="0.35">
      <c r="A1125" s="1" t="str">
        <f t="shared" si="17"/>
        <v/>
      </c>
      <c r="B11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6" spans="1:2" x14ac:dyDescent="0.35">
      <c r="A1126" s="1" t="str">
        <f t="shared" si="17"/>
        <v/>
      </c>
      <c r="B11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7" spans="1:2" x14ac:dyDescent="0.35">
      <c r="A1127" s="1" t="str">
        <f t="shared" si="17"/>
        <v/>
      </c>
      <c r="B11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8" spans="1:2" x14ac:dyDescent="0.35">
      <c r="A1128" s="1" t="str">
        <f t="shared" si="17"/>
        <v/>
      </c>
      <c r="B11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9" spans="1:2" x14ac:dyDescent="0.35">
      <c r="A1129" s="1" t="str">
        <f t="shared" si="17"/>
        <v/>
      </c>
      <c r="B11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0" spans="1:2" x14ac:dyDescent="0.35">
      <c r="A1130" s="1" t="str">
        <f t="shared" si="17"/>
        <v/>
      </c>
      <c r="B11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1" spans="1:2" x14ac:dyDescent="0.35">
      <c r="A1131" s="1" t="str">
        <f t="shared" si="17"/>
        <v/>
      </c>
      <c r="B11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2" spans="1:2" x14ac:dyDescent="0.35">
      <c r="A1132" s="1" t="str">
        <f t="shared" si="17"/>
        <v/>
      </c>
      <c r="B11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3" spans="1:2" x14ac:dyDescent="0.35">
      <c r="A1133" s="1" t="str">
        <f t="shared" si="17"/>
        <v/>
      </c>
      <c r="B11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4" spans="1:2" x14ac:dyDescent="0.35">
      <c r="A1134" s="1" t="str">
        <f t="shared" si="17"/>
        <v/>
      </c>
      <c r="B11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5" spans="1:2" x14ac:dyDescent="0.35">
      <c r="A1135" s="1" t="str">
        <f t="shared" si="17"/>
        <v/>
      </c>
      <c r="B11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6" spans="1:2" x14ac:dyDescent="0.35">
      <c r="A1136" s="1" t="str">
        <f t="shared" si="17"/>
        <v/>
      </c>
      <c r="B11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7" spans="1:2" x14ac:dyDescent="0.35">
      <c r="A1137" s="1" t="str">
        <f t="shared" si="17"/>
        <v/>
      </c>
      <c r="B11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8" spans="1:2" x14ac:dyDescent="0.35">
      <c r="A1138" s="1" t="str">
        <f t="shared" si="17"/>
        <v/>
      </c>
      <c r="B11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9" spans="1:2" x14ac:dyDescent="0.35">
      <c r="A1139" s="1" t="str">
        <f t="shared" ref="A1139:A1202" si="18">IFERROR(LEFT(RIGHT(C1139,LEN(C1139)-SEARCH("@",C1139)),SEARCH("/",RIGHT(C1139,LEN(C1139)-SEARCH("@",C1139)-1))),"")</f>
        <v/>
      </c>
      <c r="B11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0" spans="1:2" x14ac:dyDescent="0.35">
      <c r="A1140" s="1" t="str">
        <f t="shared" si="18"/>
        <v/>
      </c>
      <c r="B11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1" spans="1:2" x14ac:dyDescent="0.35">
      <c r="A1141" s="1" t="str">
        <f t="shared" si="18"/>
        <v/>
      </c>
      <c r="B11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2" spans="1:2" x14ac:dyDescent="0.35">
      <c r="A1142" s="1" t="str">
        <f t="shared" si="18"/>
        <v/>
      </c>
      <c r="B11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3" spans="1:2" x14ac:dyDescent="0.35">
      <c r="A1143" s="1" t="str">
        <f t="shared" si="18"/>
        <v/>
      </c>
      <c r="B11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4" spans="1:2" x14ac:dyDescent="0.35">
      <c r="A1144" s="1" t="str">
        <f t="shared" si="18"/>
        <v/>
      </c>
      <c r="B11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5" spans="1:2" x14ac:dyDescent="0.35">
      <c r="A1145" s="1" t="str">
        <f t="shared" si="18"/>
        <v/>
      </c>
      <c r="B11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6" spans="1:2" x14ac:dyDescent="0.35">
      <c r="A1146" s="1" t="str">
        <f t="shared" si="18"/>
        <v/>
      </c>
      <c r="B11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7" spans="1:2" x14ac:dyDescent="0.35">
      <c r="A1147" s="1" t="str">
        <f t="shared" si="18"/>
        <v/>
      </c>
      <c r="B11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8" spans="1:2" x14ac:dyDescent="0.35">
      <c r="A1148" s="1" t="str">
        <f t="shared" si="18"/>
        <v/>
      </c>
      <c r="B11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9" spans="1:2" x14ac:dyDescent="0.35">
      <c r="A1149" s="1" t="str">
        <f t="shared" si="18"/>
        <v/>
      </c>
      <c r="B11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0" spans="1:2" x14ac:dyDescent="0.35">
      <c r="A1150" s="1" t="str">
        <f t="shared" si="18"/>
        <v/>
      </c>
      <c r="B11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1" spans="1:2" x14ac:dyDescent="0.35">
      <c r="A1151" s="1" t="str">
        <f t="shared" si="18"/>
        <v/>
      </c>
      <c r="B11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2" spans="1:2" x14ac:dyDescent="0.35">
      <c r="A1152" s="1" t="str">
        <f t="shared" si="18"/>
        <v/>
      </c>
      <c r="B11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3" spans="1:2" x14ac:dyDescent="0.35">
      <c r="A1153" s="1" t="str">
        <f t="shared" si="18"/>
        <v/>
      </c>
      <c r="B11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4" spans="1:2" x14ac:dyDescent="0.35">
      <c r="A1154" s="1" t="str">
        <f t="shared" si="18"/>
        <v/>
      </c>
      <c r="B11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5" spans="1:2" x14ac:dyDescent="0.35">
      <c r="A1155" s="1" t="str">
        <f t="shared" si="18"/>
        <v/>
      </c>
      <c r="B11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6" spans="1:2" x14ac:dyDescent="0.35">
      <c r="A1156" s="1" t="str">
        <f t="shared" si="18"/>
        <v/>
      </c>
      <c r="B11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7" spans="1:2" x14ac:dyDescent="0.35">
      <c r="A1157" s="1" t="str">
        <f t="shared" si="18"/>
        <v/>
      </c>
      <c r="B11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8" spans="1:2" x14ac:dyDescent="0.35">
      <c r="A1158" s="1" t="str">
        <f t="shared" si="18"/>
        <v/>
      </c>
      <c r="B11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9" spans="1:2" x14ac:dyDescent="0.35">
      <c r="A1159" s="1" t="str">
        <f t="shared" si="18"/>
        <v/>
      </c>
      <c r="B11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0" spans="1:2" x14ac:dyDescent="0.35">
      <c r="A1160" s="1" t="str">
        <f t="shared" si="18"/>
        <v/>
      </c>
      <c r="B11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1" spans="1:2" x14ac:dyDescent="0.35">
      <c r="A1161" s="1" t="str">
        <f t="shared" si="18"/>
        <v/>
      </c>
      <c r="B11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2" spans="1:2" x14ac:dyDescent="0.35">
      <c r="A1162" s="1" t="str">
        <f t="shared" si="18"/>
        <v/>
      </c>
      <c r="B11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3" spans="1:2" x14ac:dyDescent="0.35">
      <c r="A1163" s="1" t="str">
        <f t="shared" si="18"/>
        <v/>
      </c>
      <c r="B11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4" spans="1:2" x14ac:dyDescent="0.35">
      <c r="A1164" s="1" t="str">
        <f t="shared" si="18"/>
        <v/>
      </c>
      <c r="B11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5" spans="1:2" x14ac:dyDescent="0.35">
      <c r="A1165" s="1" t="str">
        <f t="shared" si="18"/>
        <v/>
      </c>
      <c r="B11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6" spans="1:2" x14ac:dyDescent="0.35">
      <c r="A1166" s="1" t="str">
        <f t="shared" si="18"/>
        <v/>
      </c>
      <c r="B11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7" spans="1:2" x14ac:dyDescent="0.35">
      <c r="A1167" s="1" t="str">
        <f t="shared" si="18"/>
        <v/>
      </c>
      <c r="B11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8" spans="1:2" x14ac:dyDescent="0.35">
      <c r="A1168" s="1" t="str">
        <f t="shared" si="18"/>
        <v/>
      </c>
      <c r="B11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9" spans="1:2" x14ac:dyDescent="0.35">
      <c r="A1169" s="1" t="str">
        <f t="shared" si="18"/>
        <v/>
      </c>
      <c r="B11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0" spans="1:2" x14ac:dyDescent="0.35">
      <c r="A1170" s="1" t="str">
        <f t="shared" si="18"/>
        <v/>
      </c>
      <c r="B11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1" spans="1:2" x14ac:dyDescent="0.35">
      <c r="A1171" s="1" t="str">
        <f t="shared" si="18"/>
        <v/>
      </c>
      <c r="B11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2" spans="1:2" x14ac:dyDescent="0.35">
      <c r="A1172" s="1" t="str">
        <f t="shared" si="18"/>
        <v/>
      </c>
      <c r="B11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3" spans="1:2" x14ac:dyDescent="0.35">
      <c r="A1173" s="1" t="str">
        <f t="shared" si="18"/>
        <v/>
      </c>
      <c r="B11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4" spans="1:2" x14ac:dyDescent="0.35">
      <c r="A1174" s="1" t="str">
        <f t="shared" si="18"/>
        <v/>
      </c>
      <c r="B11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5" spans="1:2" x14ac:dyDescent="0.35">
      <c r="A1175" s="1" t="str">
        <f t="shared" si="18"/>
        <v/>
      </c>
      <c r="B11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6" spans="1:2" x14ac:dyDescent="0.35">
      <c r="A1176" s="1" t="str">
        <f t="shared" si="18"/>
        <v/>
      </c>
      <c r="B11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7" spans="1:2" x14ac:dyDescent="0.35">
      <c r="A1177" s="1" t="str">
        <f t="shared" si="18"/>
        <v/>
      </c>
      <c r="B11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8" spans="1:2" x14ac:dyDescent="0.35">
      <c r="A1178" s="1" t="str">
        <f t="shared" si="18"/>
        <v/>
      </c>
      <c r="B11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9" spans="1:2" x14ac:dyDescent="0.35">
      <c r="A1179" s="1" t="str">
        <f t="shared" si="18"/>
        <v/>
      </c>
      <c r="B11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0" spans="1:2" x14ac:dyDescent="0.35">
      <c r="A1180" s="1" t="str">
        <f t="shared" si="18"/>
        <v/>
      </c>
      <c r="B11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1" spans="1:2" x14ac:dyDescent="0.35">
      <c r="A1181" s="1" t="str">
        <f t="shared" si="18"/>
        <v/>
      </c>
      <c r="B11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2" spans="1:2" x14ac:dyDescent="0.35">
      <c r="A1182" s="1" t="str">
        <f t="shared" si="18"/>
        <v/>
      </c>
      <c r="B11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3" spans="1:2" x14ac:dyDescent="0.35">
      <c r="A1183" s="1" t="str">
        <f t="shared" si="18"/>
        <v/>
      </c>
      <c r="B11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4" spans="1:2" x14ac:dyDescent="0.35">
      <c r="A1184" s="1" t="str">
        <f t="shared" si="18"/>
        <v/>
      </c>
      <c r="B11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5" spans="1:2" x14ac:dyDescent="0.35">
      <c r="A1185" s="1" t="str">
        <f t="shared" si="18"/>
        <v/>
      </c>
      <c r="B11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6" spans="1:2" x14ac:dyDescent="0.35">
      <c r="A1186" s="1" t="str">
        <f t="shared" si="18"/>
        <v/>
      </c>
      <c r="B11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7" spans="1:2" x14ac:dyDescent="0.35">
      <c r="A1187" s="1" t="str">
        <f t="shared" si="18"/>
        <v/>
      </c>
      <c r="B11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8" spans="1:2" x14ac:dyDescent="0.35">
      <c r="A1188" s="1" t="str">
        <f t="shared" si="18"/>
        <v/>
      </c>
      <c r="B11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9" spans="1:2" x14ac:dyDescent="0.35">
      <c r="A1189" s="1" t="str">
        <f t="shared" si="18"/>
        <v/>
      </c>
      <c r="B11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0" spans="1:2" x14ac:dyDescent="0.35">
      <c r="A1190" s="1" t="str">
        <f t="shared" si="18"/>
        <v/>
      </c>
      <c r="B11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1" spans="1:2" x14ac:dyDescent="0.35">
      <c r="A1191" s="1" t="str">
        <f t="shared" si="18"/>
        <v/>
      </c>
      <c r="B11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2" spans="1:2" x14ac:dyDescent="0.35">
      <c r="A1192" s="1" t="str">
        <f t="shared" si="18"/>
        <v/>
      </c>
      <c r="B11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3" spans="1:2" x14ac:dyDescent="0.35">
      <c r="A1193" s="1" t="str">
        <f t="shared" si="18"/>
        <v/>
      </c>
      <c r="B11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4" spans="1:2" x14ac:dyDescent="0.35">
      <c r="A1194" s="1" t="str">
        <f t="shared" si="18"/>
        <v/>
      </c>
      <c r="B11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5" spans="1:2" x14ac:dyDescent="0.35">
      <c r="A1195" s="1" t="str">
        <f t="shared" si="18"/>
        <v/>
      </c>
      <c r="B11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6" spans="1:2" x14ac:dyDescent="0.35">
      <c r="A1196" s="1" t="str">
        <f t="shared" si="18"/>
        <v/>
      </c>
      <c r="B11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7" spans="1:2" x14ac:dyDescent="0.35">
      <c r="A1197" s="1" t="str">
        <f t="shared" si="18"/>
        <v/>
      </c>
      <c r="B11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8" spans="1:2" x14ac:dyDescent="0.35">
      <c r="A1198" s="1" t="str">
        <f t="shared" si="18"/>
        <v/>
      </c>
      <c r="B11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9" spans="1:2" x14ac:dyDescent="0.35">
      <c r="A1199" s="1" t="str">
        <f t="shared" si="18"/>
        <v/>
      </c>
      <c r="B11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0" spans="1:2" x14ac:dyDescent="0.35">
      <c r="A1200" s="1" t="str">
        <f t="shared" si="18"/>
        <v/>
      </c>
      <c r="B12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1" spans="1:2" x14ac:dyDescent="0.35">
      <c r="A1201" s="1" t="str">
        <f t="shared" si="18"/>
        <v/>
      </c>
      <c r="B12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2" spans="1:2" x14ac:dyDescent="0.35">
      <c r="A1202" s="1" t="str">
        <f t="shared" si="18"/>
        <v/>
      </c>
      <c r="B12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3" spans="1:2" x14ac:dyDescent="0.35">
      <c r="A1203" s="1" t="str">
        <f t="shared" ref="A1203:A1266" si="19">IFERROR(LEFT(RIGHT(C1203,LEN(C1203)-SEARCH("@",C1203)),SEARCH("/",RIGHT(C1203,LEN(C1203)-SEARCH("@",C1203)-1))),"")</f>
        <v/>
      </c>
      <c r="B12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4" spans="1:2" x14ac:dyDescent="0.35">
      <c r="A1204" s="1" t="str">
        <f t="shared" si="19"/>
        <v/>
      </c>
      <c r="B12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5" spans="1:2" x14ac:dyDescent="0.35">
      <c r="A1205" s="1" t="str">
        <f t="shared" si="19"/>
        <v/>
      </c>
      <c r="B12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6" spans="1:2" x14ac:dyDescent="0.35">
      <c r="A1206" s="1" t="str">
        <f t="shared" si="19"/>
        <v/>
      </c>
      <c r="B12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7" spans="1:2" x14ac:dyDescent="0.35">
      <c r="A1207" s="1" t="str">
        <f t="shared" si="19"/>
        <v/>
      </c>
      <c r="B12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8" spans="1:2" x14ac:dyDescent="0.35">
      <c r="A1208" s="1" t="str">
        <f t="shared" si="19"/>
        <v/>
      </c>
      <c r="B12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9" spans="1:2" x14ac:dyDescent="0.35">
      <c r="A1209" s="1" t="str">
        <f t="shared" si="19"/>
        <v/>
      </c>
      <c r="B12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0" spans="1:2" x14ac:dyDescent="0.35">
      <c r="A1210" s="1" t="str">
        <f t="shared" si="19"/>
        <v/>
      </c>
      <c r="B12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1" spans="1:2" x14ac:dyDescent="0.35">
      <c r="A1211" s="1" t="str">
        <f t="shared" si="19"/>
        <v/>
      </c>
      <c r="B12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2" spans="1:2" x14ac:dyDescent="0.35">
      <c r="A1212" s="1" t="str">
        <f t="shared" si="19"/>
        <v/>
      </c>
      <c r="B12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3" spans="1:2" x14ac:dyDescent="0.35">
      <c r="A1213" s="1" t="str">
        <f t="shared" si="19"/>
        <v/>
      </c>
      <c r="B12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4" spans="1:2" x14ac:dyDescent="0.35">
      <c r="A1214" s="1" t="str">
        <f t="shared" si="19"/>
        <v/>
      </c>
      <c r="B12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5" spans="1:2" x14ac:dyDescent="0.35">
      <c r="A1215" s="1" t="str">
        <f t="shared" si="19"/>
        <v/>
      </c>
      <c r="B12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6" spans="1:2" x14ac:dyDescent="0.35">
      <c r="A1216" s="1" t="str">
        <f t="shared" si="19"/>
        <v/>
      </c>
      <c r="B12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7" spans="1:2" x14ac:dyDescent="0.35">
      <c r="A1217" s="1" t="str">
        <f t="shared" si="19"/>
        <v/>
      </c>
      <c r="B12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8" spans="1:2" x14ac:dyDescent="0.35">
      <c r="A1218" s="1" t="str">
        <f t="shared" si="19"/>
        <v/>
      </c>
      <c r="B12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9" spans="1:2" x14ac:dyDescent="0.35">
      <c r="A1219" s="1" t="str">
        <f t="shared" si="19"/>
        <v/>
      </c>
      <c r="B12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0" spans="1:2" x14ac:dyDescent="0.35">
      <c r="A1220" s="1" t="str">
        <f t="shared" si="19"/>
        <v/>
      </c>
      <c r="B12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1" spans="1:2" x14ac:dyDescent="0.35">
      <c r="A1221" s="1" t="str">
        <f t="shared" si="19"/>
        <v/>
      </c>
      <c r="B12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2" spans="1:2" x14ac:dyDescent="0.35">
      <c r="A1222" s="1" t="str">
        <f t="shared" si="19"/>
        <v/>
      </c>
      <c r="B12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3" spans="1:2" x14ac:dyDescent="0.35">
      <c r="A1223" s="1" t="str">
        <f t="shared" si="19"/>
        <v/>
      </c>
      <c r="B12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4" spans="1:2" x14ac:dyDescent="0.35">
      <c r="A1224" s="1" t="str">
        <f t="shared" si="19"/>
        <v/>
      </c>
      <c r="B12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5" spans="1:2" x14ac:dyDescent="0.35">
      <c r="A1225" s="1" t="str">
        <f t="shared" si="19"/>
        <v/>
      </c>
      <c r="B12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6" spans="1:2" x14ac:dyDescent="0.35">
      <c r="A1226" s="1" t="str">
        <f t="shared" si="19"/>
        <v/>
      </c>
      <c r="B12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7" spans="1:2" x14ac:dyDescent="0.35">
      <c r="A1227" s="1" t="str">
        <f t="shared" si="19"/>
        <v/>
      </c>
      <c r="B12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8" spans="1:2" x14ac:dyDescent="0.35">
      <c r="A1228" s="1" t="str">
        <f t="shared" si="19"/>
        <v/>
      </c>
      <c r="B12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9" spans="1:2" x14ac:dyDescent="0.35">
      <c r="A1229" s="1" t="str">
        <f t="shared" si="19"/>
        <v/>
      </c>
      <c r="B12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0" spans="1:2" x14ac:dyDescent="0.35">
      <c r="A1230" s="1" t="str">
        <f t="shared" si="19"/>
        <v/>
      </c>
      <c r="B12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1" spans="1:2" x14ac:dyDescent="0.35">
      <c r="A1231" s="1" t="str">
        <f t="shared" si="19"/>
        <v/>
      </c>
      <c r="B12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2" spans="1:2" x14ac:dyDescent="0.35">
      <c r="A1232" s="1" t="str">
        <f t="shared" si="19"/>
        <v/>
      </c>
      <c r="B12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3" spans="1:2" x14ac:dyDescent="0.35">
      <c r="A1233" s="1" t="str">
        <f t="shared" si="19"/>
        <v/>
      </c>
      <c r="B12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4" spans="1:2" x14ac:dyDescent="0.35">
      <c r="A1234" s="1" t="str">
        <f t="shared" si="19"/>
        <v/>
      </c>
      <c r="B12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5" spans="1:2" x14ac:dyDescent="0.35">
      <c r="A1235" s="1" t="str">
        <f t="shared" si="19"/>
        <v/>
      </c>
      <c r="B12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6" spans="1:2" x14ac:dyDescent="0.35">
      <c r="A1236" s="1" t="str">
        <f t="shared" si="19"/>
        <v/>
      </c>
      <c r="B12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7" spans="1:2" x14ac:dyDescent="0.35">
      <c r="A1237" s="1" t="str">
        <f t="shared" si="19"/>
        <v/>
      </c>
      <c r="B12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8" spans="1:2" x14ac:dyDescent="0.35">
      <c r="A1238" s="1" t="str">
        <f t="shared" si="19"/>
        <v/>
      </c>
      <c r="B12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9" spans="1:2" x14ac:dyDescent="0.35">
      <c r="A1239" s="1" t="str">
        <f t="shared" si="19"/>
        <v/>
      </c>
      <c r="B12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0" spans="1:2" x14ac:dyDescent="0.35">
      <c r="A1240" s="1" t="str">
        <f t="shared" si="19"/>
        <v/>
      </c>
      <c r="B12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1" spans="1:2" x14ac:dyDescent="0.35">
      <c r="A1241" s="1" t="str">
        <f t="shared" si="19"/>
        <v/>
      </c>
      <c r="B12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2" spans="1:2" x14ac:dyDescent="0.35">
      <c r="A1242" s="1" t="str">
        <f t="shared" si="19"/>
        <v/>
      </c>
      <c r="B12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3" spans="1:2" x14ac:dyDescent="0.35">
      <c r="A1243" s="1" t="str">
        <f t="shared" si="19"/>
        <v/>
      </c>
      <c r="B12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4" spans="1:2" x14ac:dyDescent="0.35">
      <c r="A1244" s="1" t="str">
        <f t="shared" si="19"/>
        <v/>
      </c>
      <c r="B12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5" spans="1:2" x14ac:dyDescent="0.35">
      <c r="A1245" s="1" t="str">
        <f t="shared" si="19"/>
        <v/>
      </c>
      <c r="B12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6" spans="1:2" x14ac:dyDescent="0.35">
      <c r="A1246" s="1" t="str">
        <f t="shared" si="19"/>
        <v/>
      </c>
      <c r="B12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7" spans="1:2" x14ac:dyDescent="0.35">
      <c r="A1247" s="1" t="str">
        <f t="shared" si="19"/>
        <v/>
      </c>
      <c r="B12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8" spans="1:2" x14ac:dyDescent="0.35">
      <c r="A1248" s="1" t="str">
        <f t="shared" si="19"/>
        <v/>
      </c>
      <c r="B12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9" spans="1:2" x14ac:dyDescent="0.35">
      <c r="A1249" s="1" t="str">
        <f t="shared" si="19"/>
        <v/>
      </c>
      <c r="B12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0" spans="1:2" x14ac:dyDescent="0.35">
      <c r="A1250" s="1" t="str">
        <f t="shared" si="19"/>
        <v/>
      </c>
      <c r="B12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1" spans="1:2" x14ac:dyDescent="0.35">
      <c r="A1251" s="1" t="str">
        <f t="shared" si="19"/>
        <v/>
      </c>
      <c r="B12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2" spans="1:2" x14ac:dyDescent="0.35">
      <c r="A1252" s="1" t="str">
        <f t="shared" si="19"/>
        <v/>
      </c>
      <c r="B12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3" spans="1:2" x14ac:dyDescent="0.35">
      <c r="A1253" s="1" t="str">
        <f t="shared" si="19"/>
        <v/>
      </c>
      <c r="B12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4" spans="1:2" x14ac:dyDescent="0.35">
      <c r="A1254" s="1" t="str">
        <f t="shared" si="19"/>
        <v/>
      </c>
      <c r="B12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5" spans="1:2" x14ac:dyDescent="0.35">
      <c r="A1255" s="1" t="str">
        <f t="shared" si="19"/>
        <v/>
      </c>
      <c r="B12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6" spans="1:2" x14ac:dyDescent="0.35">
      <c r="A1256" s="1" t="str">
        <f t="shared" si="19"/>
        <v/>
      </c>
      <c r="B12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7" spans="1:2" x14ac:dyDescent="0.35">
      <c r="A1257" s="1" t="str">
        <f t="shared" si="19"/>
        <v/>
      </c>
      <c r="B12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8" spans="1:2" x14ac:dyDescent="0.35">
      <c r="A1258" s="1" t="str">
        <f t="shared" si="19"/>
        <v/>
      </c>
      <c r="B12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9" spans="1:2" x14ac:dyDescent="0.35">
      <c r="A1259" s="1" t="str">
        <f t="shared" si="19"/>
        <v/>
      </c>
      <c r="B12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0" spans="1:2" x14ac:dyDescent="0.35">
      <c r="A1260" s="1" t="str">
        <f t="shared" si="19"/>
        <v/>
      </c>
      <c r="B12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1" spans="1:2" x14ac:dyDescent="0.35">
      <c r="A1261" s="1" t="str">
        <f t="shared" si="19"/>
        <v/>
      </c>
      <c r="B12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2" spans="1:2" x14ac:dyDescent="0.35">
      <c r="A1262" s="1" t="str">
        <f t="shared" si="19"/>
        <v/>
      </c>
      <c r="B12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3" spans="1:2" x14ac:dyDescent="0.35">
      <c r="A1263" s="1" t="str">
        <f t="shared" si="19"/>
        <v/>
      </c>
      <c r="B12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4" spans="1:2" x14ac:dyDescent="0.35">
      <c r="A1264" s="1" t="str">
        <f t="shared" si="19"/>
        <v/>
      </c>
      <c r="B12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5" spans="1:2" x14ac:dyDescent="0.35">
      <c r="A1265" s="1" t="str">
        <f t="shared" si="19"/>
        <v/>
      </c>
      <c r="B12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6" spans="1:2" x14ac:dyDescent="0.35">
      <c r="A1266" s="1" t="str">
        <f t="shared" si="19"/>
        <v/>
      </c>
      <c r="B12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7" spans="1:2" x14ac:dyDescent="0.35">
      <c r="A1267" s="1" t="str">
        <f t="shared" ref="A1267:A1330" si="20">IFERROR(LEFT(RIGHT(C1267,LEN(C1267)-SEARCH("@",C1267)),SEARCH("/",RIGHT(C1267,LEN(C1267)-SEARCH("@",C1267)-1))),"")</f>
        <v/>
      </c>
      <c r="B12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8" spans="1:2" x14ac:dyDescent="0.35">
      <c r="A1268" s="1" t="str">
        <f t="shared" si="20"/>
        <v/>
      </c>
      <c r="B12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9" spans="1:2" x14ac:dyDescent="0.35">
      <c r="A1269" s="1" t="str">
        <f t="shared" si="20"/>
        <v/>
      </c>
      <c r="B12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0" spans="1:2" x14ac:dyDescent="0.35">
      <c r="A1270" s="1" t="str">
        <f t="shared" si="20"/>
        <v/>
      </c>
      <c r="B12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1" spans="1:2" x14ac:dyDescent="0.35">
      <c r="A1271" s="1" t="str">
        <f t="shared" si="20"/>
        <v/>
      </c>
      <c r="B12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2" spans="1:2" x14ac:dyDescent="0.35">
      <c r="A1272" s="1" t="str">
        <f t="shared" si="20"/>
        <v/>
      </c>
      <c r="B12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3" spans="1:2" x14ac:dyDescent="0.35">
      <c r="A1273" s="1" t="str">
        <f t="shared" si="20"/>
        <v/>
      </c>
      <c r="B12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4" spans="1:2" x14ac:dyDescent="0.35">
      <c r="A1274" s="1" t="str">
        <f t="shared" si="20"/>
        <v/>
      </c>
      <c r="B12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5" spans="1:2" x14ac:dyDescent="0.35">
      <c r="A1275" s="1" t="str">
        <f t="shared" si="20"/>
        <v/>
      </c>
      <c r="B12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6" spans="1:2" x14ac:dyDescent="0.35">
      <c r="A1276" s="1" t="str">
        <f t="shared" si="20"/>
        <v/>
      </c>
      <c r="B12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7" spans="1:2" x14ac:dyDescent="0.35">
      <c r="A1277" s="1" t="str">
        <f t="shared" si="20"/>
        <v/>
      </c>
      <c r="B12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8" spans="1:2" x14ac:dyDescent="0.35">
      <c r="A1278" s="1" t="str">
        <f t="shared" si="20"/>
        <v/>
      </c>
      <c r="B12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9" spans="1:2" x14ac:dyDescent="0.35">
      <c r="A1279" s="1" t="str">
        <f t="shared" si="20"/>
        <v/>
      </c>
      <c r="B12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0" spans="1:2" x14ac:dyDescent="0.35">
      <c r="A1280" s="1" t="str">
        <f t="shared" si="20"/>
        <v/>
      </c>
      <c r="B12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1" spans="1:2" x14ac:dyDescent="0.35">
      <c r="A1281" s="1" t="str">
        <f t="shared" si="20"/>
        <v/>
      </c>
      <c r="B12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2" spans="1:2" x14ac:dyDescent="0.35">
      <c r="A1282" s="1" t="str">
        <f t="shared" si="20"/>
        <v/>
      </c>
      <c r="B12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3" spans="1:2" x14ac:dyDescent="0.35">
      <c r="A1283" s="1" t="str">
        <f t="shared" si="20"/>
        <v/>
      </c>
      <c r="B12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4" spans="1:2" x14ac:dyDescent="0.35">
      <c r="A1284" s="1" t="str">
        <f t="shared" si="20"/>
        <v/>
      </c>
      <c r="B12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5" spans="1:2" x14ac:dyDescent="0.35">
      <c r="A1285" s="1" t="str">
        <f t="shared" si="20"/>
        <v/>
      </c>
      <c r="B12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6" spans="1:2" x14ac:dyDescent="0.35">
      <c r="A1286" s="1" t="str">
        <f t="shared" si="20"/>
        <v/>
      </c>
      <c r="B12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7" spans="1:2" x14ac:dyDescent="0.35">
      <c r="A1287" s="1" t="str">
        <f t="shared" si="20"/>
        <v/>
      </c>
      <c r="B12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8" spans="1:2" x14ac:dyDescent="0.35">
      <c r="A1288" s="1" t="str">
        <f t="shared" si="20"/>
        <v/>
      </c>
      <c r="B12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9" spans="1:2" x14ac:dyDescent="0.35">
      <c r="A1289" s="1" t="str">
        <f t="shared" si="20"/>
        <v/>
      </c>
      <c r="B12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0" spans="1:2" x14ac:dyDescent="0.35">
      <c r="A1290" s="1" t="str">
        <f t="shared" si="20"/>
        <v/>
      </c>
      <c r="B12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1" spans="1:2" x14ac:dyDescent="0.35">
      <c r="A1291" s="1" t="str">
        <f t="shared" si="20"/>
        <v/>
      </c>
      <c r="B12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2" spans="1:2" x14ac:dyDescent="0.35">
      <c r="A1292" s="1" t="str">
        <f t="shared" si="20"/>
        <v/>
      </c>
      <c r="B12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3" spans="1:2" x14ac:dyDescent="0.35">
      <c r="A1293" s="1" t="str">
        <f t="shared" si="20"/>
        <v/>
      </c>
      <c r="B12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4" spans="1:2" x14ac:dyDescent="0.35">
      <c r="A1294" s="1" t="str">
        <f t="shared" si="20"/>
        <v/>
      </c>
      <c r="B12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5" spans="1:2" x14ac:dyDescent="0.35">
      <c r="A1295" s="1" t="str">
        <f t="shared" si="20"/>
        <v/>
      </c>
      <c r="B12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6" spans="1:2" x14ac:dyDescent="0.35">
      <c r="A1296" s="1" t="str">
        <f t="shared" si="20"/>
        <v/>
      </c>
      <c r="B12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7" spans="1:2" x14ac:dyDescent="0.35">
      <c r="A1297" s="1" t="str">
        <f t="shared" si="20"/>
        <v/>
      </c>
      <c r="B12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8" spans="1:2" x14ac:dyDescent="0.35">
      <c r="A1298" s="1" t="str">
        <f t="shared" si="20"/>
        <v/>
      </c>
      <c r="B12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9" spans="1:2" x14ac:dyDescent="0.35">
      <c r="A1299" s="1" t="str">
        <f t="shared" si="20"/>
        <v/>
      </c>
      <c r="B12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0" spans="1:2" x14ac:dyDescent="0.35">
      <c r="A1300" s="1" t="str">
        <f t="shared" si="20"/>
        <v/>
      </c>
      <c r="B13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1" spans="1:2" x14ac:dyDescent="0.35">
      <c r="A1301" s="1" t="str">
        <f t="shared" si="20"/>
        <v/>
      </c>
      <c r="B13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2" spans="1:2" x14ac:dyDescent="0.35">
      <c r="A1302" s="1" t="str">
        <f t="shared" si="20"/>
        <v/>
      </c>
      <c r="B13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3" spans="1:2" x14ac:dyDescent="0.35">
      <c r="A1303" s="1" t="str">
        <f t="shared" si="20"/>
        <v/>
      </c>
      <c r="B13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4" spans="1:2" x14ac:dyDescent="0.35">
      <c r="A1304" s="1" t="str">
        <f t="shared" si="20"/>
        <v/>
      </c>
      <c r="B13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5" spans="1:2" x14ac:dyDescent="0.35">
      <c r="A1305" s="1" t="str">
        <f t="shared" si="20"/>
        <v/>
      </c>
      <c r="B13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6" spans="1:2" x14ac:dyDescent="0.35">
      <c r="A1306" s="1" t="str">
        <f t="shared" si="20"/>
        <v/>
      </c>
      <c r="B13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7" spans="1:2" x14ac:dyDescent="0.35">
      <c r="A1307" s="1" t="str">
        <f t="shared" si="20"/>
        <v/>
      </c>
      <c r="B13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8" spans="1:2" x14ac:dyDescent="0.35">
      <c r="A1308" s="1" t="str">
        <f t="shared" si="20"/>
        <v/>
      </c>
      <c r="B13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9" spans="1:2" x14ac:dyDescent="0.35">
      <c r="A1309" s="1" t="str">
        <f t="shared" si="20"/>
        <v/>
      </c>
      <c r="B13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0" spans="1:2" x14ac:dyDescent="0.35">
      <c r="A1310" s="1" t="str">
        <f t="shared" si="20"/>
        <v/>
      </c>
      <c r="B13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1" spans="1:2" x14ac:dyDescent="0.35">
      <c r="A1311" s="1" t="str">
        <f t="shared" si="20"/>
        <v/>
      </c>
      <c r="B13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2" spans="1:2" x14ac:dyDescent="0.35">
      <c r="A1312" s="1" t="str">
        <f t="shared" si="20"/>
        <v/>
      </c>
      <c r="B13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3" spans="1:2" x14ac:dyDescent="0.35">
      <c r="A1313" s="1" t="str">
        <f t="shared" si="20"/>
        <v/>
      </c>
      <c r="B13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4" spans="1:2" x14ac:dyDescent="0.35">
      <c r="A1314" s="1" t="str">
        <f t="shared" si="20"/>
        <v/>
      </c>
      <c r="B13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5" spans="1:2" x14ac:dyDescent="0.35">
      <c r="A1315" s="1" t="str">
        <f t="shared" si="20"/>
        <v/>
      </c>
      <c r="B13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6" spans="1:2" x14ac:dyDescent="0.35">
      <c r="A1316" s="1" t="str">
        <f t="shared" si="20"/>
        <v/>
      </c>
      <c r="B13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7" spans="1:2" x14ac:dyDescent="0.35">
      <c r="A1317" s="1" t="str">
        <f t="shared" si="20"/>
        <v/>
      </c>
      <c r="B13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8" spans="1:2" x14ac:dyDescent="0.35">
      <c r="A1318" s="1" t="str">
        <f t="shared" si="20"/>
        <v/>
      </c>
      <c r="B13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9" spans="1:2" x14ac:dyDescent="0.35">
      <c r="A1319" s="1" t="str">
        <f t="shared" si="20"/>
        <v/>
      </c>
      <c r="B13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0" spans="1:2" x14ac:dyDescent="0.35">
      <c r="A1320" s="1" t="str">
        <f t="shared" si="20"/>
        <v/>
      </c>
      <c r="B13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1" spans="1:2" x14ac:dyDescent="0.35">
      <c r="A1321" s="1" t="str">
        <f t="shared" si="20"/>
        <v/>
      </c>
      <c r="B13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2" spans="1:2" x14ac:dyDescent="0.35">
      <c r="A1322" s="1" t="str">
        <f t="shared" si="20"/>
        <v/>
      </c>
      <c r="B13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3" spans="1:2" x14ac:dyDescent="0.35">
      <c r="A1323" s="1" t="str">
        <f t="shared" si="20"/>
        <v/>
      </c>
      <c r="B13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4" spans="1:2" x14ac:dyDescent="0.35">
      <c r="A1324" s="1" t="str">
        <f t="shared" si="20"/>
        <v/>
      </c>
      <c r="B13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5" spans="1:2" x14ac:dyDescent="0.35">
      <c r="A1325" s="1" t="str">
        <f t="shared" si="20"/>
        <v/>
      </c>
      <c r="B13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6" spans="1:2" x14ac:dyDescent="0.35">
      <c r="A1326" s="1" t="str">
        <f t="shared" si="20"/>
        <v/>
      </c>
      <c r="B13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7" spans="1:2" x14ac:dyDescent="0.35">
      <c r="A1327" s="1" t="str">
        <f t="shared" si="20"/>
        <v/>
      </c>
      <c r="B13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8" spans="1:2" x14ac:dyDescent="0.35">
      <c r="A1328" s="1" t="str">
        <f t="shared" si="20"/>
        <v/>
      </c>
      <c r="B13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9" spans="1:2" x14ac:dyDescent="0.35">
      <c r="A1329" s="1" t="str">
        <f t="shared" si="20"/>
        <v/>
      </c>
      <c r="B13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0" spans="1:2" x14ac:dyDescent="0.35">
      <c r="A1330" s="1" t="str">
        <f t="shared" si="20"/>
        <v/>
      </c>
      <c r="B13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1" spans="1:2" x14ac:dyDescent="0.35">
      <c r="A1331" s="1" t="str">
        <f t="shared" ref="A1331:A1394" si="21">IFERROR(LEFT(RIGHT(C1331,LEN(C1331)-SEARCH("@",C1331)),SEARCH("/",RIGHT(C1331,LEN(C1331)-SEARCH("@",C1331)-1))),"")</f>
        <v/>
      </c>
      <c r="B13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2" spans="1:2" x14ac:dyDescent="0.35">
      <c r="A1332" s="1" t="str">
        <f t="shared" si="21"/>
        <v/>
      </c>
      <c r="B13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3" spans="1:2" x14ac:dyDescent="0.35">
      <c r="A1333" s="1" t="str">
        <f t="shared" si="21"/>
        <v/>
      </c>
      <c r="B13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4" spans="1:2" x14ac:dyDescent="0.35">
      <c r="A1334" s="1" t="str">
        <f t="shared" si="21"/>
        <v/>
      </c>
      <c r="B13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5" spans="1:2" x14ac:dyDescent="0.35">
      <c r="A1335" s="1" t="str">
        <f t="shared" si="21"/>
        <v/>
      </c>
      <c r="B13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6" spans="1:2" x14ac:dyDescent="0.35">
      <c r="A1336" s="1" t="str">
        <f t="shared" si="21"/>
        <v/>
      </c>
      <c r="B13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7" spans="1:2" x14ac:dyDescent="0.35">
      <c r="A1337" s="1" t="str">
        <f t="shared" si="21"/>
        <v/>
      </c>
      <c r="B13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8" spans="1:2" x14ac:dyDescent="0.35">
      <c r="A1338" s="1" t="str">
        <f t="shared" si="21"/>
        <v/>
      </c>
      <c r="B13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9" spans="1:2" x14ac:dyDescent="0.35">
      <c r="A1339" s="1" t="str">
        <f t="shared" si="21"/>
        <v/>
      </c>
      <c r="B13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0" spans="1:2" x14ac:dyDescent="0.35">
      <c r="A1340" s="1" t="str">
        <f t="shared" si="21"/>
        <v/>
      </c>
      <c r="B13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1" spans="1:2" x14ac:dyDescent="0.35">
      <c r="A1341" s="1" t="str">
        <f t="shared" si="21"/>
        <v/>
      </c>
      <c r="B13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2" spans="1:2" x14ac:dyDescent="0.35">
      <c r="A1342" s="1" t="str">
        <f t="shared" si="21"/>
        <v/>
      </c>
      <c r="B13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3" spans="1:2" x14ac:dyDescent="0.35">
      <c r="A1343" s="1" t="str">
        <f t="shared" si="21"/>
        <v/>
      </c>
      <c r="B13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4" spans="1:2" x14ac:dyDescent="0.35">
      <c r="A1344" s="1" t="str">
        <f t="shared" si="21"/>
        <v/>
      </c>
      <c r="B13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5" spans="1:2" x14ac:dyDescent="0.35">
      <c r="A1345" s="1" t="str">
        <f t="shared" si="21"/>
        <v/>
      </c>
      <c r="B13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6" spans="1:2" x14ac:dyDescent="0.35">
      <c r="A1346" s="1" t="str">
        <f t="shared" si="21"/>
        <v/>
      </c>
      <c r="B13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7" spans="1:2" x14ac:dyDescent="0.35">
      <c r="A1347" s="1" t="str">
        <f t="shared" si="21"/>
        <v/>
      </c>
      <c r="B13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8" spans="1:2" x14ac:dyDescent="0.35">
      <c r="A1348" s="1" t="str">
        <f t="shared" si="21"/>
        <v/>
      </c>
      <c r="B13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9" spans="1:2" x14ac:dyDescent="0.35">
      <c r="A1349" s="1" t="str">
        <f t="shared" si="21"/>
        <v/>
      </c>
      <c r="B13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0" spans="1:2" x14ac:dyDescent="0.35">
      <c r="A1350" s="1" t="str">
        <f t="shared" si="21"/>
        <v/>
      </c>
      <c r="B13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1" spans="1:2" x14ac:dyDescent="0.35">
      <c r="A1351" s="1" t="str">
        <f t="shared" si="21"/>
        <v/>
      </c>
      <c r="B13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2" spans="1:2" x14ac:dyDescent="0.35">
      <c r="A1352" s="1" t="str">
        <f t="shared" si="21"/>
        <v/>
      </c>
      <c r="B13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3" spans="1:2" x14ac:dyDescent="0.35">
      <c r="A1353" s="1" t="str">
        <f t="shared" si="21"/>
        <v/>
      </c>
      <c r="B13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4" spans="1:2" x14ac:dyDescent="0.35">
      <c r="A1354" s="1" t="str">
        <f t="shared" si="21"/>
        <v/>
      </c>
      <c r="B13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5" spans="1:2" x14ac:dyDescent="0.35">
      <c r="A1355" s="1" t="str">
        <f t="shared" si="21"/>
        <v/>
      </c>
      <c r="B13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6" spans="1:2" x14ac:dyDescent="0.35">
      <c r="A1356" s="1" t="str">
        <f t="shared" si="21"/>
        <v/>
      </c>
      <c r="B13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7" spans="1:2" x14ac:dyDescent="0.35">
      <c r="A1357" s="1" t="str">
        <f t="shared" si="21"/>
        <v/>
      </c>
      <c r="B13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8" spans="1:2" x14ac:dyDescent="0.35">
      <c r="A1358" s="1" t="str">
        <f t="shared" si="21"/>
        <v/>
      </c>
      <c r="B13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9" spans="1:2" x14ac:dyDescent="0.35">
      <c r="A1359" s="1" t="str">
        <f t="shared" si="21"/>
        <v/>
      </c>
      <c r="B13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0" spans="1:2" x14ac:dyDescent="0.35">
      <c r="A1360" s="1" t="str">
        <f t="shared" si="21"/>
        <v/>
      </c>
      <c r="B13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1" spans="1:2" x14ac:dyDescent="0.35">
      <c r="A1361" s="1" t="str">
        <f t="shared" si="21"/>
        <v/>
      </c>
      <c r="B13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2" spans="1:2" x14ac:dyDescent="0.35">
      <c r="A1362" s="1" t="str">
        <f t="shared" si="21"/>
        <v/>
      </c>
      <c r="B13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3" spans="1:2" x14ac:dyDescent="0.35">
      <c r="A1363" s="1" t="str">
        <f t="shared" si="21"/>
        <v/>
      </c>
      <c r="B13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4" spans="1:2" x14ac:dyDescent="0.35">
      <c r="A1364" s="1" t="str">
        <f t="shared" si="21"/>
        <v/>
      </c>
      <c r="B13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5" spans="1:2" x14ac:dyDescent="0.35">
      <c r="A1365" s="1" t="str">
        <f t="shared" si="21"/>
        <v/>
      </c>
      <c r="B13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6" spans="1:2" x14ac:dyDescent="0.35">
      <c r="A1366" s="1" t="str">
        <f t="shared" si="21"/>
        <v/>
      </c>
      <c r="B13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7" spans="1:2" x14ac:dyDescent="0.35">
      <c r="A1367" s="1" t="str">
        <f t="shared" si="21"/>
        <v/>
      </c>
      <c r="B13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8" spans="1:2" x14ac:dyDescent="0.35">
      <c r="A1368" s="1" t="str">
        <f t="shared" si="21"/>
        <v/>
      </c>
      <c r="B13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9" spans="1:2" x14ac:dyDescent="0.35">
      <c r="A1369" s="1" t="str">
        <f t="shared" si="21"/>
        <v/>
      </c>
      <c r="B13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0" spans="1:2" x14ac:dyDescent="0.35">
      <c r="A1370" s="1" t="str">
        <f t="shared" si="21"/>
        <v/>
      </c>
      <c r="B13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1" spans="1:2" x14ac:dyDescent="0.35">
      <c r="A1371" s="1" t="str">
        <f t="shared" si="21"/>
        <v/>
      </c>
      <c r="B13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2" spans="1:2" x14ac:dyDescent="0.35">
      <c r="A1372" s="1" t="str">
        <f t="shared" si="21"/>
        <v/>
      </c>
      <c r="B13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3" spans="1:2" x14ac:dyDescent="0.35">
      <c r="A1373" s="1" t="str">
        <f t="shared" si="21"/>
        <v/>
      </c>
      <c r="B13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4" spans="1:2" x14ac:dyDescent="0.35">
      <c r="A1374" s="1" t="str">
        <f t="shared" si="21"/>
        <v/>
      </c>
      <c r="B13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5" spans="1:2" x14ac:dyDescent="0.35">
      <c r="A1375" s="1" t="str">
        <f t="shared" si="21"/>
        <v/>
      </c>
      <c r="B13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6" spans="1:2" x14ac:dyDescent="0.35">
      <c r="A1376" s="1" t="str">
        <f t="shared" si="21"/>
        <v/>
      </c>
      <c r="B13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7" spans="1:2" x14ac:dyDescent="0.35">
      <c r="A1377" s="1" t="str">
        <f t="shared" si="21"/>
        <v/>
      </c>
      <c r="B13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8" spans="1:2" x14ac:dyDescent="0.35">
      <c r="A1378" s="1" t="str">
        <f t="shared" si="21"/>
        <v/>
      </c>
      <c r="B13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9" spans="1:2" x14ac:dyDescent="0.35">
      <c r="A1379" s="1" t="str">
        <f t="shared" si="21"/>
        <v/>
      </c>
      <c r="B13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0" spans="1:2" x14ac:dyDescent="0.35">
      <c r="A1380" s="1" t="str">
        <f t="shared" si="21"/>
        <v/>
      </c>
      <c r="B13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1" spans="1:2" x14ac:dyDescent="0.35">
      <c r="A1381" s="1" t="str">
        <f t="shared" si="21"/>
        <v/>
      </c>
      <c r="B13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2" spans="1:2" x14ac:dyDescent="0.35">
      <c r="A1382" s="1" t="str">
        <f t="shared" si="21"/>
        <v/>
      </c>
      <c r="B13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3" spans="1:2" x14ac:dyDescent="0.35">
      <c r="A1383" s="1" t="str">
        <f t="shared" si="21"/>
        <v/>
      </c>
      <c r="B13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4" spans="1:2" x14ac:dyDescent="0.35">
      <c r="A1384" s="1" t="str">
        <f t="shared" si="21"/>
        <v/>
      </c>
      <c r="B13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5" spans="1:2" x14ac:dyDescent="0.35">
      <c r="A1385" s="1" t="str">
        <f t="shared" si="21"/>
        <v/>
      </c>
      <c r="B13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6" spans="1:2" x14ac:dyDescent="0.35">
      <c r="A1386" s="1" t="str">
        <f t="shared" si="21"/>
        <v/>
      </c>
      <c r="B13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7" spans="1:2" x14ac:dyDescent="0.35">
      <c r="A1387" s="1" t="str">
        <f t="shared" si="21"/>
        <v/>
      </c>
      <c r="B13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8" spans="1:2" x14ac:dyDescent="0.35">
      <c r="A1388" s="1" t="str">
        <f t="shared" si="21"/>
        <v/>
      </c>
      <c r="B13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9" spans="1:2" x14ac:dyDescent="0.35">
      <c r="A1389" s="1" t="str">
        <f t="shared" si="21"/>
        <v/>
      </c>
      <c r="B13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0" spans="1:2" x14ac:dyDescent="0.35">
      <c r="A1390" s="1" t="str">
        <f t="shared" si="21"/>
        <v/>
      </c>
      <c r="B13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1" spans="1:2" x14ac:dyDescent="0.35">
      <c r="A1391" s="1" t="str">
        <f t="shared" si="21"/>
        <v/>
      </c>
      <c r="B13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2" spans="1:2" x14ac:dyDescent="0.35">
      <c r="A1392" s="1" t="str">
        <f t="shared" si="21"/>
        <v/>
      </c>
      <c r="B13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3" spans="1:2" x14ac:dyDescent="0.35">
      <c r="A1393" s="1" t="str">
        <f t="shared" si="21"/>
        <v/>
      </c>
      <c r="B13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4" spans="1:2" x14ac:dyDescent="0.35">
      <c r="A1394" s="1" t="str">
        <f t="shared" si="21"/>
        <v/>
      </c>
      <c r="B13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5" spans="1:2" x14ac:dyDescent="0.35">
      <c r="A1395" s="1" t="str">
        <f t="shared" ref="A1395:A1458" si="22">IFERROR(LEFT(RIGHT(C1395,LEN(C1395)-SEARCH("@",C1395)),SEARCH("/",RIGHT(C1395,LEN(C1395)-SEARCH("@",C1395)-1))),"")</f>
        <v/>
      </c>
      <c r="B13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6" spans="1:2" x14ac:dyDescent="0.35">
      <c r="A1396" s="1" t="str">
        <f t="shared" si="22"/>
        <v/>
      </c>
      <c r="B13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7" spans="1:2" x14ac:dyDescent="0.35">
      <c r="A1397" s="1" t="str">
        <f t="shared" si="22"/>
        <v/>
      </c>
      <c r="B13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8" spans="1:2" x14ac:dyDescent="0.35">
      <c r="A1398" s="1" t="str">
        <f t="shared" si="22"/>
        <v/>
      </c>
      <c r="B13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9" spans="1:2" x14ac:dyDescent="0.35">
      <c r="A1399" s="1" t="str">
        <f t="shared" si="22"/>
        <v/>
      </c>
      <c r="B13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0" spans="1:2" x14ac:dyDescent="0.35">
      <c r="A1400" s="1" t="str">
        <f t="shared" si="22"/>
        <v/>
      </c>
      <c r="B14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1" spans="1:2" x14ac:dyDescent="0.35">
      <c r="A1401" s="1" t="str">
        <f t="shared" si="22"/>
        <v/>
      </c>
      <c r="B14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2" spans="1:2" x14ac:dyDescent="0.35">
      <c r="A1402" s="1" t="str">
        <f t="shared" si="22"/>
        <v/>
      </c>
      <c r="B14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3" spans="1:2" x14ac:dyDescent="0.35">
      <c r="A1403" s="1" t="str">
        <f t="shared" si="22"/>
        <v/>
      </c>
      <c r="B14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4" spans="1:2" x14ac:dyDescent="0.35">
      <c r="A1404" s="1" t="str">
        <f t="shared" si="22"/>
        <v/>
      </c>
      <c r="B14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5" spans="1:2" x14ac:dyDescent="0.35">
      <c r="A1405" s="1" t="str">
        <f t="shared" si="22"/>
        <v/>
      </c>
      <c r="B14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6" spans="1:2" x14ac:dyDescent="0.35">
      <c r="A1406" s="1" t="str">
        <f t="shared" si="22"/>
        <v/>
      </c>
      <c r="B14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7" spans="1:2" x14ac:dyDescent="0.35">
      <c r="A1407" s="1" t="str">
        <f t="shared" si="22"/>
        <v/>
      </c>
      <c r="B14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8" spans="1:2" x14ac:dyDescent="0.35">
      <c r="A1408" s="1" t="str">
        <f t="shared" si="22"/>
        <v/>
      </c>
      <c r="B14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9" spans="1:2" x14ac:dyDescent="0.35">
      <c r="A1409" s="1" t="str">
        <f t="shared" si="22"/>
        <v/>
      </c>
      <c r="B14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0" spans="1:2" x14ac:dyDescent="0.35">
      <c r="A1410" s="1" t="str">
        <f t="shared" si="22"/>
        <v/>
      </c>
      <c r="B14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1" spans="1:2" x14ac:dyDescent="0.35">
      <c r="A1411" s="1" t="str">
        <f t="shared" si="22"/>
        <v/>
      </c>
      <c r="B14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2" spans="1:2" x14ac:dyDescent="0.35">
      <c r="A1412" s="1" t="str">
        <f t="shared" si="22"/>
        <v/>
      </c>
      <c r="B14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3" spans="1:2" x14ac:dyDescent="0.35">
      <c r="A1413" s="1" t="str">
        <f t="shared" si="22"/>
        <v/>
      </c>
      <c r="B14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4" spans="1:2" x14ac:dyDescent="0.35">
      <c r="A1414" s="1" t="str">
        <f t="shared" si="22"/>
        <v/>
      </c>
      <c r="B14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5" spans="1:2" x14ac:dyDescent="0.35">
      <c r="A1415" s="1" t="str">
        <f t="shared" si="22"/>
        <v/>
      </c>
      <c r="B14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6" spans="1:2" x14ac:dyDescent="0.35">
      <c r="A1416" s="1" t="str">
        <f t="shared" si="22"/>
        <v/>
      </c>
      <c r="B14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7" spans="1:2" x14ac:dyDescent="0.35">
      <c r="A1417" s="1" t="str">
        <f t="shared" si="22"/>
        <v/>
      </c>
      <c r="B14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8" spans="1:2" x14ac:dyDescent="0.35">
      <c r="A1418" s="1" t="str">
        <f t="shared" si="22"/>
        <v/>
      </c>
      <c r="B14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9" spans="1:2" x14ac:dyDescent="0.35">
      <c r="A1419" s="1" t="str">
        <f t="shared" si="22"/>
        <v/>
      </c>
      <c r="B14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0" spans="1:2" x14ac:dyDescent="0.35">
      <c r="A1420" s="1" t="str">
        <f t="shared" si="22"/>
        <v/>
      </c>
      <c r="B14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1" spans="1:2" x14ac:dyDescent="0.35">
      <c r="A1421" s="1" t="str">
        <f t="shared" si="22"/>
        <v/>
      </c>
      <c r="B14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2" spans="1:2" x14ac:dyDescent="0.35">
      <c r="A1422" s="1" t="str">
        <f t="shared" si="22"/>
        <v/>
      </c>
      <c r="B14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3" spans="1:2" x14ac:dyDescent="0.35">
      <c r="A1423" s="1" t="str">
        <f t="shared" si="22"/>
        <v/>
      </c>
      <c r="B14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4" spans="1:2" x14ac:dyDescent="0.35">
      <c r="A1424" s="1" t="str">
        <f t="shared" si="22"/>
        <v/>
      </c>
      <c r="B14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5" spans="1:2" x14ac:dyDescent="0.35">
      <c r="A1425" s="1" t="str">
        <f t="shared" si="22"/>
        <v/>
      </c>
      <c r="B14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6" spans="1:2" x14ac:dyDescent="0.35">
      <c r="A1426" s="1" t="str">
        <f t="shared" si="22"/>
        <v/>
      </c>
      <c r="B14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7" spans="1:2" x14ac:dyDescent="0.35">
      <c r="A1427" s="1" t="str">
        <f t="shared" si="22"/>
        <v/>
      </c>
      <c r="B14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8" spans="1:2" x14ac:dyDescent="0.35">
      <c r="A1428" s="1" t="str">
        <f t="shared" si="22"/>
        <v/>
      </c>
      <c r="B14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9" spans="1:2" x14ac:dyDescent="0.35">
      <c r="A1429" s="1" t="str">
        <f t="shared" si="22"/>
        <v/>
      </c>
      <c r="B14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0" spans="1:2" x14ac:dyDescent="0.35">
      <c r="A1430" s="1" t="str">
        <f t="shared" si="22"/>
        <v/>
      </c>
      <c r="B14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1" spans="1:2" x14ac:dyDescent="0.35">
      <c r="A1431" s="1" t="str">
        <f t="shared" si="22"/>
        <v/>
      </c>
      <c r="B14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2" spans="1:2" x14ac:dyDescent="0.35">
      <c r="A1432" s="1" t="str">
        <f t="shared" si="22"/>
        <v/>
      </c>
      <c r="B14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3" spans="1:2" x14ac:dyDescent="0.35">
      <c r="A1433" s="1" t="str">
        <f t="shared" si="22"/>
        <v/>
      </c>
      <c r="B14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4" spans="1:2" x14ac:dyDescent="0.35">
      <c r="A1434" s="1" t="str">
        <f t="shared" si="22"/>
        <v/>
      </c>
      <c r="B14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5" spans="1:2" x14ac:dyDescent="0.35">
      <c r="A1435" s="1" t="str">
        <f t="shared" si="22"/>
        <v/>
      </c>
      <c r="B14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6" spans="1:2" x14ac:dyDescent="0.35">
      <c r="A1436" s="1" t="str">
        <f t="shared" si="22"/>
        <v/>
      </c>
      <c r="B14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7" spans="1:2" x14ac:dyDescent="0.35">
      <c r="A1437" s="1" t="str">
        <f t="shared" si="22"/>
        <v/>
      </c>
      <c r="B14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8" spans="1:2" x14ac:dyDescent="0.35">
      <c r="A1438" s="1" t="str">
        <f t="shared" si="22"/>
        <v/>
      </c>
      <c r="B14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9" spans="1:2" x14ac:dyDescent="0.35">
      <c r="A1439" s="1" t="str">
        <f t="shared" si="22"/>
        <v/>
      </c>
      <c r="B14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0" spans="1:2" x14ac:dyDescent="0.35">
      <c r="A1440" s="1" t="str">
        <f t="shared" si="22"/>
        <v/>
      </c>
      <c r="B14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1" spans="1:2" x14ac:dyDescent="0.35">
      <c r="A1441" s="1" t="str">
        <f t="shared" si="22"/>
        <v/>
      </c>
      <c r="B14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2" spans="1:2" x14ac:dyDescent="0.35">
      <c r="A1442" s="1" t="str">
        <f t="shared" si="22"/>
        <v/>
      </c>
      <c r="B14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3" spans="1:2" x14ac:dyDescent="0.35">
      <c r="A1443" s="1" t="str">
        <f t="shared" si="22"/>
        <v/>
      </c>
      <c r="B14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4" spans="1:2" x14ac:dyDescent="0.35">
      <c r="A1444" s="1" t="str">
        <f t="shared" si="22"/>
        <v/>
      </c>
      <c r="B14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5" spans="1:2" x14ac:dyDescent="0.35">
      <c r="A1445" s="1" t="str">
        <f t="shared" si="22"/>
        <v/>
      </c>
      <c r="B14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6" spans="1:2" x14ac:dyDescent="0.35">
      <c r="A1446" s="1" t="str">
        <f t="shared" si="22"/>
        <v/>
      </c>
      <c r="B14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7" spans="1:2" x14ac:dyDescent="0.35">
      <c r="A1447" s="1" t="str">
        <f t="shared" si="22"/>
        <v/>
      </c>
      <c r="B14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8" spans="1:2" x14ac:dyDescent="0.35">
      <c r="A1448" s="1" t="str">
        <f t="shared" si="22"/>
        <v/>
      </c>
      <c r="B14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9" spans="1:2" x14ac:dyDescent="0.35">
      <c r="A1449" s="1" t="str">
        <f t="shared" si="22"/>
        <v/>
      </c>
      <c r="B14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0" spans="1:2" x14ac:dyDescent="0.35">
      <c r="A1450" s="1" t="str">
        <f t="shared" si="22"/>
        <v/>
      </c>
      <c r="B14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1" spans="1:2" x14ac:dyDescent="0.35">
      <c r="A1451" s="1" t="str">
        <f t="shared" si="22"/>
        <v/>
      </c>
      <c r="B14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2" spans="1:2" x14ac:dyDescent="0.35">
      <c r="A1452" s="1" t="str">
        <f t="shared" si="22"/>
        <v/>
      </c>
      <c r="B14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3" spans="1:2" x14ac:dyDescent="0.35">
      <c r="A1453" s="1" t="str">
        <f t="shared" si="22"/>
        <v/>
      </c>
      <c r="B14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4" spans="1:2" x14ac:dyDescent="0.35">
      <c r="A1454" s="1" t="str">
        <f t="shared" si="22"/>
        <v/>
      </c>
      <c r="B14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5" spans="1:2" x14ac:dyDescent="0.35">
      <c r="A1455" s="1" t="str">
        <f t="shared" si="22"/>
        <v/>
      </c>
      <c r="B14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6" spans="1:2" x14ac:dyDescent="0.35">
      <c r="A1456" s="1" t="str">
        <f t="shared" si="22"/>
        <v/>
      </c>
      <c r="B14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7" spans="1:2" x14ac:dyDescent="0.35">
      <c r="A1457" s="1" t="str">
        <f t="shared" si="22"/>
        <v/>
      </c>
      <c r="B14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8" spans="1:2" x14ac:dyDescent="0.35">
      <c r="A1458" s="1" t="str">
        <f t="shared" si="22"/>
        <v/>
      </c>
      <c r="B14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9" spans="1:2" x14ac:dyDescent="0.35">
      <c r="A1459" s="1" t="str">
        <f t="shared" ref="A1459:A1522" si="23">IFERROR(LEFT(RIGHT(C1459,LEN(C1459)-SEARCH("@",C1459)),SEARCH("/",RIGHT(C1459,LEN(C1459)-SEARCH("@",C1459)-1))),"")</f>
        <v/>
      </c>
      <c r="B14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0" spans="1:2" x14ac:dyDescent="0.35">
      <c r="A1460" s="1" t="str">
        <f t="shared" si="23"/>
        <v/>
      </c>
      <c r="B14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1" spans="1:2" x14ac:dyDescent="0.35">
      <c r="A1461" s="1" t="str">
        <f t="shared" si="23"/>
        <v/>
      </c>
      <c r="B14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2" spans="1:2" x14ac:dyDescent="0.35">
      <c r="A1462" s="1" t="str">
        <f t="shared" si="23"/>
        <v/>
      </c>
      <c r="B14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3" spans="1:2" x14ac:dyDescent="0.35">
      <c r="A1463" s="1" t="str">
        <f t="shared" si="23"/>
        <v/>
      </c>
      <c r="B14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4" spans="1:2" x14ac:dyDescent="0.35">
      <c r="A1464" s="1" t="str">
        <f t="shared" si="23"/>
        <v/>
      </c>
      <c r="B14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5" spans="1:2" x14ac:dyDescent="0.35">
      <c r="A1465" s="1" t="str">
        <f t="shared" si="23"/>
        <v/>
      </c>
      <c r="B14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6" spans="1:2" x14ac:dyDescent="0.35">
      <c r="A1466" s="1" t="str">
        <f t="shared" si="23"/>
        <v/>
      </c>
      <c r="B14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7" spans="1:2" x14ac:dyDescent="0.35">
      <c r="A1467" s="1" t="str">
        <f t="shared" si="23"/>
        <v/>
      </c>
      <c r="B14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8" spans="1:2" x14ac:dyDescent="0.35">
      <c r="A1468" s="1" t="str">
        <f t="shared" si="23"/>
        <v/>
      </c>
      <c r="B14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9" spans="1:2" x14ac:dyDescent="0.35">
      <c r="A1469" s="1" t="str">
        <f t="shared" si="23"/>
        <v/>
      </c>
      <c r="B14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0" spans="1:2" x14ac:dyDescent="0.35">
      <c r="A1470" s="1" t="str">
        <f t="shared" si="23"/>
        <v/>
      </c>
      <c r="B14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1" spans="1:2" x14ac:dyDescent="0.35">
      <c r="A1471" s="1" t="str">
        <f t="shared" si="23"/>
        <v/>
      </c>
      <c r="B14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2" spans="1:2" x14ac:dyDescent="0.35">
      <c r="A1472" s="1" t="str">
        <f t="shared" si="23"/>
        <v/>
      </c>
      <c r="B14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3" spans="1:2" x14ac:dyDescent="0.35">
      <c r="A1473" s="1" t="str">
        <f t="shared" si="23"/>
        <v/>
      </c>
      <c r="B14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4" spans="1:2" x14ac:dyDescent="0.35">
      <c r="A1474" s="1" t="str">
        <f t="shared" si="23"/>
        <v/>
      </c>
      <c r="B14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5" spans="1:2" x14ac:dyDescent="0.35">
      <c r="A1475" s="1" t="str">
        <f t="shared" si="23"/>
        <v/>
      </c>
      <c r="B14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6" spans="1:2" x14ac:dyDescent="0.35">
      <c r="A1476" s="1" t="str">
        <f t="shared" si="23"/>
        <v/>
      </c>
      <c r="B14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7" spans="1:2" x14ac:dyDescent="0.35">
      <c r="A1477" s="1" t="str">
        <f t="shared" si="23"/>
        <v/>
      </c>
      <c r="B14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8" spans="1:2" x14ac:dyDescent="0.35">
      <c r="A1478" s="1" t="str">
        <f t="shared" si="23"/>
        <v/>
      </c>
      <c r="B14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9" spans="1:2" x14ac:dyDescent="0.35">
      <c r="A1479" s="1" t="str">
        <f t="shared" si="23"/>
        <v/>
      </c>
      <c r="B14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0" spans="1:2" x14ac:dyDescent="0.35">
      <c r="A1480" s="1" t="str">
        <f t="shared" si="23"/>
        <v/>
      </c>
      <c r="B14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1" spans="1:2" x14ac:dyDescent="0.35">
      <c r="A1481" s="1" t="str">
        <f t="shared" si="23"/>
        <v/>
      </c>
      <c r="B14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2" spans="1:2" x14ac:dyDescent="0.35">
      <c r="A1482" s="1" t="str">
        <f t="shared" si="23"/>
        <v/>
      </c>
      <c r="B14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3" spans="1:2" x14ac:dyDescent="0.35">
      <c r="A1483" s="1" t="str">
        <f t="shared" si="23"/>
        <v/>
      </c>
      <c r="B14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4" spans="1:2" x14ac:dyDescent="0.35">
      <c r="A1484" s="1" t="str">
        <f t="shared" si="23"/>
        <v/>
      </c>
      <c r="B14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5" spans="1:2" x14ac:dyDescent="0.35">
      <c r="A1485" s="1" t="str">
        <f t="shared" si="23"/>
        <v/>
      </c>
      <c r="B14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6" spans="1:2" x14ac:dyDescent="0.35">
      <c r="A1486" s="1" t="str">
        <f t="shared" si="23"/>
        <v/>
      </c>
      <c r="B14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7" spans="1:2" x14ac:dyDescent="0.35">
      <c r="A1487" s="1" t="str">
        <f t="shared" si="23"/>
        <v/>
      </c>
      <c r="B14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8" spans="1:2" x14ac:dyDescent="0.35">
      <c r="A1488" s="1" t="str">
        <f t="shared" si="23"/>
        <v/>
      </c>
      <c r="B14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9" spans="1:2" x14ac:dyDescent="0.35">
      <c r="A1489" s="1" t="str">
        <f t="shared" si="23"/>
        <v/>
      </c>
      <c r="B14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0" spans="1:2" x14ac:dyDescent="0.35">
      <c r="A1490" s="1" t="str">
        <f t="shared" si="23"/>
        <v/>
      </c>
      <c r="B14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1" spans="1:2" x14ac:dyDescent="0.35">
      <c r="A1491" s="1" t="str">
        <f t="shared" si="23"/>
        <v/>
      </c>
      <c r="B14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2" spans="1:2" x14ac:dyDescent="0.35">
      <c r="A1492" s="1" t="str">
        <f t="shared" si="23"/>
        <v/>
      </c>
      <c r="B14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3" spans="1:2" x14ac:dyDescent="0.35">
      <c r="A1493" s="1" t="str">
        <f t="shared" si="23"/>
        <v/>
      </c>
      <c r="B14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4" spans="1:2" x14ac:dyDescent="0.35">
      <c r="A1494" s="1" t="str">
        <f t="shared" si="23"/>
        <v/>
      </c>
      <c r="B14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5" spans="1:2" x14ac:dyDescent="0.35">
      <c r="A1495" s="1" t="str">
        <f t="shared" si="23"/>
        <v/>
      </c>
      <c r="B14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6" spans="1:2" x14ac:dyDescent="0.35">
      <c r="A1496" s="1" t="str">
        <f t="shared" si="23"/>
        <v/>
      </c>
      <c r="B14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7" spans="1:2" x14ac:dyDescent="0.35">
      <c r="A1497" s="1" t="str">
        <f t="shared" si="23"/>
        <v/>
      </c>
      <c r="B14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8" spans="1:2" x14ac:dyDescent="0.35">
      <c r="A1498" s="1" t="str">
        <f t="shared" si="23"/>
        <v/>
      </c>
      <c r="B14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9" spans="1:2" x14ac:dyDescent="0.35">
      <c r="A1499" s="1" t="str">
        <f t="shared" si="23"/>
        <v/>
      </c>
      <c r="B14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0" spans="1:2" x14ac:dyDescent="0.35">
      <c r="A1500" s="1" t="str">
        <f t="shared" si="23"/>
        <v/>
      </c>
      <c r="B15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1" spans="1:2" x14ac:dyDescent="0.35">
      <c r="A1501" s="1" t="str">
        <f t="shared" si="23"/>
        <v/>
      </c>
      <c r="B15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2" spans="1:2" x14ac:dyDescent="0.35">
      <c r="A1502" s="1" t="str">
        <f t="shared" si="23"/>
        <v/>
      </c>
      <c r="B15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3" spans="1:2" x14ac:dyDescent="0.35">
      <c r="A1503" s="1" t="str">
        <f t="shared" si="23"/>
        <v/>
      </c>
      <c r="B15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4" spans="1:2" x14ac:dyDescent="0.35">
      <c r="A1504" s="1" t="str">
        <f t="shared" si="23"/>
        <v/>
      </c>
      <c r="B15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5" spans="1:2" x14ac:dyDescent="0.35">
      <c r="A1505" s="1" t="str">
        <f t="shared" si="23"/>
        <v/>
      </c>
      <c r="B15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6" spans="1:2" x14ac:dyDescent="0.35">
      <c r="A1506" s="1" t="str">
        <f t="shared" si="23"/>
        <v/>
      </c>
      <c r="B15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7" spans="1:2" x14ac:dyDescent="0.35">
      <c r="A1507" s="1" t="str">
        <f t="shared" si="23"/>
        <v/>
      </c>
      <c r="B15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8" spans="1:2" x14ac:dyDescent="0.35">
      <c r="A1508" s="1" t="str">
        <f t="shared" si="23"/>
        <v/>
      </c>
      <c r="B15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9" spans="1:2" x14ac:dyDescent="0.35">
      <c r="A1509" s="1" t="str">
        <f t="shared" si="23"/>
        <v/>
      </c>
      <c r="B15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0" spans="1:2" x14ac:dyDescent="0.35">
      <c r="A1510" s="1" t="str">
        <f t="shared" si="23"/>
        <v/>
      </c>
      <c r="B15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1" spans="1:2" x14ac:dyDescent="0.35">
      <c r="A1511" s="1" t="str">
        <f t="shared" si="23"/>
        <v/>
      </c>
      <c r="B15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2" spans="1:2" x14ac:dyDescent="0.35">
      <c r="A1512" s="1" t="str">
        <f t="shared" si="23"/>
        <v/>
      </c>
      <c r="B15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3" spans="1:2" x14ac:dyDescent="0.35">
      <c r="A1513" s="1" t="str">
        <f t="shared" si="23"/>
        <v/>
      </c>
      <c r="B15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4" spans="1:2" x14ac:dyDescent="0.35">
      <c r="A1514" s="1" t="str">
        <f t="shared" si="23"/>
        <v/>
      </c>
      <c r="B15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5" spans="1:2" x14ac:dyDescent="0.35">
      <c r="A1515" s="1" t="str">
        <f t="shared" si="23"/>
        <v/>
      </c>
      <c r="B15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6" spans="1:2" x14ac:dyDescent="0.35">
      <c r="A1516" s="1" t="str">
        <f t="shared" si="23"/>
        <v/>
      </c>
      <c r="B15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7" spans="1:2" x14ac:dyDescent="0.35">
      <c r="A1517" s="1" t="str">
        <f t="shared" si="23"/>
        <v/>
      </c>
      <c r="B15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8" spans="1:2" x14ac:dyDescent="0.35">
      <c r="A1518" s="1" t="str">
        <f t="shared" si="23"/>
        <v/>
      </c>
      <c r="B15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9" spans="1:2" x14ac:dyDescent="0.35">
      <c r="A1519" s="1" t="str">
        <f t="shared" si="23"/>
        <v/>
      </c>
      <c r="B15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0" spans="1:2" x14ac:dyDescent="0.35">
      <c r="A1520" s="1" t="str">
        <f t="shared" si="23"/>
        <v/>
      </c>
      <c r="B15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1" spans="1:2" x14ac:dyDescent="0.35">
      <c r="A1521" s="1" t="str">
        <f t="shared" si="23"/>
        <v/>
      </c>
      <c r="B15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2" spans="1:2" x14ac:dyDescent="0.35">
      <c r="A1522" s="1" t="str">
        <f t="shared" si="23"/>
        <v/>
      </c>
      <c r="B15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3" spans="1:2" x14ac:dyDescent="0.35">
      <c r="A1523" s="1" t="str">
        <f t="shared" ref="A1523:A1586" si="24">IFERROR(LEFT(RIGHT(C1523,LEN(C1523)-SEARCH("@",C1523)),SEARCH("/",RIGHT(C1523,LEN(C1523)-SEARCH("@",C1523)-1))),"")</f>
        <v/>
      </c>
      <c r="B15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4" spans="1:2" x14ac:dyDescent="0.35">
      <c r="A1524" s="1" t="str">
        <f t="shared" si="24"/>
        <v/>
      </c>
      <c r="B15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5" spans="1:2" x14ac:dyDescent="0.35">
      <c r="A1525" s="1" t="str">
        <f t="shared" si="24"/>
        <v/>
      </c>
      <c r="B15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6" spans="1:2" x14ac:dyDescent="0.35">
      <c r="A1526" s="1" t="str">
        <f t="shared" si="24"/>
        <v/>
      </c>
      <c r="B15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7" spans="1:2" x14ac:dyDescent="0.35">
      <c r="A1527" s="1" t="str">
        <f t="shared" si="24"/>
        <v/>
      </c>
      <c r="B15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8" spans="1:2" x14ac:dyDescent="0.35">
      <c r="A1528" s="1" t="str">
        <f t="shared" si="24"/>
        <v/>
      </c>
      <c r="B15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9" spans="1:2" x14ac:dyDescent="0.35">
      <c r="A1529" s="1" t="str">
        <f t="shared" si="24"/>
        <v/>
      </c>
      <c r="B15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0" spans="1:2" x14ac:dyDescent="0.35">
      <c r="A1530" s="1" t="str">
        <f t="shared" si="24"/>
        <v/>
      </c>
      <c r="B15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1" spans="1:2" x14ac:dyDescent="0.35">
      <c r="A1531" s="1" t="str">
        <f t="shared" si="24"/>
        <v/>
      </c>
      <c r="B15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2" spans="1:2" x14ac:dyDescent="0.35">
      <c r="A1532" s="1" t="str">
        <f t="shared" si="24"/>
        <v/>
      </c>
      <c r="B15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3" spans="1:2" x14ac:dyDescent="0.35">
      <c r="A1533" s="1" t="str">
        <f t="shared" si="24"/>
        <v/>
      </c>
      <c r="B15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4" spans="1:2" x14ac:dyDescent="0.35">
      <c r="A1534" s="1" t="str">
        <f t="shared" si="24"/>
        <v/>
      </c>
      <c r="B15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5" spans="1:2" x14ac:dyDescent="0.35">
      <c r="A1535" s="1" t="str">
        <f t="shared" si="24"/>
        <v/>
      </c>
      <c r="B15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6" spans="1:2" x14ac:dyDescent="0.35">
      <c r="A1536" s="1" t="str">
        <f t="shared" si="24"/>
        <v/>
      </c>
      <c r="B15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7" spans="1:2" x14ac:dyDescent="0.35">
      <c r="A1537" s="1" t="str">
        <f t="shared" si="24"/>
        <v/>
      </c>
      <c r="B15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8" spans="1:2" x14ac:dyDescent="0.35">
      <c r="A1538" s="1" t="str">
        <f t="shared" si="24"/>
        <v/>
      </c>
      <c r="B15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9" spans="1:2" x14ac:dyDescent="0.35">
      <c r="A1539" s="1" t="str">
        <f t="shared" si="24"/>
        <v/>
      </c>
      <c r="B15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0" spans="1:2" x14ac:dyDescent="0.35">
      <c r="A1540" s="1" t="str">
        <f t="shared" si="24"/>
        <v/>
      </c>
      <c r="B15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1" spans="1:2" x14ac:dyDescent="0.35">
      <c r="A1541" s="1" t="str">
        <f t="shared" si="24"/>
        <v/>
      </c>
      <c r="B15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2" spans="1:2" x14ac:dyDescent="0.35">
      <c r="A1542" s="1" t="str">
        <f t="shared" si="24"/>
        <v/>
      </c>
      <c r="B15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3" spans="1:2" x14ac:dyDescent="0.35">
      <c r="A1543" s="1" t="str">
        <f t="shared" si="24"/>
        <v/>
      </c>
      <c r="B15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4" spans="1:2" x14ac:dyDescent="0.35">
      <c r="A1544" s="1" t="str">
        <f t="shared" si="24"/>
        <v/>
      </c>
      <c r="B15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5" spans="1:2" x14ac:dyDescent="0.35">
      <c r="A1545" s="1" t="str">
        <f t="shared" si="24"/>
        <v/>
      </c>
      <c r="B15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6" spans="1:2" x14ac:dyDescent="0.35">
      <c r="A1546" s="1" t="str">
        <f t="shared" si="24"/>
        <v/>
      </c>
      <c r="B15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7" spans="1:2" x14ac:dyDescent="0.35">
      <c r="A1547" s="1" t="str">
        <f t="shared" si="24"/>
        <v/>
      </c>
      <c r="B15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8" spans="1:2" x14ac:dyDescent="0.35">
      <c r="A1548" s="1" t="str">
        <f t="shared" si="24"/>
        <v/>
      </c>
      <c r="B15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9" spans="1:2" x14ac:dyDescent="0.35">
      <c r="A1549" s="1" t="str">
        <f t="shared" si="24"/>
        <v/>
      </c>
      <c r="B15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0" spans="1:2" x14ac:dyDescent="0.35">
      <c r="A1550" s="1" t="str">
        <f t="shared" si="24"/>
        <v/>
      </c>
      <c r="B15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1" spans="1:2" x14ac:dyDescent="0.35">
      <c r="A1551" s="1" t="str">
        <f t="shared" si="24"/>
        <v/>
      </c>
      <c r="B15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2" spans="1:2" x14ac:dyDescent="0.35">
      <c r="A1552" s="1" t="str">
        <f t="shared" si="24"/>
        <v/>
      </c>
      <c r="B15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3" spans="1:2" x14ac:dyDescent="0.35">
      <c r="A1553" s="1" t="str">
        <f t="shared" si="24"/>
        <v/>
      </c>
      <c r="B15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4" spans="1:2" x14ac:dyDescent="0.35">
      <c r="A1554" s="1" t="str">
        <f t="shared" si="24"/>
        <v/>
      </c>
      <c r="B15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5" spans="1:2" x14ac:dyDescent="0.35">
      <c r="A1555" s="1" t="str">
        <f t="shared" si="24"/>
        <v/>
      </c>
      <c r="B15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6" spans="1:2" x14ac:dyDescent="0.35">
      <c r="A1556" s="1" t="str">
        <f t="shared" si="24"/>
        <v/>
      </c>
      <c r="B15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7" spans="1:2" x14ac:dyDescent="0.35">
      <c r="A1557" s="1" t="str">
        <f t="shared" si="24"/>
        <v/>
      </c>
      <c r="B15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8" spans="1:2" x14ac:dyDescent="0.35">
      <c r="A1558" s="1" t="str">
        <f t="shared" si="24"/>
        <v/>
      </c>
      <c r="B15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9" spans="1:2" x14ac:dyDescent="0.35">
      <c r="A1559" s="1" t="str">
        <f t="shared" si="24"/>
        <v/>
      </c>
      <c r="B15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0" spans="1:2" x14ac:dyDescent="0.35">
      <c r="A1560" s="1" t="str">
        <f t="shared" si="24"/>
        <v/>
      </c>
      <c r="B15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1" spans="1:2" x14ac:dyDescent="0.35">
      <c r="A1561" s="1" t="str">
        <f t="shared" si="24"/>
        <v/>
      </c>
      <c r="B15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2" spans="1:2" x14ac:dyDescent="0.35">
      <c r="A1562" s="1" t="str">
        <f t="shared" si="24"/>
        <v/>
      </c>
      <c r="B15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3" spans="1:2" x14ac:dyDescent="0.35">
      <c r="A1563" s="1" t="str">
        <f t="shared" si="24"/>
        <v/>
      </c>
      <c r="B15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4" spans="1:2" x14ac:dyDescent="0.35">
      <c r="A1564" s="1" t="str">
        <f t="shared" si="24"/>
        <v/>
      </c>
      <c r="B15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5" spans="1:2" x14ac:dyDescent="0.35">
      <c r="A1565" s="1" t="str">
        <f t="shared" si="24"/>
        <v/>
      </c>
      <c r="B15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6" spans="1:2" x14ac:dyDescent="0.35">
      <c r="A1566" s="1" t="str">
        <f t="shared" si="24"/>
        <v/>
      </c>
      <c r="B15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7" spans="1:2" x14ac:dyDescent="0.35">
      <c r="A1567" s="1" t="str">
        <f t="shared" si="24"/>
        <v/>
      </c>
      <c r="B15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8" spans="1:2" x14ac:dyDescent="0.35">
      <c r="A1568" s="1" t="str">
        <f t="shared" si="24"/>
        <v/>
      </c>
      <c r="B15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9" spans="1:2" x14ac:dyDescent="0.35">
      <c r="A1569" s="1" t="str">
        <f t="shared" si="24"/>
        <v/>
      </c>
      <c r="B15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0" spans="1:2" x14ac:dyDescent="0.35">
      <c r="A1570" s="1" t="str">
        <f t="shared" si="24"/>
        <v/>
      </c>
      <c r="B15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1" spans="1:2" x14ac:dyDescent="0.35">
      <c r="A1571" s="1" t="str">
        <f t="shared" si="24"/>
        <v/>
      </c>
      <c r="B15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2" spans="1:2" x14ac:dyDescent="0.35">
      <c r="A1572" s="1" t="str">
        <f t="shared" si="24"/>
        <v/>
      </c>
      <c r="B15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3" spans="1:2" x14ac:dyDescent="0.35">
      <c r="A1573" s="1" t="str">
        <f t="shared" si="24"/>
        <v/>
      </c>
      <c r="B15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4" spans="1:2" x14ac:dyDescent="0.35">
      <c r="A1574" s="1" t="str">
        <f t="shared" si="24"/>
        <v/>
      </c>
      <c r="B15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5" spans="1:2" x14ac:dyDescent="0.35">
      <c r="A1575" s="1" t="str">
        <f t="shared" si="24"/>
        <v/>
      </c>
      <c r="B15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6" spans="1:2" x14ac:dyDescent="0.35">
      <c r="A1576" s="1" t="str">
        <f t="shared" si="24"/>
        <v/>
      </c>
      <c r="B15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7" spans="1:2" x14ac:dyDescent="0.35">
      <c r="A1577" s="1" t="str">
        <f t="shared" si="24"/>
        <v/>
      </c>
      <c r="B15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8" spans="1:2" x14ac:dyDescent="0.35">
      <c r="A1578" s="1" t="str">
        <f t="shared" si="24"/>
        <v/>
      </c>
      <c r="B15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9" spans="1:2" x14ac:dyDescent="0.35">
      <c r="A1579" s="1" t="str">
        <f t="shared" si="24"/>
        <v/>
      </c>
      <c r="B15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0" spans="1:2" x14ac:dyDescent="0.35">
      <c r="A1580" s="1" t="str">
        <f t="shared" si="24"/>
        <v/>
      </c>
      <c r="B15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1" spans="1:2" x14ac:dyDescent="0.35">
      <c r="A1581" s="1" t="str">
        <f t="shared" si="24"/>
        <v/>
      </c>
      <c r="B15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2" spans="1:2" x14ac:dyDescent="0.35">
      <c r="A1582" s="1" t="str">
        <f t="shared" si="24"/>
        <v/>
      </c>
      <c r="B15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3" spans="1:2" x14ac:dyDescent="0.35">
      <c r="A1583" s="1" t="str">
        <f t="shared" si="24"/>
        <v/>
      </c>
      <c r="B15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4" spans="1:2" x14ac:dyDescent="0.35">
      <c r="A1584" s="1" t="str">
        <f t="shared" si="24"/>
        <v/>
      </c>
      <c r="B15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5" spans="1:2" x14ac:dyDescent="0.35">
      <c r="A1585" s="1" t="str">
        <f t="shared" si="24"/>
        <v/>
      </c>
      <c r="B15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6" spans="1:2" x14ac:dyDescent="0.35">
      <c r="A1586" s="1" t="str">
        <f t="shared" si="24"/>
        <v/>
      </c>
      <c r="B15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7" spans="1:2" x14ac:dyDescent="0.35">
      <c r="A1587" s="1" t="str">
        <f t="shared" ref="A1587:A1650" si="25">IFERROR(LEFT(RIGHT(C1587,LEN(C1587)-SEARCH("@",C1587)),SEARCH("/",RIGHT(C1587,LEN(C1587)-SEARCH("@",C1587)-1))),"")</f>
        <v/>
      </c>
      <c r="B15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8" spans="1:2" x14ac:dyDescent="0.35">
      <c r="A1588" s="1" t="str">
        <f t="shared" si="25"/>
        <v/>
      </c>
      <c r="B15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9" spans="1:2" x14ac:dyDescent="0.35">
      <c r="A1589" s="1" t="str">
        <f t="shared" si="25"/>
        <v/>
      </c>
      <c r="B15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0" spans="1:2" x14ac:dyDescent="0.35">
      <c r="A1590" s="1" t="str">
        <f t="shared" si="25"/>
        <v/>
      </c>
      <c r="B15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1" spans="1:2" x14ac:dyDescent="0.35">
      <c r="A1591" s="1" t="str">
        <f t="shared" si="25"/>
        <v/>
      </c>
      <c r="B15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2" spans="1:2" x14ac:dyDescent="0.35">
      <c r="A1592" s="1" t="str">
        <f t="shared" si="25"/>
        <v/>
      </c>
      <c r="B15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3" spans="1:2" x14ac:dyDescent="0.35">
      <c r="A1593" s="1" t="str">
        <f t="shared" si="25"/>
        <v/>
      </c>
      <c r="B15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4" spans="1:2" x14ac:dyDescent="0.35">
      <c r="A1594" s="1" t="str">
        <f t="shared" si="25"/>
        <v/>
      </c>
      <c r="B15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5" spans="1:2" x14ac:dyDescent="0.35">
      <c r="A1595" s="1" t="str">
        <f t="shared" si="25"/>
        <v/>
      </c>
      <c r="B15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6" spans="1:2" x14ac:dyDescent="0.35">
      <c r="A1596" s="1" t="str">
        <f t="shared" si="25"/>
        <v/>
      </c>
      <c r="B15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7" spans="1:2" x14ac:dyDescent="0.35">
      <c r="A1597" s="1" t="str">
        <f t="shared" si="25"/>
        <v/>
      </c>
      <c r="B15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8" spans="1:2" x14ac:dyDescent="0.35">
      <c r="A1598" s="1" t="str">
        <f t="shared" si="25"/>
        <v/>
      </c>
      <c r="B15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9" spans="1:2" x14ac:dyDescent="0.35">
      <c r="A1599" s="1" t="str">
        <f t="shared" si="25"/>
        <v/>
      </c>
      <c r="B15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0" spans="1:2" x14ac:dyDescent="0.35">
      <c r="A1600" s="1" t="str">
        <f t="shared" si="25"/>
        <v/>
      </c>
      <c r="B16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1" spans="1:2" x14ac:dyDescent="0.35">
      <c r="A1601" s="1" t="str">
        <f t="shared" si="25"/>
        <v/>
      </c>
      <c r="B16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2" spans="1:2" x14ac:dyDescent="0.35">
      <c r="A1602" s="1" t="str">
        <f t="shared" si="25"/>
        <v/>
      </c>
      <c r="B16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3" spans="1:2" x14ac:dyDescent="0.35">
      <c r="A1603" s="1" t="str">
        <f t="shared" si="25"/>
        <v/>
      </c>
      <c r="B16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4" spans="1:2" x14ac:dyDescent="0.35">
      <c r="A1604" s="1" t="str">
        <f t="shared" si="25"/>
        <v/>
      </c>
      <c r="B16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5" spans="1:2" x14ac:dyDescent="0.35">
      <c r="A1605" s="1" t="str">
        <f t="shared" si="25"/>
        <v/>
      </c>
      <c r="B16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6" spans="1:2" x14ac:dyDescent="0.35">
      <c r="A1606" s="1" t="str">
        <f t="shared" si="25"/>
        <v/>
      </c>
      <c r="B16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7" spans="1:2" x14ac:dyDescent="0.35">
      <c r="A1607" s="1" t="str">
        <f t="shared" si="25"/>
        <v/>
      </c>
      <c r="B16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8" spans="1:2" x14ac:dyDescent="0.35">
      <c r="A1608" s="1" t="str">
        <f t="shared" si="25"/>
        <v/>
      </c>
      <c r="B16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9" spans="1:2" x14ac:dyDescent="0.35">
      <c r="A1609" s="1" t="str">
        <f t="shared" si="25"/>
        <v/>
      </c>
      <c r="B16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0" spans="1:2" x14ac:dyDescent="0.35">
      <c r="A1610" s="1" t="str">
        <f t="shared" si="25"/>
        <v/>
      </c>
      <c r="B16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1" spans="1:2" x14ac:dyDescent="0.35">
      <c r="A1611" s="1" t="str">
        <f t="shared" si="25"/>
        <v/>
      </c>
      <c r="B16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2" spans="1:2" x14ac:dyDescent="0.35">
      <c r="A1612" s="1" t="str">
        <f t="shared" si="25"/>
        <v/>
      </c>
      <c r="B16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3" spans="1:2" x14ac:dyDescent="0.35">
      <c r="A1613" s="1" t="str">
        <f t="shared" si="25"/>
        <v/>
      </c>
      <c r="B16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4" spans="1:2" x14ac:dyDescent="0.35">
      <c r="A1614" s="1" t="str">
        <f t="shared" si="25"/>
        <v/>
      </c>
      <c r="B16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5" spans="1:2" x14ac:dyDescent="0.35">
      <c r="A1615" s="1" t="str">
        <f t="shared" si="25"/>
        <v/>
      </c>
      <c r="B16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6" spans="1:2" x14ac:dyDescent="0.35">
      <c r="A1616" s="1" t="str">
        <f t="shared" si="25"/>
        <v/>
      </c>
      <c r="B16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7" spans="1:2" x14ac:dyDescent="0.35">
      <c r="A1617" s="1" t="str">
        <f t="shared" si="25"/>
        <v/>
      </c>
      <c r="B16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8" spans="1:2" x14ac:dyDescent="0.35">
      <c r="A1618" s="1" t="str">
        <f t="shared" si="25"/>
        <v/>
      </c>
      <c r="B16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9" spans="1:2" x14ac:dyDescent="0.35">
      <c r="A1619" s="1" t="str">
        <f t="shared" si="25"/>
        <v/>
      </c>
      <c r="B16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0" spans="1:2" x14ac:dyDescent="0.35">
      <c r="A1620" s="1" t="str">
        <f t="shared" si="25"/>
        <v/>
      </c>
      <c r="B16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1" spans="1:2" x14ac:dyDescent="0.35">
      <c r="A1621" s="1" t="str">
        <f t="shared" si="25"/>
        <v/>
      </c>
      <c r="B16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2" spans="1:2" x14ac:dyDescent="0.35">
      <c r="A1622" s="1" t="str">
        <f t="shared" si="25"/>
        <v/>
      </c>
      <c r="B16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3" spans="1:2" x14ac:dyDescent="0.35">
      <c r="A1623" s="1" t="str">
        <f t="shared" si="25"/>
        <v/>
      </c>
      <c r="B16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4" spans="1:2" x14ac:dyDescent="0.35">
      <c r="A1624" s="1" t="str">
        <f t="shared" si="25"/>
        <v/>
      </c>
      <c r="B16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5" spans="1:2" x14ac:dyDescent="0.35">
      <c r="A1625" s="1" t="str">
        <f t="shared" si="25"/>
        <v/>
      </c>
      <c r="B16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6" spans="1:2" x14ac:dyDescent="0.35">
      <c r="A1626" s="1" t="str">
        <f t="shared" si="25"/>
        <v/>
      </c>
      <c r="B16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7" spans="1:2" x14ac:dyDescent="0.35">
      <c r="A1627" s="1" t="str">
        <f t="shared" si="25"/>
        <v/>
      </c>
      <c r="B16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8" spans="1:2" x14ac:dyDescent="0.35">
      <c r="A1628" s="1" t="str">
        <f t="shared" si="25"/>
        <v/>
      </c>
      <c r="B16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9" spans="1:2" x14ac:dyDescent="0.35">
      <c r="A1629" s="1" t="str">
        <f t="shared" si="25"/>
        <v/>
      </c>
      <c r="B16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0" spans="1:2" x14ac:dyDescent="0.35">
      <c r="A1630" s="1" t="str">
        <f t="shared" si="25"/>
        <v/>
      </c>
      <c r="B16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1" spans="1:2" x14ac:dyDescent="0.35">
      <c r="A1631" s="1" t="str">
        <f t="shared" si="25"/>
        <v/>
      </c>
      <c r="B16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2" spans="1:2" x14ac:dyDescent="0.35">
      <c r="A1632" s="1" t="str">
        <f t="shared" si="25"/>
        <v/>
      </c>
      <c r="B16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3" spans="1:2" x14ac:dyDescent="0.35">
      <c r="A1633" s="1" t="str">
        <f t="shared" si="25"/>
        <v/>
      </c>
      <c r="B16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4" spans="1:2" x14ac:dyDescent="0.35">
      <c r="A1634" s="1" t="str">
        <f t="shared" si="25"/>
        <v/>
      </c>
      <c r="B16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5" spans="1:2" x14ac:dyDescent="0.35">
      <c r="A1635" s="1" t="str">
        <f t="shared" si="25"/>
        <v/>
      </c>
      <c r="B16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6" spans="1:2" x14ac:dyDescent="0.35">
      <c r="A1636" s="1" t="str">
        <f t="shared" si="25"/>
        <v/>
      </c>
      <c r="B16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7" spans="1:2" x14ac:dyDescent="0.35">
      <c r="A1637" s="1" t="str">
        <f t="shared" si="25"/>
        <v/>
      </c>
      <c r="B16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8" spans="1:2" x14ac:dyDescent="0.35">
      <c r="A1638" s="1" t="str">
        <f t="shared" si="25"/>
        <v/>
      </c>
      <c r="B16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9" spans="1:2" x14ac:dyDescent="0.35">
      <c r="A1639" s="1" t="str">
        <f t="shared" si="25"/>
        <v/>
      </c>
      <c r="B16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0" spans="1:2" x14ac:dyDescent="0.35">
      <c r="A1640" s="1" t="str">
        <f t="shared" si="25"/>
        <v/>
      </c>
      <c r="B16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1" spans="1:2" x14ac:dyDescent="0.35">
      <c r="A1641" s="1" t="str">
        <f t="shared" si="25"/>
        <v/>
      </c>
      <c r="B16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2" spans="1:2" x14ac:dyDescent="0.35">
      <c r="A1642" s="1" t="str">
        <f t="shared" si="25"/>
        <v/>
      </c>
      <c r="B16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3" spans="1:2" x14ac:dyDescent="0.35">
      <c r="A1643" s="1" t="str">
        <f t="shared" si="25"/>
        <v/>
      </c>
      <c r="B16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4" spans="1:2" x14ac:dyDescent="0.35">
      <c r="A1644" s="1" t="str">
        <f t="shared" si="25"/>
        <v/>
      </c>
      <c r="B16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5" spans="1:2" x14ac:dyDescent="0.35">
      <c r="A1645" s="1" t="str">
        <f t="shared" si="25"/>
        <v/>
      </c>
      <c r="B16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6" spans="1:2" x14ac:dyDescent="0.35">
      <c r="A1646" s="1" t="str">
        <f t="shared" si="25"/>
        <v/>
      </c>
      <c r="B16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7" spans="1:2" x14ac:dyDescent="0.35">
      <c r="A1647" s="1" t="str">
        <f t="shared" si="25"/>
        <v/>
      </c>
      <c r="B16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8" spans="1:2" x14ac:dyDescent="0.35">
      <c r="A1648" s="1" t="str">
        <f t="shared" si="25"/>
        <v/>
      </c>
      <c r="B16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9" spans="1:2" x14ac:dyDescent="0.35">
      <c r="A1649" s="1" t="str">
        <f t="shared" si="25"/>
        <v/>
      </c>
      <c r="B16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0" spans="1:2" x14ac:dyDescent="0.35">
      <c r="A1650" s="1" t="str">
        <f t="shared" si="25"/>
        <v/>
      </c>
      <c r="B16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1" spans="1:2" x14ac:dyDescent="0.35">
      <c r="A1651" s="1" t="str">
        <f t="shared" ref="A1651:A1711" si="26">IFERROR(LEFT(RIGHT(C1651,LEN(C1651)-SEARCH("@",C1651)),SEARCH("/",RIGHT(C1651,LEN(C1651)-SEARCH("@",C1651)-1))),"")</f>
        <v/>
      </c>
      <c r="B16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2" spans="1:2" x14ac:dyDescent="0.35">
      <c r="A1652" s="1" t="str">
        <f t="shared" si="26"/>
        <v/>
      </c>
      <c r="B16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3" spans="1:2" x14ac:dyDescent="0.35">
      <c r="A1653" s="1" t="str">
        <f t="shared" si="26"/>
        <v/>
      </c>
      <c r="B16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4" spans="1:2" x14ac:dyDescent="0.35">
      <c r="A1654" s="1" t="str">
        <f t="shared" si="26"/>
        <v/>
      </c>
      <c r="B16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5" spans="1:2" x14ac:dyDescent="0.35">
      <c r="A1655" s="1" t="str">
        <f t="shared" si="26"/>
        <v/>
      </c>
      <c r="B16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6" spans="1:2" x14ac:dyDescent="0.35">
      <c r="A1656" s="1" t="str">
        <f t="shared" si="26"/>
        <v/>
      </c>
      <c r="B16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7" spans="1:2" x14ac:dyDescent="0.35">
      <c r="A1657" s="1" t="str">
        <f t="shared" si="26"/>
        <v/>
      </c>
      <c r="B16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8" spans="1:2" x14ac:dyDescent="0.35">
      <c r="A1658" s="1" t="str">
        <f t="shared" si="26"/>
        <v/>
      </c>
      <c r="B16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9" spans="1:2" x14ac:dyDescent="0.35">
      <c r="A1659" s="1" t="str">
        <f t="shared" si="26"/>
        <v/>
      </c>
      <c r="B16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0" spans="1:2" x14ac:dyDescent="0.35">
      <c r="A1660" s="1" t="str">
        <f t="shared" si="26"/>
        <v/>
      </c>
      <c r="B16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1" spans="1:2" x14ac:dyDescent="0.35">
      <c r="A1661" s="1" t="str">
        <f t="shared" si="26"/>
        <v/>
      </c>
      <c r="B16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2" spans="1:2" x14ac:dyDescent="0.35">
      <c r="A1662" s="1" t="str">
        <f t="shared" si="26"/>
        <v/>
      </c>
      <c r="B16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3" spans="1:2" x14ac:dyDescent="0.35">
      <c r="A1663" s="1" t="str">
        <f t="shared" si="26"/>
        <v/>
      </c>
      <c r="B16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4" spans="1:2" x14ac:dyDescent="0.35">
      <c r="A1664" s="1" t="str">
        <f t="shared" si="26"/>
        <v/>
      </c>
      <c r="B16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5" spans="1:2" x14ac:dyDescent="0.35">
      <c r="A1665" s="1" t="str">
        <f t="shared" si="26"/>
        <v/>
      </c>
      <c r="B16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6" spans="1:2" x14ac:dyDescent="0.35">
      <c r="A1666" s="1" t="str">
        <f t="shared" si="26"/>
        <v/>
      </c>
      <c r="B16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7" spans="1:2" x14ac:dyDescent="0.35">
      <c r="A1667" s="1" t="str">
        <f t="shared" si="26"/>
        <v/>
      </c>
      <c r="B16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8" spans="1:2" x14ac:dyDescent="0.35">
      <c r="A1668" s="1" t="str">
        <f t="shared" si="26"/>
        <v/>
      </c>
      <c r="B16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9" spans="1:2" x14ac:dyDescent="0.35">
      <c r="A1669" s="1" t="str">
        <f t="shared" si="26"/>
        <v/>
      </c>
      <c r="B16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0" spans="1:2" x14ac:dyDescent="0.35">
      <c r="A1670" s="1" t="str">
        <f t="shared" si="26"/>
        <v/>
      </c>
      <c r="B16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1" spans="1:2" x14ac:dyDescent="0.35">
      <c r="A1671" s="1" t="str">
        <f t="shared" si="26"/>
        <v/>
      </c>
      <c r="B16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2" spans="1:2" x14ac:dyDescent="0.35">
      <c r="A1672" s="1" t="str">
        <f t="shared" si="26"/>
        <v/>
      </c>
      <c r="B16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3" spans="1:2" x14ac:dyDescent="0.35">
      <c r="A1673" s="1" t="str">
        <f t="shared" si="26"/>
        <v/>
      </c>
      <c r="B16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4" spans="1:2" x14ac:dyDescent="0.35">
      <c r="A1674" s="1" t="str">
        <f t="shared" si="26"/>
        <v/>
      </c>
      <c r="B16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5" spans="1:2" x14ac:dyDescent="0.35">
      <c r="A1675" s="1" t="str">
        <f t="shared" si="26"/>
        <v/>
      </c>
      <c r="B16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6" spans="1:2" x14ac:dyDescent="0.35">
      <c r="A1676" s="1" t="str">
        <f t="shared" si="26"/>
        <v/>
      </c>
      <c r="B16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7" spans="1:2" x14ac:dyDescent="0.35">
      <c r="A1677" s="1" t="str">
        <f t="shared" si="26"/>
        <v/>
      </c>
      <c r="B16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8" spans="1:2" x14ac:dyDescent="0.35">
      <c r="A1678" s="1" t="str">
        <f t="shared" si="26"/>
        <v/>
      </c>
      <c r="B16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9" spans="1:2" x14ac:dyDescent="0.35">
      <c r="A1679" s="1" t="str">
        <f t="shared" si="26"/>
        <v/>
      </c>
      <c r="B16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0" spans="1:2" x14ac:dyDescent="0.35">
      <c r="A1680" s="1" t="str">
        <f t="shared" si="26"/>
        <v/>
      </c>
      <c r="B16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1" spans="1:2" x14ac:dyDescent="0.35">
      <c r="A1681" s="1" t="str">
        <f t="shared" si="26"/>
        <v/>
      </c>
      <c r="B16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2" spans="1:2" x14ac:dyDescent="0.35">
      <c r="A1682" s="1" t="str">
        <f t="shared" si="26"/>
        <v/>
      </c>
      <c r="B16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3" spans="1:2" x14ac:dyDescent="0.35">
      <c r="A1683" s="1" t="str">
        <f t="shared" si="26"/>
        <v/>
      </c>
      <c r="B16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4" spans="1:2" x14ac:dyDescent="0.35">
      <c r="A1684" s="1" t="str">
        <f t="shared" si="26"/>
        <v/>
      </c>
      <c r="B16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5" spans="1:2" x14ac:dyDescent="0.35">
      <c r="A1685" s="1" t="str">
        <f t="shared" si="26"/>
        <v/>
      </c>
      <c r="B16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6" spans="1:2" x14ac:dyDescent="0.35">
      <c r="A1686" s="1" t="str">
        <f t="shared" si="26"/>
        <v/>
      </c>
      <c r="B16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7" spans="1:2" x14ac:dyDescent="0.35">
      <c r="A1687" s="1" t="str">
        <f t="shared" si="26"/>
        <v/>
      </c>
      <c r="B16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8" spans="1:2" x14ac:dyDescent="0.35">
      <c r="A1688" s="1" t="str">
        <f t="shared" si="26"/>
        <v/>
      </c>
      <c r="B16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9" spans="1:2" x14ac:dyDescent="0.35">
      <c r="A1689" s="1" t="str">
        <f t="shared" si="26"/>
        <v/>
      </c>
      <c r="B16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0" spans="1:2" x14ac:dyDescent="0.35">
      <c r="A1690" s="1" t="str">
        <f t="shared" si="26"/>
        <v/>
      </c>
      <c r="B16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1" spans="1:2" x14ac:dyDescent="0.35">
      <c r="A1691" s="1" t="str">
        <f t="shared" si="26"/>
        <v/>
      </c>
      <c r="B16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2" spans="1:2" x14ac:dyDescent="0.35">
      <c r="A1692" s="1" t="str">
        <f t="shared" si="26"/>
        <v/>
      </c>
      <c r="B16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3" spans="1:2" x14ac:dyDescent="0.35">
      <c r="A1693" s="1" t="str">
        <f t="shared" si="26"/>
        <v/>
      </c>
      <c r="B16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4" spans="1:2" x14ac:dyDescent="0.35">
      <c r="A1694" s="1" t="str">
        <f t="shared" si="26"/>
        <v/>
      </c>
      <c r="B16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5" spans="1:2" x14ac:dyDescent="0.35">
      <c r="A1695" s="1" t="str">
        <f t="shared" si="26"/>
        <v/>
      </c>
      <c r="B16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6" spans="1:2" x14ac:dyDescent="0.35">
      <c r="A1696" s="1" t="str">
        <f t="shared" si="26"/>
        <v/>
      </c>
      <c r="B16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7" spans="1:2" x14ac:dyDescent="0.35">
      <c r="A1697" s="1" t="str">
        <f t="shared" si="26"/>
        <v/>
      </c>
      <c r="B16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8" spans="1:2" x14ac:dyDescent="0.35">
      <c r="A1698" s="1" t="str">
        <f t="shared" si="26"/>
        <v/>
      </c>
      <c r="B16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9" spans="1:2" x14ac:dyDescent="0.35">
      <c r="A1699" s="1" t="str">
        <f t="shared" si="26"/>
        <v/>
      </c>
      <c r="B16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0" spans="1:2" x14ac:dyDescent="0.35">
      <c r="A1700" s="1" t="str">
        <f t="shared" si="26"/>
        <v/>
      </c>
      <c r="B17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1" spans="1:2" x14ac:dyDescent="0.35">
      <c r="A1701" s="1" t="str">
        <f t="shared" si="26"/>
        <v/>
      </c>
      <c r="B17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2" spans="1:2" x14ac:dyDescent="0.35">
      <c r="A1702" s="1" t="str">
        <f t="shared" si="26"/>
        <v/>
      </c>
      <c r="B17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3" spans="1:2" x14ac:dyDescent="0.35">
      <c r="A1703" s="1" t="str">
        <f t="shared" si="26"/>
        <v/>
      </c>
      <c r="B17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4" spans="1:2" x14ac:dyDescent="0.35">
      <c r="A1704" s="1" t="str">
        <f t="shared" si="26"/>
        <v/>
      </c>
      <c r="B17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5" spans="1:2" x14ac:dyDescent="0.35">
      <c r="A1705" s="1" t="str">
        <f t="shared" si="26"/>
        <v/>
      </c>
      <c r="B17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6" spans="1:2" x14ac:dyDescent="0.35">
      <c r="A1706" s="1" t="str">
        <f t="shared" si="26"/>
        <v/>
      </c>
      <c r="B17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7" spans="1:2" x14ac:dyDescent="0.35">
      <c r="A1707" s="1" t="str">
        <f t="shared" si="26"/>
        <v/>
      </c>
      <c r="B17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8" spans="1:2" x14ac:dyDescent="0.35">
      <c r="A1708" s="1" t="str">
        <f t="shared" si="26"/>
        <v/>
      </c>
      <c r="B17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9" spans="1:2" x14ac:dyDescent="0.35">
      <c r="A1709" s="1" t="str">
        <f t="shared" si="26"/>
        <v/>
      </c>
      <c r="B17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10" spans="1:2" x14ac:dyDescent="0.35">
      <c r="A1710" s="1" t="str">
        <f t="shared" si="26"/>
        <v/>
      </c>
      <c r="B17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11" spans="1:2" x14ac:dyDescent="0.35">
      <c r="A1711" s="1" t="str">
        <f t="shared" si="26"/>
        <v/>
      </c>
      <c r="B17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sheetData>
  <conditionalFormatting sqref="A11:K11 M11:XFD11 A1:J10 EO1:XFD10 A12:XFD13 M14:XFD18 K1:L4 A14:J18 K5 A19:XFD1048576">
    <cfRule type="containsText" dxfId="24" priority="1" operator="containsText" text="ERREUR">
      <formula>NOT(ISERROR(SEARCH("ERREUR",A1)))</formula>
    </cfRule>
    <cfRule type="containsText" dxfId="23" priority="2" operator="containsText" text="OK">
      <formula>NOT(ISERROR(SEARCH("OK",A1)))</formula>
    </cfRule>
  </conditionalFormatting>
  <pageMargins left="0.7" right="0.7" top="0.75" bottom="0.75" header="0.3" footer="0.3"/>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V74"/>
  <sheetViews>
    <sheetView showGridLines="0" topLeftCell="F4" zoomScale="70" zoomScaleNormal="70" zoomScaleSheetLayoutView="40" zoomScalePageLayoutView="30" workbookViewId="0">
      <selection activeCell="J18" sqref="J18"/>
    </sheetView>
  </sheetViews>
  <sheetFormatPr baseColWidth="10" defaultColWidth="9.1796875" defaultRowHeight="14.5" x14ac:dyDescent="0.35"/>
  <cols>
    <col min="1" max="1" width="33.54296875" style="1" customWidth="1"/>
    <col min="2" max="2" width="14.81640625" style="1" customWidth="1"/>
    <col min="3" max="5" width="25.81640625" style="1" bestFit="1" customWidth="1"/>
    <col min="6" max="8" width="26.453125" style="1" bestFit="1" customWidth="1"/>
    <col min="9" max="9" width="26.453125" style="1" customWidth="1"/>
    <col min="10" max="10" width="25.81640625" style="1" bestFit="1" customWidth="1"/>
    <col min="11" max="11" width="26.453125" style="1" bestFit="1" customWidth="1"/>
    <col min="12" max="13" width="26.453125" style="1" customWidth="1"/>
    <col min="14" max="14" width="11.7265625" style="1" customWidth="1"/>
    <col min="15" max="15" width="14.81640625" style="1" customWidth="1"/>
    <col min="16" max="16" width="17.7265625" style="1" customWidth="1"/>
    <col min="17" max="18" width="25.81640625" style="1" bestFit="1" customWidth="1"/>
    <col min="19" max="22" width="25.81640625" style="1" customWidth="1"/>
    <col min="23" max="16384" width="9.1796875" style="1"/>
  </cols>
  <sheetData>
    <row r="1" spans="1:22" ht="26.5" thickBot="1" x14ac:dyDescent="0.65">
      <c r="A1" s="213" t="s">
        <v>43</v>
      </c>
      <c r="B1" s="214"/>
      <c r="C1" s="214"/>
      <c r="D1" s="214"/>
      <c r="E1" s="214"/>
      <c r="F1" s="214"/>
      <c r="G1" s="214"/>
      <c r="H1" s="214"/>
      <c r="I1" s="214"/>
      <c r="J1" s="214"/>
      <c r="K1" s="214"/>
      <c r="L1" s="214"/>
      <c r="M1" s="214"/>
      <c r="N1" s="214"/>
      <c r="O1" s="214"/>
      <c r="P1" s="214"/>
      <c r="Q1" s="214"/>
      <c r="R1" s="214"/>
      <c r="S1" s="214"/>
      <c r="T1" s="214"/>
      <c r="U1" s="214"/>
      <c r="V1" s="214"/>
    </row>
    <row r="2" spans="1:22" ht="15" thickBot="1" x14ac:dyDescent="0.4"/>
    <row r="3" spans="1:22" ht="15" thickBot="1" x14ac:dyDescent="0.4">
      <c r="A3" s="153" t="s">
        <v>22</v>
      </c>
      <c r="B3" s="221" t="s">
        <v>6</v>
      </c>
      <c r="C3" s="222"/>
      <c r="D3" s="222"/>
      <c r="E3" s="222"/>
      <c r="F3" s="222"/>
      <c r="G3" s="222"/>
      <c r="H3" s="222"/>
      <c r="I3" s="222"/>
      <c r="J3" s="222"/>
      <c r="K3" s="222"/>
      <c r="L3" s="222"/>
      <c r="M3" s="222"/>
      <c r="O3" s="221" t="s">
        <v>3</v>
      </c>
      <c r="P3" s="222"/>
      <c r="Q3" s="222"/>
      <c r="R3" s="222"/>
      <c r="S3" s="222"/>
      <c r="T3" s="222"/>
      <c r="U3" s="222"/>
      <c r="V3" s="222"/>
    </row>
    <row r="4" spans="1:22" x14ac:dyDescent="0.35">
      <c r="A4" s="34" t="s">
        <v>41</v>
      </c>
      <c r="B4" s="35" t="str">
        <f>'Page de garde'!A7</f>
        <v>Témoin solvant</v>
      </c>
      <c r="C4" s="35" t="str">
        <f>'Page de garde'!A9</f>
        <v>EE2-33,8ng/L</v>
      </c>
      <c r="D4" s="35" t="str">
        <f>'Page de garde'!A10</f>
        <v>EE2-50,6ng/L</v>
      </c>
      <c r="E4" s="35" t="str">
        <f>'Page de garde'!A11</f>
        <v>EE2-76ng/L</v>
      </c>
      <c r="F4" s="35" t="str">
        <f>'Page de garde'!A12</f>
        <v>EE2-114ng/L</v>
      </c>
      <c r="G4" s="35" t="str">
        <f>'Page de garde'!A13</f>
        <v>EE2-170,9ng/L</v>
      </c>
      <c r="H4" s="35" t="str">
        <f>'Page de garde'!A14</f>
        <v>EE2-488ng/L</v>
      </c>
      <c r="I4" s="35" t="str">
        <f>'Page de garde'!A15</f>
        <v>Dutasteride-0,01mg/L</v>
      </c>
      <c r="J4" s="35" t="str">
        <f>'Page de garde'!A16</f>
        <v>Dutasteride-0,1mg/L</v>
      </c>
      <c r="K4" s="35" t="str">
        <f>'Page de garde'!A17</f>
        <v>Dutasteride-0,25mg/L</v>
      </c>
      <c r="L4" s="35" t="str">
        <f>'Page de garde'!A18</f>
        <v>Dutasteride-0,5mg/L</v>
      </c>
      <c r="M4" s="35" t="str">
        <f>'Page de garde'!A19</f>
        <v>Dutasteride-1mg/L</v>
      </c>
      <c r="N4" s="3"/>
      <c r="O4" s="36" t="str">
        <f>'Page de garde'!A36</f>
        <v>Testo -30µg/L</v>
      </c>
      <c r="P4" s="36" t="str">
        <f>'Page de garde'!A37</f>
        <v>Testo 30µg/L + EE2 -64ng/L</v>
      </c>
      <c r="Q4" s="36" t="str">
        <f>'Page de garde'!A38</f>
        <v>Testo 30µg/L + FAD-10µg/L</v>
      </c>
      <c r="R4" s="36" t="str">
        <f>'Page de garde'!A39</f>
        <v>Dutasteride-0,01mg/L + Testostérone</v>
      </c>
      <c r="S4" s="36" t="str">
        <f>'Page de garde'!A40</f>
        <v>Dutasteride-0,1mg/L + Testostérone</v>
      </c>
      <c r="T4" s="36" t="str">
        <f>'Page de garde'!A41</f>
        <v>Dutasteride-0,25mg/L + Testostérone</v>
      </c>
      <c r="U4" s="36" t="str">
        <f>'Page de garde'!A42</f>
        <v>Dutasteride-0,5mg/L + Testostérone</v>
      </c>
      <c r="V4" s="36" t="str">
        <f>'Page de garde'!A43</f>
        <v>Dutasteride-1mg/L + Testostérone</v>
      </c>
    </row>
    <row r="5" spans="1:22" x14ac:dyDescent="0.35">
      <c r="A5" s="223" t="s">
        <v>33</v>
      </c>
      <c r="B5" s="1">
        <v>379230</v>
      </c>
      <c r="C5" s="1">
        <v>407312</v>
      </c>
      <c r="D5" s="1">
        <v>403931</v>
      </c>
      <c r="E5" s="1">
        <v>2437265</v>
      </c>
      <c r="F5" s="1">
        <v>3304765</v>
      </c>
      <c r="G5" s="1">
        <v>6324815</v>
      </c>
      <c r="H5" s="1">
        <v>12027142</v>
      </c>
      <c r="I5" s="1">
        <v>315819</v>
      </c>
      <c r="J5" s="1">
        <v>164710</v>
      </c>
      <c r="K5" s="1">
        <v>899143</v>
      </c>
      <c r="L5" s="1">
        <v>383444</v>
      </c>
      <c r="M5" s="1">
        <v>197346</v>
      </c>
      <c r="N5" s="3"/>
      <c r="O5" s="1">
        <v>528907</v>
      </c>
      <c r="P5" s="1">
        <v>7584565</v>
      </c>
      <c r="Q5" s="1">
        <v>550104</v>
      </c>
      <c r="R5" s="1">
        <v>689750</v>
      </c>
      <c r="S5" s="1">
        <v>2760281</v>
      </c>
      <c r="T5" s="1">
        <v>3864472</v>
      </c>
      <c r="U5" s="1">
        <v>4682473</v>
      </c>
      <c r="V5" s="1">
        <v>4299547</v>
      </c>
    </row>
    <row r="6" spans="1:22" x14ac:dyDescent="0.35">
      <c r="A6" s="223"/>
      <c r="B6" s="1">
        <v>246102</v>
      </c>
      <c r="C6" s="1">
        <v>207513</v>
      </c>
      <c r="D6" s="1">
        <v>616657</v>
      </c>
      <c r="E6" s="1">
        <v>1270811</v>
      </c>
      <c r="F6" s="1">
        <v>11720176</v>
      </c>
      <c r="G6" s="1">
        <v>8511274</v>
      </c>
      <c r="H6" s="1">
        <v>9592207</v>
      </c>
      <c r="I6" s="1">
        <v>448540</v>
      </c>
      <c r="J6" s="1">
        <v>368811</v>
      </c>
      <c r="K6" s="1">
        <v>107107</v>
      </c>
      <c r="L6" s="1">
        <v>303688</v>
      </c>
      <c r="M6" s="1">
        <v>23842</v>
      </c>
      <c r="N6" s="3"/>
      <c r="O6" s="1">
        <v>2121571</v>
      </c>
      <c r="P6" s="1">
        <v>12193634</v>
      </c>
      <c r="Q6" s="1">
        <v>527925</v>
      </c>
      <c r="R6" s="1">
        <v>8036915</v>
      </c>
      <c r="S6" s="1">
        <v>319090</v>
      </c>
      <c r="T6" s="1">
        <v>13252279</v>
      </c>
      <c r="U6" s="1">
        <v>4695665</v>
      </c>
      <c r="V6" s="1">
        <v>4585697</v>
      </c>
    </row>
    <row r="7" spans="1:22" x14ac:dyDescent="0.35">
      <c r="A7" s="223"/>
      <c r="B7" s="1">
        <v>86477</v>
      </c>
      <c r="C7" s="1">
        <v>126071</v>
      </c>
      <c r="D7" s="1">
        <v>278310</v>
      </c>
      <c r="E7" s="1">
        <v>3376839</v>
      </c>
      <c r="F7" s="1">
        <v>4376376</v>
      </c>
      <c r="G7" s="1">
        <v>3956066</v>
      </c>
      <c r="H7" s="1">
        <v>8139910</v>
      </c>
      <c r="I7" s="1">
        <v>522029</v>
      </c>
      <c r="J7" s="1">
        <v>788201</v>
      </c>
      <c r="K7" s="1">
        <v>170779</v>
      </c>
      <c r="L7" s="1">
        <v>438937</v>
      </c>
      <c r="M7" s="1">
        <v>271878</v>
      </c>
      <c r="N7" s="3"/>
      <c r="O7" s="1">
        <v>5612478</v>
      </c>
      <c r="P7" s="1">
        <v>5009668</v>
      </c>
      <c r="Q7" s="1">
        <v>331085</v>
      </c>
      <c r="R7" s="1">
        <v>625751</v>
      </c>
      <c r="S7" s="1">
        <v>2682125</v>
      </c>
      <c r="T7" s="1">
        <v>852865</v>
      </c>
      <c r="U7" s="1">
        <v>2393281</v>
      </c>
      <c r="V7" s="1">
        <v>4561299</v>
      </c>
    </row>
    <row r="8" spans="1:22" x14ac:dyDescent="0.35">
      <c r="A8" s="223"/>
      <c r="B8" s="1">
        <v>336250</v>
      </c>
      <c r="C8" s="1">
        <v>834144</v>
      </c>
      <c r="D8" s="1">
        <v>144649</v>
      </c>
      <c r="E8" s="1">
        <v>4367612</v>
      </c>
      <c r="F8" s="1">
        <v>4839595</v>
      </c>
      <c r="G8" s="1">
        <v>8406520</v>
      </c>
      <c r="H8" s="1">
        <v>15268886</v>
      </c>
      <c r="I8" s="1">
        <v>625964</v>
      </c>
      <c r="J8" s="1">
        <v>63773</v>
      </c>
      <c r="K8" s="1">
        <v>303705</v>
      </c>
      <c r="L8" s="1">
        <v>1016797</v>
      </c>
      <c r="M8" s="1">
        <v>276551</v>
      </c>
      <c r="N8" s="3"/>
      <c r="O8" s="1">
        <v>1452874</v>
      </c>
      <c r="P8" s="1">
        <v>9801256</v>
      </c>
      <c r="Q8" s="1">
        <v>475716</v>
      </c>
      <c r="R8" s="1">
        <v>2211712</v>
      </c>
      <c r="S8" s="1">
        <v>6436183</v>
      </c>
      <c r="T8" s="1">
        <v>534867</v>
      </c>
      <c r="U8" s="1">
        <v>2642051</v>
      </c>
      <c r="V8" s="1">
        <v>5251411</v>
      </c>
    </row>
    <row r="9" spans="1:22" x14ac:dyDescent="0.35">
      <c r="A9" s="223"/>
      <c r="B9" s="1">
        <v>574160</v>
      </c>
      <c r="C9" s="1">
        <v>924012</v>
      </c>
      <c r="D9" s="1">
        <v>4359047</v>
      </c>
      <c r="E9" s="1">
        <v>2654385</v>
      </c>
      <c r="F9" s="1">
        <v>2991738</v>
      </c>
      <c r="G9" s="1">
        <v>4634301</v>
      </c>
      <c r="H9" s="1">
        <v>9865947</v>
      </c>
      <c r="I9" s="1">
        <v>365932</v>
      </c>
      <c r="J9" s="1">
        <v>776549</v>
      </c>
      <c r="K9" s="1">
        <v>212312</v>
      </c>
      <c r="L9" s="1">
        <v>1075322</v>
      </c>
      <c r="M9" s="1">
        <v>221267</v>
      </c>
      <c r="N9" s="3"/>
      <c r="O9" s="1">
        <v>310627</v>
      </c>
      <c r="P9" s="1">
        <v>4651447</v>
      </c>
      <c r="Q9" s="1">
        <v>376531</v>
      </c>
      <c r="R9" s="1">
        <v>3796628</v>
      </c>
      <c r="S9" s="1">
        <v>1136874</v>
      </c>
      <c r="T9" s="1">
        <v>4477508</v>
      </c>
      <c r="U9" s="1">
        <v>3213735</v>
      </c>
      <c r="V9" s="1">
        <v>738925</v>
      </c>
    </row>
    <row r="10" spans="1:22" x14ac:dyDescent="0.35">
      <c r="A10" s="223"/>
      <c r="B10" s="1">
        <v>895389</v>
      </c>
      <c r="C10" s="1">
        <v>2596903</v>
      </c>
      <c r="D10" s="1">
        <v>2140855</v>
      </c>
      <c r="E10" s="1">
        <v>1942272</v>
      </c>
      <c r="F10" s="1">
        <v>2527597</v>
      </c>
      <c r="G10" s="1">
        <v>7116705</v>
      </c>
      <c r="H10" s="1">
        <v>12351632</v>
      </c>
      <c r="I10" s="1">
        <v>259276</v>
      </c>
      <c r="J10" s="1">
        <v>1288535</v>
      </c>
      <c r="K10" s="1">
        <v>287318</v>
      </c>
      <c r="L10" s="1">
        <v>393237</v>
      </c>
      <c r="M10" s="1">
        <v>649998</v>
      </c>
      <c r="N10" s="3"/>
      <c r="O10" s="1">
        <v>1674913</v>
      </c>
      <c r="P10" s="1">
        <v>3290645</v>
      </c>
      <c r="Q10" s="1">
        <v>1432355</v>
      </c>
      <c r="R10" s="1">
        <v>3255342</v>
      </c>
      <c r="S10" s="1">
        <v>8057948</v>
      </c>
      <c r="T10" s="1">
        <v>10266614</v>
      </c>
      <c r="U10" s="1">
        <v>7739676</v>
      </c>
      <c r="V10" s="1">
        <v>12267131</v>
      </c>
    </row>
    <row r="11" spans="1:22" x14ac:dyDescent="0.35">
      <c r="A11" s="223"/>
      <c r="B11" s="1">
        <v>941957</v>
      </c>
      <c r="C11" s="1">
        <v>659818</v>
      </c>
      <c r="D11" s="1">
        <v>636868</v>
      </c>
      <c r="E11" s="1">
        <v>3053793</v>
      </c>
      <c r="F11" s="1">
        <v>6541697</v>
      </c>
      <c r="G11" s="1">
        <v>7392459</v>
      </c>
      <c r="H11" s="1">
        <v>7257995</v>
      </c>
      <c r="I11" s="1">
        <v>763882</v>
      </c>
      <c r="J11" s="1">
        <v>266606</v>
      </c>
      <c r="K11" s="1">
        <v>112873</v>
      </c>
      <c r="L11" s="1">
        <v>447816</v>
      </c>
      <c r="M11" s="1">
        <v>542986</v>
      </c>
      <c r="N11" s="3"/>
      <c r="O11" s="1">
        <v>153953</v>
      </c>
      <c r="P11" s="1">
        <v>6528538</v>
      </c>
      <c r="Q11" s="1">
        <v>1477170</v>
      </c>
      <c r="R11" s="1">
        <v>8626094</v>
      </c>
      <c r="S11" s="1">
        <v>4474497</v>
      </c>
      <c r="T11" s="1">
        <v>966742</v>
      </c>
      <c r="U11" s="1">
        <v>3368301</v>
      </c>
      <c r="V11" s="1">
        <v>1373235</v>
      </c>
    </row>
    <row r="12" spans="1:22" ht="16.5" x14ac:dyDescent="0.35">
      <c r="A12" s="223"/>
      <c r="B12" s="14"/>
      <c r="C12" s="1">
        <v>421293</v>
      </c>
      <c r="D12" s="1">
        <v>1407401</v>
      </c>
      <c r="E12" s="32"/>
      <c r="F12" s="1">
        <v>4865461</v>
      </c>
      <c r="G12" s="1">
        <v>4816251</v>
      </c>
      <c r="H12" s="1">
        <v>6093645</v>
      </c>
      <c r="I12" s="1">
        <v>206416</v>
      </c>
      <c r="J12" s="1">
        <v>212752</v>
      </c>
      <c r="K12" s="1">
        <v>112513</v>
      </c>
      <c r="L12" s="1">
        <v>235042</v>
      </c>
      <c r="M12" s="1">
        <v>438081</v>
      </c>
      <c r="N12" s="3"/>
      <c r="O12" s="1">
        <v>1099257</v>
      </c>
      <c r="P12" s="1">
        <v>9364211</v>
      </c>
      <c r="Q12" s="13"/>
      <c r="R12" s="1">
        <v>1899997</v>
      </c>
      <c r="S12" s="1">
        <v>7024234</v>
      </c>
      <c r="T12" s="1">
        <v>1666453</v>
      </c>
      <c r="U12" s="1">
        <v>10098807</v>
      </c>
      <c r="V12" s="1">
        <v>6402782</v>
      </c>
    </row>
    <row r="13" spans="1:22" ht="16.5" x14ac:dyDescent="0.35">
      <c r="A13" s="223"/>
      <c r="B13" s="14"/>
      <c r="C13" s="13"/>
      <c r="D13" s="32"/>
      <c r="E13" s="32"/>
      <c r="F13" s="32"/>
      <c r="G13" s="32"/>
      <c r="H13" s="32"/>
      <c r="I13" s="32"/>
      <c r="J13" s="32"/>
      <c r="K13" s="13"/>
      <c r="L13" s="13"/>
      <c r="M13" s="13"/>
      <c r="N13" s="3"/>
      <c r="O13" s="1">
        <v>2866749</v>
      </c>
      <c r="P13" s="13"/>
      <c r="Q13" s="13"/>
      <c r="R13" s="32"/>
      <c r="S13" s="32"/>
      <c r="T13" s="32"/>
      <c r="U13" s="32"/>
      <c r="V13" s="32"/>
    </row>
    <row r="14" spans="1:22" ht="16.5" x14ac:dyDescent="0.35">
      <c r="A14" s="223"/>
      <c r="B14" s="14"/>
      <c r="C14" s="32"/>
      <c r="D14" s="32"/>
      <c r="E14" s="32"/>
      <c r="F14" s="32"/>
      <c r="G14" s="32"/>
      <c r="H14" s="32"/>
      <c r="I14" s="32"/>
      <c r="J14" s="32"/>
      <c r="K14" s="13"/>
      <c r="L14" s="13"/>
      <c r="M14" s="13"/>
      <c r="N14" s="3"/>
      <c r="O14" s="1">
        <v>5711408</v>
      </c>
      <c r="P14" s="13"/>
      <c r="Q14" s="13"/>
      <c r="R14" s="32"/>
      <c r="S14" s="32"/>
      <c r="T14" s="32"/>
      <c r="U14" s="32"/>
      <c r="V14" s="32"/>
    </row>
    <row r="15" spans="1:22" ht="16.5" x14ac:dyDescent="0.35">
      <c r="A15" s="223"/>
      <c r="B15" s="14"/>
      <c r="C15" s="32"/>
      <c r="D15" s="32"/>
      <c r="E15" s="32"/>
      <c r="F15" s="32"/>
      <c r="G15" s="32"/>
      <c r="H15" s="32"/>
      <c r="I15" s="32"/>
      <c r="J15" s="32"/>
      <c r="K15" s="13"/>
      <c r="L15" s="13"/>
      <c r="M15" s="13"/>
      <c r="N15" s="3"/>
      <c r="O15" s="1">
        <v>3808058</v>
      </c>
      <c r="P15" s="13"/>
      <c r="Q15" s="13"/>
      <c r="R15" s="32"/>
      <c r="S15" s="32"/>
      <c r="T15" s="32"/>
      <c r="U15" s="32"/>
      <c r="V15" s="32"/>
    </row>
    <row r="16" spans="1:22" ht="16.5" x14ac:dyDescent="0.35">
      <c r="A16" s="223"/>
      <c r="B16" s="14"/>
      <c r="C16" s="32"/>
      <c r="D16" s="32"/>
      <c r="E16" s="32"/>
      <c r="F16" s="32"/>
      <c r="G16" s="32"/>
      <c r="H16" s="32"/>
      <c r="I16" s="32"/>
      <c r="J16" s="32"/>
      <c r="K16" s="13"/>
      <c r="L16" s="13"/>
      <c r="M16" s="13"/>
      <c r="N16" s="3"/>
      <c r="O16" s="1">
        <v>4582453</v>
      </c>
      <c r="P16" s="13"/>
      <c r="Q16" s="13"/>
      <c r="R16" s="32"/>
      <c r="S16" s="32"/>
      <c r="T16" s="32"/>
      <c r="U16" s="32"/>
      <c r="V16" s="32"/>
    </row>
    <row r="17" spans="1:22" ht="16.5" x14ac:dyDescent="0.35">
      <c r="A17" s="223"/>
      <c r="B17" s="14"/>
      <c r="C17" s="32"/>
      <c r="D17" s="32"/>
      <c r="E17" s="32"/>
      <c r="F17" s="32"/>
      <c r="G17" s="32"/>
      <c r="H17" s="32"/>
      <c r="I17" s="32"/>
      <c r="J17" s="32"/>
      <c r="K17" s="13"/>
      <c r="L17" s="13"/>
      <c r="M17" s="13"/>
      <c r="N17" s="3"/>
      <c r="O17" s="1">
        <v>4361963</v>
      </c>
      <c r="P17" s="13"/>
      <c r="Q17" s="13"/>
      <c r="R17" s="32"/>
      <c r="S17" s="32"/>
      <c r="T17" s="32"/>
      <c r="U17" s="32"/>
      <c r="V17" s="32"/>
    </row>
    <row r="18" spans="1:22" ht="16.5" x14ac:dyDescent="0.35">
      <c r="A18" s="223"/>
      <c r="B18" s="14"/>
      <c r="C18" s="32"/>
      <c r="D18" s="32"/>
      <c r="E18" s="32"/>
      <c r="F18" s="32"/>
      <c r="G18" s="32"/>
      <c r="H18" s="32"/>
      <c r="I18" s="32"/>
      <c r="J18" s="32"/>
      <c r="K18" s="13"/>
      <c r="L18" s="13"/>
      <c r="M18" s="13"/>
      <c r="N18" s="3"/>
      <c r="O18" s="1">
        <v>3910390</v>
      </c>
      <c r="P18" s="13"/>
      <c r="Q18" s="13"/>
      <c r="R18" s="32"/>
      <c r="S18" s="32"/>
      <c r="T18" s="32"/>
      <c r="U18" s="32"/>
      <c r="V18" s="32"/>
    </row>
    <row r="19" spans="1:22" ht="16.5" x14ac:dyDescent="0.35">
      <c r="A19" s="223"/>
      <c r="B19" s="14"/>
      <c r="C19" s="32"/>
      <c r="D19" s="32"/>
      <c r="E19" s="32"/>
      <c r="F19" s="32"/>
      <c r="G19" s="32"/>
      <c r="H19" s="32"/>
      <c r="I19" s="32"/>
      <c r="J19" s="32"/>
      <c r="K19" s="13"/>
      <c r="L19" s="13"/>
      <c r="M19" s="13"/>
      <c r="N19" s="3"/>
      <c r="O19" s="1">
        <v>1030979</v>
      </c>
      <c r="P19" s="13"/>
      <c r="Q19" s="13"/>
      <c r="R19" s="32"/>
      <c r="S19" s="32"/>
      <c r="T19" s="32"/>
      <c r="U19" s="32"/>
      <c r="V19" s="32"/>
    </row>
    <row r="20" spans="1:22" ht="16.5" x14ac:dyDescent="0.35">
      <c r="A20" s="223"/>
      <c r="B20" s="14"/>
      <c r="C20" s="32"/>
      <c r="D20" s="32"/>
      <c r="E20" s="32"/>
      <c r="F20" s="32"/>
      <c r="G20" s="32"/>
      <c r="H20" s="32"/>
      <c r="I20" s="32"/>
      <c r="J20" s="32"/>
      <c r="K20" s="13"/>
      <c r="L20" s="13"/>
      <c r="M20" s="13"/>
      <c r="N20" s="3"/>
      <c r="O20" s="32"/>
      <c r="P20" s="13"/>
      <c r="Q20" s="13"/>
      <c r="R20" s="32"/>
      <c r="S20" s="32"/>
      <c r="T20" s="32"/>
      <c r="U20" s="32"/>
      <c r="V20" s="32"/>
    </row>
    <row r="21" spans="1:22" x14ac:dyDescent="0.35">
      <c r="A21" s="3"/>
      <c r="B21" s="7"/>
      <c r="C21" s="7"/>
      <c r="D21" s="7"/>
      <c r="E21" s="7"/>
      <c r="F21" s="7"/>
      <c r="G21" s="7"/>
      <c r="H21" s="7"/>
      <c r="I21" s="7"/>
      <c r="J21" s="7"/>
      <c r="N21" s="3"/>
      <c r="O21" s="7"/>
      <c r="R21" s="7"/>
      <c r="S21" s="7"/>
      <c r="T21" s="7"/>
      <c r="U21" s="7"/>
      <c r="V21" s="7"/>
    </row>
    <row r="22" spans="1:22" x14ac:dyDescent="0.35">
      <c r="A22" s="3" t="str">
        <f>A4</f>
        <v>Noms des groupes</v>
      </c>
      <c r="B22" s="3" t="str">
        <f t="shared" ref="B22:V22" si="0">B4</f>
        <v>Témoin solvant</v>
      </c>
      <c r="C22" s="3" t="str">
        <f t="shared" si="0"/>
        <v>EE2-33,8ng/L</v>
      </c>
      <c r="D22" s="3" t="str">
        <f t="shared" si="0"/>
        <v>EE2-50,6ng/L</v>
      </c>
      <c r="E22" s="3" t="str">
        <f t="shared" si="0"/>
        <v>EE2-76ng/L</v>
      </c>
      <c r="F22" s="3" t="str">
        <f t="shared" si="0"/>
        <v>EE2-114ng/L</v>
      </c>
      <c r="G22" s="3" t="str">
        <f t="shared" si="0"/>
        <v>EE2-170,9ng/L</v>
      </c>
      <c r="H22" s="3" t="str">
        <f t="shared" si="0"/>
        <v>EE2-488ng/L</v>
      </c>
      <c r="I22" s="3" t="str">
        <f t="shared" si="0"/>
        <v>Dutasteride-0,01mg/L</v>
      </c>
      <c r="J22" s="3" t="str">
        <f t="shared" si="0"/>
        <v>Dutasteride-0,1mg/L</v>
      </c>
      <c r="K22" s="3" t="str">
        <f t="shared" si="0"/>
        <v>Dutasteride-0,25mg/L</v>
      </c>
      <c r="L22" s="3" t="str">
        <f t="shared" si="0"/>
        <v>Dutasteride-0,5mg/L</v>
      </c>
      <c r="M22" s="3" t="str">
        <f t="shared" si="0"/>
        <v>Dutasteride-1mg/L</v>
      </c>
      <c r="N22" s="3" t="s">
        <v>41</v>
      </c>
      <c r="O22" s="3" t="str">
        <f t="shared" si="0"/>
        <v>Testo -30µg/L</v>
      </c>
      <c r="P22" s="3" t="str">
        <f t="shared" si="0"/>
        <v>Testo 30µg/L + EE2 -64ng/L</v>
      </c>
      <c r="Q22" s="3" t="str">
        <f t="shared" si="0"/>
        <v>Testo 30µg/L + FAD-10µg/L</v>
      </c>
      <c r="R22" s="3" t="str">
        <f t="shared" si="0"/>
        <v>Dutasteride-0,01mg/L + Testostérone</v>
      </c>
      <c r="S22" s="3" t="str">
        <f t="shared" si="0"/>
        <v>Dutasteride-0,1mg/L + Testostérone</v>
      </c>
      <c r="T22" s="3" t="str">
        <f t="shared" si="0"/>
        <v>Dutasteride-0,25mg/L + Testostérone</v>
      </c>
      <c r="U22" s="3" t="str">
        <f t="shared" si="0"/>
        <v>Dutasteride-0,5mg/L + Testostérone</v>
      </c>
      <c r="V22" s="3" t="str">
        <f t="shared" si="0"/>
        <v>Dutasteride-1mg/L + Testostérone</v>
      </c>
    </row>
    <row r="23" spans="1:22" x14ac:dyDescent="0.35">
      <c r="A23" s="5" t="s">
        <v>0</v>
      </c>
      <c r="B23" s="5">
        <f t="shared" ref="B23:J23" si="1">AVERAGE(B5:B20)</f>
        <v>494223.57142857142</v>
      </c>
      <c r="C23" s="5">
        <f t="shared" si="1"/>
        <v>772133.25</v>
      </c>
      <c r="D23" s="5">
        <f t="shared" si="1"/>
        <v>1248464.75</v>
      </c>
      <c r="E23" s="5">
        <f t="shared" si="1"/>
        <v>2728996.7142857141</v>
      </c>
      <c r="F23" s="5">
        <f t="shared" si="1"/>
        <v>5145925.625</v>
      </c>
      <c r="G23" s="5">
        <f t="shared" si="1"/>
        <v>6394798.875</v>
      </c>
      <c r="H23" s="5">
        <f t="shared" si="1"/>
        <v>10074670.5</v>
      </c>
      <c r="I23" s="5">
        <f t="shared" si="1"/>
        <v>438482.25</v>
      </c>
      <c r="J23" s="5">
        <f t="shared" si="1"/>
        <v>491242.125</v>
      </c>
      <c r="K23" s="5"/>
      <c r="L23" s="5">
        <f>AVERAGE(L5:L20)</f>
        <v>536785.375</v>
      </c>
      <c r="M23" s="5"/>
      <c r="N23" s="5" t="s">
        <v>0</v>
      </c>
      <c r="O23" s="5">
        <f>AVERAGE(O5:O20)</f>
        <v>2615105.3333333335</v>
      </c>
      <c r="P23" s="5">
        <f>AVERAGE(P5:P20)</f>
        <v>7302995.5</v>
      </c>
      <c r="Q23" s="5">
        <f>AVERAGE(Q5:Q20)</f>
        <v>738698</v>
      </c>
      <c r="R23" s="5">
        <f>AVERAGE(R5:R20)</f>
        <v>3642773.625</v>
      </c>
      <c r="S23" s="5">
        <f>AVERAGE(S5:S20)</f>
        <v>4111404</v>
      </c>
      <c r="T23" s="5">
        <f t="shared" ref="T23:V23" si="2">AVERAGE(T5:T20)</f>
        <v>4485225</v>
      </c>
      <c r="U23" s="5">
        <f t="shared" si="2"/>
        <v>4854248.625</v>
      </c>
      <c r="V23" s="5">
        <f t="shared" si="2"/>
        <v>4935003.375</v>
      </c>
    </row>
    <row r="24" spans="1:22" x14ac:dyDescent="0.35">
      <c r="A24" s="3" t="s">
        <v>1</v>
      </c>
      <c r="B24" s="3">
        <f t="shared" ref="B24:J24" si="3">STDEV(B5:B20)</f>
        <v>325010.13015333185</v>
      </c>
      <c r="C24" s="3">
        <f t="shared" si="3"/>
        <v>789365.72428858525</v>
      </c>
      <c r="D24" s="3">
        <f t="shared" si="3"/>
        <v>1421438.9763912535</v>
      </c>
      <c r="E24" s="3">
        <f t="shared" si="3"/>
        <v>1003839.9576454265</v>
      </c>
      <c r="F24" s="3">
        <f t="shared" si="3"/>
        <v>2947630.8347729966</v>
      </c>
      <c r="G24" s="3">
        <f t="shared" si="3"/>
        <v>1756068.8628604061</v>
      </c>
      <c r="H24" s="3">
        <f t="shared" si="3"/>
        <v>3018477.2157929945</v>
      </c>
      <c r="I24" s="3">
        <f t="shared" si="3"/>
        <v>190636.17471040034</v>
      </c>
      <c r="J24" s="3">
        <f t="shared" si="3"/>
        <v>420479.5077596996</v>
      </c>
      <c r="K24" s="3"/>
      <c r="L24" s="3">
        <f>STDEV(L5:L20)</f>
        <v>322363.12147724588</v>
      </c>
      <c r="M24" s="3"/>
      <c r="N24" s="3" t="s">
        <v>1</v>
      </c>
      <c r="O24" s="3">
        <f>STDEV(O5:O20)</f>
        <v>1920996.9723618464</v>
      </c>
      <c r="P24" s="3">
        <f>STDEV(P5:P20)</f>
        <v>3011320.1331114853</v>
      </c>
      <c r="Q24" s="3">
        <f>STDEV(Q5:Q20)</f>
        <v>495473.96648394491</v>
      </c>
      <c r="R24" s="3">
        <f>STDEV(R5:R20)</f>
        <v>3098933.3788279449</v>
      </c>
      <c r="S24" s="3">
        <f>STDEV(S5:S20)</f>
        <v>2845901.0146121187</v>
      </c>
      <c r="T24" s="3">
        <f t="shared" ref="T24:V24" si="4">STDEV(T5:T20)</f>
        <v>4777860.4619098827</v>
      </c>
      <c r="U24" s="3">
        <f t="shared" si="4"/>
        <v>2718593.2443624451</v>
      </c>
      <c r="V24" s="3">
        <f t="shared" si="4"/>
        <v>3524877.4199716887</v>
      </c>
    </row>
    <row r="25" spans="1:22" ht="15" thickBot="1" x14ac:dyDescent="0.4"/>
    <row r="26" spans="1:22" ht="15" thickBot="1" x14ac:dyDescent="0.4">
      <c r="B26" s="221" t="s">
        <v>6</v>
      </c>
      <c r="C26" s="222"/>
      <c r="D26" s="222"/>
      <c r="E26" s="222"/>
      <c r="F26" s="222"/>
      <c r="G26" s="222"/>
      <c r="H26" s="222"/>
      <c r="I26" s="222"/>
      <c r="J26" s="222"/>
      <c r="K26" s="222"/>
      <c r="L26" s="222"/>
      <c r="M26" s="222"/>
      <c r="O26" s="221" t="s">
        <v>3</v>
      </c>
      <c r="P26" s="222"/>
      <c r="Q26" s="222"/>
      <c r="R26" s="222"/>
      <c r="S26" s="222"/>
      <c r="T26" s="222"/>
      <c r="U26" s="222"/>
      <c r="V26" s="222"/>
    </row>
    <row r="27" spans="1:22" x14ac:dyDescent="0.35">
      <c r="A27" s="34" t="s">
        <v>41</v>
      </c>
      <c r="B27" s="35" t="str">
        <f>B4</f>
        <v>Témoin solvant</v>
      </c>
      <c r="C27" s="35" t="str">
        <f t="shared" ref="C27:M27" si="5">C4</f>
        <v>EE2-33,8ng/L</v>
      </c>
      <c r="D27" s="35" t="str">
        <f t="shared" si="5"/>
        <v>EE2-50,6ng/L</v>
      </c>
      <c r="E27" s="35" t="str">
        <f t="shared" si="5"/>
        <v>EE2-76ng/L</v>
      </c>
      <c r="F27" s="35" t="str">
        <f t="shared" si="5"/>
        <v>EE2-114ng/L</v>
      </c>
      <c r="G27" s="35" t="str">
        <f t="shared" si="5"/>
        <v>EE2-170,9ng/L</v>
      </c>
      <c r="H27" s="35" t="str">
        <f t="shared" si="5"/>
        <v>EE2-488ng/L</v>
      </c>
      <c r="I27" s="35" t="str">
        <f t="shared" si="5"/>
        <v>Dutasteride-0,01mg/L</v>
      </c>
      <c r="J27" s="35" t="str">
        <f t="shared" si="5"/>
        <v>Dutasteride-0,1mg/L</v>
      </c>
      <c r="K27" s="35" t="str">
        <f t="shared" si="5"/>
        <v>Dutasteride-0,25mg/L</v>
      </c>
      <c r="L27" s="35" t="str">
        <f t="shared" si="5"/>
        <v>Dutasteride-0,5mg/L</v>
      </c>
      <c r="M27" s="35" t="str">
        <f t="shared" si="5"/>
        <v>Dutasteride-1mg/L</v>
      </c>
      <c r="N27" s="3"/>
      <c r="O27" s="36" t="str">
        <f>O4</f>
        <v>Testo -30µg/L</v>
      </c>
      <c r="P27" s="36" t="str">
        <f t="shared" ref="P27:V27" si="6">P4</f>
        <v>Testo 30µg/L + EE2 -64ng/L</v>
      </c>
      <c r="Q27" s="36" t="str">
        <f t="shared" si="6"/>
        <v>Testo 30µg/L + FAD-10µg/L</v>
      </c>
      <c r="R27" s="36" t="str">
        <f t="shared" si="6"/>
        <v>Dutasteride-0,01mg/L + Testostérone</v>
      </c>
      <c r="S27" s="36" t="str">
        <f t="shared" si="6"/>
        <v>Dutasteride-0,1mg/L + Testostérone</v>
      </c>
      <c r="T27" s="36" t="str">
        <f t="shared" si="6"/>
        <v>Dutasteride-0,25mg/L + Testostérone</v>
      </c>
      <c r="U27" s="36" t="str">
        <f t="shared" si="6"/>
        <v>Dutasteride-0,5mg/L + Testostérone</v>
      </c>
      <c r="V27" s="36" t="str">
        <f t="shared" si="6"/>
        <v>Dutasteride-1mg/L + Testostérone</v>
      </c>
    </row>
    <row r="28" spans="1:22" x14ac:dyDescent="0.35">
      <c r="A28" s="224" t="s">
        <v>34</v>
      </c>
      <c r="B28" s="11">
        <f t="shared" ref="B28:M28" si="7">IF(B5="","",(B5/$O$23))</f>
        <v>0.14501519123002821</v>
      </c>
      <c r="C28" s="11">
        <f t="shared" si="7"/>
        <v>0.15575357321489663</v>
      </c>
      <c r="D28" s="11">
        <f t="shared" si="7"/>
        <v>0.15446069986218527</v>
      </c>
      <c r="E28" s="11">
        <f t="shared" si="7"/>
        <v>0.9319949636190562</v>
      </c>
      <c r="F28" s="11">
        <f t="shared" si="7"/>
        <v>1.2637215632869345</v>
      </c>
      <c r="G28" s="11">
        <f t="shared" si="7"/>
        <v>2.4185698829722089</v>
      </c>
      <c r="H28" s="11">
        <f t="shared" si="7"/>
        <v>4.5991042298359934</v>
      </c>
      <c r="I28" s="11">
        <f t="shared" si="7"/>
        <v>0.12076721957407451</v>
      </c>
      <c r="J28" s="11">
        <f t="shared" si="7"/>
        <v>6.2984078652791042E-2</v>
      </c>
      <c r="K28" s="11">
        <f t="shared" si="7"/>
        <v>0.34382668588492799</v>
      </c>
      <c r="L28" s="11">
        <f t="shared" si="7"/>
        <v>0.14662659859717569</v>
      </c>
      <c r="M28" s="11">
        <f t="shared" si="7"/>
        <v>7.5463881888250262E-2</v>
      </c>
      <c r="N28" s="6"/>
      <c r="O28" s="11">
        <f t="shared" ref="O28:V39" si="8">IF(O5="","",(O5/$O$23))</f>
        <v>0.2022507442657504</v>
      </c>
      <c r="P28" s="11">
        <f t="shared" si="8"/>
        <v>2.9002904408184449</v>
      </c>
      <c r="Q28" s="11">
        <f t="shared" si="8"/>
        <v>0.21035634511089163</v>
      </c>
      <c r="R28" s="11">
        <f t="shared" si="8"/>
        <v>0.26375610619126111</v>
      </c>
      <c r="S28" s="11">
        <f t="shared" si="8"/>
        <v>1.0555142711906058</v>
      </c>
      <c r="T28" s="11">
        <f t="shared" si="8"/>
        <v>1.4777500358175502</v>
      </c>
      <c r="U28" s="11">
        <f t="shared" si="8"/>
        <v>1.7905485260249554</v>
      </c>
      <c r="V28" s="11">
        <f t="shared" si="8"/>
        <v>1.6441200074031435</v>
      </c>
    </row>
    <row r="29" spans="1:22" x14ac:dyDescent="0.35">
      <c r="A29" s="224"/>
      <c r="B29" s="11">
        <f t="shared" ref="B29:M29" si="9">IF(B6="","",(B6/$O$23))</f>
        <v>9.4107872774022105E-2</v>
      </c>
      <c r="C29" s="11">
        <f t="shared" si="9"/>
        <v>7.9351679396980304E-2</v>
      </c>
      <c r="D29" s="11">
        <f t="shared" si="9"/>
        <v>0.23580579800737153</v>
      </c>
      <c r="E29" s="11">
        <f t="shared" si="9"/>
        <v>0.48595021538966687</v>
      </c>
      <c r="F29" s="11">
        <f t="shared" si="9"/>
        <v>4.4817223423505181</v>
      </c>
      <c r="G29" s="11">
        <f t="shared" si="9"/>
        <v>3.2546581935004273</v>
      </c>
      <c r="H29" s="11">
        <f t="shared" si="9"/>
        <v>3.6680002437122989</v>
      </c>
      <c r="I29" s="11">
        <f t="shared" si="9"/>
        <v>0.17151890376372347</v>
      </c>
      <c r="J29" s="11">
        <f t="shared" si="9"/>
        <v>0.14103103049004018</v>
      </c>
      <c r="K29" s="11">
        <f t="shared" si="9"/>
        <v>4.0957050041069087E-2</v>
      </c>
      <c r="L29" s="11">
        <f t="shared" si="9"/>
        <v>0.11612840069157188</v>
      </c>
      <c r="M29" s="11">
        <f t="shared" si="9"/>
        <v>9.1170323795752781E-3</v>
      </c>
      <c r="N29" s="6"/>
      <c r="O29" s="11">
        <f t="shared" si="8"/>
        <v>0.81127554326683582</v>
      </c>
      <c r="P29" s="11">
        <f t="shared" si="8"/>
        <v>4.6627697341955372</v>
      </c>
      <c r="Q29" s="11">
        <f t="shared" si="8"/>
        <v>0.20187523357886411</v>
      </c>
      <c r="R29" s="11">
        <f t="shared" si="8"/>
        <v>3.0732662648642832</v>
      </c>
      <c r="S29" s="11">
        <f t="shared" si="8"/>
        <v>0.1220180296115542</v>
      </c>
      <c r="T29" s="11">
        <f t="shared" si="8"/>
        <v>5.067588991953925</v>
      </c>
      <c r="U29" s="11">
        <f t="shared" si="8"/>
        <v>1.7955930647025562</v>
      </c>
      <c r="V29" s="11">
        <f t="shared" si="8"/>
        <v>1.753541986071689</v>
      </c>
    </row>
    <row r="30" spans="1:22" x14ac:dyDescent="0.35">
      <c r="A30" s="224"/>
      <c r="B30" s="11">
        <f t="shared" ref="B30:M30" si="10">IF(B7="","",(B7/$O$23))</f>
        <v>3.3068266466258336E-2</v>
      </c>
      <c r="C30" s="11">
        <f t="shared" si="10"/>
        <v>4.8208765587007582E-2</v>
      </c>
      <c r="D30" s="11">
        <f t="shared" si="10"/>
        <v>0.10642401147385268</v>
      </c>
      <c r="E30" s="11">
        <f t="shared" si="10"/>
        <v>1.2912822122142689</v>
      </c>
      <c r="F30" s="11">
        <f t="shared" si="10"/>
        <v>1.67349893872981</v>
      </c>
      <c r="G30" s="11">
        <f t="shared" si="10"/>
        <v>1.5127750112296305</v>
      </c>
      <c r="H30" s="11">
        <f t="shared" si="10"/>
        <v>3.1126509117032377</v>
      </c>
      <c r="I30" s="11">
        <f t="shared" si="10"/>
        <v>0.19962063988244705</v>
      </c>
      <c r="J30" s="11">
        <f t="shared" si="10"/>
        <v>0.30140315571737325</v>
      </c>
      <c r="K30" s="11">
        <f t="shared" si="10"/>
        <v>6.5304826472254274E-2</v>
      </c>
      <c r="L30" s="11">
        <f t="shared" si="10"/>
        <v>0.16784677634399939</v>
      </c>
      <c r="M30" s="11">
        <f t="shared" si="10"/>
        <v>0.10396445471412495</v>
      </c>
      <c r="N30" s="6"/>
      <c r="O30" s="11">
        <f t="shared" si="8"/>
        <v>2.1461766485887885</v>
      </c>
      <c r="P30" s="11">
        <f t="shared" si="8"/>
        <v>1.9156658571815335</v>
      </c>
      <c r="Q30" s="11">
        <f t="shared" si="8"/>
        <v>0.1266048429406795</v>
      </c>
      <c r="R30" s="11">
        <f t="shared" si="8"/>
        <v>0.23928328699570545</v>
      </c>
      <c r="S30" s="11">
        <f t="shared" si="8"/>
        <v>1.0256279033247353</v>
      </c>
      <c r="T30" s="11">
        <f t="shared" si="8"/>
        <v>0.32613026677319307</v>
      </c>
      <c r="U30" s="11">
        <f t="shared" si="8"/>
        <v>0.91517575582678878</v>
      </c>
      <c r="V30" s="11">
        <f t="shared" si="8"/>
        <v>1.7442123427533065</v>
      </c>
    </row>
    <row r="31" spans="1:22" x14ac:dyDescent="0.35">
      <c r="A31" s="224"/>
      <c r="B31" s="11">
        <f t="shared" ref="B31:M31" si="11">IF(B8="","",(B8/$O$23))</f>
        <v>0.12857990678769343</v>
      </c>
      <c r="C31" s="11">
        <f t="shared" si="11"/>
        <v>0.31897147291453903</v>
      </c>
      <c r="D31" s="11">
        <f t="shared" si="11"/>
        <v>5.5312877135860423E-2</v>
      </c>
      <c r="E31" s="11">
        <f t="shared" si="11"/>
        <v>1.6701476396871713</v>
      </c>
      <c r="F31" s="11">
        <f t="shared" si="11"/>
        <v>1.8506310007143114</v>
      </c>
      <c r="G31" s="11">
        <f t="shared" si="11"/>
        <v>3.2146009160115407</v>
      </c>
      <c r="H31" s="11">
        <f t="shared" si="11"/>
        <v>5.8387269550391592</v>
      </c>
      <c r="I31" s="11">
        <f t="shared" si="11"/>
        <v>0.23936473686974494</v>
      </c>
      <c r="J31" s="11">
        <f t="shared" si="11"/>
        <v>2.4386398202443343E-2</v>
      </c>
      <c r="K31" s="11">
        <f t="shared" si="11"/>
        <v>0.11613490138574405</v>
      </c>
      <c r="L31" s="11">
        <f t="shared" si="11"/>
        <v>0.38881684306916381</v>
      </c>
      <c r="M31" s="11">
        <f t="shared" si="11"/>
        <v>0.10575138082392092</v>
      </c>
      <c r="N31" s="6"/>
      <c r="O31" s="11">
        <f t="shared" si="8"/>
        <v>0.55556997321713997</v>
      </c>
      <c r="P31" s="11">
        <f t="shared" si="8"/>
        <v>3.7479392799474232</v>
      </c>
      <c r="Q31" s="11">
        <f t="shared" si="8"/>
        <v>0.18191083698859292</v>
      </c>
      <c r="R31" s="11">
        <f t="shared" si="8"/>
        <v>0.84574490052408335</v>
      </c>
      <c r="S31" s="11">
        <f t="shared" si="8"/>
        <v>2.4611563128878426</v>
      </c>
      <c r="T31" s="11">
        <f t="shared" si="8"/>
        <v>0.20452981116375682</v>
      </c>
      <c r="U31" s="11">
        <f t="shared" si="8"/>
        <v>1.0103038551920662</v>
      </c>
      <c r="V31" s="11">
        <f t="shared" si="8"/>
        <v>2.0081068754910572</v>
      </c>
    </row>
    <row r="32" spans="1:22" x14ac:dyDescent="0.35">
      <c r="A32" s="224"/>
      <c r="B32" s="11">
        <f t="shared" ref="B32:M32" si="12">IF(B9="","",(B9/$O$23))</f>
        <v>0.21955520975828124</v>
      </c>
      <c r="C32" s="11">
        <f t="shared" si="12"/>
        <v>0.35333643667125708</v>
      </c>
      <c r="D32" s="11">
        <f t="shared" si="12"/>
        <v>1.6668724370057242</v>
      </c>
      <c r="E32" s="11">
        <f t="shared" si="12"/>
        <v>1.01502030001086</v>
      </c>
      <c r="F32" s="11">
        <f t="shared" si="12"/>
        <v>1.1440219871321944</v>
      </c>
      <c r="G32" s="11">
        <f t="shared" si="12"/>
        <v>1.7721278531036861</v>
      </c>
      <c r="H32" s="11">
        <f t="shared" si="12"/>
        <v>3.7726767156351633</v>
      </c>
      <c r="I32" s="11">
        <f t="shared" si="12"/>
        <v>0.13993011881229511</v>
      </c>
      <c r="J32" s="11">
        <f t="shared" si="12"/>
        <v>0.29694750345301579</v>
      </c>
      <c r="K32" s="11">
        <f t="shared" si="12"/>
        <v>8.1186787122405263E-2</v>
      </c>
      <c r="L32" s="11">
        <f t="shared" si="12"/>
        <v>0.41119643874128203</v>
      </c>
      <c r="M32" s="11">
        <f t="shared" si="12"/>
        <v>8.4611123376037364E-2</v>
      </c>
      <c r="N32" s="6"/>
      <c r="O32" s="11">
        <f t="shared" si="8"/>
        <v>0.11878183109514008</v>
      </c>
      <c r="P32" s="11">
        <f t="shared" si="8"/>
        <v>1.7786843767669778</v>
      </c>
      <c r="Q32" s="11">
        <f t="shared" si="8"/>
        <v>0.14398311043175316</v>
      </c>
      <c r="R32" s="11">
        <f t="shared" si="8"/>
        <v>1.4518069125577604</v>
      </c>
      <c r="S32" s="11">
        <f t="shared" si="8"/>
        <v>0.43473354036982065</v>
      </c>
      <c r="T32" s="11">
        <f t="shared" si="8"/>
        <v>1.7121711859662503</v>
      </c>
      <c r="U32" s="11">
        <f t="shared" si="8"/>
        <v>1.2289122579638601</v>
      </c>
      <c r="V32" s="11">
        <f t="shared" si="8"/>
        <v>0.28256032006868809</v>
      </c>
    </row>
    <row r="33" spans="1:22" x14ac:dyDescent="0.35">
      <c r="A33" s="224"/>
      <c r="B33" s="11">
        <f t="shared" ref="B33:M33" si="13">IF(B10="","",(B10/$O$23))</f>
        <v>0.34239117965420385</v>
      </c>
      <c r="C33" s="11">
        <f t="shared" si="13"/>
        <v>0.99303954104589276</v>
      </c>
      <c r="D33" s="11">
        <f t="shared" si="13"/>
        <v>0.81864962482072101</v>
      </c>
      <c r="E33" s="11">
        <f t="shared" si="13"/>
        <v>0.74271272183300197</v>
      </c>
      <c r="F33" s="11">
        <f t="shared" si="13"/>
        <v>0.96653735808729691</v>
      </c>
      <c r="G33" s="11">
        <f t="shared" si="13"/>
        <v>2.7213836893249423</v>
      </c>
      <c r="H33" s="11">
        <f t="shared" si="13"/>
        <v>4.7231871858316472</v>
      </c>
      <c r="I33" s="11">
        <f t="shared" si="13"/>
        <v>9.914552836367585E-2</v>
      </c>
      <c r="J33" s="11">
        <f t="shared" si="13"/>
        <v>0.49272776265481211</v>
      </c>
      <c r="K33" s="11">
        <f t="shared" si="13"/>
        <v>0.10986861459755094</v>
      </c>
      <c r="L33" s="11">
        <f t="shared" si="13"/>
        <v>0.15037138083411808</v>
      </c>
      <c r="M33" s="11">
        <f t="shared" si="13"/>
        <v>0.2485551888540882</v>
      </c>
      <c r="N33" s="6"/>
      <c r="O33" s="11">
        <f t="shared" si="8"/>
        <v>0.64047630458734861</v>
      </c>
      <c r="P33" s="11">
        <f t="shared" si="8"/>
        <v>1.2583221631862884</v>
      </c>
      <c r="Q33" s="11">
        <f t="shared" si="8"/>
        <v>0.54772363535133572</v>
      </c>
      <c r="R33" s="11">
        <f t="shared" si="8"/>
        <v>1.2448225157533488</v>
      </c>
      <c r="S33" s="11">
        <f t="shared" si="8"/>
        <v>3.0813091531303516</v>
      </c>
      <c r="T33" s="11">
        <f t="shared" si="8"/>
        <v>3.9258892822162927</v>
      </c>
      <c r="U33" s="11">
        <f t="shared" si="8"/>
        <v>2.959603921626611</v>
      </c>
      <c r="V33" s="11">
        <f t="shared" si="8"/>
        <v>4.6908745294644598</v>
      </c>
    </row>
    <row r="34" spans="1:22" x14ac:dyDescent="0.35">
      <c r="A34" s="224"/>
      <c r="B34" s="11">
        <f t="shared" ref="B34:M34" si="14">IF(B11="","",(B11/$O$23))</f>
        <v>0.36019849296064044</v>
      </c>
      <c r="C34" s="11">
        <f t="shared" si="14"/>
        <v>0.25231029572295111</v>
      </c>
      <c r="D34" s="11">
        <f t="shared" si="14"/>
        <v>0.24353435859052713</v>
      </c>
      <c r="E34" s="11">
        <f t="shared" si="14"/>
        <v>1.1677514328294742</v>
      </c>
      <c r="F34" s="11">
        <f t="shared" si="14"/>
        <v>2.5015042096456024</v>
      </c>
      <c r="G34" s="11">
        <f t="shared" si="14"/>
        <v>2.826830302310321</v>
      </c>
      <c r="H34" s="11">
        <f t="shared" si="14"/>
        <v>2.7754121057711378</v>
      </c>
      <c r="I34" s="11">
        <f t="shared" si="14"/>
        <v>0.29210372150720249</v>
      </c>
      <c r="J34" s="11">
        <f t="shared" si="14"/>
        <v>0.10194847473320386</v>
      </c>
      <c r="K34" s="11">
        <f t="shared" si="14"/>
        <v>4.3161932546757834E-2</v>
      </c>
      <c r="L34" s="11">
        <f t="shared" si="14"/>
        <v>0.17124205067074416</v>
      </c>
      <c r="M34" s="11">
        <f t="shared" si="14"/>
        <v>0.20763446622162829</v>
      </c>
      <c r="N34" s="6"/>
      <c r="O34" s="11">
        <f t="shared" si="8"/>
        <v>5.8870668816909347E-2</v>
      </c>
      <c r="P34" s="11">
        <f t="shared" si="8"/>
        <v>2.4964722899625711</v>
      </c>
      <c r="Q34" s="11">
        <f t="shared" si="8"/>
        <v>0.56486061237048957</v>
      </c>
      <c r="R34" s="11">
        <f t="shared" si="8"/>
        <v>3.2985646467267857</v>
      </c>
      <c r="S34" s="11">
        <f t="shared" si="8"/>
        <v>1.7110197983102273</v>
      </c>
      <c r="T34" s="11">
        <f t="shared" si="8"/>
        <v>0.36967612266988353</v>
      </c>
      <c r="U34" s="11">
        <f t="shared" si="8"/>
        <v>1.2880173341647423</v>
      </c>
      <c r="V34" s="11">
        <f t="shared" si="8"/>
        <v>0.52511651538319171</v>
      </c>
    </row>
    <row r="35" spans="1:22" x14ac:dyDescent="0.35">
      <c r="A35" s="224"/>
      <c r="B35" s="11" t="str">
        <f t="shared" ref="B35:M35" si="15">IF(B12="","",(B12/$O$23))</f>
        <v/>
      </c>
      <c r="C35" s="11">
        <f t="shared" si="15"/>
        <v>0.16109982058084085</v>
      </c>
      <c r="D35" s="11">
        <f t="shared" si="15"/>
        <v>0.53818138109414582</v>
      </c>
      <c r="E35" s="11" t="str">
        <f t="shared" si="15"/>
        <v/>
      </c>
      <c r="F35" s="11">
        <f t="shared" si="15"/>
        <v>1.8605219980941494</v>
      </c>
      <c r="G35" s="11">
        <f t="shared" si="15"/>
        <v>1.8417044004346033</v>
      </c>
      <c r="H35" s="11">
        <f t="shared" si="15"/>
        <v>2.3301719140439974</v>
      </c>
      <c r="I35" s="11">
        <f t="shared" si="15"/>
        <v>7.8932193425988187E-2</v>
      </c>
      <c r="J35" s="11">
        <f t="shared" si="15"/>
        <v>8.1355040383331911E-2</v>
      </c>
      <c r="K35" s="11">
        <f t="shared" si="15"/>
        <v>4.3024270787817849E-2</v>
      </c>
      <c r="L35" s="11">
        <f t="shared" si="15"/>
        <v>8.9878597624365925E-2</v>
      </c>
      <c r="M35" s="11">
        <f t="shared" si="15"/>
        <v>0.16751944727274209</v>
      </c>
      <c r="N35" s="6"/>
      <c r="O35" s="11">
        <f t="shared" si="8"/>
        <v>0.42034903374191679</v>
      </c>
      <c r="P35" s="11">
        <f t="shared" si="8"/>
        <v>3.5808159926254084</v>
      </c>
      <c r="Q35" s="11" t="str">
        <f t="shared" si="8"/>
        <v/>
      </c>
      <c r="R35" s="11">
        <f t="shared" si="8"/>
        <v>0.7265470250019247</v>
      </c>
      <c r="S35" s="11">
        <f t="shared" si="8"/>
        <v>2.6860233545723333</v>
      </c>
      <c r="T35" s="11">
        <f t="shared" si="8"/>
        <v>0.637241253252259</v>
      </c>
      <c r="U35" s="11">
        <f t="shared" si="8"/>
        <v>3.8617209300428432</v>
      </c>
      <c r="V35" s="11">
        <f t="shared" si="8"/>
        <v>2.4483839784146362</v>
      </c>
    </row>
    <row r="36" spans="1:22" x14ac:dyDescent="0.35">
      <c r="A36" s="224"/>
      <c r="B36" s="11" t="str">
        <f t="shared" ref="B36:M36" si="16">IF(B13="","",(B13/$O$23))</f>
        <v/>
      </c>
      <c r="C36" s="11" t="str">
        <f t="shared" si="16"/>
        <v/>
      </c>
      <c r="D36" s="11" t="str">
        <f t="shared" si="16"/>
        <v/>
      </c>
      <c r="E36" s="11" t="str">
        <f t="shared" si="16"/>
        <v/>
      </c>
      <c r="F36" s="11" t="str">
        <f t="shared" si="16"/>
        <v/>
      </c>
      <c r="G36" s="11" t="str">
        <f t="shared" si="16"/>
        <v/>
      </c>
      <c r="H36" s="11" t="str">
        <f t="shared" si="16"/>
        <v/>
      </c>
      <c r="I36" s="11" t="str">
        <f t="shared" si="16"/>
        <v/>
      </c>
      <c r="J36" s="11" t="str">
        <f t="shared" si="16"/>
        <v/>
      </c>
      <c r="K36" s="11" t="str">
        <f t="shared" si="16"/>
        <v/>
      </c>
      <c r="L36" s="11" t="str">
        <f t="shared" si="16"/>
        <v/>
      </c>
      <c r="M36" s="11" t="str">
        <f t="shared" si="16"/>
        <v/>
      </c>
      <c r="N36" s="6"/>
      <c r="O36" s="11">
        <f t="shared" si="8"/>
        <v>1.0962269716095565</v>
      </c>
      <c r="P36" s="11" t="str">
        <f t="shared" si="8"/>
        <v/>
      </c>
      <c r="Q36" s="11" t="str">
        <f t="shared" si="8"/>
        <v/>
      </c>
      <c r="R36" s="11" t="str">
        <f t="shared" si="8"/>
        <v/>
      </c>
      <c r="S36" s="11" t="str">
        <f t="shared" si="8"/>
        <v/>
      </c>
      <c r="T36" s="11" t="str">
        <f t="shared" si="8"/>
        <v/>
      </c>
      <c r="U36" s="11" t="str">
        <f t="shared" si="8"/>
        <v/>
      </c>
      <c r="V36" s="11" t="str">
        <f t="shared" si="8"/>
        <v/>
      </c>
    </row>
    <row r="37" spans="1:22" x14ac:dyDescent="0.35">
      <c r="A37" s="224"/>
      <c r="B37" s="11" t="str">
        <f t="shared" ref="B37:M37" si="17">IF(B14="","",(B14/$O$23))</f>
        <v/>
      </c>
      <c r="C37" s="11" t="str">
        <f t="shared" si="17"/>
        <v/>
      </c>
      <c r="D37" s="11" t="str">
        <f t="shared" si="17"/>
        <v/>
      </c>
      <c r="E37" s="11" t="str">
        <f t="shared" si="17"/>
        <v/>
      </c>
      <c r="F37" s="11" t="str">
        <f t="shared" si="17"/>
        <v/>
      </c>
      <c r="G37" s="11" t="str">
        <f t="shared" si="17"/>
        <v/>
      </c>
      <c r="H37" s="11" t="str">
        <f t="shared" si="17"/>
        <v/>
      </c>
      <c r="I37" s="11" t="str">
        <f t="shared" si="17"/>
        <v/>
      </c>
      <c r="J37" s="11" t="str">
        <f t="shared" si="17"/>
        <v/>
      </c>
      <c r="K37" s="11" t="str">
        <f t="shared" si="17"/>
        <v/>
      </c>
      <c r="L37" s="11" t="str">
        <f t="shared" si="17"/>
        <v/>
      </c>
      <c r="M37" s="11" t="str">
        <f t="shared" si="17"/>
        <v/>
      </c>
      <c r="N37" s="6"/>
      <c r="O37" s="11">
        <f t="shared" si="8"/>
        <v>2.1840068647330457</v>
      </c>
      <c r="P37" s="11" t="str">
        <f t="shared" si="8"/>
        <v/>
      </c>
      <c r="Q37" s="11" t="str">
        <f t="shared" si="8"/>
        <v/>
      </c>
      <c r="R37" s="11" t="str">
        <f t="shared" si="8"/>
        <v/>
      </c>
      <c r="S37" s="11" t="str">
        <f t="shared" si="8"/>
        <v/>
      </c>
      <c r="T37" s="11" t="str">
        <f t="shared" si="8"/>
        <v/>
      </c>
      <c r="U37" s="11" t="str">
        <f t="shared" si="8"/>
        <v/>
      </c>
      <c r="V37" s="11" t="str">
        <f t="shared" si="8"/>
        <v/>
      </c>
    </row>
    <row r="38" spans="1:22" x14ac:dyDescent="0.35">
      <c r="A38" s="224"/>
      <c r="B38" s="11" t="str">
        <f t="shared" ref="B38:M38" si="18">IF(B15="","",(B15/$O$23))</f>
        <v/>
      </c>
      <c r="C38" s="11" t="str">
        <f t="shared" si="18"/>
        <v/>
      </c>
      <c r="D38" s="11" t="str">
        <f t="shared" si="18"/>
        <v/>
      </c>
      <c r="E38" s="11" t="str">
        <f t="shared" si="18"/>
        <v/>
      </c>
      <c r="F38" s="11" t="str">
        <f t="shared" si="18"/>
        <v/>
      </c>
      <c r="G38" s="11" t="str">
        <f t="shared" si="18"/>
        <v/>
      </c>
      <c r="H38" s="11" t="str">
        <f t="shared" si="18"/>
        <v/>
      </c>
      <c r="I38" s="11" t="str">
        <f t="shared" si="18"/>
        <v/>
      </c>
      <c r="J38" s="11" t="str">
        <f t="shared" si="18"/>
        <v/>
      </c>
      <c r="K38" s="11" t="str">
        <f t="shared" si="18"/>
        <v/>
      </c>
      <c r="L38" s="11" t="str">
        <f t="shared" si="18"/>
        <v/>
      </c>
      <c r="M38" s="11" t="str">
        <f t="shared" si="18"/>
        <v/>
      </c>
      <c r="N38" s="6"/>
      <c r="O38" s="11">
        <f t="shared" si="8"/>
        <v>1.456177673404105</v>
      </c>
      <c r="P38" s="11" t="str">
        <f t="shared" si="8"/>
        <v/>
      </c>
      <c r="Q38" s="11" t="str">
        <f t="shared" si="8"/>
        <v/>
      </c>
      <c r="R38" s="11" t="str">
        <f t="shared" si="8"/>
        <v/>
      </c>
      <c r="S38" s="11" t="str">
        <f t="shared" si="8"/>
        <v/>
      </c>
      <c r="T38" s="11" t="str">
        <f t="shared" si="8"/>
        <v/>
      </c>
      <c r="U38" s="11" t="str">
        <f t="shared" si="8"/>
        <v/>
      </c>
      <c r="V38" s="11" t="str">
        <f t="shared" si="8"/>
        <v/>
      </c>
    </row>
    <row r="39" spans="1:22" x14ac:dyDescent="0.35">
      <c r="A39" s="224"/>
      <c r="B39" s="11" t="str">
        <f t="shared" ref="B39:M39" si="19">IF(B16="","",(B16/$O$23))</f>
        <v/>
      </c>
      <c r="C39" s="11" t="str">
        <f t="shared" si="19"/>
        <v/>
      </c>
      <c r="D39" s="11" t="str">
        <f t="shared" si="19"/>
        <v/>
      </c>
      <c r="E39" s="11" t="str">
        <f t="shared" si="19"/>
        <v/>
      </c>
      <c r="F39" s="11" t="str">
        <f t="shared" si="19"/>
        <v/>
      </c>
      <c r="G39" s="11" t="str">
        <f t="shared" si="19"/>
        <v/>
      </c>
      <c r="H39" s="11" t="str">
        <f t="shared" si="19"/>
        <v/>
      </c>
      <c r="I39" s="11" t="str">
        <f t="shared" si="19"/>
        <v/>
      </c>
      <c r="J39" s="11" t="str">
        <f t="shared" si="19"/>
        <v/>
      </c>
      <c r="K39" s="11" t="str">
        <f t="shared" si="19"/>
        <v/>
      </c>
      <c r="L39" s="11" t="str">
        <f t="shared" si="19"/>
        <v/>
      </c>
      <c r="M39" s="11" t="str">
        <f t="shared" si="19"/>
        <v/>
      </c>
      <c r="N39" s="6"/>
      <c r="O39" s="11">
        <f t="shared" si="8"/>
        <v>1.7523015006661298</v>
      </c>
      <c r="P39" s="11" t="str">
        <f t="shared" si="8"/>
        <v/>
      </c>
      <c r="Q39" s="11" t="str">
        <f t="shared" ref="Q39:V39" si="20">IF(Q16="","",(Q16/$O$23))</f>
        <v/>
      </c>
      <c r="R39" s="11" t="str">
        <f t="shared" si="20"/>
        <v/>
      </c>
      <c r="S39" s="11" t="str">
        <f t="shared" si="20"/>
        <v/>
      </c>
      <c r="T39" s="11" t="str">
        <f t="shared" si="20"/>
        <v/>
      </c>
      <c r="U39" s="11" t="str">
        <f t="shared" si="20"/>
        <v/>
      </c>
      <c r="V39" s="11" t="str">
        <f t="shared" si="20"/>
        <v/>
      </c>
    </row>
    <row r="40" spans="1:22" x14ac:dyDescent="0.35">
      <c r="A40" s="224"/>
      <c r="B40" s="11" t="str">
        <f t="shared" ref="B40:M40" si="21">IF(B17="","",(B17/$O$23))</f>
        <v/>
      </c>
      <c r="C40" s="11" t="str">
        <f t="shared" si="21"/>
        <v/>
      </c>
      <c r="D40" s="11" t="str">
        <f t="shared" si="21"/>
        <v/>
      </c>
      <c r="E40" s="11" t="str">
        <f t="shared" si="21"/>
        <v/>
      </c>
      <c r="F40" s="11" t="str">
        <f t="shared" si="21"/>
        <v/>
      </c>
      <c r="G40" s="11" t="str">
        <f t="shared" si="21"/>
        <v/>
      </c>
      <c r="H40" s="11" t="str">
        <f t="shared" si="21"/>
        <v/>
      </c>
      <c r="I40" s="11" t="str">
        <f t="shared" si="21"/>
        <v/>
      </c>
      <c r="J40" s="11" t="str">
        <f t="shared" si="21"/>
        <v/>
      </c>
      <c r="K40" s="11" t="str">
        <f t="shared" si="21"/>
        <v/>
      </c>
      <c r="L40" s="11" t="str">
        <f t="shared" si="21"/>
        <v/>
      </c>
      <c r="M40" s="11" t="str">
        <f t="shared" si="21"/>
        <v/>
      </c>
      <c r="N40" s="6"/>
      <c r="O40" s="11">
        <f t="shared" ref="O40:V43" si="22">IF(O17="","",(O17/$O$23))</f>
        <v>1.6679874972531379</v>
      </c>
      <c r="P40" s="11" t="str">
        <f t="shared" si="22"/>
        <v/>
      </c>
      <c r="Q40" s="11" t="str">
        <f t="shared" si="22"/>
        <v/>
      </c>
      <c r="R40" s="11" t="str">
        <f t="shared" si="22"/>
        <v/>
      </c>
      <c r="S40" s="11" t="str">
        <f t="shared" si="22"/>
        <v/>
      </c>
      <c r="T40" s="11" t="str">
        <f t="shared" si="22"/>
        <v/>
      </c>
      <c r="U40" s="11" t="str">
        <f t="shared" si="22"/>
        <v/>
      </c>
      <c r="V40" s="11" t="str">
        <f t="shared" si="22"/>
        <v/>
      </c>
    </row>
    <row r="41" spans="1:22" x14ac:dyDescent="0.35">
      <c r="A41" s="224"/>
      <c r="B41" s="11" t="str">
        <f t="shared" ref="B41:M41" si="23">IF(B18="","",(B18/$O$23))</f>
        <v/>
      </c>
      <c r="C41" s="11" t="str">
        <f t="shared" si="23"/>
        <v/>
      </c>
      <c r="D41" s="11" t="str">
        <f t="shared" si="23"/>
        <v/>
      </c>
      <c r="E41" s="11" t="str">
        <f t="shared" si="23"/>
        <v/>
      </c>
      <c r="F41" s="11" t="str">
        <f t="shared" si="23"/>
        <v/>
      </c>
      <c r="G41" s="11" t="str">
        <f t="shared" si="23"/>
        <v/>
      </c>
      <c r="H41" s="11" t="str">
        <f t="shared" si="23"/>
        <v/>
      </c>
      <c r="I41" s="11" t="str">
        <f t="shared" si="23"/>
        <v/>
      </c>
      <c r="J41" s="11" t="str">
        <f t="shared" si="23"/>
        <v/>
      </c>
      <c r="K41" s="11" t="str">
        <f t="shared" si="23"/>
        <v/>
      </c>
      <c r="L41" s="11" t="str">
        <f t="shared" si="23"/>
        <v/>
      </c>
      <c r="M41" s="11" t="str">
        <f t="shared" si="23"/>
        <v/>
      </c>
      <c r="N41" s="6"/>
      <c r="O41" s="11">
        <f t="shared" si="22"/>
        <v>1.495308793170345</v>
      </c>
      <c r="P41" s="11" t="str">
        <f t="shared" si="22"/>
        <v/>
      </c>
      <c r="Q41" s="11" t="str">
        <f t="shared" si="22"/>
        <v/>
      </c>
      <c r="R41" s="11" t="str">
        <f t="shared" si="22"/>
        <v/>
      </c>
      <c r="S41" s="11" t="str">
        <f t="shared" si="22"/>
        <v/>
      </c>
      <c r="T41" s="11" t="str">
        <f t="shared" si="22"/>
        <v/>
      </c>
      <c r="U41" s="11" t="str">
        <f t="shared" si="22"/>
        <v/>
      </c>
      <c r="V41" s="11" t="str">
        <f t="shared" si="22"/>
        <v/>
      </c>
    </row>
    <row r="42" spans="1:22" x14ac:dyDescent="0.35">
      <c r="A42" s="224"/>
      <c r="B42" s="11" t="str">
        <f t="shared" ref="B42:M42" si="24">IF(B19="","",(B19/$O$23))</f>
        <v/>
      </c>
      <c r="C42" s="11" t="str">
        <f t="shared" si="24"/>
        <v/>
      </c>
      <c r="D42" s="11" t="str">
        <f t="shared" si="24"/>
        <v/>
      </c>
      <c r="E42" s="11" t="str">
        <f t="shared" si="24"/>
        <v/>
      </c>
      <c r="F42" s="11" t="str">
        <f t="shared" si="24"/>
        <v/>
      </c>
      <c r="G42" s="11" t="str">
        <f t="shared" si="24"/>
        <v/>
      </c>
      <c r="H42" s="11" t="str">
        <f t="shared" si="24"/>
        <v/>
      </c>
      <c r="I42" s="11" t="str">
        <f t="shared" si="24"/>
        <v/>
      </c>
      <c r="J42" s="11" t="str">
        <f t="shared" si="24"/>
        <v/>
      </c>
      <c r="K42" s="11" t="str">
        <f t="shared" si="24"/>
        <v/>
      </c>
      <c r="L42" s="11" t="str">
        <f t="shared" si="24"/>
        <v/>
      </c>
      <c r="M42" s="11" t="str">
        <f t="shared" si="24"/>
        <v/>
      </c>
      <c r="N42" s="6"/>
      <c r="O42" s="11">
        <f t="shared" si="22"/>
        <v>0.3942399515838495</v>
      </c>
      <c r="P42" s="11" t="str">
        <f t="shared" si="22"/>
        <v/>
      </c>
      <c r="Q42" s="11" t="str">
        <f t="shared" si="22"/>
        <v/>
      </c>
      <c r="R42" s="11" t="str">
        <f t="shared" si="22"/>
        <v/>
      </c>
      <c r="S42" s="11" t="str">
        <f t="shared" si="22"/>
        <v/>
      </c>
      <c r="T42" s="11" t="str">
        <f t="shared" si="22"/>
        <v/>
      </c>
      <c r="U42" s="11" t="str">
        <f t="shared" si="22"/>
        <v/>
      </c>
      <c r="V42" s="11" t="str">
        <f t="shared" si="22"/>
        <v/>
      </c>
    </row>
    <row r="43" spans="1:22" x14ac:dyDescent="0.35">
      <c r="A43" s="224"/>
      <c r="B43" s="11" t="str">
        <f t="shared" ref="B43:M43" si="25">IF(B20="","",(B20/$O$23))</f>
        <v/>
      </c>
      <c r="C43" s="11" t="str">
        <f t="shared" si="25"/>
        <v/>
      </c>
      <c r="D43" s="11" t="str">
        <f t="shared" si="25"/>
        <v/>
      </c>
      <c r="E43" s="11" t="str">
        <f t="shared" si="25"/>
        <v/>
      </c>
      <c r="F43" s="11" t="str">
        <f t="shared" si="25"/>
        <v/>
      </c>
      <c r="G43" s="11" t="str">
        <f t="shared" si="25"/>
        <v/>
      </c>
      <c r="H43" s="11" t="str">
        <f t="shared" si="25"/>
        <v/>
      </c>
      <c r="I43" s="11" t="str">
        <f t="shared" si="25"/>
        <v/>
      </c>
      <c r="J43" s="11" t="str">
        <f t="shared" si="25"/>
        <v/>
      </c>
      <c r="K43" s="11" t="str">
        <f t="shared" si="25"/>
        <v/>
      </c>
      <c r="L43" s="11" t="str">
        <f t="shared" si="25"/>
        <v/>
      </c>
      <c r="M43" s="11" t="str">
        <f t="shared" si="25"/>
        <v/>
      </c>
      <c r="N43" s="6"/>
      <c r="O43" s="11" t="str">
        <f t="shared" si="22"/>
        <v/>
      </c>
      <c r="P43" s="11" t="str">
        <f t="shared" si="22"/>
        <v/>
      </c>
      <c r="Q43" s="11" t="str">
        <f t="shared" si="22"/>
        <v/>
      </c>
      <c r="R43" s="11" t="str">
        <f t="shared" si="22"/>
        <v/>
      </c>
      <c r="S43" s="11" t="str">
        <f t="shared" si="22"/>
        <v/>
      </c>
      <c r="T43" s="11" t="str">
        <f t="shared" si="22"/>
        <v/>
      </c>
      <c r="U43" s="11" t="str">
        <f t="shared" si="22"/>
        <v/>
      </c>
      <c r="V43" s="11" t="str">
        <f t="shared" si="22"/>
        <v/>
      </c>
    </row>
    <row r="44" spans="1:22" x14ac:dyDescent="0.35">
      <c r="A44" s="7"/>
      <c r="B44" s="3"/>
      <c r="C44" s="3"/>
      <c r="D44" s="3"/>
      <c r="E44" s="3"/>
      <c r="F44" s="3"/>
      <c r="G44" s="3"/>
      <c r="H44" s="3"/>
      <c r="I44" s="3"/>
      <c r="J44" s="3"/>
      <c r="K44" s="3"/>
      <c r="L44" s="3"/>
      <c r="M44" s="3"/>
      <c r="N44" s="7"/>
      <c r="O44" s="3"/>
      <c r="P44" s="3"/>
      <c r="Q44" s="3"/>
      <c r="R44" s="3"/>
      <c r="S44" s="3"/>
      <c r="T44" s="3"/>
      <c r="U44" s="3"/>
      <c r="V44" s="3"/>
    </row>
    <row r="45" spans="1:22" x14ac:dyDescent="0.35">
      <c r="A45" s="7" t="str">
        <f>A4</f>
        <v>Noms des groupes</v>
      </c>
      <c r="B45" s="7" t="str">
        <f t="shared" ref="B45:V45" si="26">B4</f>
        <v>Témoin solvant</v>
      </c>
      <c r="C45" s="7" t="str">
        <f t="shared" si="26"/>
        <v>EE2-33,8ng/L</v>
      </c>
      <c r="D45" s="7" t="str">
        <f t="shared" si="26"/>
        <v>EE2-50,6ng/L</v>
      </c>
      <c r="E45" s="7" t="str">
        <f t="shared" si="26"/>
        <v>EE2-76ng/L</v>
      </c>
      <c r="F45" s="7" t="str">
        <f t="shared" si="26"/>
        <v>EE2-114ng/L</v>
      </c>
      <c r="G45" s="7" t="str">
        <f t="shared" si="26"/>
        <v>EE2-170,9ng/L</v>
      </c>
      <c r="H45" s="7" t="str">
        <f t="shared" si="26"/>
        <v>EE2-488ng/L</v>
      </c>
      <c r="I45" s="7" t="str">
        <f t="shared" si="26"/>
        <v>Dutasteride-0,01mg/L</v>
      </c>
      <c r="J45" s="7" t="str">
        <f t="shared" si="26"/>
        <v>Dutasteride-0,1mg/L</v>
      </c>
      <c r="K45" s="7" t="str">
        <f t="shared" si="26"/>
        <v>Dutasteride-0,25mg/L</v>
      </c>
      <c r="L45" s="7" t="str">
        <f t="shared" si="26"/>
        <v>Dutasteride-0,5mg/L</v>
      </c>
      <c r="M45" s="7" t="str">
        <f t="shared" si="26"/>
        <v>Dutasteride-1mg/L</v>
      </c>
      <c r="N45" s="7"/>
      <c r="O45" s="7" t="str">
        <f t="shared" si="26"/>
        <v>Testo -30µg/L</v>
      </c>
      <c r="P45" s="7" t="str">
        <f t="shared" si="26"/>
        <v>Testo 30µg/L + EE2 -64ng/L</v>
      </c>
      <c r="Q45" s="7" t="str">
        <f t="shared" si="26"/>
        <v>Testo 30µg/L + FAD-10µg/L</v>
      </c>
      <c r="R45" s="7" t="str">
        <f t="shared" si="26"/>
        <v>Dutasteride-0,01mg/L + Testostérone</v>
      </c>
      <c r="S45" s="7" t="str">
        <f t="shared" si="26"/>
        <v>Dutasteride-0,1mg/L + Testostérone</v>
      </c>
      <c r="T45" s="7" t="str">
        <f t="shared" si="26"/>
        <v>Dutasteride-0,25mg/L + Testostérone</v>
      </c>
      <c r="U45" s="7" t="str">
        <f t="shared" si="26"/>
        <v>Dutasteride-0,5mg/L + Testostérone</v>
      </c>
      <c r="V45" s="7" t="str">
        <f t="shared" si="26"/>
        <v>Dutasteride-1mg/L + Testostérone</v>
      </c>
    </row>
    <row r="46" spans="1:22" x14ac:dyDescent="0.35">
      <c r="A46" s="8" t="s">
        <v>0</v>
      </c>
      <c r="B46" s="10">
        <f t="shared" ref="B46:H46" si="27">AVERAGE(B28:B43)</f>
        <v>0.18898801709016105</v>
      </c>
      <c r="C46" s="10">
        <f t="shared" si="27"/>
        <v>0.29525894814179565</v>
      </c>
      <c r="D46" s="10">
        <f t="shared" si="27"/>
        <v>0.4774051484987985</v>
      </c>
      <c r="E46" s="10">
        <f t="shared" si="27"/>
        <v>1.0435513550833571</v>
      </c>
      <c r="F46" s="10">
        <f t="shared" si="27"/>
        <v>1.9677699247551024</v>
      </c>
      <c r="G46" s="10">
        <f t="shared" si="27"/>
        <v>2.4453312811109202</v>
      </c>
      <c r="H46" s="10">
        <f t="shared" si="27"/>
        <v>3.8524912826965796</v>
      </c>
      <c r="I46" s="10">
        <f>AVERAGE(I28:I43)</f>
        <v>0.16767288277489395</v>
      </c>
      <c r="J46" s="9">
        <f>AVERAGE(J28:J43)</f>
        <v>0.18784793053587642</v>
      </c>
      <c r="K46" s="9">
        <f t="shared" ref="K46:M46" si="28">AVERAGE(K28:K43)</f>
        <v>0.1054331336048159</v>
      </c>
      <c r="L46" s="9">
        <f t="shared" si="28"/>
        <v>0.20526338582155262</v>
      </c>
      <c r="M46" s="9">
        <f t="shared" si="28"/>
        <v>0.12532712194129592</v>
      </c>
      <c r="N46" s="8" t="s">
        <v>0</v>
      </c>
      <c r="O46" s="10">
        <f t="shared" ref="O46:V46" si="29">AVERAGE(O28:O43)</f>
        <v>0.99999999999999989</v>
      </c>
      <c r="P46" s="10">
        <f t="shared" si="29"/>
        <v>2.7926200168355231</v>
      </c>
      <c r="Q46" s="10">
        <f t="shared" si="29"/>
        <v>0.28247351668180093</v>
      </c>
      <c r="R46" s="10">
        <f t="shared" si="29"/>
        <v>1.392973957326894</v>
      </c>
      <c r="S46" s="10">
        <f t="shared" si="29"/>
        <v>1.5721752954246837</v>
      </c>
      <c r="T46" s="10">
        <f t="shared" si="29"/>
        <v>1.7151221187266388</v>
      </c>
      <c r="U46" s="10">
        <f t="shared" si="29"/>
        <v>1.8562344556930528</v>
      </c>
      <c r="V46" s="10">
        <f t="shared" si="29"/>
        <v>1.8871145693812714</v>
      </c>
    </row>
    <row r="47" spans="1:22" x14ac:dyDescent="0.35">
      <c r="A47" s="8" t="s">
        <v>1</v>
      </c>
      <c r="B47" s="8">
        <f t="shared" ref="B47:M47" si="30">STDEV(B28:B43)</f>
        <v>0.12428185052839121</v>
      </c>
      <c r="C47" s="8">
        <f t="shared" si="30"/>
        <v>0.30184853903472542</v>
      </c>
      <c r="D47" s="8">
        <f t="shared" si="30"/>
        <v>0.5435494158774179</v>
      </c>
      <c r="E47" s="8">
        <f t="shared" si="30"/>
        <v>0.3838621507325235</v>
      </c>
      <c r="F47" s="8">
        <f t="shared" si="30"/>
        <v>1.1271556817238448</v>
      </c>
      <c r="G47" s="8">
        <f t="shared" si="30"/>
        <v>0.67150980133639049</v>
      </c>
      <c r="H47" s="8">
        <f t="shared" si="30"/>
        <v>1.1542468967953585</v>
      </c>
      <c r="I47" s="8">
        <f t="shared" si="30"/>
        <v>7.2898086467288375E-2</v>
      </c>
      <c r="J47" s="8">
        <f t="shared" si="30"/>
        <v>0.16078874621227482</v>
      </c>
      <c r="K47" s="8">
        <f t="shared" si="30"/>
        <v>0.10077810663327762</v>
      </c>
      <c r="L47" s="8">
        <f t="shared" si="30"/>
        <v>0.12326965088872613</v>
      </c>
      <c r="M47" s="8">
        <f t="shared" si="30"/>
        <v>7.7669943689830073E-2</v>
      </c>
      <c r="N47" s="8" t="s">
        <v>1</v>
      </c>
      <c r="O47" s="8">
        <f t="shared" ref="O47:V47" si="31">STDEV(O28:O43)</f>
        <v>0.73457728370476572</v>
      </c>
      <c r="P47" s="8">
        <f t="shared" si="31"/>
        <v>1.1515100729319827</v>
      </c>
      <c r="Q47" s="8">
        <f t="shared" si="31"/>
        <v>0.18946616037541827</v>
      </c>
      <c r="R47" s="8">
        <f t="shared" si="31"/>
        <v>1.1850128326868967</v>
      </c>
      <c r="S47" s="8">
        <f t="shared" si="31"/>
        <v>1.0882548317794154</v>
      </c>
      <c r="T47" s="8">
        <f t="shared" si="31"/>
        <v>1.827024097656442</v>
      </c>
      <c r="U47" s="8">
        <f t="shared" si="31"/>
        <v>1.039573132948034</v>
      </c>
      <c r="V47" s="8">
        <f t="shared" si="31"/>
        <v>1.347891182447599</v>
      </c>
    </row>
    <row r="48" spans="1:22" x14ac:dyDescent="0.35">
      <c r="A48" s="8" t="s">
        <v>2</v>
      </c>
      <c r="B48" s="8">
        <f t="shared" ref="B48:M48" si="32" xml:space="preserve"> B47/SQRT(COUNT(B28:B43))</f>
        <v>4.6974124139574927E-2</v>
      </c>
      <c r="C48" s="8">
        <f t="shared" si="32"/>
        <v>0.10671957442135331</v>
      </c>
      <c r="D48" s="8">
        <f t="shared" si="32"/>
        <v>0.19217373893845452</v>
      </c>
      <c r="E48" s="8">
        <f t="shared" si="32"/>
        <v>0.14508625550980678</v>
      </c>
      <c r="F48" s="8">
        <f t="shared" si="32"/>
        <v>0.39850971299993826</v>
      </c>
      <c r="G48" s="8">
        <f t="shared" si="32"/>
        <v>0.23741456707909653</v>
      </c>
      <c r="H48" s="8">
        <f t="shared" si="32"/>
        <v>0.40808790394376349</v>
      </c>
      <c r="I48" s="8">
        <f t="shared" si="32"/>
        <v>2.5773365638271449E-2</v>
      </c>
      <c r="J48" s="8">
        <f t="shared" si="32"/>
        <v>5.6847406392591164E-2</v>
      </c>
      <c r="K48" s="8">
        <f t="shared" si="32"/>
        <v>3.563044129776579E-2</v>
      </c>
      <c r="L48" s="8">
        <f t="shared" si="32"/>
        <v>4.3582403028958279E-2</v>
      </c>
      <c r="M48" s="8">
        <f t="shared" si="32"/>
        <v>2.7460471938728068E-2</v>
      </c>
      <c r="N48" s="8" t="s">
        <v>2</v>
      </c>
      <c r="O48" s="8">
        <f t="shared" ref="O48:V48" si="33" xml:space="preserve"> O47/SQRT(COUNT(O28:O43))</f>
        <v>0.18966703908605589</v>
      </c>
      <c r="P48" s="8">
        <f t="shared" si="33"/>
        <v>0.40712029058741039</v>
      </c>
      <c r="Q48" s="8">
        <f t="shared" si="33"/>
        <v>7.1611477459376696E-2</v>
      </c>
      <c r="R48" s="8">
        <f t="shared" si="33"/>
        <v>0.41896530489299216</v>
      </c>
      <c r="S48" s="8">
        <f t="shared" si="33"/>
        <v>0.38475618560512503</v>
      </c>
      <c r="T48" s="8">
        <f t="shared" si="33"/>
        <v>0.64595056442205157</v>
      </c>
      <c r="U48" s="8">
        <f t="shared" si="33"/>
        <v>0.36754460592344956</v>
      </c>
      <c r="V48" s="8">
        <f t="shared" si="33"/>
        <v>0.47655149770512556</v>
      </c>
    </row>
    <row r="49" spans="1:22" ht="15" thickBot="1" x14ac:dyDescent="0.4">
      <c r="A49" s="8"/>
      <c r="B49" s="8"/>
      <c r="C49" s="8"/>
      <c r="D49" s="8"/>
      <c r="E49" s="8"/>
      <c r="F49" s="8"/>
      <c r="G49" s="8"/>
      <c r="H49" s="8"/>
      <c r="I49" s="8"/>
      <c r="J49" s="8"/>
      <c r="K49" s="8"/>
      <c r="L49" s="8"/>
      <c r="M49" s="8"/>
      <c r="N49" s="8"/>
      <c r="O49" s="8"/>
      <c r="P49" s="8"/>
      <c r="Q49" s="8"/>
      <c r="R49" s="8"/>
      <c r="S49" s="8"/>
      <c r="T49" s="8"/>
      <c r="U49" s="8"/>
      <c r="V49" s="8"/>
    </row>
    <row r="50" spans="1:22" ht="26.5" thickBot="1" x14ac:dyDescent="0.65">
      <c r="A50" s="215" t="s">
        <v>44</v>
      </c>
      <c r="B50" s="216"/>
      <c r="C50" s="216"/>
      <c r="D50" s="216"/>
      <c r="E50" s="216"/>
      <c r="F50" s="216"/>
      <c r="G50" s="216"/>
      <c r="H50" s="216"/>
      <c r="I50" s="216"/>
      <c r="J50" s="216"/>
      <c r="K50" s="216"/>
      <c r="L50" s="216"/>
      <c r="M50" s="216"/>
      <c r="N50" s="216"/>
      <c r="O50" s="216"/>
      <c r="P50" s="216"/>
      <c r="Q50" s="216"/>
      <c r="R50" s="216"/>
      <c r="S50" s="216"/>
      <c r="T50" s="216"/>
      <c r="U50" s="216"/>
      <c r="V50" s="216"/>
    </row>
    <row r="51" spans="1:22" ht="15" thickBot="1" x14ac:dyDescent="0.4"/>
    <row r="52" spans="1:22" x14ac:dyDescent="0.35">
      <c r="A52" s="45" t="str">
        <f t="shared" ref="A52:H52" si="34">A27</f>
        <v>Noms des groupes</v>
      </c>
      <c r="B52" s="46" t="str">
        <f t="shared" si="34"/>
        <v>Témoin solvant</v>
      </c>
      <c r="C52" s="46" t="str">
        <f t="shared" si="34"/>
        <v>EE2-33,8ng/L</v>
      </c>
      <c r="D52" s="46" t="str">
        <f t="shared" si="34"/>
        <v>EE2-50,6ng/L</v>
      </c>
      <c r="E52" s="46" t="str">
        <f t="shared" si="34"/>
        <v>EE2-76ng/L</v>
      </c>
      <c r="F52" s="46" t="str">
        <f t="shared" si="34"/>
        <v>EE2-114ng/L</v>
      </c>
      <c r="G52" s="46" t="str">
        <f t="shared" si="34"/>
        <v>EE2-170,9ng/L</v>
      </c>
      <c r="H52" s="46" t="str">
        <f t="shared" si="34"/>
        <v>EE2-488ng/L</v>
      </c>
      <c r="I52" s="46" t="str">
        <f>I4</f>
        <v>Dutasteride-0,01mg/L</v>
      </c>
      <c r="J52" s="46" t="str">
        <f>J4</f>
        <v>Dutasteride-0,1mg/L</v>
      </c>
      <c r="K52" s="46" t="str">
        <f t="shared" ref="K52:M52" si="35">K4</f>
        <v>Dutasteride-0,25mg/L</v>
      </c>
      <c r="L52" s="46" t="str">
        <f t="shared" si="35"/>
        <v>Dutasteride-0,5mg/L</v>
      </c>
      <c r="M52" s="46" t="str">
        <f t="shared" si="35"/>
        <v>Dutasteride-1mg/L</v>
      </c>
      <c r="N52" s="47"/>
      <c r="O52" s="46" t="str">
        <f>O27</f>
        <v>Testo -30µg/L</v>
      </c>
      <c r="P52" s="46" t="str">
        <f>P27</f>
        <v>Testo 30µg/L + EE2 -64ng/L</v>
      </c>
      <c r="Q52" s="46" t="str">
        <f>Q27</f>
        <v>Testo 30µg/L + FAD-10µg/L</v>
      </c>
      <c r="R52" s="46" t="str">
        <f>R27</f>
        <v>Dutasteride-0,01mg/L + Testostérone</v>
      </c>
      <c r="S52" s="46" t="str">
        <f t="shared" ref="S52:V52" si="36">S27</f>
        <v>Dutasteride-0,1mg/L + Testostérone</v>
      </c>
      <c r="T52" s="46" t="str">
        <f t="shared" si="36"/>
        <v>Dutasteride-0,25mg/L + Testostérone</v>
      </c>
      <c r="U52" s="46" t="str">
        <f t="shared" si="36"/>
        <v>Dutasteride-0,5mg/L + Testostérone</v>
      </c>
      <c r="V52" s="46" t="str">
        <f t="shared" si="36"/>
        <v>Dutasteride-1mg/L + Testostérone</v>
      </c>
    </row>
    <row r="53" spans="1:22" s="3" customFormat="1" x14ac:dyDescent="0.35">
      <c r="A53" s="61" t="s">
        <v>32</v>
      </c>
      <c r="B53" s="141">
        <f t="shared" ref="B53:V53" si="37">B46</f>
        <v>0.18898801709016105</v>
      </c>
      <c r="C53" s="141">
        <f t="shared" si="37"/>
        <v>0.29525894814179565</v>
      </c>
      <c r="D53" s="141">
        <f t="shared" si="37"/>
        <v>0.4774051484987985</v>
      </c>
      <c r="E53" s="141">
        <f t="shared" si="37"/>
        <v>1.0435513550833571</v>
      </c>
      <c r="F53" s="141">
        <f t="shared" si="37"/>
        <v>1.9677699247551024</v>
      </c>
      <c r="G53" s="141">
        <f t="shared" si="37"/>
        <v>2.4453312811109202</v>
      </c>
      <c r="H53" s="141">
        <f t="shared" si="37"/>
        <v>3.8524912826965796</v>
      </c>
      <c r="I53" s="141">
        <f t="shared" si="37"/>
        <v>0.16767288277489395</v>
      </c>
      <c r="J53" s="141">
        <f t="shared" si="37"/>
        <v>0.18784793053587642</v>
      </c>
      <c r="K53" s="141">
        <f t="shared" si="37"/>
        <v>0.1054331336048159</v>
      </c>
      <c r="L53" s="141">
        <f t="shared" si="37"/>
        <v>0.20526338582155262</v>
      </c>
      <c r="M53" s="141">
        <f t="shared" si="37"/>
        <v>0.12532712194129592</v>
      </c>
      <c r="N53" s="141"/>
      <c r="O53" s="141">
        <f t="shared" si="37"/>
        <v>0.99999999999999989</v>
      </c>
      <c r="P53" s="141">
        <f t="shared" si="37"/>
        <v>2.7926200168355231</v>
      </c>
      <c r="Q53" s="141">
        <f t="shared" si="37"/>
        <v>0.28247351668180093</v>
      </c>
      <c r="R53" s="141">
        <f t="shared" si="37"/>
        <v>1.392973957326894</v>
      </c>
      <c r="S53" s="141">
        <f t="shared" si="37"/>
        <v>1.5721752954246837</v>
      </c>
      <c r="T53" s="141">
        <f t="shared" si="37"/>
        <v>1.7151221187266388</v>
      </c>
      <c r="U53" s="141">
        <f t="shared" si="37"/>
        <v>1.8562344556930528</v>
      </c>
      <c r="V53" s="141">
        <f t="shared" si="37"/>
        <v>1.8871145693812714</v>
      </c>
    </row>
    <row r="54" spans="1:22" s="3" customFormat="1" x14ac:dyDescent="0.35">
      <c r="A54" s="61" t="s">
        <v>2</v>
      </c>
      <c r="B54" s="141">
        <f t="shared" ref="B54:V54" si="38">B48</f>
        <v>4.6974124139574927E-2</v>
      </c>
      <c r="C54" s="141">
        <f t="shared" si="38"/>
        <v>0.10671957442135331</v>
      </c>
      <c r="D54" s="141">
        <f t="shared" si="38"/>
        <v>0.19217373893845452</v>
      </c>
      <c r="E54" s="141">
        <f t="shared" si="38"/>
        <v>0.14508625550980678</v>
      </c>
      <c r="F54" s="141">
        <f t="shared" si="38"/>
        <v>0.39850971299993826</v>
      </c>
      <c r="G54" s="141">
        <f t="shared" si="38"/>
        <v>0.23741456707909653</v>
      </c>
      <c r="H54" s="141">
        <f t="shared" si="38"/>
        <v>0.40808790394376349</v>
      </c>
      <c r="I54" s="141">
        <f t="shared" si="38"/>
        <v>2.5773365638271449E-2</v>
      </c>
      <c r="J54" s="141">
        <f t="shared" si="38"/>
        <v>5.6847406392591164E-2</v>
      </c>
      <c r="K54" s="141">
        <f t="shared" si="38"/>
        <v>3.563044129776579E-2</v>
      </c>
      <c r="L54" s="141">
        <f t="shared" si="38"/>
        <v>4.3582403028958279E-2</v>
      </c>
      <c r="M54" s="141">
        <f t="shared" si="38"/>
        <v>2.7460471938728068E-2</v>
      </c>
      <c r="N54" s="141"/>
      <c r="O54" s="141">
        <f t="shared" si="38"/>
        <v>0.18966703908605589</v>
      </c>
      <c r="P54" s="141">
        <f t="shared" si="38"/>
        <v>0.40712029058741039</v>
      </c>
      <c r="Q54" s="141">
        <f t="shared" si="38"/>
        <v>7.1611477459376696E-2</v>
      </c>
      <c r="R54" s="141">
        <f t="shared" si="38"/>
        <v>0.41896530489299216</v>
      </c>
      <c r="S54" s="141">
        <f t="shared" si="38"/>
        <v>0.38475618560512503</v>
      </c>
      <c r="T54" s="141">
        <f t="shared" si="38"/>
        <v>0.64595056442205157</v>
      </c>
      <c r="U54" s="141">
        <f t="shared" si="38"/>
        <v>0.36754460592344956</v>
      </c>
      <c r="V54" s="141">
        <f t="shared" si="38"/>
        <v>0.47655149770512556</v>
      </c>
    </row>
    <row r="55" spans="1:22" s="3" customFormat="1" x14ac:dyDescent="0.35">
      <c r="A55" s="61" t="s">
        <v>79</v>
      </c>
      <c r="B55" s="141">
        <f>(B53*100/$B53)-100</f>
        <v>0</v>
      </c>
      <c r="C55" s="141">
        <f t="shared" ref="C55:M55" si="39">(C53*100/$B53)-100</f>
        <v>56.231571021212233</v>
      </c>
      <c r="D55" s="141">
        <f t="shared" si="39"/>
        <v>152.61133263864104</v>
      </c>
      <c r="E55" s="141">
        <f t="shared" si="39"/>
        <v>452.17858314556895</v>
      </c>
      <c r="F55" s="141">
        <f t="shared" si="39"/>
        <v>941.21412301835676</v>
      </c>
      <c r="G55" s="141">
        <f t="shared" si="39"/>
        <v>1193.9081105572525</v>
      </c>
      <c r="H55" s="141">
        <f t="shared" si="39"/>
        <v>1938.4844192839275</v>
      </c>
      <c r="I55" s="141">
        <f t="shared" si="39"/>
        <v>-11.278563923499036</v>
      </c>
      <c r="J55" s="141">
        <f t="shared" si="39"/>
        <v>-0.60325864667956353</v>
      </c>
      <c r="K55" s="141">
        <f t="shared" si="39"/>
        <v>-44.211736157580496</v>
      </c>
      <c r="L55" s="141">
        <f t="shared" si="39"/>
        <v>8.6118522126336927</v>
      </c>
      <c r="M55" s="141">
        <f t="shared" si="39"/>
        <v>-33.68514899994652</v>
      </c>
      <c r="N55" s="141"/>
      <c r="O55" s="141">
        <f>(O53*100/$O53)-100</f>
        <v>0</v>
      </c>
      <c r="P55" s="141">
        <f t="shared" ref="P55:V55" si="40">(P53*100/$O53)-100</f>
        <v>179.26200168355234</v>
      </c>
      <c r="Q55" s="141">
        <f t="shared" si="40"/>
        <v>-71.752648331819898</v>
      </c>
      <c r="R55" s="141">
        <f t="shared" si="40"/>
        <v>39.297395732689438</v>
      </c>
      <c r="S55" s="141">
        <f t="shared" si="40"/>
        <v>57.217529542468412</v>
      </c>
      <c r="T55" s="141">
        <f t="shared" si="40"/>
        <v>71.512211872663897</v>
      </c>
      <c r="U55" s="141">
        <f t="shared" si="40"/>
        <v>85.623445569305318</v>
      </c>
      <c r="V55" s="141">
        <f t="shared" si="40"/>
        <v>88.711456938127156</v>
      </c>
    </row>
    <row r="56" spans="1:22" s="3" customFormat="1" x14ac:dyDescent="0.35">
      <c r="A56" s="61" t="s">
        <v>81</v>
      </c>
      <c r="B56" s="141">
        <f>[1]!SWTEST(B28:B43)</f>
        <v>0.4652375830279557</v>
      </c>
      <c r="C56" s="141">
        <f>[1]!SWTEST(C28:C43)</f>
        <v>8.3754665367601344E-3</v>
      </c>
      <c r="D56" s="141">
        <f>[1]!SWTEST(D28:D43)</f>
        <v>1.6335233787607595E-2</v>
      </c>
      <c r="E56" s="141">
        <f>[1]!SWTEST(E28:E43)</f>
        <v>0.99828673656884515</v>
      </c>
      <c r="F56" s="141">
        <f>[1]!SWTEST(F28:F43)</f>
        <v>3.0123135080672769E-2</v>
      </c>
      <c r="G56" s="141">
        <f>[1]!SWTEST(G28:G43)</f>
        <v>0.3934781833133445</v>
      </c>
      <c r="H56" s="141">
        <f>[1]!SWTEST(H28:H43)</f>
        <v>0.88500057766261897</v>
      </c>
      <c r="I56" s="141">
        <f>[1]!SWTEST(I28:I43)</f>
        <v>0.80547220108898232</v>
      </c>
      <c r="J56" s="141">
        <f>[1]!SWTEST(J28:J43)</f>
        <v>0.18256737301945758</v>
      </c>
      <c r="K56" s="141">
        <f>[1]!SWTEST(K28:K43)</f>
        <v>1.1513365270231501E-3</v>
      </c>
      <c r="L56" s="141">
        <f>[1]!SWTEST(L28:L43)</f>
        <v>1.3154129597157227E-2</v>
      </c>
      <c r="M56" s="141">
        <f>[1]!SWTEST(M28:M43)</f>
        <v>0.80609917940055476</v>
      </c>
      <c r="N56" s="141"/>
      <c r="O56" s="141">
        <f>[1]!SWTEST(O28:O43)</f>
        <v>0.18822652747774893</v>
      </c>
      <c r="P56" s="141">
        <f>[1]!SWTEST(P28:P43)</f>
        <v>0.88028569424371272</v>
      </c>
      <c r="Q56" s="141">
        <f>[1]!SWTEST(Q28:Q43)</f>
        <v>1.0150429075975187E-2</v>
      </c>
      <c r="R56" s="141">
        <f>[1]!SWTEST(R28:R43)</f>
        <v>9.3574533464175769E-2</v>
      </c>
      <c r="S56" s="141">
        <f>[1]!SWTEST(S28:S43)</f>
        <v>0.60779208034199872</v>
      </c>
      <c r="T56" s="141">
        <f>[1]!SWTEST(T28:T43)</f>
        <v>4.1237437855146997E-2</v>
      </c>
      <c r="U56" s="141">
        <f>[1]!SWTEST(U28:U43)</f>
        <v>8.3035564867656841E-2</v>
      </c>
      <c r="V56" s="141">
        <f>[1]!SWTEST(V28:V43)</f>
        <v>0.17671852342897387</v>
      </c>
    </row>
    <row r="57" spans="1:22" s="3" customFormat="1" x14ac:dyDescent="0.35">
      <c r="A57" s="61" t="s">
        <v>85</v>
      </c>
      <c r="B57" s="141" t="str">
        <f>IF(B56&gt;0.05,"Oui","Non")</f>
        <v>Oui</v>
      </c>
      <c r="C57" s="141" t="str">
        <f t="shared" ref="C57:V57" si="41">IF(C56&gt;0.05,"Oui","Non")</f>
        <v>Non</v>
      </c>
      <c r="D57" s="141" t="str">
        <f t="shared" si="41"/>
        <v>Non</v>
      </c>
      <c r="E57" s="141" t="str">
        <f t="shared" si="41"/>
        <v>Oui</v>
      </c>
      <c r="F57" s="141" t="str">
        <f t="shared" si="41"/>
        <v>Non</v>
      </c>
      <c r="G57" s="141" t="str">
        <f t="shared" si="41"/>
        <v>Oui</v>
      </c>
      <c r="H57" s="141" t="str">
        <f t="shared" si="41"/>
        <v>Oui</v>
      </c>
      <c r="I57" s="141" t="str">
        <f t="shared" si="41"/>
        <v>Oui</v>
      </c>
      <c r="J57" s="141" t="str">
        <f t="shared" si="41"/>
        <v>Oui</v>
      </c>
      <c r="K57" s="141" t="str">
        <f t="shared" si="41"/>
        <v>Non</v>
      </c>
      <c r="L57" s="141" t="str">
        <f t="shared" si="41"/>
        <v>Non</v>
      </c>
      <c r="M57" s="141" t="str">
        <f t="shared" si="41"/>
        <v>Oui</v>
      </c>
      <c r="N57" s="141"/>
      <c r="O57" s="141" t="str">
        <f t="shared" si="41"/>
        <v>Oui</v>
      </c>
      <c r="P57" s="141" t="str">
        <f t="shared" si="41"/>
        <v>Oui</v>
      </c>
      <c r="Q57" s="141" t="str">
        <f t="shared" si="41"/>
        <v>Non</v>
      </c>
      <c r="R57" s="141" t="str">
        <f t="shared" si="41"/>
        <v>Oui</v>
      </c>
      <c r="S57" s="141" t="str">
        <f t="shared" si="41"/>
        <v>Oui</v>
      </c>
      <c r="T57" s="141" t="str">
        <f t="shared" si="41"/>
        <v>Non</v>
      </c>
      <c r="U57" s="141" t="str">
        <f t="shared" si="41"/>
        <v>Oui</v>
      </c>
      <c r="V57" s="141" t="str">
        <f t="shared" si="41"/>
        <v>Oui</v>
      </c>
    </row>
    <row r="58" spans="1:22" s="3" customFormat="1" x14ac:dyDescent="0.35">
      <c r="A58" s="61"/>
      <c r="B58" s="141"/>
      <c r="C58" s="141"/>
      <c r="D58" s="141"/>
      <c r="E58" s="141"/>
      <c r="F58" s="141"/>
      <c r="G58" s="141"/>
      <c r="H58" s="141"/>
      <c r="I58" s="141"/>
      <c r="J58" s="141"/>
      <c r="K58" s="141"/>
      <c r="L58" s="141"/>
      <c r="M58" s="141"/>
      <c r="N58" s="148"/>
      <c r="O58" s="149"/>
      <c r="P58" s="141"/>
      <c r="Q58" s="141"/>
      <c r="R58" s="141"/>
      <c r="S58" s="141"/>
      <c r="T58" s="141"/>
      <c r="U58" s="141"/>
      <c r="V58" s="141"/>
    </row>
    <row r="59" spans="1:22" s="3" customFormat="1" x14ac:dyDescent="0.35">
      <c r="A59" s="61" t="s">
        <v>82</v>
      </c>
      <c r="B59" s="150"/>
      <c r="C59" s="150" t="str">
        <f t="shared" ref="C59:O59" si="42">IF($B57="Non",IF(C57="Non","MW",IF(C57="Oui","MW","")),IF($B57="Oui",IF(C57="Oui","T-Test Welch",IF(C57="Non","MW",""))))</f>
        <v>MW</v>
      </c>
      <c r="D59" s="150" t="str">
        <f t="shared" si="42"/>
        <v>MW</v>
      </c>
      <c r="E59" s="150" t="str">
        <f t="shared" si="42"/>
        <v>T-Test Welch</v>
      </c>
      <c r="F59" s="150" t="str">
        <f t="shared" si="42"/>
        <v>MW</v>
      </c>
      <c r="G59" s="150" t="str">
        <f t="shared" si="42"/>
        <v>T-Test Welch</v>
      </c>
      <c r="H59" s="150" t="str">
        <f t="shared" si="42"/>
        <v>T-Test Welch</v>
      </c>
      <c r="I59" s="150" t="str">
        <f t="shared" si="42"/>
        <v>T-Test Welch</v>
      </c>
      <c r="J59" s="150" t="str">
        <f t="shared" si="42"/>
        <v>T-Test Welch</v>
      </c>
      <c r="K59" s="150" t="str">
        <f t="shared" si="42"/>
        <v>MW</v>
      </c>
      <c r="L59" s="150" t="str">
        <f t="shared" si="42"/>
        <v>MW</v>
      </c>
      <c r="M59" s="150" t="str">
        <f t="shared" si="42"/>
        <v>T-Test Welch</v>
      </c>
      <c r="N59" s="150"/>
      <c r="O59" s="150" t="str">
        <f t="shared" si="42"/>
        <v>T-Test Welch</v>
      </c>
      <c r="P59" s="150" t="str">
        <f>IF($O57="Non",IF(P57="Non","MW",IF(P57="Oui","MW","")),IF($O57="Oui",IF(P57="Oui","T-Test Welch",IF(P57="Non","MW",""))))</f>
        <v>T-Test Welch</v>
      </c>
      <c r="Q59" s="150" t="str">
        <f t="shared" ref="Q59:V59" si="43">IF($O57="Non",IF(Q57="Non","MW",IF(Q57="Oui","MW","")),IF($O57="Oui",IF(Q57="Oui","T-Test Welch",IF(Q57="Non","MW",""))))</f>
        <v>MW</v>
      </c>
      <c r="R59" s="150" t="str">
        <f t="shared" si="43"/>
        <v>T-Test Welch</v>
      </c>
      <c r="S59" s="150" t="str">
        <f t="shared" si="43"/>
        <v>T-Test Welch</v>
      </c>
      <c r="T59" s="150" t="str">
        <f t="shared" si="43"/>
        <v>MW</v>
      </c>
      <c r="U59" s="150" t="str">
        <f t="shared" si="43"/>
        <v>T-Test Welch</v>
      </c>
      <c r="V59" s="150" t="str">
        <f t="shared" si="43"/>
        <v>T-Test Welch</v>
      </c>
    </row>
    <row r="60" spans="1:22" s="3" customFormat="1" x14ac:dyDescent="0.35">
      <c r="A60" s="61" t="s">
        <v>83</v>
      </c>
      <c r="B60" s="151"/>
      <c r="C60" s="151">
        <f>IF(C59="MW",[1]!MTEST($B28:$B43,C28:C43,2), IF(C59="T-Test Welch",_xlfn.T.TEST($B28:$B43,C28:C43,2,3),""))</f>
        <v>0.56283375391732537</v>
      </c>
      <c r="D60" s="151">
        <f>IF(D59="MW",[1]!MTEST($B28:$B43,D28:D43,2), IF(D59="T-Test Welch",_xlfn.T.TEST($B28:$B43,D28:D43,2,3),""))</f>
        <v>0.24715997321190719</v>
      </c>
      <c r="E60" s="151">
        <f>IF(E59="MW",[1]!MTEST($B28:$B43,E28:E43,2), IF(E59="T-Test Welch",_xlfn.T.TEST($B28:$B43,E28:E43,2,3),""))</f>
        <v>7.2124594802238881E-4</v>
      </c>
      <c r="F60" s="151">
        <f>IF(F59="MW",[1]!MTEST($B28:$B43,F28:F43,2), IF(F59="T-Test Welch",_xlfn.T.TEST($B28:$B43,F28:F43,2,3),""))</f>
        <v>1.1937454448720519E-3</v>
      </c>
      <c r="G60" s="151">
        <f>IF(G59="MW",[1]!MTEST($B28:$B43,G28:G43,2), IF(G59="T-Test Welch",_xlfn.T.TEST($B28:$B43,G28:G43,2,3),""))</f>
        <v>2.0994654420963027E-5</v>
      </c>
      <c r="H60" s="151">
        <f>IF(H59="MW",[1]!MTEST($B28:$B43,H28:H43,2), IF(H59="T-Test Welch",_xlfn.T.TEST($B28:$B43,H28:H43,2,3),""))</f>
        <v>3.8649339224351356E-5</v>
      </c>
      <c r="I60" s="151">
        <f>IF(I59="MW",[1]!MTEST($B28:$B43,I28:I43,2), IF(I59="T-Test Welch",_xlfn.T.TEST($B28:$B43,I28:I43,2,3),""))</f>
        <v>0.69962605923921339</v>
      </c>
      <c r="J60" s="151">
        <f>IF(J59="MW",[1]!MTEST($B28:$B43,J28:J43,2), IF(J59="T-Test Welch",_xlfn.T.TEST($B28:$B43,J28:J43,2,3),""))</f>
        <v>0.98790282666642382</v>
      </c>
      <c r="K60" s="151">
        <f>IF(K59="MW",[1]!MTEST($B28:$B43,K28:K43,2), IF(K59="T-Test Welch",_xlfn.T.TEST($B28:$B43,K28:K43,2,3),""))</f>
        <v>0.13246356680795124</v>
      </c>
      <c r="L60" s="151">
        <f>IF(L59="MW",[1]!MTEST($B28:$B43,L28:L43,2), IF(L59="T-Test Welch",_xlfn.T.TEST($B28:$B43,L28:L43,2,3),""))</f>
        <v>0.56283375391732537</v>
      </c>
      <c r="M60" s="151">
        <f>IF(M59="MW",[1]!MTEST($B28:$B43,M28:M43,2), IF(M59="T-Test Welch",_xlfn.T.TEST($B28:$B43,M28:M43,2,3),""))</f>
        <v>0.26962301968045355</v>
      </c>
      <c r="N60" s="151"/>
      <c r="O60" s="151">
        <f>IF(O59="MW",[1]!MTEST($B28:$B43,O28:O43,2), IF(O59="T-Test Welch",_xlfn.T.TEST($B28:$B43,O28:O43,2,3),""))</f>
        <v>7.873160559951157E-4</v>
      </c>
      <c r="P60" s="151">
        <f>IF(P59="MW",[1]!MTEST($O28:$O43,P28:P43,2), IF(P59="T-Test Welch",_xlfn.T.TEST($O28:$O43,P28:P43,2,3),""))</f>
        <v>2.4896509565817764E-3</v>
      </c>
      <c r="Q60" s="151">
        <f>IF(Q59="MW",[1]!MTEST($O28:$O43,Q28:Q43,2), IF(Q59="T-Test Welch",_xlfn.T.TEST($O28:$O43,Q28:Q43,2,3),""))</f>
        <v>3.1557785672700067E-2</v>
      </c>
      <c r="R60" s="151">
        <f>IF(R59="MW",[1]!MTEST($O28:$O43,R28:R43,2), IF(R59="T-Test Welch",_xlfn.T.TEST($O28:$O43,R28:R43,2,3),""))</f>
        <v>0.41293022542785984</v>
      </c>
      <c r="S60" s="151">
        <f>IF(S59="MW",[1]!MTEST($O28:$O43,S28:S43,2), IF(S59="T-Test Welch",_xlfn.T.TEST($O28:$O43,S28:S43,2,3),""))</f>
        <v>0.21044872932776151</v>
      </c>
      <c r="T60" s="151">
        <f>IF(T59="MW",[1]!MTEST($O28:$O43,T28:T43,2), IF(T59="T-Test Welch",_xlfn.T.TEST($O28:$O43,T28:T43,2,3),""))</f>
        <v>0.65137844647639254</v>
      </c>
      <c r="U60" s="151">
        <f>IF(U59="MW",[1]!MTEST($O28:$O43,U28:U43,2), IF(U59="T-Test Welch",_xlfn.T.TEST($O28:$O43,U28:U43,2,3),""))</f>
        <v>6.311939433309946E-2</v>
      </c>
      <c r="V60" s="151">
        <f>IF(V59="MW",[1]!MTEST($O28:$O43,V28:V43,2), IF(V59="T-Test Welch",_xlfn.T.TEST($O28:$O43,V28:V43,2,3),""))</f>
        <v>0.11675832166659232</v>
      </c>
    </row>
    <row r="61" spans="1:22" s="3" customFormat="1" ht="15" thickBot="1" x14ac:dyDescent="0.4">
      <c r="A61" s="62" t="s">
        <v>84</v>
      </c>
      <c r="B61" s="142"/>
      <c r="C61" s="142" t="str">
        <f t="shared" ref="C61:O61" si="44">IF(C60&gt;0.05,"NS",IF(C60&gt;0.01,"*",IF(C60&gt;0.001,"**","***")))</f>
        <v>NS</v>
      </c>
      <c r="D61" s="142" t="str">
        <f t="shared" si="44"/>
        <v>NS</v>
      </c>
      <c r="E61" s="142" t="str">
        <f t="shared" si="44"/>
        <v>***</v>
      </c>
      <c r="F61" s="142" t="str">
        <f t="shared" si="44"/>
        <v>**</v>
      </c>
      <c r="G61" s="142" t="str">
        <f t="shared" si="44"/>
        <v>***</v>
      </c>
      <c r="H61" s="142" t="str">
        <f t="shared" si="44"/>
        <v>***</v>
      </c>
      <c r="I61" s="142" t="str">
        <f t="shared" si="44"/>
        <v>NS</v>
      </c>
      <c r="J61" s="142" t="str">
        <f t="shared" si="44"/>
        <v>NS</v>
      </c>
      <c r="K61" s="142" t="str">
        <f t="shared" si="44"/>
        <v>NS</v>
      </c>
      <c r="L61" s="142" t="str">
        <f t="shared" si="44"/>
        <v>NS</v>
      </c>
      <c r="M61" s="142" t="str">
        <f t="shared" si="44"/>
        <v>NS</v>
      </c>
      <c r="N61" s="142"/>
      <c r="O61" s="142" t="str">
        <f t="shared" si="44"/>
        <v>***</v>
      </c>
      <c r="P61" s="142" t="str">
        <f>IF(P60&gt;0.05,"NS",IF(P60&gt;0.01,"*",IF(P60&gt;0.001,"**","***")))</f>
        <v>**</v>
      </c>
      <c r="Q61" s="142" t="str">
        <f t="shared" ref="Q61:V61" si="45">IF(Q60&gt;0.05,"NS",IF(Q60&gt;0.01,"*",IF(Q60&gt;0.001,"**","***")))</f>
        <v>*</v>
      </c>
      <c r="R61" s="142" t="str">
        <f t="shared" si="45"/>
        <v>NS</v>
      </c>
      <c r="S61" s="142" t="str">
        <f t="shared" si="45"/>
        <v>NS</v>
      </c>
      <c r="T61" s="142" t="str">
        <f t="shared" si="45"/>
        <v>NS</v>
      </c>
      <c r="U61" s="142" t="str">
        <f t="shared" si="45"/>
        <v>NS</v>
      </c>
      <c r="V61" s="142" t="str">
        <f t="shared" si="45"/>
        <v>NS</v>
      </c>
    </row>
    <row r="63" spans="1:22" x14ac:dyDescent="0.35">
      <c r="A63" s="2" t="s">
        <v>39</v>
      </c>
    </row>
    <row r="64" spans="1:22" x14ac:dyDescent="0.35">
      <c r="A64" s="1" t="s">
        <v>23</v>
      </c>
      <c r="B64" s="1">
        <f>B46+(3*B47)</f>
        <v>0.56183356867533463</v>
      </c>
    </row>
    <row r="65" spans="1:22" x14ac:dyDescent="0.35">
      <c r="A65" s="1" t="s">
        <v>24</v>
      </c>
      <c r="B65" s="1">
        <f>B46+(10*B47)</f>
        <v>1.431806522374073</v>
      </c>
    </row>
    <row r="66" spans="1:22" ht="15" thickBot="1" x14ac:dyDescent="0.4"/>
    <row r="67" spans="1:22" ht="26.5" thickBot="1" x14ac:dyDescent="0.65">
      <c r="A67" s="215" t="s">
        <v>45</v>
      </c>
      <c r="B67" s="216"/>
      <c r="C67" s="216"/>
      <c r="D67" s="216"/>
      <c r="E67" s="216"/>
      <c r="F67" s="216"/>
      <c r="G67" s="216"/>
      <c r="H67" s="216"/>
      <c r="I67" s="216"/>
      <c r="J67" s="216"/>
      <c r="K67" s="216"/>
      <c r="L67" s="216"/>
      <c r="M67" s="216"/>
      <c r="N67" s="216"/>
      <c r="O67" s="216"/>
      <c r="P67" s="216"/>
      <c r="Q67" s="216"/>
      <c r="R67" s="216"/>
      <c r="S67" s="216"/>
      <c r="T67" s="216"/>
      <c r="U67" s="216"/>
      <c r="V67" s="216"/>
    </row>
    <row r="68" spans="1:22" ht="16.5" x14ac:dyDescent="0.35">
      <c r="A68" s="12"/>
      <c r="B68" s="12"/>
      <c r="C68" s="12"/>
      <c r="D68" s="12"/>
      <c r="E68" s="12"/>
      <c r="F68" s="12"/>
      <c r="N68" s="12"/>
      <c r="O68" s="12"/>
      <c r="P68" s="12"/>
      <c r="Q68" s="12"/>
      <c r="R68" s="12"/>
      <c r="S68" s="12"/>
      <c r="T68" s="12"/>
      <c r="U68" s="12"/>
      <c r="V68" s="12"/>
    </row>
    <row r="69" spans="1:22" ht="16.5" x14ac:dyDescent="0.35">
      <c r="A69" s="12"/>
      <c r="B69" s="12"/>
      <c r="C69" s="12"/>
      <c r="D69" s="12"/>
      <c r="E69" s="12"/>
      <c r="F69" s="12"/>
      <c r="N69" s="12"/>
      <c r="O69" s="12"/>
      <c r="P69" s="12"/>
      <c r="Q69" s="12"/>
      <c r="R69" s="12"/>
      <c r="S69" s="12"/>
      <c r="T69" s="12"/>
      <c r="U69" s="12"/>
      <c r="V69" s="12"/>
    </row>
    <row r="70" spans="1:22" ht="16.5" x14ac:dyDescent="0.35">
      <c r="A70" s="12"/>
      <c r="B70" s="12"/>
      <c r="C70" s="12"/>
      <c r="D70" s="12"/>
      <c r="E70" s="12"/>
      <c r="F70" s="12"/>
      <c r="N70" s="12"/>
      <c r="O70" s="12"/>
      <c r="P70" s="12"/>
      <c r="Q70" s="12"/>
      <c r="R70" s="12"/>
      <c r="S70" s="12"/>
      <c r="T70" s="12"/>
      <c r="U70" s="12"/>
      <c r="V70" s="12"/>
    </row>
    <row r="71" spans="1:22" ht="16.5" x14ac:dyDescent="0.35">
      <c r="A71" s="12"/>
      <c r="B71" s="12"/>
      <c r="C71" s="12"/>
      <c r="D71" s="12"/>
      <c r="E71" s="12"/>
      <c r="F71" s="12"/>
      <c r="N71" s="12"/>
      <c r="O71" s="12"/>
      <c r="P71" s="12"/>
      <c r="Q71" s="12"/>
      <c r="R71" s="12"/>
      <c r="S71" s="12"/>
      <c r="T71" s="12"/>
      <c r="U71" s="12"/>
      <c r="V71" s="12"/>
    </row>
    <row r="72" spans="1:22" ht="16.5" x14ac:dyDescent="0.35">
      <c r="A72" s="12"/>
      <c r="B72" s="12"/>
      <c r="C72" s="12"/>
      <c r="D72" s="12"/>
      <c r="E72" s="12"/>
      <c r="F72" s="12"/>
      <c r="N72" s="12"/>
      <c r="O72" s="12"/>
      <c r="P72" s="12"/>
      <c r="Q72" s="12"/>
      <c r="R72" s="12"/>
      <c r="S72" s="12"/>
      <c r="T72" s="12"/>
      <c r="U72" s="12"/>
      <c r="V72" s="12"/>
    </row>
    <row r="73" spans="1:22" ht="16.5" x14ac:dyDescent="0.35">
      <c r="A73" s="12"/>
      <c r="B73" s="12"/>
      <c r="C73" s="12"/>
      <c r="D73" s="12"/>
      <c r="E73" s="12"/>
      <c r="F73" s="12"/>
      <c r="N73" s="12"/>
      <c r="O73" s="12"/>
      <c r="P73" s="12"/>
      <c r="Q73" s="12"/>
      <c r="R73" s="12"/>
      <c r="S73" s="12"/>
      <c r="T73" s="12"/>
      <c r="U73" s="12"/>
      <c r="V73" s="12"/>
    </row>
    <row r="74" spans="1:22" ht="16.5" x14ac:dyDescent="0.35">
      <c r="A74" s="12"/>
      <c r="B74" s="12"/>
      <c r="C74" s="12"/>
      <c r="D74" s="12"/>
      <c r="E74" s="12"/>
      <c r="F74" s="12"/>
      <c r="N74" s="12"/>
      <c r="O74" s="12"/>
      <c r="P74" s="12"/>
      <c r="Q74" s="12"/>
      <c r="R74" s="12"/>
      <c r="S74" s="12"/>
      <c r="T74" s="12"/>
      <c r="U74" s="12"/>
      <c r="V74" s="12"/>
    </row>
  </sheetData>
  <protectedRanges>
    <protectedRange sqref="O51:V51" name="Plage2"/>
    <protectedRange sqref="R5:V20" name="Plage1"/>
    <protectedRange sqref="B51:J51" name="Plage2_1"/>
    <protectedRange sqref="O5:O20 B5:J20" name="Plage1_1"/>
  </protectedRanges>
  <mergeCells count="9">
    <mergeCell ref="A28:A43"/>
    <mergeCell ref="A50:V50"/>
    <mergeCell ref="A67:V67"/>
    <mergeCell ref="A1:V1"/>
    <mergeCell ref="B3:M3"/>
    <mergeCell ref="O3:V3"/>
    <mergeCell ref="A5:A20"/>
    <mergeCell ref="B26:M26"/>
    <mergeCell ref="O26:V26"/>
  </mergeCells>
  <pageMargins left="0.7" right="0.7" top="0.75" bottom="0.75" header="0.3" footer="0.3"/>
  <pageSetup paperSize="9" scale="21" orientation="landscape" r:id="rId1"/>
  <headerFooter>
    <oddHeader>&amp;C&amp;"-,Gras"&amp;14Données brutes et normalisées R1&amp;R&amp;"-,Gras"&amp;14Page : &amp;P/&amp;P</oddHeader>
  </headerFooter>
  <colBreaks count="1" manualBreakCount="1">
    <brk id="14" max="1048575" man="1"/>
  </colBreak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N118"/>
  <sheetViews>
    <sheetView showGridLines="0" tabSelected="1" topLeftCell="A75" zoomScale="70" zoomScaleNormal="70" workbookViewId="0">
      <selection activeCell="B94" sqref="B94:V94"/>
    </sheetView>
  </sheetViews>
  <sheetFormatPr baseColWidth="10" defaultRowHeight="14.5" x14ac:dyDescent="0.35"/>
  <cols>
    <col min="1" max="1" width="42.81640625" customWidth="1"/>
    <col min="2" max="2" width="14" bestFit="1" customWidth="1"/>
    <col min="3" max="13" width="22.7265625" bestFit="1" customWidth="1"/>
    <col min="14" max="14" width="8.453125" customWidth="1"/>
    <col min="15" max="15" width="22.7265625" customWidth="1"/>
    <col min="18" max="22" width="29.1796875" customWidth="1"/>
  </cols>
  <sheetData>
    <row r="1" spans="1:22" s="1" customFormat="1" ht="21.5" thickBot="1" x14ac:dyDescent="0.4">
      <c r="A1" s="37" t="s">
        <v>8</v>
      </c>
      <c r="B1" s="55" t="e">
        <f>'Page de garde'!#REF!</f>
        <v>#REF!</v>
      </c>
      <c r="C1" s="38"/>
      <c r="D1" s="38"/>
      <c r="E1" s="38"/>
      <c r="F1" s="38"/>
      <c r="G1" s="38"/>
      <c r="H1" s="56"/>
      <c r="I1" s="55"/>
      <c r="J1" s="57"/>
      <c r="K1" s="57"/>
      <c r="L1" s="57"/>
      <c r="M1" s="57"/>
      <c r="N1" s="57"/>
      <c r="O1" s="57"/>
      <c r="P1" s="57"/>
      <c r="Q1" s="57"/>
      <c r="R1" s="57"/>
      <c r="S1" s="57"/>
      <c r="T1" s="57"/>
      <c r="U1" s="57"/>
      <c r="V1" s="57"/>
    </row>
    <row r="2" spans="1:22" ht="15" thickBot="1" x14ac:dyDescent="0.4">
      <c r="A2" s="1"/>
      <c r="B2" s="1"/>
      <c r="C2" s="1"/>
      <c r="D2" s="1"/>
      <c r="E2" s="1"/>
      <c r="F2" s="1"/>
      <c r="G2" s="1"/>
      <c r="H2" s="1"/>
      <c r="I2" s="1"/>
      <c r="J2" s="1"/>
      <c r="K2" s="1"/>
      <c r="L2" s="1"/>
      <c r="M2" s="1"/>
    </row>
    <row r="3" spans="1:22" s="33" customFormat="1" ht="15" thickBot="1" x14ac:dyDescent="0.4">
      <c r="B3" s="221" t="s">
        <v>6</v>
      </c>
      <c r="C3" s="222"/>
      <c r="D3" s="222"/>
      <c r="E3" s="222"/>
      <c r="F3" s="222"/>
      <c r="G3" s="222"/>
      <c r="H3" s="222"/>
      <c r="I3" s="222"/>
      <c r="J3" s="222"/>
      <c r="K3" s="222"/>
      <c r="L3" s="222"/>
      <c r="M3" s="222"/>
      <c r="N3" s="72"/>
      <c r="O3" s="221" t="s">
        <v>3</v>
      </c>
      <c r="P3" s="222"/>
      <c r="Q3" s="222"/>
      <c r="R3" s="222"/>
      <c r="S3" s="222"/>
      <c r="T3" s="222"/>
      <c r="U3" s="222"/>
      <c r="V3" s="222"/>
    </row>
    <row r="4" spans="1:22" x14ac:dyDescent="0.35">
      <c r="A4" s="34" t="s">
        <v>41</v>
      </c>
      <c r="B4" s="35" t="str">
        <f>'R1'!B4</f>
        <v>Témoin solvant</v>
      </c>
      <c r="C4" s="35" t="str">
        <f>'R1'!C4</f>
        <v>EE2-33,8ng/L</v>
      </c>
      <c r="D4" s="35" t="str">
        <f>'R1'!D4</f>
        <v>EE2-50,6ng/L</v>
      </c>
      <c r="E4" s="35" t="str">
        <f>'R1'!E4</f>
        <v>EE2-76ng/L</v>
      </c>
      <c r="F4" s="35" t="str">
        <f>'R1'!F4</f>
        <v>EE2-114ng/L</v>
      </c>
      <c r="G4" s="35" t="str">
        <f>'R1'!G4</f>
        <v>EE2-170,9ng/L</v>
      </c>
      <c r="H4" s="35" t="str">
        <f>'R1'!H4</f>
        <v>EE2-488ng/L</v>
      </c>
      <c r="I4" s="35" t="str">
        <f>'R1'!I4</f>
        <v>Dutasteride-0,01mg/L</v>
      </c>
      <c r="J4" s="35" t="str">
        <f>'R1'!J4</f>
        <v>Dutasteride-0,1mg/L</v>
      </c>
      <c r="K4" s="35" t="str">
        <f>'R1'!K4</f>
        <v>Dutasteride-0,25mg/L</v>
      </c>
      <c r="L4" s="35" t="str">
        <f>'R1'!L4</f>
        <v>Dutasteride-0,5mg/L</v>
      </c>
      <c r="M4" s="35" t="str">
        <f>'R1'!M4</f>
        <v>Dutasteride-1mg/L</v>
      </c>
      <c r="O4" s="35" t="str">
        <f>'R1'!O4</f>
        <v>Testo -30µg/L</v>
      </c>
      <c r="P4" s="35" t="str">
        <f>'R1'!P4</f>
        <v>Testo 30µg/L + EE2 -64ng/L</v>
      </c>
      <c r="Q4" s="35" t="str">
        <f>'R1'!Q4</f>
        <v>Testo 30µg/L + FAD-10µg/L</v>
      </c>
      <c r="R4" s="35" t="str">
        <f>'R1'!R4</f>
        <v>Dutasteride-0,01mg/L + Testostérone</v>
      </c>
      <c r="S4" s="35" t="str">
        <f>'R1'!S4</f>
        <v>Dutasteride-0,1mg/L + Testostérone</v>
      </c>
      <c r="T4" s="35" t="str">
        <f>'R1'!T4</f>
        <v>Dutasteride-0,25mg/L + Testostérone</v>
      </c>
      <c r="U4" s="35" t="str">
        <f>'R1'!U4</f>
        <v>Dutasteride-0,5mg/L + Testostérone</v>
      </c>
      <c r="V4" s="35" t="str">
        <f>'R1'!V4</f>
        <v>Dutasteride-1mg/L + Testostérone</v>
      </c>
    </row>
    <row r="5" spans="1:22" s="1" customFormat="1" x14ac:dyDescent="0.35">
      <c r="A5" s="34"/>
      <c r="B5" s="35"/>
      <c r="C5" s="194" t="s">
        <v>165</v>
      </c>
      <c r="D5" s="35"/>
      <c r="E5" s="35"/>
      <c r="F5" s="35"/>
      <c r="G5" s="35"/>
      <c r="H5" s="35"/>
      <c r="I5" s="35"/>
      <c r="J5" s="35"/>
      <c r="K5" s="35"/>
      <c r="L5" s="35"/>
      <c r="M5" s="35"/>
      <c r="O5" s="35"/>
      <c r="P5" s="35"/>
      <c r="Q5" s="35"/>
      <c r="R5" s="35"/>
      <c r="S5" s="35"/>
      <c r="T5" s="35"/>
      <c r="U5" s="35"/>
      <c r="V5" s="35"/>
    </row>
    <row r="6" spans="1:22" s="1" customFormat="1" x14ac:dyDescent="0.35">
      <c r="A6" s="71" t="s">
        <v>4</v>
      </c>
      <c r="B6" s="53">
        <f>'R1'!B28</f>
        <v>0.23158710399728602</v>
      </c>
      <c r="C6" s="53">
        <f>'R1'!C28</f>
        <v>0.62115709717272782</v>
      </c>
      <c r="D6" s="53">
        <f>'R1'!D28</f>
        <v>2.166495045496283</v>
      </c>
      <c r="E6" s="53">
        <f>'R1'!E28</f>
        <v>1.5966542640990335</v>
      </c>
      <c r="F6" s="53">
        <f>'R1'!F28</f>
        <v>4.501547470744895</v>
      </c>
      <c r="G6" s="53">
        <f>'R1'!G28</f>
        <v>3.8115006534222542</v>
      </c>
      <c r="H6" s="53">
        <f>'R1'!H28</f>
        <v>6.4482552270565829</v>
      </c>
      <c r="I6" s="53">
        <f>'R1'!I28</f>
        <v>0.41621359483458764</v>
      </c>
      <c r="J6" s="53">
        <f>'R1'!J28</f>
        <v>9.89451379896443E-2</v>
      </c>
      <c r="K6" s="53">
        <f>'R1'!K28</f>
        <v>1.3058055753384364E-2</v>
      </c>
      <c r="L6" s="53">
        <f>'R1'!L28</f>
        <v>0.55707733012834382</v>
      </c>
      <c r="M6" s="53">
        <f>'R1'!M28</f>
        <v>0.54786970561204573</v>
      </c>
      <c r="N6"/>
      <c r="O6" s="53">
        <f>'R1'!O28</f>
        <v>1.1523001805738275</v>
      </c>
      <c r="P6" s="53">
        <f>'R1'!P28</f>
        <v>4.222396555020242</v>
      </c>
      <c r="Q6" s="53">
        <f>'R1'!Q28</f>
        <v>0.11111773445448307</v>
      </c>
      <c r="R6" s="53">
        <f>'R1'!R28</f>
        <v>0.31885997939517308</v>
      </c>
      <c r="S6" s="53">
        <f>'R1'!S28</f>
        <v>0.38970495165436514</v>
      </c>
      <c r="T6" s="53">
        <f>'R1'!T28</f>
        <v>2.7997959370194452</v>
      </c>
      <c r="U6" s="53">
        <f>'R1'!U28</f>
        <v>2.6793413799926213</v>
      </c>
      <c r="V6" s="53">
        <f>'R1'!V28</f>
        <v>0.67907156589946915</v>
      </c>
    </row>
    <row r="7" spans="1:22" s="1" customFormat="1" x14ac:dyDescent="0.35">
      <c r="A7" s="225" t="s">
        <v>34</v>
      </c>
      <c r="B7" s="53">
        <f>'R1'!B29</f>
        <v>0.45657934671352701</v>
      </c>
      <c r="C7" s="53">
        <f>'R1'!C29</f>
        <v>0.19595559680886973</v>
      </c>
      <c r="D7" s="53">
        <f>'R1'!D29</f>
        <v>0.71414678082110405</v>
      </c>
      <c r="E7" s="53">
        <f>'R1'!E29</f>
        <v>3.5237889263790696</v>
      </c>
      <c r="F7" s="53">
        <f>'R1'!F29</f>
        <v>2.9156997599703791</v>
      </c>
      <c r="G7" s="53">
        <f>'R1'!G29</f>
        <v>3.9149167024850104</v>
      </c>
      <c r="H7" s="53">
        <f>'R1'!H29</f>
        <v>8.1174093506167271</v>
      </c>
      <c r="I7" s="53">
        <f>'R1'!I29</f>
        <v>9.5918447224522821E-2</v>
      </c>
      <c r="J7" s="53">
        <f>'R1'!J29</f>
        <v>4.3914172373557048E-2</v>
      </c>
      <c r="K7" s="53">
        <f>'R1'!K29</f>
        <v>0.12339977895405842</v>
      </c>
      <c r="L7" s="53">
        <f>'R1'!L29</f>
        <v>0.23410194004356422</v>
      </c>
      <c r="M7" s="53">
        <f>'R1'!M29</f>
        <v>0.22222888556853085</v>
      </c>
      <c r="N7"/>
      <c r="O7" s="53">
        <f>'R1'!O29</f>
        <v>1.15635140369419</v>
      </c>
      <c r="P7" s="53">
        <f>'R1'!P29</f>
        <v>8.9234521576563974</v>
      </c>
      <c r="Q7" s="53">
        <f>'R1'!Q29</f>
        <v>0.12178850638252284</v>
      </c>
      <c r="R7" s="53">
        <f>'R1'!R29</f>
        <v>2.6817912055521012</v>
      </c>
      <c r="S7" s="53">
        <f>'R1'!S29</f>
        <v>3.1274940509489859</v>
      </c>
      <c r="T7" s="53">
        <f>'R1'!T29</f>
        <v>0.37495003990378656</v>
      </c>
      <c r="U7" s="53">
        <f>'R1'!U29</f>
        <v>1.2106837123065828</v>
      </c>
      <c r="V7" s="53">
        <f>'R1'!V29</f>
        <v>1.2339648728384078</v>
      </c>
    </row>
    <row r="8" spans="1:22" s="1" customFormat="1" x14ac:dyDescent="0.35">
      <c r="A8" s="226"/>
      <c r="B8" s="53">
        <f>'R1'!B30</f>
        <v>0.68950040006651236</v>
      </c>
      <c r="C8" s="53">
        <f>'R1'!C30</f>
        <v>0.38530481149093271</v>
      </c>
      <c r="D8" s="53">
        <f>'R1'!D30</f>
        <v>1.1050071087218614</v>
      </c>
      <c r="E8" s="53">
        <f>'R1'!E30</f>
        <v>1.1876979791767914</v>
      </c>
      <c r="F8" s="53">
        <f>'R1'!F30</f>
        <v>2.6228941732653941</v>
      </c>
      <c r="G8" s="53">
        <f>'R1'!G30</f>
        <v>6.37355159438476</v>
      </c>
      <c r="H8" s="53">
        <f>'R1'!H30</f>
        <v>7.1581154303367631</v>
      </c>
      <c r="I8" s="53">
        <f>'R1'!I30</f>
        <v>0.2376256730115496</v>
      </c>
      <c r="J8" s="53">
        <f>'R1'!J30</f>
        <v>0.31526629843506282</v>
      </c>
      <c r="K8" s="53">
        <f>'R1'!K30</f>
        <v>0.35342169376285582</v>
      </c>
      <c r="L8" s="53">
        <f>'R1'!L30</f>
        <v>1.1490702291727668</v>
      </c>
      <c r="M8" s="53">
        <f>'R1'!M30</f>
        <v>0.11122553665411083</v>
      </c>
      <c r="N8"/>
      <c r="O8" s="53">
        <f>'R1'!O30</f>
        <v>0.55090133388249363</v>
      </c>
      <c r="P8" s="53">
        <f>'R1'!P30</f>
        <v>5.9046976094296477</v>
      </c>
      <c r="Q8" s="53">
        <f>'R1'!Q30</f>
        <v>5.4462329585989663E-2</v>
      </c>
      <c r="R8" s="53">
        <f>'R1'!R30</f>
        <v>0.84251615888624687</v>
      </c>
      <c r="S8" s="53">
        <f>'R1'!S30</f>
        <v>1.371488385778812</v>
      </c>
      <c r="T8" s="53">
        <f>'R1'!T30</f>
        <v>1.195521456366571</v>
      </c>
      <c r="U8" s="53">
        <f>'R1'!U30</f>
        <v>1.5688190778211015</v>
      </c>
      <c r="V8" s="53">
        <f>'R1'!V30</f>
        <v>1.4085797487087524</v>
      </c>
    </row>
    <row r="9" spans="1:22" s="1" customFormat="1" x14ac:dyDescent="0.35">
      <c r="A9" s="226"/>
      <c r="B9" s="53">
        <f>'R1'!B31</f>
        <v>0.41447065545434641</v>
      </c>
      <c r="C9" s="53">
        <f>'R1'!C31</f>
        <v>0.97440350949649435</v>
      </c>
      <c r="D9" s="53">
        <f>'R1'!D31</f>
        <v>0.49146611351520186</v>
      </c>
      <c r="E9" s="53">
        <f>'R1'!E31</f>
        <v>6.6441721467403951</v>
      </c>
      <c r="F9" s="53">
        <f>'R1'!F31</f>
        <v>10.321077227880838</v>
      </c>
      <c r="G9" s="53">
        <f>'R1'!G31</f>
        <v>7.7792906316956882</v>
      </c>
      <c r="H9" s="53">
        <f>'R1'!H31</f>
        <v>6.6734112303661517</v>
      </c>
      <c r="I9" s="53">
        <f>'R1'!I31</f>
        <v>5.4096954191831442E-2</v>
      </c>
      <c r="J9" s="53">
        <f>'R1'!J31</f>
        <v>0.1512596527586228</v>
      </c>
      <c r="K9" s="53">
        <f>'R1'!K31</f>
        <v>0.1639325830965431</v>
      </c>
      <c r="L9" s="53">
        <f>'R1'!L31</f>
        <v>0.48324269839397865</v>
      </c>
      <c r="M9" s="53">
        <f>'R1'!M31</f>
        <v>0.62364395402215611</v>
      </c>
      <c r="N9"/>
      <c r="O9" s="53">
        <f>'R1'!O31</f>
        <v>0.73562904357898773</v>
      </c>
      <c r="P9" s="53">
        <f>'R1'!P31</f>
        <v>9.0998066812367657</v>
      </c>
      <c r="Q9" s="53">
        <f>'R1'!Q31</f>
        <v>0.1281027527775139</v>
      </c>
      <c r="R9" s="53">
        <f>'R1'!R31</f>
        <v>0.99304752960921649</v>
      </c>
      <c r="S9" s="53">
        <f>'R1'!S31</f>
        <v>4.8627786520991059</v>
      </c>
      <c r="T9" s="53">
        <f>'R1'!T31</f>
        <v>2.255314182978907</v>
      </c>
      <c r="U9" s="53">
        <f>'R1'!U31</f>
        <v>3.7722293818906807</v>
      </c>
      <c r="V9" s="53">
        <f>'R1'!V31</f>
        <v>3.1996145454175142</v>
      </c>
    </row>
    <row r="10" spans="1:22" s="1" customFormat="1" x14ac:dyDescent="0.35">
      <c r="A10" s="226"/>
      <c r="B10" s="53">
        <f>'R1'!B32</f>
        <v>0.743585833412582</v>
      </c>
      <c r="C10" s="53">
        <f>'R1'!C32</f>
        <v>0.36835847029295915</v>
      </c>
      <c r="D10" s="53">
        <f>'R1'!D32</f>
        <v>1.9442612224224254</v>
      </c>
      <c r="E10" s="53">
        <f>'R1'!E32</f>
        <v>4.7755098912889906</v>
      </c>
      <c r="F10" s="53">
        <f>'R1'!F32</f>
        <v>3.0137372198975085</v>
      </c>
      <c r="G10" s="53">
        <f>'R1'!G32</f>
        <v>2.7846213373161173</v>
      </c>
      <c r="H10" s="53">
        <f>'R1'!H32</f>
        <v>8.4923684426136123</v>
      </c>
      <c r="I10" s="53">
        <f>'R1'!I32</f>
        <v>0.26719803824684202</v>
      </c>
      <c r="J10" s="53">
        <f>'R1'!J32</f>
        <v>0.23182081258273857</v>
      </c>
      <c r="K10" s="53">
        <f>'R1'!K32</f>
        <v>0.55105110487739639</v>
      </c>
      <c r="L10" s="53">
        <f>'R1'!L32</f>
        <v>0.46007510048466244</v>
      </c>
      <c r="M10" s="53">
        <f>'R1'!M32</f>
        <v>0.61716265536361981</v>
      </c>
      <c r="N10"/>
      <c r="O10" s="53">
        <f>'R1'!O32</f>
        <v>1.3502348941010545</v>
      </c>
      <c r="P10" s="53">
        <f>'R1'!P32</f>
        <v>6.0859254507672347</v>
      </c>
      <c r="Q10" s="53">
        <f>'R1'!Q32</f>
        <v>5.5448184816173335E-2</v>
      </c>
      <c r="R10" s="53">
        <f>'R1'!R32</f>
        <v>2.8660284563861667</v>
      </c>
      <c r="S10" s="53">
        <f>'R1'!S32</f>
        <v>1.5018187763761148</v>
      </c>
      <c r="T10" s="53">
        <f>'R1'!T32</f>
        <v>0.7929222095521492</v>
      </c>
      <c r="U10" s="53">
        <f>'R1'!U32</f>
        <v>1.0833405124317899</v>
      </c>
      <c r="V10" s="53">
        <f>'R1'!V32</f>
        <v>5.0735270148660572</v>
      </c>
    </row>
    <row r="11" spans="1:22" s="1" customFormat="1" x14ac:dyDescent="0.35">
      <c r="A11" s="226"/>
      <c r="B11" s="53">
        <f>'R1'!B33</f>
        <v>0.29754970640616113</v>
      </c>
      <c r="C11" s="53">
        <f>'R1'!C33</f>
        <v>0.21425728321895723</v>
      </c>
      <c r="D11" s="53">
        <f>'R1'!D33</f>
        <v>0.70373193625248587</v>
      </c>
      <c r="E11" s="53">
        <f>'R1'!E33</f>
        <v>0.5047982008142049</v>
      </c>
      <c r="F11" s="53">
        <f>'R1'!F33</f>
        <v>3.5287955567801026</v>
      </c>
      <c r="G11" s="53">
        <f>'R1'!G33</f>
        <v>5.5858894738404024</v>
      </c>
      <c r="H11" s="53">
        <f>'R1'!H33</f>
        <v>8.8977252861528644</v>
      </c>
      <c r="I11" s="53">
        <f>'R1'!I33</f>
        <v>0.2596601134484427</v>
      </c>
      <c r="J11" s="53">
        <f>'R1'!J33</f>
        <v>0.17473913642106059</v>
      </c>
      <c r="K11" s="53">
        <f>'R1'!K33</f>
        <v>0.18813705712441645</v>
      </c>
      <c r="L11" s="53">
        <f>'R1'!L33</f>
        <v>7.2025036032216605E-2</v>
      </c>
      <c r="M11" s="53">
        <f>'R1'!M33</f>
        <v>0.16170576819430851</v>
      </c>
      <c r="N11"/>
      <c r="O11" s="53">
        <f>'R1'!O33</f>
        <v>0.32002440773466378</v>
      </c>
      <c r="P11" s="53">
        <f>'R1'!P33</f>
        <v>6.5490247732643549</v>
      </c>
      <c r="Q11" s="53">
        <f>'R1'!Q33</f>
        <v>0.48146766522911544</v>
      </c>
      <c r="R11" s="53">
        <f>'R1'!R33</f>
        <v>0.75465242868429316</v>
      </c>
      <c r="S11" s="53">
        <f>'R1'!S33</f>
        <v>2.4533311882615747</v>
      </c>
      <c r="T11" s="53">
        <f>'R1'!T33</f>
        <v>0.38104456731175002</v>
      </c>
      <c r="U11" s="53">
        <f>'R1'!U33</f>
        <v>4.812915608724716E-2</v>
      </c>
      <c r="V11" s="53">
        <f>'R1'!V33</f>
        <v>3.6541950253913784</v>
      </c>
    </row>
    <row r="12" spans="1:22" s="1" customFormat="1" x14ac:dyDescent="0.35">
      <c r="A12" s="226"/>
      <c r="B12" s="53">
        <f>'R1'!B34</f>
        <v>0.28757429981159816</v>
      </c>
      <c r="C12" s="53">
        <f>'R1'!C34</f>
        <v>0.60704241527948055</v>
      </c>
      <c r="D12" s="53">
        <f>'R1'!D34</f>
        <v>0.8042373259252924</v>
      </c>
      <c r="E12" s="53">
        <f>'R1'!E34</f>
        <v>1.6097839136796517</v>
      </c>
      <c r="F12" s="53">
        <f>'R1'!F34</f>
        <v>3.8836532416754044</v>
      </c>
      <c r="G12" s="53">
        <f>'R1'!G34</f>
        <v>6.268896231485062</v>
      </c>
      <c r="H12" s="53">
        <f>'R1'!H34</f>
        <v>13.241767982818716</v>
      </c>
      <c r="I12" s="53">
        <f>'R1'!I34</f>
        <v>0.28009397924200757</v>
      </c>
      <c r="J12" s="53">
        <f>'R1'!J34</f>
        <v>8.6404697377984091E-2</v>
      </c>
      <c r="K12" s="53">
        <f>'R1'!K34</f>
        <v>0.41878850386233785</v>
      </c>
      <c r="L12" s="53">
        <f>'R1'!L34</f>
        <v>1.6803153543506134E-2</v>
      </c>
      <c r="M12" s="53">
        <f>'R1'!M34</f>
        <v>0.30651374732635372</v>
      </c>
      <c r="N12"/>
      <c r="O12" s="53">
        <f>'R1'!O34</f>
        <v>0.36511452929347332</v>
      </c>
      <c r="P12" s="53">
        <f>'R1'!P34</f>
        <v>2.4763720568675121</v>
      </c>
      <c r="Q12" s="53">
        <f>'R1'!Q34</f>
        <v>0.2817949498269739</v>
      </c>
      <c r="R12" s="53">
        <f>'R1'!R34</f>
        <v>0.26840525829916212</v>
      </c>
      <c r="S12" s="53">
        <f>'R1'!S34</f>
        <v>0.22753094337159713</v>
      </c>
      <c r="T12" s="53">
        <f>'R1'!T34</f>
        <v>1.3172293168287617</v>
      </c>
      <c r="U12" s="53">
        <f>'R1'!U34</f>
        <v>7.2515108123394638</v>
      </c>
      <c r="V12" s="53">
        <f>'R1'!V34</f>
        <v>2.0920086630588246</v>
      </c>
    </row>
    <row r="13" spans="1:22" s="1" customFormat="1" x14ac:dyDescent="0.35">
      <c r="A13" s="226"/>
      <c r="B13" s="53">
        <f>'R1'!B35</f>
        <v>0.35309417257620052</v>
      </c>
      <c r="C13" s="53" t="str">
        <f>'R1'!C35</f>
        <v/>
      </c>
      <c r="D13" s="53">
        <f>'R1'!D35</f>
        <v>6.0448231876770973E-2</v>
      </c>
      <c r="E13" s="53" t="str">
        <f>'R1'!E35</f>
        <v/>
      </c>
      <c r="F13" s="53">
        <f>'R1'!F35</f>
        <v>2.839933740735813</v>
      </c>
      <c r="G13" s="53" t="str">
        <f>'R1'!G35</f>
        <v/>
      </c>
      <c r="H13" s="53">
        <f>'R1'!H35</f>
        <v>15.13158497984135</v>
      </c>
      <c r="I13" s="53">
        <f>'R1'!I35</f>
        <v>0.45556468936893901</v>
      </c>
      <c r="J13" s="53">
        <f>'R1'!J35</f>
        <v>0.13240496575197153</v>
      </c>
      <c r="K13" s="53">
        <f>'R1'!K35</f>
        <v>0.1080054602637029</v>
      </c>
      <c r="L13" s="53">
        <f>'R1'!L35</f>
        <v>0.16514391773663523</v>
      </c>
      <c r="M13" s="53">
        <f>'R1'!M35</f>
        <v>7.1717264866867109E-2</v>
      </c>
      <c r="N13"/>
      <c r="O13" s="53">
        <f>'R1'!O35</f>
        <v>1.0625017712014551</v>
      </c>
      <c r="P13" s="53">
        <f>'R1'!P35</f>
        <v>5.4952615635731838</v>
      </c>
      <c r="Q13" s="53">
        <f>'R1'!Q35</f>
        <v>0.66497745694508215</v>
      </c>
      <c r="R13" s="53">
        <f>'R1'!R35</f>
        <v>4.5569824888801982</v>
      </c>
      <c r="S13" s="53">
        <f>'R1'!S35</f>
        <v>3.3574526011060937</v>
      </c>
      <c r="T13" s="53">
        <f>'R1'!T35</f>
        <v>0.16873924453185429</v>
      </c>
      <c r="U13" s="53">
        <f>'R1'!U35</f>
        <v>2.8146199738445943</v>
      </c>
      <c r="V13" s="53">
        <f>'R1'!V35</f>
        <v>1.9017435411387029</v>
      </c>
    </row>
    <row r="14" spans="1:22" s="1" customFormat="1" x14ac:dyDescent="0.35">
      <c r="A14" s="226"/>
      <c r="B14" s="53" t="str">
        <f>'R1'!B36</f>
        <v/>
      </c>
      <c r="C14" s="53" t="str">
        <f>'R1'!C36</f>
        <v/>
      </c>
      <c r="D14" s="53" t="str">
        <f>'R1'!D36</f>
        <v/>
      </c>
      <c r="E14" s="53" t="str">
        <f>'R1'!E36</f>
        <v/>
      </c>
      <c r="F14" s="53" t="str">
        <f>'R1'!F36</f>
        <v/>
      </c>
      <c r="G14" s="53" t="str">
        <f>'R1'!G36</f>
        <v/>
      </c>
      <c r="H14" s="53" t="str">
        <f>'R1'!H36</f>
        <v/>
      </c>
      <c r="I14" s="53" t="str">
        <f>'R1'!I36</f>
        <v/>
      </c>
      <c r="J14" s="53" t="str">
        <f>'R1'!J36</f>
        <v/>
      </c>
      <c r="K14" s="53" t="str">
        <f>'R1'!K36</f>
        <v/>
      </c>
      <c r="L14" s="53" t="str">
        <f>'R1'!L36</f>
        <v/>
      </c>
      <c r="M14" s="53" t="str">
        <f>'R1'!M36</f>
        <v/>
      </c>
      <c r="N14"/>
      <c r="O14" s="53">
        <f>'R1'!O36</f>
        <v>1.9766331531778221</v>
      </c>
      <c r="P14" s="53" t="str">
        <f>'R1'!P36</f>
        <v/>
      </c>
      <c r="Q14" s="53" t="str">
        <f>'R1'!Q36</f>
        <v/>
      </c>
      <c r="R14" s="53" t="str">
        <f>'R1'!R36</f>
        <v/>
      </c>
      <c r="S14" s="53" t="str">
        <f>'R1'!S36</f>
        <v/>
      </c>
      <c r="T14" s="53" t="str">
        <f>'R1'!T36</f>
        <v/>
      </c>
      <c r="U14" s="53" t="str">
        <f>'R1'!U36</f>
        <v/>
      </c>
      <c r="V14" s="53" t="str">
        <f>'R1'!V36</f>
        <v/>
      </c>
    </row>
    <row r="15" spans="1:22" s="1" customFormat="1" x14ac:dyDescent="0.35">
      <c r="A15" s="226"/>
      <c r="B15" s="53" t="str">
        <f>'R1'!B37</f>
        <v/>
      </c>
      <c r="C15" s="53" t="str">
        <f>'R1'!C37</f>
        <v/>
      </c>
      <c r="D15" s="53" t="str">
        <f>'R1'!D37</f>
        <v/>
      </c>
      <c r="E15" s="53" t="str">
        <f>'R1'!E37</f>
        <v/>
      </c>
      <c r="F15" s="53" t="str">
        <f>'R1'!F37</f>
        <v/>
      </c>
      <c r="G15" s="53" t="str">
        <f>'R1'!G37</f>
        <v/>
      </c>
      <c r="H15" s="53" t="str">
        <f>'R1'!H37</f>
        <v/>
      </c>
      <c r="I15" s="53" t="str">
        <f>'R1'!I37</f>
        <v/>
      </c>
      <c r="J15" s="53" t="str">
        <f>'R1'!J37</f>
        <v/>
      </c>
      <c r="K15" s="53" t="str">
        <f>'R1'!K37</f>
        <v/>
      </c>
      <c r="L15" s="53" t="str">
        <f>'R1'!L37</f>
        <v/>
      </c>
      <c r="M15" s="53" t="str">
        <f>'R1'!M37</f>
        <v/>
      </c>
      <c r="N15"/>
      <c r="O15" s="53">
        <f>'R1'!O37</f>
        <v>1.2140033617210744</v>
      </c>
      <c r="P15" s="53" t="str">
        <f>'R1'!P37</f>
        <v/>
      </c>
      <c r="Q15" s="53" t="str">
        <f>'R1'!Q37</f>
        <v/>
      </c>
      <c r="R15" s="53" t="str">
        <f>'R1'!R37</f>
        <v/>
      </c>
      <c r="S15" s="53" t="str">
        <f>'R1'!S37</f>
        <v/>
      </c>
      <c r="T15" s="53" t="str">
        <f>'R1'!T37</f>
        <v/>
      </c>
      <c r="U15" s="53" t="str">
        <f>'R1'!U37</f>
        <v/>
      </c>
      <c r="V15" s="53" t="str">
        <f>'R1'!V37</f>
        <v/>
      </c>
    </row>
    <row r="16" spans="1:22" s="1" customFormat="1" x14ac:dyDescent="0.35">
      <c r="A16" s="226"/>
      <c r="B16" s="53" t="str">
        <f>'R1'!B38</f>
        <v/>
      </c>
      <c r="C16" s="53" t="str">
        <f>'R1'!C38</f>
        <v/>
      </c>
      <c r="D16" s="53" t="str">
        <f>'R1'!D38</f>
        <v/>
      </c>
      <c r="E16" s="53" t="str">
        <f>'R1'!E38</f>
        <v/>
      </c>
      <c r="F16" s="53" t="str">
        <f>'R1'!F38</f>
        <v/>
      </c>
      <c r="G16" s="53" t="str">
        <f>'R1'!G38</f>
        <v/>
      </c>
      <c r="H16" s="53" t="str">
        <f>'R1'!H38</f>
        <v/>
      </c>
      <c r="I16" s="53" t="str">
        <f>'R1'!I38</f>
        <v/>
      </c>
      <c r="J16" s="53" t="str">
        <f>'R1'!J38</f>
        <v/>
      </c>
      <c r="K16" s="53" t="str">
        <f>'R1'!K38</f>
        <v/>
      </c>
      <c r="L16" s="53" t="str">
        <f>'R1'!L38</f>
        <v/>
      </c>
      <c r="M16" s="53" t="str">
        <f>'R1'!M38</f>
        <v/>
      </c>
      <c r="N16"/>
      <c r="O16" s="53">
        <f>'R1'!O38</f>
        <v>2.5393696873278464</v>
      </c>
      <c r="P16" s="53" t="str">
        <f>'R1'!P38</f>
        <v/>
      </c>
      <c r="Q16" s="53" t="str">
        <f>'R1'!Q38</f>
        <v/>
      </c>
      <c r="R16" s="53" t="str">
        <f>'R1'!R38</f>
        <v/>
      </c>
      <c r="S16" s="53" t="str">
        <f>'R1'!S38</f>
        <v/>
      </c>
      <c r="T16" s="53" t="str">
        <f>'R1'!T38</f>
        <v/>
      </c>
      <c r="U16" s="53" t="str">
        <f>'R1'!U38</f>
        <v/>
      </c>
      <c r="V16" s="53" t="str">
        <f>'R1'!V38</f>
        <v/>
      </c>
    </row>
    <row r="17" spans="1:22" s="1" customFormat="1" x14ac:dyDescent="0.35">
      <c r="A17" s="226"/>
      <c r="B17" s="53" t="str">
        <f>'R1'!B39</f>
        <v/>
      </c>
      <c r="C17" s="53" t="str">
        <f>'R1'!C39</f>
        <v/>
      </c>
      <c r="D17" s="53" t="str">
        <f>'R1'!D39</f>
        <v/>
      </c>
      <c r="E17" s="53" t="str">
        <f>'R1'!E39</f>
        <v/>
      </c>
      <c r="F17" s="53" t="str">
        <f>'R1'!F39</f>
        <v/>
      </c>
      <c r="G17" s="53" t="str">
        <f>'R1'!G39</f>
        <v/>
      </c>
      <c r="H17" s="53" t="str">
        <f>'R1'!H39</f>
        <v/>
      </c>
      <c r="I17" s="53" t="str">
        <f>'R1'!I39</f>
        <v/>
      </c>
      <c r="J17" s="53" t="str">
        <f>'R1'!J39</f>
        <v/>
      </c>
      <c r="K17" s="53" t="str">
        <f>'R1'!K39</f>
        <v/>
      </c>
      <c r="L17" s="53" t="str">
        <f>'R1'!L39</f>
        <v/>
      </c>
      <c r="M17" s="53" t="str">
        <f>'R1'!M39</f>
        <v/>
      </c>
      <c r="N17"/>
      <c r="O17" s="53">
        <f>'R1'!O39</f>
        <v>1.6546452641583351</v>
      </c>
      <c r="P17" s="53" t="str">
        <f>'R1'!P39</f>
        <v/>
      </c>
      <c r="Q17" s="53" t="str">
        <f>'R1'!Q39</f>
        <v/>
      </c>
      <c r="R17" s="53" t="str">
        <f>'R1'!R39</f>
        <v/>
      </c>
      <c r="S17" s="53" t="str">
        <f>'R1'!S39</f>
        <v/>
      </c>
      <c r="T17" s="53" t="str">
        <f>'R1'!T39</f>
        <v/>
      </c>
      <c r="U17" s="53" t="str">
        <f>'R1'!U39</f>
        <v/>
      </c>
      <c r="V17" s="53" t="str">
        <f>'R1'!V39</f>
        <v/>
      </c>
    </row>
    <row r="18" spans="1:22" s="1" customFormat="1" x14ac:dyDescent="0.35">
      <c r="A18" s="226"/>
      <c r="B18" s="53" t="str">
        <f>'R1'!B40</f>
        <v/>
      </c>
      <c r="C18" s="53" t="str">
        <f>'R1'!C40</f>
        <v/>
      </c>
      <c r="D18" s="53" t="str">
        <f>'R1'!D40</f>
        <v/>
      </c>
      <c r="E18" s="53" t="str">
        <f>'R1'!E40</f>
        <v/>
      </c>
      <c r="F18" s="53" t="str">
        <f>'R1'!F40</f>
        <v/>
      </c>
      <c r="G18" s="53" t="str">
        <f>'R1'!G40</f>
        <v/>
      </c>
      <c r="H18" s="53" t="str">
        <f>'R1'!H40</f>
        <v/>
      </c>
      <c r="I18" s="53" t="str">
        <f>'R1'!I40</f>
        <v/>
      </c>
      <c r="J18" s="53" t="str">
        <f>'R1'!J40</f>
        <v/>
      </c>
      <c r="K18" s="53" t="str">
        <f>'R1'!K40</f>
        <v/>
      </c>
      <c r="L18" s="53" t="str">
        <f>'R1'!L40</f>
        <v/>
      </c>
      <c r="M18" s="53" t="str">
        <f>'R1'!M40</f>
        <v/>
      </c>
      <c r="N18"/>
      <c r="O18" s="53">
        <f>'R1'!O40</f>
        <v>0.69833935751843446</v>
      </c>
      <c r="P18" s="53" t="str">
        <f>'R1'!P40</f>
        <v/>
      </c>
      <c r="Q18" s="53" t="str">
        <f>'R1'!Q40</f>
        <v/>
      </c>
      <c r="R18" s="53" t="str">
        <f>'R1'!R40</f>
        <v/>
      </c>
      <c r="S18" s="53" t="str">
        <f>'R1'!S40</f>
        <v/>
      </c>
      <c r="T18" s="53" t="str">
        <f>'R1'!T40</f>
        <v/>
      </c>
      <c r="U18" s="53" t="str">
        <f>'R1'!U40</f>
        <v/>
      </c>
      <c r="V18" s="53" t="str">
        <f>'R1'!V40</f>
        <v/>
      </c>
    </row>
    <row r="19" spans="1:22" s="1" customFormat="1" x14ac:dyDescent="0.35">
      <c r="A19" s="226"/>
      <c r="B19" s="53" t="str">
        <f>'R1'!B41</f>
        <v/>
      </c>
      <c r="C19" s="53" t="str">
        <f>'R1'!C41</f>
        <v/>
      </c>
      <c r="D19" s="53" t="str">
        <f>'R1'!D41</f>
        <v/>
      </c>
      <c r="E19" s="53" t="str">
        <f>'R1'!E41</f>
        <v/>
      </c>
      <c r="F19" s="53" t="str">
        <f>'R1'!F41</f>
        <v/>
      </c>
      <c r="G19" s="53" t="str">
        <f>'R1'!G41</f>
        <v/>
      </c>
      <c r="H19" s="53" t="str">
        <f>'R1'!H41</f>
        <v/>
      </c>
      <c r="I19" s="53" t="str">
        <f>'R1'!I41</f>
        <v/>
      </c>
      <c r="J19" s="53" t="str">
        <f>'R1'!J41</f>
        <v/>
      </c>
      <c r="K19" s="53" t="str">
        <f>'R1'!K41</f>
        <v/>
      </c>
      <c r="L19" s="53" t="str">
        <f>'R1'!L41</f>
        <v/>
      </c>
      <c r="M19" s="53" t="str">
        <f>'R1'!M41</f>
        <v/>
      </c>
      <c r="N19"/>
      <c r="O19" s="53">
        <f>'R1'!O41</f>
        <v>0.63060748236757702</v>
      </c>
      <c r="P19" s="53" t="str">
        <f>'R1'!P41</f>
        <v/>
      </c>
      <c r="Q19" s="53" t="str">
        <f>'R1'!Q41</f>
        <v/>
      </c>
      <c r="R19" s="53" t="str">
        <f>'R1'!R41</f>
        <v/>
      </c>
      <c r="S19" s="53" t="str">
        <f>'R1'!S41</f>
        <v/>
      </c>
      <c r="T19" s="53" t="str">
        <f>'R1'!T41</f>
        <v/>
      </c>
      <c r="U19" s="53" t="str">
        <f>'R1'!U41</f>
        <v/>
      </c>
      <c r="V19" s="53" t="str">
        <f>'R1'!V41</f>
        <v/>
      </c>
    </row>
    <row r="20" spans="1:22" s="1" customFormat="1" x14ac:dyDescent="0.35">
      <c r="A20" s="226"/>
      <c r="B20" s="53" t="str">
        <f>'R1'!B42</f>
        <v/>
      </c>
      <c r="C20" s="53" t="str">
        <f>'R1'!C42</f>
        <v/>
      </c>
      <c r="D20" s="53" t="str">
        <f>'R1'!D42</f>
        <v/>
      </c>
      <c r="E20" s="53" t="str">
        <f>'R1'!E42</f>
        <v/>
      </c>
      <c r="F20" s="53" t="str">
        <f>'R1'!F42</f>
        <v/>
      </c>
      <c r="G20" s="53" t="str">
        <f>'R1'!G42</f>
        <v/>
      </c>
      <c r="H20" s="53" t="str">
        <f>'R1'!H42</f>
        <v/>
      </c>
      <c r="I20" s="53" t="str">
        <f>'R1'!I42</f>
        <v/>
      </c>
      <c r="J20" s="53" t="str">
        <f>'R1'!J42</f>
        <v/>
      </c>
      <c r="K20" s="53" t="str">
        <f>'R1'!K42</f>
        <v/>
      </c>
      <c r="L20" s="53" t="str">
        <f>'R1'!L42</f>
        <v/>
      </c>
      <c r="M20" s="53" t="str">
        <f>'R1'!M42</f>
        <v/>
      </c>
      <c r="N20"/>
      <c r="O20" s="53">
        <f>'R1'!O42</f>
        <v>0.30335950434029862</v>
      </c>
      <c r="P20" s="53" t="str">
        <f>'R1'!P42</f>
        <v/>
      </c>
      <c r="Q20" s="53" t="str">
        <f>'R1'!Q42</f>
        <v/>
      </c>
      <c r="R20" s="53" t="str">
        <f>'R1'!R42</f>
        <v/>
      </c>
      <c r="S20" s="53" t="str">
        <f>'R1'!S42</f>
        <v/>
      </c>
      <c r="T20" s="53" t="str">
        <f>'R1'!T42</f>
        <v/>
      </c>
      <c r="U20" s="53" t="str">
        <f>'R1'!U42</f>
        <v/>
      </c>
      <c r="V20" s="53" t="str">
        <f>'R1'!V42</f>
        <v/>
      </c>
    </row>
    <row r="21" spans="1:22" s="1" customFormat="1" x14ac:dyDescent="0.35">
      <c r="A21" s="227"/>
      <c r="B21" s="53" t="str">
        <f>'R1'!B43</f>
        <v/>
      </c>
      <c r="C21" s="53" t="str">
        <f>'R1'!C43</f>
        <v/>
      </c>
      <c r="D21" s="53" t="str">
        <f>'R1'!D43</f>
        <v/>
      </c>
      <c r="E21" s="53" t="str">
        <f>'R1'!E43</f>
        <v/>
      </c>
      <c r="F21" s="53" t="str">
        <f>'R1'!F43</f>
        <v/>
      </c>
      <c r="G21" s="53" t="str">
        <f>'R1'!G43</f>
        <v/>
      </c>
      <c r="H21" s="53" t="str">
        <f>'R1'!H43</f>
        <v/>
      </c>
      <c r="I21" s="53" t="str">
        <f>'R1'!I43</f>
        <v/>
      </c>
      <c r="J21" s="53" t="str">
        <f>'R1'!J43</f>
        <v/>
      </c>
      <c r="K21" s="53" t="str">
        <f>'R1'!K43</f>
        <v/>
      </c>
      <c r="L21" s="53" t="str">
        <f>'R1'!L43</f>
        <v/>
      </c>
      <c r="M21" s="53" t="str">
        <f>'R1'!M43</f>
        <v/>
      </c>
      <c r="N21"/>
      <c r="O21" s="53">
        <f>'R1'!O43</f>
        <v>0.28998462532846625</v>
      </c>
      <c r="P21" s="53" t="str">
        <f>'R1'!P43</f>
        <v/>
      </c>
      <c r="Q21" s="53" t="str">
        <f>'R1'!Q43</f>
        <v/>
      </c>
      <c r="R21" s="53" t="str">
        <f>'R1'!R43</f>
        <v/>
      </c>
      <c r="S21" s="53" t="str">
        <f>'R1'!S43</f>
        <v/>
      </c>
      <c r="T21" s="53" t="str">
        <f>'R1'!T43</f>
        <v/>
      </c>
      <c r="U21" s="53" t="str">
        <f>'R1'!U43</f>
        <v/>
      </c>
      <c r="V21" s="53" t="str">
        <f>'R1'!V43</f>
        <v/>
      </c>
    </row>
    <row r="22" spans="1:22" x14ac:dyDescent="0.35">
      <c r="A22" s="39" t="s">
        <v>5</v>
      </c>
      <c r="B22" s="54">
        <f>'R2'!B28</f>
        <v>9.9864492615858808E-2</v>
      </c>
      <c r="C22" s="54">
        <f>'R2'!C28</f>
        <v>0.1608468604759343</v>
      </c>
      <c r="D22" s="54">
        <f>'R2'!D28</f>
        <v>0.57553505191753063</v>
      </c>
      <c r="E22" s="54">
        <f>'R2'!E28</f>
        <v>0.66364680708197998</v>
      </c>
      <c r="F22" s="54">
        <f>'R2'!F28</f>
        <v>1.8946436155797086</v>
      </c>
      <c r="G22" s="54">
        <f>'R2'!G28</f>
        <v>3.8874115662631108</v>
      </c>
      <c r="H22" s="54">
        <f>'R2'!H28</f>
        <v>6.1848939604156641</v>
      </c>
      <c r="I22" s="54">
        <f>'R2'!I28</f>
        <v>8.0877683349580731E-2</v>
      </c>
      <c r="J22" s="54">
        <f>'R2'!J28</f>
        <v>0.27037080483296189</v>
      </c>
      <c r="K22" s="54">
        <f>'R2'!K28</f>
        <v>0.18825373454305697</v>
      </c>
      <c r="L22" s="54">
        <f>'R2'!L28</f>
        <v>0.11339541054692398</v>
      </c>
      <c r="M22" s="54">
        <f>'R2'!M28</f>
        <v>7.6122789915014616E-2</v>
      </c>
      <c r="O22" s="54">
        <f>'R2'!O28</f>
        <v>0.72006116034770795</v>
      </c>
      <c r="P22" s="54">
        <f>'R2'!P28</f>
        <v>2.3962838616772983</v>
      </c>
      <c r="Q22" s="54">
        <f>'R2'!Q28</f>
        <v>0.13528005533555268</v>
      </c>
      <c r="R22" s="54">
        <f>'R2'!R28</f>
        <v>0.47113288218138571</v>
      </c>
      <c r="S22" s="54">
        <f>'R2'!S28</f>
        <v>0.89051610110873358</v>
      </c>
      <c r="T22" s="54">
        <f>'R2'!T28</f>
        <v>1.7845986756681322</v>
      </c>
      <c r="U22" s="54">
        <f>'R2'!U28</f>
        <v>0.10046841059950894</v>
      </c>
      <c r="V22" s="54">
        <f>'R2'!V28</f>
        <v>1.6850096473167515</v>
      </c>
    </row>
    <row r="23" spans="1:22" x14ac:dyDescent="0.35">
      <c r="A23" s="225" t="s">
        <v>34</v>
      </c>
      <c r="B23" s="54">
        <f>'R2'!B29</f>
        <v>0.16667853198985516</v>
      </c>
      <c r="C23" s="54">
        <f>'R2'!C29</f>
        <v>0.18531666255425353</v>
      </c>
      <c r="D23" s="54">
        <f>'R2'!D29</f>
        <v>2.6948705398856885</v>
      </c>
      <c r="E23" s="54">
        <f>'R2'!E29</f>
        <v>1.1853401235341943</v>
      </c>
      <c r="F23" s="54">
        <f>'R2'!F29</f>
        <v>1.7825349184326447</v>
      </c>
      <c r="G23" s="54">
        <f>'R2'!G29</f>
        <v>2.8243055752187334</v>
      </c>
      <c r="H23" s="54">
        <f>'R2'!H29</f>
        <v>4.6593700322386224</v>
      </c>
      <c r="I23" s="54">
        <f>'R2'!I29</f>
        <v>0.12676776461356126</v>
      </c>
      <c r="J23" s="54">
        <f>'R2'!J29</f>
        <v>0.13112624838705764</v>
      </c>
      <c r="K23" s="54">
        <f>'R2'!K29</f>
        <v>1.0882658695326815E-2</v>
      </c>
      <c r="L23" s="54">
        <f>'R2'!L29</f>
        <v>1.2323890963073226E-2</v>
      </c>
      <c r="M23" s="54">
        <f>'R2'!M29</f>
        <v>4.4799954696038737E-2</v>
      </c>
      <c r="O23" s="54">
        <f>'R2'!O29</f>
        <v>1.1283040543000336</v>
      </c>
      <c r="P23" s="54">
        <f>'R2'!P29</f>
        <v>2.5032622897107424</v>
      </c>
      <c r="Q23" s="54">
        <f>'R2'!Q29</f>
        <v>6.4936351979419063E-2</v>
      </c>
      <c r="R23" s="54">
        <f>'R2'!R29</f>
        <v>1.2842346259793949</v>
      </c>
      <c r="S23" s="54">
        <f>'R2'!S29</f>
        <v>0.83370372018331929</v>
      </c>
      <c r="T23" s="54">
        <f>'R2'!T29</f>
        <v>2.7982064485334863</v>
      </c>
      <c r="U23" s="54">
        <f>'R2'!U29</f>
        <v>4.2326512120832138</v>
      </c>
      <c r="V23" s="54">
        <f>'R2'!V29</f>
        <v>0.56079063502400706</v>
      </c>
    </row>
    <row r="24" spans="1:22" x14ac:dyDescent="0.35">
      <c r="A24" s="226"/>
      <c r="B24" s="54">
        <f>'R2'!B30</f>
        <v>0.22061977437009292</v>
      </c>
      <c r="C24" s="54">
        <f>'R2'!C30</f>
        <v>5.4730825705144023E-2</v>
      </c>
      <c r="D24" s="54">
        <f>'R2'!D30</f>
        <v>0.82452885902782558</v>
      </c>
      <c r="E24" s="54">
        <f>'R2'!E30</f>
        <v>0.46684154535047873</v>
      </c>
      <c r="F24" s="54">
        <f>'R2'!F30</f>
        <v>2.2949215068421118</v>
      </c>
      <c r="G24" s="54">
        <f>'R2'!G30</f>
        <v>2.9331147686868726</v>
      </c>
      <c r="H24" s="54">
        <f>'R2'!H30</f>
        <v>2.2062058336940122</v>
      </c>
      <c r="I24" s="54">
        <f>'R2'!I30</f>
        <v>0.17098483530796582</v>
      </c>
      <c r="J24" s="54">
        <f>'R2'!J30</f>
        <v>9.3048268943730056E-2</v>
      </c>
      <c r="K24" s="54">
        <f>'R2'!K30</f>
        <v>0.44825883123869931</v>
      </c>
      <c r="L24" s="54">
        <f>'R2'!L30</f>
        <v>3.9689101565818161E-2</v>
      </c>
      <c r="M24" s="54">
        <f>'R2'!M30</f>
        <v>4.1658610381888124E-2</v>
      </c>
      <c r="O24" s="54">
        <f>'R2'!O30</f>
        <v>1.2638114384412202</v>
      </c>
      <c r="P24" s="54">
        <f>'R2'!P30</f>
        <v>2.1506918966584285</v>
      </c>
      <c r="Q24" s="54">
        <f>'R2'!Q30</f>
        <v>0.11318507072676452</v>
      </c>
      <c r="R24" s="54">
        <f>'R2'!R30</f>
        <v>1.3050089192173742</v>
      </c>
      <c r="S24" s="54">
        <f>'R2'!S30</f>
        <v>0.77028788240386059</v>
      </c>
      <c r="T24" s="54">
        <f>'R2'!T30</f>
        <v>0.73419720976138569</v>
      </c>
      <c r="U24" s="54">
        <f>'R2'!U30</f>
        <v>1.7208143387037405</v>
      </c>
      <c r="V24" s="54">
        <f>'R2'!V30</f>
        <v>1.8951079811826761</v>
      </c>
    </row>
    <row r="25" spans="1:22" x14ac:dyDescent="0.35">
      <c r="A25" s="226"/>
      <c r="B25" s="54">
        <f>'R2'!B31</f>
        <v>0.25611178752442165</v>
      </c>
      <c r="C25" s="54">
        <f>'R2'!C31</f>
        <v>2.6323219493647333E-2</v>
      </c>
      <c r="D25" s="54">
        <f>'R2'!D31</f>
        <v>0.50988314004991531</v>
      </c>
      <c r="E25" s="54">
        <f>'R2'!E31</f>
        <v>1.8358277478672755</v>
      </c>
      <c r="F25" s="54">
        <f>'R2'!F31</f>
        <v>2.0126794461590736</v>
      </c>
      <c r="G25" s="54">
        <f>'R2'!G31</f>
        <v>0.28272948276629223</v>
      </c>
      <c r="H25" s="54">
        <f>'R2'!H31</f>
        <v>3.5904420776720234</v>
      </c>
      <c r="I25" s="54">
        <f>'R2'!I31</f>
        <v>5.9949275743369237E-2</v>
      </c>
      <c r="J25" s="54">
        <f>'R2'!J31</f>
        <v>6.4344164485739361E-2</v>
      </c>
      <c r="K25" s="54">
        <f>'R2'!K31</f>
        <v>8.9922700116091395E-2</v>
      </c>
      <c r="L25" s="54">
        <f>'R2'!L31</f>
        <v>5.6983079779466789E-2</v>
      </c>
      <c r="M25" s="54">
        <f>'R2'!M31</f>
        <v>0.13352776283376278</v>
      </c>
      <c r="O25" s="54">
        <f>'R2'!O31</f>
        <v>0.62750031348723201</v>
      </c>
      <c r="P25" s="54">
        <f>'R2'!P31</f>
        <v>2.5674798458047317</v>
      </c>
      <c r="Q25" s="54">
        <f>'R2'!Q31</f>
        <v>5.6157900484995082E-2</v>
      </c>
      <c r="R25" s="54">
        <f>'R2'!R31</f>
        <v>1.4929107390613181</v>
      </c>
      <c r="S25" s="54">
        <f>'R2'!S31</f>
        <v>0.16456299879863603</v>
      </c>
      <c r="T25" s="54">
        <f>'R2'!T31</f>
        <v>0.1217167774321553</v>
      </c>
      <c r="U25" s="54">
        <f>'R2'!U31</f>
        <v>0.71117753894320423</v>
      </c>
      <c r="V25" s="54">
        <f>'R2'!V31</f>
        <v>2.9711648376540638</v>
      </c>
    </row>
    <row r="26" spans="1:22" x14ac:dyDescent="0.35">
      <c r="A26" s="226"/>
      <c r="B26" s="54">
        <f>'R2'!B32</f>
        <v>0.64271839947576848</v>
      </c>
      <c r="C26" s="54">
        <f>'R2'!C32</f>
        <v>0.31130010233841249</v>
      </c>
      <c r="D26" s="54">
        <f>'R2'!D32</f>
        <v>0.37034936635129179</v>
      </c>
      <c r="E26" s="54">
        <f>'R2'!E32</f>
        <v>0.55086785400798477</v>
      </c>
      <c r="F26" s="54">
        <f>'R2'!F32</f>
        <v>1.2335803477888025</v>
      </c>
      <c r="G26" s="54">
        <f>'R2'!G32</f>
        <v>3.8486427014104905</v>
      </c>
      <c r="H26" s="54">
        <f>'R2'!H32</f>
        <v>5.8164202589606786</v>
      </c>
      <c r="I26" s="54">
        <f>'R2'!I32</f>
        <v>0.24385625700290026</v>
      </c>
      <c r="J26" s="54">
        <f>'R2'!J32</f>
        <v>4.2547296122061817E-2</v>
      </c>
      <c r="K26" s="54">
        <f>'R2'!K32</f>
        <v>0.19658197792240886</v>
      </c>
      <c r="L26" s="54">
        <f>'R2'!L32</f>
        <v>2.8985231717626882E-2</v>
      </c>
      <c r="M26" s="54">
        <f>'R2'!M32</f>
        <v>3.3349378486281396E-2</v>
      </c>
      <c r="O26" s="54">
        <f>'R2'!O32</f>
        <v>1.3613318555612635</v>
      </c>
      <c r="P26" s="54">
        <f>'R2'!P32</f>
        <v>2.7103713711324775</v>
      </c>
      <c r="Q26" s="54">
        <f>'R2'!Q32</f>
        <v>0.1981482005832885</v>
      </c>
      <c r="R26" s="54">
        <f>'R2'!R32</f>
        <v>0.48990773362888773</v>
      </c>
      <c r="S26" s="54">
        <f>'R2'!S32</f>
        <v>1.7494966001804069</v>
      </c>
      <c r="T26" s="54">
        <f>'R2'!T32</f>
        <v>1.5178254907592055</v>
      </c>
      <c r="U26" s="54">
        <f>'R2'!U32</f>
        <v>0.43012430274372115</v>
      </c>
      <c r="V26" s="54">
        <f>'R2'!V32</f>
        <v>8.0077178534012347E-2</v>
      </c>
    </row>
    <row r="27" spans="1:22" x14ac:dyDescent="0.35">
      <c r="A27" s="226"/>
      <c r="B27" s="54">
        <f>'R2'!B33</f>
        <v>0.12706507185936355</v>
      </c>
      <c r="C27" s="54">
        <f>'R2'!C33</f>
        <v>0.21139839575437164</v>
      </c>
      <c r="D27" s="54">
        <f>'R2'!D33</f>
        <v>8.0143516477293418E-3</v>
      </c>
      <c r="E27" s="54">
        <f>'R2'!E33</f>
        <v>0.92317176268814294</v>
      </c>
      <c r="F27" s="54">
        <f>'R2'!F33</f>
        <v>2.7288926012968258</v>
      </c>
      <c r="G27" s="54">
        <f>'R2'!G33</f>
        <v>3.4226196206602242</v>
      </c>
      <c r="H27" s="54">
        <f>'R2'!H33</f>
        <v>5.1336685287134083</v>
      </c>
      <c r="I27" s="54">
        <f>'R2'!I33</f>
        <v>0.18560992480351429</v>
      </c>
      <c r="J27" s="54">
        <f>'R2'!J33</f>
        <v>5.5441127097836329E-2</v>
      </c>
      <c r="K27" s="54">
        <f>'R2'!K33</f>
        <v>0.25070929014355692</v>
      </c>
      <c r="L27" s="54">
        <f>'R2'!L33</f>
        <v>7.1802329109008606E-2</v>
      </c>
      <c r="M27" s="54">
        <f>'R2'!M33</f>
        <v>5.3792386507509539E-2</v>
      </c>
      <c r="O27" s="54">
        <f>'R2'!O33</f>
        <v>0.5868663007293129</v>
      </c>
      <c r="P27" s="54">
        <f>'R2'!P33</f>
        <v>2.0715830902964578</v>
      </c>
      <c r="Q27" s="54">
        <f>'R2'!Q33</f>
        <v>0.10338242610802567</v>
      </c>
      <c r="R27" s="54">
        <f>'R2'!R33</f>
        <v>1.3806147585743813</v>
      </c>
      <c r="S27" s="54">
        <f>'R2'!S33</f>
        <v>1.1732103924051145</v>
      </c>
      <c r="T27" s="54">
        <f>'R2'!T33</f>
        <v>0.1569632592964133</v>
      </c>
      <c r="U27" s="54">
        <f>'R2'!U33</f>
        <v>0.1837682378781566</v>
      </c>
      <c r="V27" s="54">
        <f>'R2'!V33</f>
        <v>0.71880357092294689</v>
      </c>
    </row>
    <row r="28" spans="1:22" x14ac:dyDescent="0.35">
      <c r="A28" s="226"/>
      <c r="B28" s="54">
        <f>'R2'!B34</f>
        <v>3.8715470898272382E-2</v>
      </c>
      <c r="C28" s="54">
        <f>'R2'!C34</f>
        <v>0.16073764556931303</v>
      </c>
      <c r="D28" s="54">
        <f>'R2'!D34</f>
        <v>0.10526779899603186</v>
      </c>
      <c r="E28" s="54">
        <f>'R2'!E34</f>
        <v>1.6519187441094738</v>
      </c>
      <c r="F28" s="54">
        <f>'R2'!F34</f>
        <v>2.5891440382818471</v>
      </c>
      <c r="G28" s="54">
        <f>'R2'!G34</f>
        <v>4.5736343080426662</v>
      </c>
      <c r="H28" s="54">
        <f>'R2'!H34</f>
        <v>4.2046626675134195</v>
      </c>
      <c r="I28" s="54">
        <f>'R2'!I34</f>
        <v>3.815766587519568E-2</v>
      </c>
      <c r="J28" s="54">
        <f>'R2'!J34</f>
        <v>7.3454710196222781E-2</v>
      </c>
      <c r="K28" s="54">
        <f>'R2'!K34</f>
        <v>0.14979309842690083</v>
      </c>
      <c r="L28" s="54">
        <f>'R2'!L34</f>
        <v>6.1929301550447173E-2</v>
      </c>
      <c r="M28" s="54">
        <f>'R2'!M34</f>
        <v>0.20289095902823004</v>
      </c>
      <c r="O28" s="54">
        <f>'R2'!O34</f>
        <v>1.7374954999413474</v>
      </c>
      <c r="P28" s="54">
        <f>'R2'!P34</f>
        <v>2.8361881570591256</v>
      </c>
      <c r="Q28" s="54">
        <f>'R2'!Q34</f>
        <v>0.17337947326055037</v>
      </c>
      <c r="R28" s="54">
        <f>'R2'!R34</f>
        <v>0.53630505745917589</v>
      </c>
      <c r="S28" s="54">
        <f>'R2'!S34</f>
        <v>0.81586488093552678</v>
      </c>
      <c r="T28" s="54">
        <f>'R2'!T34</f>
        <v>0.38184807801989329</v>
      </c>
      <c r="U28" s="54">
        <f>'R2'!U34</f>
        <v>0.19674863177991983</v>
      </c>
      <c r="V28" s="54">
        <f>'R2'!V34</f>
        <v>0.79415255299956722</v>
      </c>
    </row>
    <row r="29" spans="1:22" x14ac:dyDescent="0.35">
      <c r="A29" s="226"/>
      <c r="B29" s="54">
        <f>'R2'!B35</f>
        <v>0.39347097108231971</v>
      </c>
      <c r="C29" s="54">
        <f>'R2'!C35</f>
        <v>4.8766478304661052E-3</v>
      </c>
      <c r="D29" s="54">
        <f>'R2'!D35</f>
        <v>0.48967716882602064</v>
      </c>
      <c r="E29" s="54">
        <f>'R2'!E35</f>
        <v>2.1746609281649065</v>
      </c>
      <c r="F29" s="54">
        <f>'R2'!F35</f>
        <v>0.4334990433583179</v>
      </c>
      <c r="G29" s="54">
        <f>'R2'!G35</f>
        <v>2.3323518823391405</v>
      </c>
      <c r="H29" s="54">
        <f>'R2'!H35</f>
        <v>3.2774010088221375</v>
      </c>
      <c r="I29" s="54">
        <f>'R2'!I35</f>
        <v>0.17351093564815001</v>
      </c>
      <c r="J29" s="54">
        <f>'R2'!J35</f>
        <v>0.22886671331896011</v>
      </c>
      <c r="K29" s="54">
        <f>'R2'!K35</f>
        <v>5.7871361019986328E-2</v>
      </c>
      <c r="L29" s="54">
        <f>'R2'!L35</f>
        <v>5.780097808016374E-2</v>
      </c>
      <c r="M29" s="54">
        <f>'R2'!M35</f>
        <v>7.4965111904829324E-2</v>
      </c>
      <c r="O29" s="54">
        <f>'R2'!O35</f>
        <v>1.1132546446672789</v>
      </c>
      <c r="P29" s="54">
        <f>'R2'!P35</f>
        <v>3.0390423066188279</v>
      </c>
      <c r="Q29" s="54">
        <f>'R2'!Q35</f>
        <v>7.1958465975511587E-2</v>
      </c>
      <c r="R29" s="54">
        <f>'R2'!R35</f>
        <v>0.67844623592846831</v>
      </c>
      <c r="S29" s="54">
        <f>'R2'!S35</f>
        <v>0.31508015160647035</v>
      </c>
      <c r="T29" s="54">
        <f>'R2'!T35</f>
        <v>3.4065039499391228</v>
      </c>
      <c r="U29" s="54">
        <f>'R2'!U35</f>
        <v>3.4037800492680579</v>
      </c>
      <c r="V29" s="54">
        <f>'R2'!V35</f>
        <v>1.7747058276265173</v>
      </c>
    </row>
    <row r="30" spans="1:22" x14ac:dyDescent="0.35">
      <c r="A30" s="226"/>
      <c r="B30" s="54" t="str">
        <f>'R2'!B36</f>
        <v/>
      </c>
      <c r="C30" s="54" t="str">
        <f>'R2'!C36</f>
        <v/>
      </c>
      <c r="D30" s="54" t="str">
        <f>'R2'!D36</f>
        <v/>
      </c>
      <c r="E30" s="54" t="str">
        <f>'R2'!E36</f>
        <v/>
      </c>
      <c r="F30" s="54" t="str">
        <f>'R2'!F36</f>
        <v/>
      </c>
      <c r="G30" s="54" t="str">
        <f>'R2'!G36</f>
        <v/>
      </c>
      <c r="H30" s="54" t="str">
        <f>'R2'!H36</f>
        <v/>
      </c>
      <c r="I30" s="54" t="str">
        <f>'R2'!I36</f>
        <v/>
      </c>
      <c r="J30" s="54" t="str">
        <f>'R2'!J36</f>
        <v/>
      </c>
      <c r="K30" s="54" t="str">
        <f>'R2'!K36</f>
        <v/>
      </c>
      <c r="L30" s="54" t="str">
        <f>'R2'!L36</f>
        <v/>
      </c>
      <c r="M30" s="54" t="str">
        <f>'R2'!M36</f>
        <v/>
      </c>
      <c r="O30" s="54">
        <f>'R2'!O36</f>
        <v>1.6858534335953144</v>
      </c>
      <c r="P30" s="54" t="str">
        <f>'R2'!P36</f>
        <v/>
      </c>
      <c r="Q30" s="54" t="str">
        <f>'R2'!Q36</f>
        <v/>
      </c>
      <c r="R30" s="54" t="str">
        <f>'R2'!R36</f>
        <v/>
      </c>
      <c r="S30" s="54" t="str">
        <f>'R2'!S36</f>
        <v/>
      </c>
      <c r="T30" s="54" t="str">
        <f>'R2'!T36</f>
        <v/>
      </c>
      <c r="U30" s="54" t="str">
        <f>'R2'!U36</f>
        <v/>
      </c>
      <c r="V30" s="54" t="str">
        <f>'R2'!V36</f>
        <v/>
      </c>
    </row>
    <row r="31" spans="1:22" s="1" customFormat="1" x14ac:dyDescent="0.35">
      <c r="A31" s="226"/>
      <c r="B31" s="54" t="str">
        <f>'R2'!B37</f>
        <v/>
      </c>
      <c r="C31" s="54" t="str">
        <f>'R2'!C37</f>
        <v/>
      </c>
      <c r="D31" s="54" t="str">
        <f>'R2'!D37</f>
        <v/>
      </c>
      <c r="E31" s="54" t="str">
        <f>'R2'!E37</f>
        <v/>
      </c>
      <c r="F31" s="54" t="str">
        <f>'R2'!F37</f>
        <v/>
      </c>
      <c r="G31" s="54" t="str">
        <f>'R2'!G37</f>
        <v/>
      </c>
      <c r="H31" s="54" t="str">
        <f>'R2'!H37</f>
        <v/>
      </c>
      <c r="I31" s="54" t="str">
        <f>'R2'!I37</f>
        <v/>
      </c>
      <c r="J31" s="54" t="str">
        <f>'R2'!J37</f>
        <v/>
      </c>
      <c r="K31" s="54" t="str">
        <f>'R2'!K37</f>
        <v/>
      </c>
      <c r="L31" s="54" t="str">
        <f>'R2'!L37</f>
        <v/>
      </c>
      <c r="M31" s="54" t="str">
        <f>'R2'!M37</f>
        <v/>
      </c>
      <c r="N31"/>
      <c r="O31" s="54">
        <f>'R2'!O37</f>
        <v>6.0851309972129973E-2</v>
      </c>
      <c r="P31" s="54" t="str">
        <f>'R2'!P37</f>
        <v/>
      </c>
      <c r="Q31" s="54" t="str">
        <f>'R2'!Q37</f>
        <v/>
      </c>
      <c r="R31" s="54" t="str">
        <f>'R2'!R37</f>
        <v/>
      </c>
      <c r="S31" s="54" t="str">
        <f>'R2'!S37</f>
        <v/>
      </c>
      <c r="T31" s="54" t="str">
        <f>'R2'!T37</f>
        <v/>
      </c>
      <c r="U31" s="54" t="str">
        <f>'R2'!U37</f>
        <v/>
      </c>
      <c r="V31" s="54" t="str">
        <f>'R2'!V37</f>
        <v/>
      </c>
    </row>
    <row r="32" spans="1:22" s="1" customFormat="1" x14ac:dyDescent="0.35">
      <c r="A32" s="226"/>
      <c r="B32" s="54" t="str">
        <f>'R2'!B38</f>
        <v/>
      </c>
      <c r="C32" s="54" t="str">
        <f>'R2'!C38</f>
        <v/>
      </c>
      <c r="D32" s="54" t="str">
        <f>'R2'!D38</f>
        <v/>
      </c>
      <c r="E32" s="54" t="str">
        <f>'R2'!E38</f>
        <v/>
      </c>
      <c r="F32" s="54" t="str">
        <f>'R2'!F38</f>
        <v/>
      </c>
      <c r="G32" s="54" t="str">
        <f>'R2'!G38</f>
        <v/>
      </c>
      <c r="H32" s="54" t="str">
        <f>'R2'!H38</f>
        <v/>
      </c>
      <c r="I32" s="54" t="str">
        <f>'R2'!I38</f>
        <v/>
      </c>
      <c r="J32" s="54" t="str">
        <f>'R2'!J38</f>
        <v/>
      </c>
      <c r="K32" s="54" t="str">
        <f>'R2'!K38</f>
        <v/>
      </c>
      <c r="L32" s="54" t="str">
        <f>'R2'!L38</f>
        <v/>
      </c>
      <c r="M32" s="54" t="str">
        <f>'R2'!M38</f>
        <v/>
      </c>
      <c r="N32"/>
      <c r="O32" s="54">
        <f>'R2'!O38</f>
        <v>1.0225464062228227</v>
      </c>
      <c r="P32" s="54" t="str">
        <f>'R2'!P38</f>
        <v/>
      </c>
      <c r="Q32" s="54" t="str">
        <f>'R2'!Q38</f>
        <v/>
      </c>
      <c r="R32" s="54" t="str">
        <f>'R2'!R38</f>
        <v/>
      </c>
      <c r="S32" s="54" t="str">
        <f>'R2'!S38</f>
        <v/>
      </c>
      <c r="T32" s="54" t="str">
        <f>'R2'!T38</f>
        <v/>
      </c>
      <c r="U32" s="54" t="str">
        <f>'R2'!U38</f>
        <v/>
      </c>
      <c r="V32" s="54" t="str">
        <f>'R2'!V38</f>
        <v/>
      </c>
    </row>
    <row r="33" spans="1:22" s="1" customFormat="1" x14ac:dyDescent="0.35">
      <c r="A33" s="226"/>
      <c r="B33" s="54" t="str">
        <f>'R2'!B39</f>
        <v/>
      </c>
      <c r="C33" s="54" t="str">
        <f>'R2'!C39</f>
        <v/>
      </c>
      <c r="D33" s="54" t="str">
        <f>'R2'!D39</f>
        <v/>
      </c>
      <c r="E33" s="54" t="str">
        <f>'R2'!E39</f>
        <v/>
      </c>
      <c r="F33" s="54" t="str">
        <f>'R2'!F39</f>
        <v/>
      </c>
      <c r="G33" s="54" t="str">
        <f>'R2'!G39</f>
        <v/>
      </c>
      <c r="H33" s="54" t="str">
        <f>'R2'!H39</f>
        <v/>
      </c>
      <c r="I33" s="54" t="str">
        <f>'R2'!I39</f>
        <v/>
      </c>
      <c r="J33" s="54" t="str">
        <f>'R2'!J39</f>
        <v/>
      </c>
      <c r="K33" s="54" t="str">
        <f>'R2'!K39</f>
        <v/>
      </c>
      <c r="L33" s="54" t="str">
        <f>'R2'!L39</f>
        <v/>
      </c>
      <c r="M33" s="54" t="str">
        <f>'R2'!M39</f>
        <v/>
      </c>
      <c r="N33"/>
      <c r="O33" s="54">
        <f>'R2'!O39</f>
        <v>2.7244038686346923</v>
      </c>
      <c r="P33" s="54" t="str">
        <f>'R2'!P39</f>
        <v/>
      </c>
      <c r="Q33" s="54" t="str">
        <f>'R2'!Q39</f>
        <v/>
      </c>
      <c r="R33" s="54" t="str">
        <f>'R2'!R39</f>
        <v/>
      </c>
      <c r="S33" s="54" t="str">
        <f>'R2'!S39</f>
        <v/>
      </c>
      <c r="T33" s="54" t="str">
        <f>'R2'!T39</f>
        <v/>
      </c>
      <c r="U33" s="54" t="str">
        <f>'R2'!U39</f>
        <v/>
      </c>
      <c r="V33" s="54" t="str">
        <f>'R2'!V39</f>
        <v/>
      </c>
    </row>
    <row r="34" spans="1:22" s="1" customFormat="1" x14ac:dyDescent="0.35">
      <c r="A34" s="226"/>
      <c r="B34" s="54" t="str">
        <f>'R2'!B40</f>
        <v/>
      </c>
      <c r="C34" s="54" t="str">
        <f>'R2'!C40</f>
        <v/>
      </c>
      <c r="D34" s="54" t="str">
        <f>'R2'!D40</f>
        <v/>
      </c>
      <c r="E34" s="54" t="str">
        <f>'R2'!E40</f>
        <v/>
      </c>
      <c r="F34" s="54" t="str">
        <f>'R2'!F40</f>
        <v/>
      </c>
      <c r="G34" s="54" t="str">
        <f>'R2'!G40</f>
        <v/>
      </c>
      <c r="H34" s="54" t="str">
        <f>'R2'!H40</f>
        <v/>
      </c>
      <c r="I34" s="54" t="str">
        <f>'R2'!I40</f>
        <v/>
      </c>
      <c r="J34" s="54" t="str">
        <f>'R2'!J40</f>
        <v/>
      </c>
      <c r="K34" s="54" t="str">
        <f>'R2'!K40</f>
        <v/>
      </c>
      <c r="L34" s="54" t="str">
        <f>'R2'!L40</f>
        <v/>
      </c>
      <c r="M34" s="54" t="str">
        <f>'R2'!M40</f>
        <v/>
      </c>
      <c r="N34"/>
      <c r="O34" s="54">
        <f>'R2'!O40</f>
        <v>0.25931785178323674</v>
      </c>
      <c r="P34" s="54" t="str">
        <f>'R2'!P40</f>
        <v/>
      </c>
      <c r="Q34" s="54" t="str">
        <f>'R2'!Q40</f>
        <v/>
      </c>
      <c r="R34" s="54" t="str">
        <f>'R2'!R40</f>
        <v/>
      </c>
      <c r="S34" s="54" t="str">
        <f>'R2'!S40</f>
        <v/>
      </c>
      <c r="T34" s="54" t="str">
        <f>'R2'!T40</f>
        <v/>
      </c>
      <c r="U34" s="54" t="str">
        <f>'R2'!U40</f>
        <v/>
      </c>
      <c r="V34" s="54" t="str">
        <f>'R2'!V40</f>
        <v/>
      </c>
    </row>
    <row r="35" spans="1:22" s="1" customFormat="1" x14ac:dyDescent="0.35">
      <c r="A35" s="226"/>
      <c r="B35" s="54" t="str">
        <f>'R2'!B41</f>
        <v/>
      </c>
      <c r="C35" s="54" t="str">
        <f>'R2'!C41</f>
        <v/>
      </c>
      <c r="D35" s="54" t="str">
        <f>'R2'!D41</f>
        <v/>
      </c>
      <c r="E35" s="54" t="str">
        <f>'R2'!E41</f>
        <v/>
      </c>
      <c r="F35" s="54" t="str">
        <f>'R2'!F41</f>
        <v/>
      </c>
      <c r="G35" s="54" t="str">
        <f>'R2'!G41</f>
        <v/>
      </c>
      <c r="H35" s="54" t="str">
        <f>'R2'!H41</f>
        <v/>
      </c>
      <c r="I35" s="54" t="str">
        <f>'R2'!I41</f>
        <v/>
      </c>
      <c r="J35" s="54" t="str">
        <f>'R2'!J41</f>
        <v/>
      </c>
      <c r="K35" s="54" t="str">
        <f>'R2'!K41</f>
        <v/>
      </c>
      <c r="L35" s="54" t="str">
        <f>'R2'!L41</f>
        <v/>
      </c>
      <c r="M35" s="54" t="str">
        <f>'R2'!M41</f>
        <v/>
      </c>
      <c r="N35"/>
      <c r="O35" s="54">
        <f>'R2'!O41</f>
        <v>1.0822760386539869</v>
      </c>
      <c r="P35" s="54" t="str">
        <f>'R2'!P41</f>
        <v/>
      </c>
      <c r="Q35" s="54" t="str">
        <f>'R2'!Q41</f>
        <v/>
      </c>
      <c r="R35" s="54" t="str">
        <f>'R2'!R41</f>
        <v/>
      </c>
      <c r="S35" s="54" t="str">
        <f>'R2'!S41</f>
        <v/>
      </c>
      <c r="T35" s="54" t="str">
        <f>'R2'!T41</f>
        <v/>
      </c>
      <c r="U35" s="54" t="str">
        <f>'R2'!U41</f>
        <v/>
      </c>
      <c r="V35" s="54" t="str">
        <f>'R2'!V41</f>
        <v/>
      </c>
    </row>
    <row r="36" spans="1:22" x14ac:dyDescent="0.35">
      <c r="A36" s="226"/>
      <c r="B36" s="54" t="str">
        <f>'R2'!B42</f>
        <v/>
      </c>
      <c r="C36" s="54" t="str">
        <f>'R2'!C42</f>
        <v/>
      </c>
      <c r="D36" s="54" t="str">
        <f>'R2'!D42</f>
        <v/>
      </c>
      <c r="E36" s="54" t="str">
        <f>'R2'!E42</f>
        <v/>
      </c>
      <c r="F36" s="54" t="str">
        <f>'R2'!F42</f>
        <v/>
      </c>
      <c r="G36" s="54" t="str">
        <f>'R2'!G42</f>
        <v/>
      </c>
      <c r="H36" s="54" t="str">
        <f>'R2'!H42</f>
        <v/>
      </c>
      <c r="I36" s="54" t="str">
        <f>'R2'!I42</f>
        <v/>
      </c>
      <c r="J36" s="54" t="str">
        <f>'R2'!J42</f>
        <v/>
      </c>
      <c r="K36" s="54" t="str">
        <f>'R2'!K42</f>
        <v/>
      </c>
      <c r="L36" s="54" t="str">
        <f>'R2'!L42</f>
        <v/>
      </c>
      <c r="M36" s="54" t="str">
        <f>'R2'!M42</f>
        <v/>
      </c>
      <c r="O36" s="54">
        <f>'R2'!O42</f>
        <v>0.42417532633009597</v>
      </c>
      <c r="P36" s="54" t="str">
        <f>'R2'!P42</f>
        <v/>
      </c>
      <c r="Q36" s="54" t="str">
        <f>'R2'!Q42</f>
        <v/>
      </c>
      <c r="R36" s="54" t="str">
        <f>'R2'!R42</f>
        <v/>
      </c>
      <c r="S36" s="54" t="str">
        <f>'R2'!S42</f>
        <v/>
      </c>
      <c r="T36" s="54" t="str">
        <f>'R2'!T42</f>
        <v/>
      </c>
      <c r="U36" s="54" t="str">
        <f>'R2'!U42</f>
        <v/>
      </c>
      <c r="V36" s="54" t="str">
        <f>'R2'!V42</f>
        <v/>
      </c>
    </row>
    <row r="37" spans="1:22" x14ac:dyDescent="0.35">
      <c r="A37" s="227"/>
      <c r="B37" s="54" t="str">
        <f>'R2'!B43</f>
        <v/>
      </c>
      <c r="C37" s="54" t="str">
        <f>'R2'!C43</f>
        <v/>
      </c>
      <c r="D37" s="54" t="str">
        <f>'R2'!D43</f>
        <v/>
      </c>
      <c r="E37" s="54" t="str">
        <f>'R2'!E43</f>
        <v/>
      </c>
      <c r="F37" s="54" t="str">
        <f>'R2'!F43</f>
        <v/>
      </c>
      <c r="G37" s="54" t="str">
        <f>'R2'!G43</f>
        <v/>
      </c>
      <c r="H37" s="54" t="str">
        <f>'R2'!H43</f>
        <v/>
      </c>
      <c r="I37" s="54" t="str">
        <f>'R2'!I43</f>
        <v/>
      </c>
      <c r="J37" s="54" t="str">
        <f>'R2'!J43</f>
        <v/>
      </c>
      <c r="K37" s="54" t="str">
        <f>'R2'!K43</f>
        <v/>
      </c>
      <c r="L37" s="54" t="str">
        <f>'R2'!L43</f>
        <v/>
      </c>
      <c r="M37" s="54" t="str">
        <f>'R2'!M43</f>
        <v/>
      </c>
      <c r="O37" s="54">
        <f>'R2'!O43</f>
        <v>0.20195049733232479</v>
      </c>
      <c r="P37" s="54" t="str">
        <f>'R2'!P43</f>
        <v/>
      </c>
      <c r="Q37" s="54" t="str">
        <f>'R2'!Q43</f>
        <v/>
      </c>
      <c r="R37" s="54" t="str">
        <f>'R2'!R43</f>
        <v/>
      </c>
      <c r="S37" s="54" t="str">
        <f>'R2'!S43</f>
        <v/>
      </c>
      <c r="T37" s="54" t="str">
        <f>'R2'!T43</f>
        <v/>
      </c>
      <c r="U37" s="54" t="str">
        <f>'R2'!U43</f>
        <v/>
      </c>
      <c r="V37" s="54" t="str">
        <f>'R2'!V43</f>
        <v/>
      </c>
    </row>
    <row r="38" spans="1:22" s="1" customFormat="1" x14ac:dyDescent="0.35">
      <c r="A38" s="154" t="s">
        <v>116</v>
      </c>
      <c r="B38" s="155">
        <f>'R3'!B28</f>
        <v>0.14501519123002821</v>
      </c>
      <c r="C38" s="155">
        <f>'R3'!C28</f>
        <v>0.15575357321489663</v>
      </c>
      <c r="D38" s="155">
        <f>'R3'!D28</f>
        <v>0.15446069986218527</v>
      </c>
      <c r="E38" s="155">
        <f>'R3'!E28</f>
        <v>0.9319949636190562</v>
      </c>
      <c r="F38" s="155">
        <f>'R3'!F28</f>
        <v>1.2637215632869345</v>
      </c>
      <c r="G38" s="155">
        <f>'R3'!G28</f>
        <v>2.4185698829722089</v>
      </c>
      <c r="H38" s="155">
        <f>'R3'!H28</f>
        <v>4.5991042298359934</v>
      </c>
      <c r="I38" s="155">
        <f>'R3'!I28</f>
        <v>0.12076721957407451</v>
      </c>
      <c r="J38" s="155">
        <f>'R3'!J28</f>
        <v>6.2984078652791042E-2</v>
      </c>
      <c r="K38" s="155">
        <f>'R3'!K28</f>
        <v>0.34382668588492799</v>
      </c>
      <c r="L38" s="155">
        <f>'R3'!L28</f>
        <v>0.14662659859717569</v>
      </c>
      <c r="M38" s="155">
        <f>'R3'!M28</f>
        <v>7.5463881888250262E-2</v>
      </c>
      <c r="N38"/>
      <c r="O38" s="155">
        <f>'R3'!O28</f>
        <v>0.2022507442657504</v>
      </c>
      <c r="P38" s="155">
        <f>'R3'!P28</f>
        <v>2.9002904408184449</v>
      </c>
      <c r="Q38" s="155">
        <f>'R3'!Q28</f>
        <v>0.21035634511089163</v>
      </c>
      <c r="R38" s="155">
        <f>'R3'!R28</f>
        <v>0.26375610619126111</v>
      </c>
      <c r="S38" s="155">
        <f>'R3'!S28</f>
        <v>1.0555142711906058</v>
      </c>
      <c r="T38" s="155">
        <f>'R3'!T28</f>
        <v>1.4777500358175502</v>
      </c>
      <c r="U38" s="155">
        <f>'R3'!U28</f>
        <v>1.7905485260249554</v>
      </c>
      <c r="V38" s="155">
        <f>'R3'!V28</f>
        <v>1.6441200074031435</v>
      </c>
    </row>
    <row r="39" spans="1:22" s="1" customFormat="1" x14ac:dyDescent="0.35">
      <c r="A39" s="225" t="s">
        <v>34</v>
      </c>
      <c r="B39" s="155">
        <f>'R3'!B29</f>
        <v>9.4107872774022105E-2</v>
      </c>
      <c r="C39" s="155">
        <f>'R3'!C29</f>
        <v>7.9351679396980304E-2</v>
      </c>
      <c r="D39" s="155">
        <f>'R3'!D29</f>
        <v>0.23580579800737153</v>
      </c>
      <c r="E39" s="155">
        <f>'R3'!E29</f>
        <v>0.48595021538966687</v>
      </c>
      <c r="F39" s="155">
        <f>'R3'!F29</f>
        <v>4.4817223423505181</v>
      </c>
      <c r="G39" s="155">
        <f>'R3'!G29</f>
        <v>3.2546581935004273</v>
      </c>
      <c r="H39" s="155">
        <f>'R3'!H29</f>
        <v>3.6680002437122989</v>
      </c>
      <c r="I39" s="155">
        <f>'R3'!I29</f>
        <v>0.17151890376372347</v>
      </c>
      <c r="J39" s="155">
        <f>'R3'!J29</f>
        <v>0.14103103049004018</v>
      </c>
      <c r="K39" s="155">
        <f>'R3'!K29</f>
        <v>4.0957050041069087E-2</v>
      </c>
      <c r="L39" s="155">
        <f>'R3'!L29</f>
        <v>0.11612840069157188</v>
      </c>
      <c r="M39" s="155">
        <f>'R3'!M29</f>
        <v>9.1170323795752781E-3</v>
      </c>
      <c r="N39"/>
      <c r="O39" s="155">
        <f>'R3'!O29</f>
        <v>0.81127554326683582</v>
      </c>
      <c r="P39" s="155">
        <f>'R3'!P29</f>
        <v>4.6627697341955372</v>
      </c>
      <c r="Q39" s="155">
        <f>'R3'!Q29</f>
        <v>0.20187523357886411</v>
      </c>
      <c r="R39" s="155">
        <f>'R3'!R29</f>
        <v>3.0732662648642832</v>
      </c>
      <c r="S39" s="155">
        <f>'R3'!S29</f>
        <v>0.1220180296115542</v>
      </c>
      <c r="T39" s="155">
        <f>'R3'!T29</f>
        <v>5.067588991953925</v>
      </c>
      <c r="U39" s="155">
        <f>'R3'!U29</f>
        <v>1.7955930647025562</v>
      </c>
      <c r="V39" s="155">
        <f>'R3'!V29</f>
        <v>1.753541986071689</v>
      </c>
    </row>
    <row r="40" spans="1:22" s="1" customFormat="1" x14ac:dyDescent="0.35">
      <c r="A40" s="226"/>
      <c r="B40" s="155">
        <f>'R3'!B30</f>
        <v>3.3068266466258336E-2</v>
      </c>
      <c r="C40" s="155">
        <f>'R3'!C30</f>
        <v>4.8208765587007582E-2</v>
      </c>
      <c r="D40" s="155">
        <f>'R3'!D30</f>
        <v>0.10642401147385268</v>
      </c>
      <c r="E40" s="155">
        <f>'R3'!E30</f>
        <v>1.2912822122142689</v>
      </c>
      <c r="F40" s="155">
        <f>'R3'!F30</f>
        <v>1.67349893872981</v>
      </c>
      <c r="G40" s="155">
        <f>'R3'!G30</f>
        <v>1.5127750112296305</v>
      </c>
      <c r="H40" s="155">
        <f>'R3'!H30</f>
        <v>3.1126509117032377</v>
      </c>
      <c r="I40" s="155">
        <f>'R3'!I30</f>
        <v>0.19962063988244705</v>
      </c>
      <c r="J40" s="155">
        <f>'R3'!J30</f>
        <v>0.30140315571737325</v>
      </c>
      <c r="K40" s="155">
        <f>'R3'!K30</f>
        <v>6.5304826472254274E-2</v>
      </c>
      <c r="L40" s="155">
        <f>'R3'!L30</f>
        <v>0.16784677634399939</v>
      </c>
      <c r="M40" s="155">
        <f>'R3'!M30</f>
        <v>0.10396445471412495</v>
      </c>
      <c r="N40"/>
      <c r="O40" s="155">
        <f>'R3'!O30</f>
        <v>2.1461766485887885</v>
      </c>
      <c r="P40" s="155">
        <f>'R3'!P30</f>
        <v>1.9156658571815335</v>
      </c>
      <c r="Q40" s="155">
        <f>'R3'!Q30</f>
        <v>0.1266048429406795</v>
      </c>
      <c r="R40" s="155">
        <f>'R3'!R30</f>
        <v>0.23928328699570545</v>
      </c>
      <c r="S40" s="155">
        <f>'R3'!S30</f>
        <v>1.0256279033247353</v>
      </c>
      <c r="T40" s="155">
        <f>'R3'!T30</f>
        <v>0.32613026677319307</v>
      </c>
      <c r="U40" s="155">
        <f>'R3'!U30</f>
        <v>0.91517575582678878</v>
      </c>
      <c r="V40" s="155">
        <f>'R3'!V30</f>
        <v>1.7442123427533065</v>
      </c>
    </row>
    <row r="41" spans="1:22" s="1" customFormat="1" x14ac:dyDescent="0.35">
      <c r="A41" s="226"/>
      <c r="B41" s="155">
        <f>'R3'!B31</f>
        <v>0.12857990678769343</v>
      </c>
      <c r="C41" s="155">
        <f>'R3'!C31</f>
        <v>0.31897147291453903</v>
      </c>
      <c r="D41" s="155">
        <f>'R3'!D31</f>
        <v>5.5312877135860423E-2</v>
      </c>
      <c r="E41" s="155">
        <f>'R3'!E31</f>
        <v>1.6701476396871713</v>
      </c>
      <c r="F41" s="155">
        <f>'R3'!F31</f>
        <v>1.8506310007143114</v>
      </c>
      <c r="G41" s="155">
        <f>'R3'!G31</f>
        <v>3.2146009160115407</v>
      </c>
      <c r="H41" s="155">
        <f>'R3'!H31</f>
        <v>5.8387269550391592</v>
      </c>
      <c r="I41" s="155">
        <f>'R3'!I31</f>
        <v>0.23936473686974494</v>
      </c>
      <c r="J41" s="155">
        <f>'R3'!J31</f>
        <v>2.4386398202443343E-2</v>
      </c>
      <c r="K41" s="155">
        <f>'R3'!K31</f>
        <v>0.11613490138574405</v>
      </c>
      <c r="L41" s="155">
        <f>'R3'!L31</f>
        <v>0.38881684306916381</v>
      </c>
      <c r="M41" s="155">
        <f>'R3'!M31</f>
        <v>0.10575138082392092</v>
      </c>
      <c r="N41"/>
      <c r="O41" s="155">
        <f>'R3'!O31</f>
        <v>0.55556997321713997</v>
      </c>
      <c r="P41" s="155">
        <f>'R3'!P31</f>
        <v>3.7479392799474232</v>
      </c>
      <c r="Q41" s="155">
        <f>'R3'!Q31</f>
        <v>0.18191083698859292</v>
      </c>
      <c r="R41" s="155">
        <f>'R3'!R31</f>
        <v>0.84574490052408335</v>
      </c>
      <c r="S41" s="155">
        <f>'R3'!S31</f>
        <v>2.4611563128878426</v>
      </c>
      <c r="T41" s="155">
        <f>'R3'!T31</f>
        <v>0.20452981116375682</v>
      </c>
      <c r="U41" s="155">
        <f>'R3'!U31</f>
        <v>1.0103038551920662</v>
      </c>
      <c r="V41" s="155">
        <f>'R3'!V31</f>
        <v>2.0081068754910572</v>
      </c>
    </row>
    <row r="42" spans="1:22" s="1" customFormat="1" x14ac:dyDescent="0.35">
      <c r="A42" s="226"/>
      <c r="B42" s="155">
        <f>'R3'!B32</f>
        <v>0.21955520975828124</v>
      </c>
      <c r="C42" s="155">
        <f>'R3'!C32</f>
        <v>0.35333643667125708</v>
      </c>
      <c r="D42" s="155">
        <f>'R3'!D32</f>
        <v>1.6668724370057242</v>
      </c>
      <c r="E42" s="155">
        <f>'R3'!E32</f>
        <v>1.01502030001086</v>
      </c>
      <c r="F42" s="155">
        <f>'R3'!F32</f>
        <v>1.1440219871321944</v>
      </c>
      <c r="G42" s="155">
        <f>'R3'!G32</f>
        <v>1.7721278531036861</v>
      </c>
      <c r="H42" s="155">
        <f>'R3'!H32</f>
        <v>3.7726767156351633</v>
      </c>
      <c r="I42" s="155">
        <f>'R3'!I32</f>
        <v>0.13993011881229511</v>
      </c>
      <c r="J42" s="155">
        <f>'R3'!J32</f>
        <v>0.29694750345301579</v>
      </c>
      <c r="K42" s="155">
        <f>'R3'!K32</f>
        <v>8.1186787122405263E-2</v>
      </c>
      <c r="L42" s="155">
        <f>'R3'!L32</f>
        <v>0.41119643874128203</v>
      </c>
      <c r="M42" s="155">
        <f>'R3'!M32</f>
        <v>8.4611123376037364E-2</v>
      </c>
      <c r="N42"/>
      <c r="O42" s="155">
        <f>'R3'!O32</f>
        <v>0.11878183109514008</v>
      </c>
      <c r="P42" s="155">
        <f>'R3'!P32</f>
        <v>1.7786843767669778</v>
      </c>
      <c r="Q42" s="155">
        <f>'R3'!Q32</f>
        <v>0.14398311043175316</v>
      </c>
      <c r="R42" s="155">
        <f>'R3'!R32</f>
        <v>1.4518069125577604</v>
      </c>
      <c r="S42" s="155">
        <f>'R3'!S32</f>
        <v>0.43473354036982065</v>
      </c>
      <c r="T42" s="155">
        <f>'R3'!T32</f>
        <v>1.7121711859662503</v>
      </c>
      <c r="U42" s="155">
        <f>'R3'!U32</f>
        <v>1.2289122579638601</v>
      </c>
      <c r="V42" s="155">
        <f>'R3'!V32</f>
        <v>0.28256032006868809</v>
      </c>
    </row>
    <row r="43" spans="1:22" s="1" customFormat="1" x14ac:dyDescent="0.35">
      <c r="A43" s="226"/>
      <c r="B43" s="155">
        <f>'R3'!B33</f>
        <v>0.34239117965420385</v>
      </c>
      <c r="C43" s="155">
        <f>'R3'!C33</f>
        <v>0.99303954104589276</v>
      </c>
      <c r="D43" s="155">
        <f>'R3'!D33</f>
        <v>0.81864962482072101</v>
      </c>
      <c r="E43" s="155">
        <f>'R3'!E33</f>
        <v>0.74271272183300197</v>
      </c>
      <c r="F43" s="155">
        <f>'R3'!F33</f>
        <v>0.96653735808729691</v>
      </c>
      <c r="G43" s="155">
        <f>'R3'!G33</f>
        <v>2.7213836893249423</v>
      </c>
      <c r="H43" s="155">
        <f>'R3'!H33</f>
        <v>4.7231871858316472</v>
      </c>
      <c r="I43" s="155">
        <f>'R3'!I33</f>
        <v>9.914552836367585E-2</v>
      </c>
      <c r="J43" s="155">
        <f>'R3'!J33</f>
        <v>0.49272776265481211</v>
      </c>
      <c r="K43" s="155">
        <f>'R3'!K33</f>
        <v>0.10986861459755094</v>
      </c>
      <c r="L43" s="155">
        <f>'R3'!L33</f>
        <v>0.15037138083411808</v>
      </c>
      <c r="M43" s="155">
        <f>'R3'!M33</f>
        <v>0.2485551888540882</v>
      </c>
      <c r="N43"/>
      <c r="O43" s="155">
        <f>'R3'!O33</f>
        <v>0.64047630458734861</v>
      </c>
      <c r="P43" s="155">
        <f>'R3'!P33</f>
        <v>1.2583221631862884</v>
      </c>
      <c r="Q43" s="155">
        <f>'R3'!Q33</f>
        <v>0.54772363535133572</v>
      </c>
      <c r="R43" s="155">
        <f>'R3'!R33</f>
        <v>1.2448225157533488</v>
      </c>
      <c r="S43" s="155">
        <f>'R3'!S33</f>
        <v>3.0813091531303516</v>
      </c>
      <c r="T43" s="155">
        <f>'R3'!T33</f>
        <v>3.9258892822162927</v>
      </c>
      <c r="U43" s="155">
        <f>'R3'!U33</f>
        <v>2.959603921626611</v>
      </c>
      <c r="V43" s="155">
        <f>'R3'!V33</f>
        <v>4.6908745294644598</v>
      </c>
    </row>
    <row r="44" spans="1:22" s="1" customFormat="1" x14ac:dyDescent="0.35">
      <c r="A44" s="226"/>
      <c r="B44" s="155">
        <f>'R3'!B34</f>
        <v>0.36019849296064044</v>
      </c>
      <c r="C44" s="155">
        <f>'R3'!C34</f>
        <v>0.25231029572295111</v>
      </c>
      <c r="D44" s="155">
        <f>'R3'!D34</f>
        <v>0.24353435859052713</v>
      </c>
      <c r="E44" s="155">
        <f>'R3'!E34</f>
        <v>1.1677514328294742</v>
      </c>
      <c r="F44" s="155">
        <f>'R3'!F34</f>
        <v>2.5015042096456024</v>
      </c>
      <c r="G44" s="155">
        <f>'R3'!G34</f>
        <v>2.826830302310321</v>
      </c>
      <c r="H44" s="155">
        <f>'R3'!H34</f>
        <v>2.7754121057711378</v>
      </c>
      <c r="I44" s="155">
        <f>'R3'!I34</f>
        <v>0.29210372150720249</v>
      </c>
      <c r="J44" s="155">
        <f>'R3'!J34</f>
        <v>0.10194847473320386</v>
      </c>
      <c r="K44" s="155">
        <f>'R3'!K34</f>
        <v>4.3161932546757834E-2</v>
      </c>
      <c r="L44" s="155">
        <f>'R3'!L34</f>
        <v>0.17124205067074416</v>
      </c>
      <c r="M44" s="155">
        <f>'R3'!M34</f>
        <v>0.20763446622162829</v>
      </c>
      <c r="N44"/>
      <c r="O44" s="155">
        <f>'R3'!O34</f>
        <v>5.8870668816909347E-2</v>
      </c>
      <c r="P44" s="155">
        <f>'R3'!P34</f>
        <v>2.4964722899625711</v>
      </c>
      <c r="Q44" s="155">
        <f>'R3'!Q34</f>
        <v>0.56486061237048957</v>
      </c>
      <c r="R44" s="155">
        <f>'R3'!R34</f>
        <v>3.2985646467267857</v>
      </c>
      <c r="S44" s="155">
        <f>'R3'!S34</f>
        <v>1.7110197983102273</v>
      </c>
      <c r="T44" s="155">
        <f>'R3'!T34</f>
        <v>0.36967612266988353</v>
      </c>
      <c r="U44" s="155">
        <f>'R3'!U34</f>
        <v>1.2880173341647423</v>
      </c>
      <c r="V44" s="155">
        <f>'R3'!V34</f>
        <v>0.52511651538319171</v>
      </c>
    </row>
    <row r="45" spans="1:22" s="1" customFormat="1" x14ac:dyDescent="0.35">
      <c r="A45" s="226"/>
      <c r="B45" s="155" t="str">
        <f>'R3'!B35</f>
        <v/>
      </c>
      <c r="C45" s="155">
        <f>'R3'!C35</f>
        <v>0.16109982058084085</v>
      </c>
      <c r="D45" s="155">
        <f>'R3'!D35</f>
        <v>0.53818138109414582</v>
      </c>
      <c r="E45" s="155" t="str">
        <f>'R3'!E35</f>
        <v/>
      </c>
      <c r="F45" s="155">
        <f>'R3'!F35</f>
        <v>1.8605219980941494</v>
      </c>
      <c r="G45" s="155">
        <f>'R3'!G35</f>
        <v>1.8417044004346033</v>
      </c>
      <c r="H45" s="155">
        <f>'R3'!H35</f>
        <v>2.3301719140439974</v>
      </c>
      <c r="I45" s="155">
        <f>'R3'!I35</f>
        <v>7.8932193425988187E-2</v>
      </c>
      <c r="J45" s="155">
        <f>'R3'!J35</f>
        <v>8.1355040383331911E-2</v>
      </c>
      <c r="K45" s="155">
        <f>'R3'!K35</f>
        <v>4.3024270787817849E-2</v>
      </c>
      <c r="L45" s="155">
        <f>'R3'!L35</f>
        <v>8.9878597624365925E-2</v>
      </c>
      <c r="M45" s="155">
        <f>'R3'!M35</f>
        <v>0.16751944727274209</v>
      </c>
      <c r="N45"/>
      <c r="O45" s="155">
        <f>'R3'!O35</f>
        <v>0.42034903374191679</v>
      </c>
      <c r="P45" s="155">
        <f>'R3'!P35</f>
        <v>3.5808159926254084</v>
      </c>
      <c r="Q45" s="155" t="str">
        <f>'R3'!Q35</f>
        <v/>
      </c>
      <c r="R45" s="155">
        <f>'R3'!R35</f>
        <v>0.7265470250019247</v>
      </c>
      <c r="S45" s="155">
        <f>'R3'!S35</f>
        <v>2.6860233545723333</v>
      </c>
      <c r="T45" s="155">
        <f>'R3'!T35</f>
        <v>0.637241253252259</v>
      </c>
      <c r="U45" s="155">
        <f>'R3'!U35</f>
        <v>3.8617209300428432</v>
      </c>
      <c r="V45" s="155">
        <f>'R3'!V35</f>
        <v>2.4483839784146362</v>
      </c>
    </row>
    <row r="46" spans="1:22" s="1" customFormat="1" x14ac:dyDescent="0.35">
      <c r="A46" s="226"/>
      <c r="B46" s="155" t="str">
        <f>'R3'!B36</f>
        <v/>
      </c>
      <c r="C46" s="155" t="str">
        <f>'R3'!C36</f>
        <v/>
      </c>
      <c r="D46" s="155" t="str">
        <f>'R3'!D36</f>
        <v/>
      </c>
      <c r="E46" s="155" t="str">
        <f>'R3'!E36</f>
        <v/>
      </c>
      <c r="F46" s="155" t="str">
        <f>'R3'!F36</f>
        <v/>
      </c>
      <c r="G46" s="155" t="str">
        <f>'R3'!G36</f>
        <v/>
      </c>
      <c r="H46" s="155" t="str">
        <f>'R3'!H36</f>
        <v/>
      </c>
      <c r="I46" s="155" t="str">
        <f>'R3'!I36</f>
        <v/>
      </c>
      <c r="J46" s="155" t="str">
        <f>'R3'!J36</f>
        <v/>
      </c>
      <c r="K46" s="155" t="str">
        <f>'R3'!K36</f>
        <v/>
      </c>
      <c r="L46" s="155" t="str">
        <f>'R3'!L36</f>
        <v/>
      </c>
      <c r="M46" s="155" t="str">
        <f>'R3'!M36</f>
        <v/>
      </c>
      <c r="N46"/>
      <c r="O46" s="155">
        <f>'R3'!O36</f>
        <v>1.0962269716095565</v>
      </c>
      <c r="P46" s="155" t="str">
        <f>'R3'!P36</f>
        <v/>
      </c>
      <c r="Q46" s="155" t="str">
        <f>'R3'!Q36</f>
        <v/>
      </c>
      <c r="R46" s="155" t="str">
        <f>'R3'!R36</f>
        <v/>
      </c>
      <c r="S46" s="155" t="str">
        <f>'R3'!S36</f>
        <v/>
      </c>
      <c r="T46" s="155" t="str">
        <f>'R3'!T36</f>
        <v/>
      </c>
      <c r="U46" s="155" t="str">
        <f>'R3'!U36</f>
        <v/>
      </c>
      <c r="V46" s="155" t="str">
        <f>'R3'!V36</f>
        <v/>
      </c>
    </row>
    <row r="47" spans="1:22" s="1" customFormat="1" x14ac:dyDescent="0.35">
      <c r="A47" s="226"/>
      <c r="B47" s="155" t="str">
        <f>'R3'!B37</f>
        <v/>
      </c>
      <c r="C47" s="155" t="str">
        <f>'R3'!C37</f>
        <v/>
      </c>
      <c r="D47" s="155" t="str">
        <f>'R3'!D37</f>
        <v/>
      </c>
      <c r="E47" s="155" t="str">
        <f>'R3'!E37</f>
        <v/>
      </c>
      <c r="F47" s="155" t="str">
        <f>'R3'!F37</f>
        <v/>
      </c>
      <c r="G47" s="155" t="str">
        <f>'R3'!G37</f>
        <v/>
      </c>
      <c r="H47" s="155" t="str">
        <f>'R3'!H37</f>
        <v/>
      </c>
      <c r="I47" s="155" t="str">
        <f>'R3'!I37</f>
        <v/>
      </c>
      <c r="J47" s="155" t="str">
        <f>'R3'!J37</f>
        <v/>
      </c>
      <c r="K47" s="155" t="str">
        <f>'R3'!K37</f>
        <v/>
      </c>
      <c r="L47" s="155" t="str">
        <f>'R3'!L37</f>
        <v/>
      </c>
      <c r="M47" s="155" t="str">
        <f>'R3'!M37</f>
        <v/>
      </c>
      <c r="N47"/>
      <c r="O47" s="155">
        <f>'R3'!O37</f>
        <v>2.1840068647330457</v>
      </c>
      <c r="P47" s="155" t="str">
        <f>'R3'!P37</f>
        <v/>
      </c>
      <c r="Q47" s="155" t="str">
        <f>'R3'!Q37</f>
        <v/>
      </c>
      <c r="R47" s="155" t="str">
        <f>'R3'!R37</f>
        <v/>
      </c>
      <c r="S47" s="155" t="str">
        <f>'R3'!S37</f>
        <v/>
      </c>
      <c r="T47" s="155" t="str">
        <f>'R3'!T37</f>
        <v/>
      </c>
      <c r="U47" s="155" t="str">
        <f>'R3'!U37</f>
        <v/>
      </c>
      <c r="V47" s="155" t="str">
        <f>'R3'!V37</f>
        <v/>
      </c>
    </row>
    <row r="48" spans="1:22" s="1" customFormat="1" x14ac:dyDescent="0.35">
      <c r="A48" s="226"/>
      <c r="B48" s="155" t="str">
        <f>'R3'!B38</f>
        <v/>
      </c>
      <c r="C48" s="155" t="str">
        <f>'R3'!C38</f>
        <v/>
      </c>
      <c r="D48" s="155" t="str">
        <f>'R3'!D38</f>
        <v/>
      </c>
      <c r="E48" s="155" t="str">
        <f>'R3'!E38</f>
        <v/>
      </c>
      <c r="F48" s="155" t="str">
        <f>'R3'!F38</f>
        <v/>
      </c>
      <c r="G48" s="155" t="str">
        <f>'R3'!G38</f>
        <v/>
      </c>
      <c r="H48" s="155" t="str">
        <f>'R3'!H38</f>
        <v/>
      </c>
      <c r="I48" s="155" t="str">
        <f>'R3'!I38</f>
        <v/>
      </c>
      <c r="J48" s="155" t="str">
        <f>'R3'!J38</f>
        <v/>
      </c>
      <c r="K48" s="155" t="str">
        <f>'R3'!K38</f>
        <v/>
      </c>
      <c r="L48" s="155" t="str">
        <f>'R3'!L38</f>
        <v/>
      </c>
      <c r="M48" s="155" t="str">
        <f>'R3'!M38</f>
        <v/>
      </c>
      <c r="N48"/>
      <c r="O48" s="155">
        <f>'R3'!O38</f>
        <v>1.456177673404105</v>
      </c>
      <c r="P48" s="155" t="str">
        <f>'R3'!P38</f>
        <v/>
      </c>
      <c r="Q48" s="155" t="str">
        <f>'R3'!Q38</f>
        <v/>
      </c>
      <c r="R48" s="155" t="str">
        <f>'R3'!R38</f>
        <v/>
      </c>
      <c r="S48" s="155" t="str">
        <f>'R3'!S38</f>
        <v/>
      </c>
      <c r="T48" s="155" t="str">
        <f>'R3'!T38</f>
        <v/>
      </c>
      <c r="U48" s="155" t="str">
        <f>'R3'!U38</f>
        <v/>
      </c>
      <c r="V48" s="155" t="str">
        <f>'R3'!V38</f>
        <v/>
      </c>
    </row>
    <row r="49" spans="1:24" s="1" customFormat="1" x14ac:dyDescent="0.35">
      <c r="A49" s="226"/>
      <c r="B49" s="155" t="str">
        <f>'R3'!B39</f>
        <v/>
      </c>
      <c r="C49" s="155" t="str">
        <f>'R3'!C39</f>
        <v/>
      </c>
      <c r="D49" s="155" t="str">
        <f>'R3'!D39</f>
        <v/>
      </c>
      <c r="E49" s="155" t="str">
        <f>'R3'!E39</f>
        <v/>
      </c>
      <c r="F49" s="155" t="str">
        <f>'R3'!F39</f>
        <v/>
      </c>
      <c r="G49" s="155" t="str">
        <f>'R3'!G39</f>
        <v/>
      </c>
      <c r="H49" s="155" t="str">
        <f>'R3'!H39</f>
        <v/>
      </c>
      <c r="I49" s="155" t="str">
        <f>'R3'!I39</f>
        <v/>
      </c>
      <c r="J49" s="155" t="str">
        <f>'R3'!J39</f>
        <v/>
      </c>
      <c r="K49" s="155" t="str">
        <f>'R3'!K39</f>
        <v/>
      </c>
      <c r="L49" s="155" t="str">
        <f>'R3'!L39</f>
        <v/>
      </c>
      <c r="M49" s="155" t="str">
        <f>'R3'!M39</f>
        <v/>
      </c>
      <c r="N49"/>
      <c r="O49" s="155">
        <f>'R3'!O39</f>
        <v>1.7523015006661298</v>
      </c>
      <c r="P49" s="155" t="str">
        <f>'R3'!P39</f>
        <v/>
      </c>
      <c r="Q49" s="155" t="str">
        <f>'R3'!Q39</f>
        <v/>
      </c>
      <c r="R49" s="155" t="str">
        <f>'R3'!R39</f>
        <v/>
      </c>
      <c r="S49" s="155" t="str">
        <f>'R3'!S39</f>
        <v/>
      </c>
      <c r="T49" s="155" t="str">
        <f>'R3'!T39</f>
        <v/>
      </c>
      <c r="U49" s="155" t="str">
        <f>'R3'!U39</f>
        <v/>
      </c>
      <c r="V49" s="155" t="str">
        <f>'R3'!V39</f>
        <v/>
      </c>
    </row>
    <row r="50" spans="1:24" s="1" customFormat="1" x14ac:dyDescent="0.35">
      <c r="A50" s="226"/>
      <c r="B50" s="155" t="str">
        <f>'R3'!B40</f>
        <v/>
      </c>
      <c r="C50" s="155" t="str">
        <f>'R3'!C40</f>
        <v/>
      </c>
      <c r="D50" s="155" t="str">
        <f>'R3'!D40</f>
        <v/>
      </c>
      <c r="E50" s="155" t="str">
        <f>'R3'!E40</f>
        <v/>
      </c>
      <c r="F50" s="155" t="str">
        <f>'R3'!F40</f>
        <v/>
      </c>
      <c r="G50" s="155" t="str">
        <f>'R3'!G40</f>
        <v/>
      </c>
      <c r="H50" s="155" t="str">
        <f>'R3'!H40</f>
        <v/>
      </c>
      <c r="I50" s="155" t="str">
        <f>'R3'!I40</f>
        <v/>
      </c>
      <c r="J50" s="155" t="str">
        <f>'R3'!J40</f>
        <v/>
      </c>
      <c r="K50" s="155" t="str">
        <f>'R3'!K40</f>
        <v/>
      </c>
      <c r="L50" s="155" t="str">
        <f>'R3'!L40</f>
        <v/>
      </c>
      <c r="M50" s="155" t="str">
        <f>'R3'!M40</f>
        <v/>
      </c>
      <c r="N50"/>
      <c r="O50" s="155">
        <f>'R3'!O40</f>
        <v>1.6679874972531379</v>
      </c>
      <c r="P50" s="155" t="str">
        <f>'R3'!P40</f>
        <v/>
      </c>
      <c r="Q50" s="155" t="str">
        <f>'R3'!Q40</f>
        <v/>
      </c>
      <c r="R50" s="155" t="str">
        <f>'R3'!R40</f>
        <v/>
      </c>
      <c r="S50" s="155" t="str">
        <f>'R3'!S40</f>
        <v/>
      </c>
      <c r="T50" s="155" t="str">
        <f>'R3'!T40</f>
        <v/>
      </c>
      <c r="U50" s="155" t="str">
        <f>'R3'!U40</f>
        <v/>
      </c>
      <c r="V50" s="155" t="str">
        <f>'R3'!V40</f>
        <v/>
      </c>
    </row>
    <row r="51" spans="1:24" s="1" customFormat="1" x14ac:dyDescent="0.35">
      <c r="A51" s="226"/>
      <c r="B51" s="155" t="str">
        <f>'R3'!B41</f>
        <v/>
      </c>
      <c r="C51" s="155" t="str">
        <f>'R3'!C41</f>
        <v/>
      </c>
      <c r="D51" s="155" t="str">
        <f>'R3'!D41</f>
        <v/>
      </c>
      <c r="E51" s="155" t="str">
        <f>'R3'!E41</f>
        <v/>
      </c>
      <c r="F51" s="155" t="str">
        <f>'R3'!F41</f>
        <v/>
      </c>
      <c r="G51" s="155" t="str">
        <f>'R3'!G41</f>
        <v/>
      </c>
      <c r="H51" s="155" t="str">
        <f>'R3'!H41</f>
        <v/>
      </c>
      <c r="I51" s="155" t="str">
        <f>'R3'!I41</f>
        <v/>
      </c>
      <c r="J51" s="155" t="str">
        <f>'R3'!J41</f>
        <v/>
      </c>
      <c r="K51" s="155" t="str">
        <f>'R3'!K41</f>
        <v/>
      </c>
      <c r="L51" s="155" t="str">
        <f>'R3'!L41</f>
        <v/>
      </c>
      <c r="M51" s="155" t="str">
        <f>'R3'!M41</f>
        <v/>
      </c>
      <c r="N51"/>
      <c r="O51" s="155">
        <f>'R3'!O41</f>
        <v>1.495308793170345</v>
      </c>
      <c r="P51" s="155" t="str">
        <f>'R3'!P41</f>
        <v/>
      </c>
      <c r="Q51" s="155" t="str">
        <f>'R3'!Q41</f>
        <v/>
      </c>
      <c r="R51" s="155" t="str">
        <f>'R3'!R41</f>
        <v/>
      </c>
      <c r="S51" s="155" t="str">
        <f>'R3'!S41</f>
        <v/>
      </c>
      <c r="T51" s="155" t="str">
        <f>'R3'!T41</f>
        <v/>
      </c>
      <c r="U51" s="155" t="str">
        <f>'R3'!U41</f>
        <v/>
      </c>
      <c r="V51" s="155" t="str">
        <f>'R3'!V41</f>
        <v/>
      </c>
    </row>
    <row r="52" spans="1:24" s="1" customFormat="1" x14ac:dyDescent="0.35">
      <c r="A52" s="226"/>
      <c r="B52" s="155" t="str">
        <f>'R3'!B42</f>
        <v/>
      </c>
      <c r="C52" s="155" t="str">
        <f>'R3'!C42</f>
        <v/>
      </c>
      <c r="D52" s="155" t="str">
        <f>'R3'!D42</f>
        <v/>
      </c>
      <c r="E52" s="155" t="str">
        <f>'R3'!E42</f>
        <v/>
      </c>
      <c r="F52" s="155" t="str">
        <f>'R3'!F42</f>
        <v/>
      </c>
      <c r="G52" s="155" t="str">
        <f>'R3'!G42</f>
        <v/>
      </c>
      <c r="H52" s="155" t="str">
        <f>'R3'!H42</f>
        <v/>
      </c>
      <c r="I52" s="155" t="str">
        <f>'R3'!I42</f>
        <v/>
      </c>
      <c r="J52" s="155" t="str">
        <f>'R3'!J42</f>
        <v/>
      </c>
      <c r="K52" s="155" t="str">
        <f>'R3'!K42</f>
        <v/>
      </c>
      <c r="L52" s="155" t="str">
        <f>'R3'!L42</f>
        <v/>
      </c>
      <c r="M52" s="155" t="str">
        <f>'R3'!M42</f>
        <v/>
      </c>
      <c r="N52"/>
      <c r="O52" s="155">
        <f>'R3'!O42</f>
        <v>0.3942399515838495</v>
      </c>
      <c r="P52" s="155" t="str">
        <f>'R3'!P42</f>
        <v/>
      </c>
      <c r="Q52" s="155" t="str">
        <f>'R3'!Q42</f>
        <v/>
      </c>
      <c r="R52" s="155" t="str">
        <f>'R3'!R42</f>
        <v/>
      </c>
      <c r="S52" s="155" t="str">
        <f>'R3'!S42</f>
        <v/>
      </c>
      <c r="T52" s="155" t="str">
        <f>'R3'!T42</f>
        <v/>
      </c>
      <c r="U52" s="155" t="str">
        <f>'R3'!U42</f>
        <v/>
      </c>
      <c r="V52" s="155" t="str">
        <f>'R3'!V42</f>
        <v/>
      </c>
    </row>
    <row r="53" spans="1:24" s="1" customFormat="1" x14ac:dyDescent="0.35">
      <c r="A53" s="227"/>
      <c r="B53" s="155" t="str">
        <f>'R3'!B43</f>
        <v/>
      </c>
      <c r="C53" s="155" t="str">
        <f>'R3'!C43</f>
        <v/>
      </c>
      <c r="D53" s="155" t="str">
        <f>'R3'!D43</f>
        <v/>
      </c>
      <c r="E53" s="155" t="str">
        <f>'R3'!E43</f>
        <v/>
      </c>
      <c r="F53" s="155" t="str">
        <f>'R3'!F43</f>
        <v/>
      </c>
      <c r="G53" s="155" t="str">
        <f>'R3'!G43</f>
        <v/>
      </c>
      <c r="H53" s="155" t="str">
        <f>'R3'!H43</f>
        <v/>
      </c>
      <c r="I53" s="155" t="str">
        <f>'R3'!I43</f>
        <v/>
      </c>
      <c r="J53" s="155" t="str">
        <f>'R3'!J43</f>
        <v/>
      </c>
      <c r="K53" s="155" t="str">
        <f>'R3'!K43</f>
        <v/>
      </c>
      <c r="L53" s="155" t="str">
        <f>'R3'!L43</f>
        <v/>
      </c>
      <c r="M53" s="155" t="str">
        <f>'R3'!M43</f>
        <v/>
      </c>
      <c r="N53"/>
      <c r="O53" s="155" t="str">
        <f>'R3'!O43</f>
        <v/>
      </c>
      <c r="P53" s="155" t="str">
        <f>'R3'!P43</f>
        <v/>
      </c>
      <c r="Q53" s="155" t="str">
        <f>'R3'!Q43</f>
        <v/>
      </c>
      <c r="R53" s="155" t="str">
        <f>'R3'!R43</f>
        <v/>
      </c>
      <c r="S53" s="155" t="str">
        <f>'R3'!S43</f>
        <v/>
      </c>
      <c r="T53" s="155" t="str">
        <f>'R3'!T43</f>
        <v/>
      </c>
      <c r="U53" s="155" t="str">
        <f>'R3'!U43</f>
        <v/>
      </c>
      <c r="V53" s="155" t="str">
        <f>'R3'!V43</f>
        <v/>
      </c>
    </row>
    <row r="54" spans="1:24" s="60" customFormat="1" x14ac:dyDescent="0.35">
      <c r="A54" s="58"/>
      <c r="B54" s="59"/>
      <c r="C54" s="59"/>
      <c r="D54" s="59"/>
      <c r="E54" s="59"/>
      <c r="F54" s="59"/>
      <c r="G54" s="59"/>
      <c r="H54" s="59"/>
      <c r="I54" s="59"/>
      <c r="J54" s="59"/>
      <c r="K54" s="59"/>
      <c r="L54" s="59"/>
      <c r="M54" s="59"/>
      <c r="N54"/>
      <c r="O54" s="59"/>
      <c r="P54" s="59"/>
      <c r="Q54" s="59"/>
      <c r="R54" s="59"/>
      <c r="S54" s="59"/>
      <c r="T54" s="59"/>
      <c r="U54" s="59"/>
      <c r="V54" s="59"/>
    </row>
    <row r="55" spans="1:24" s="41" customFormat="1" x14ac:dyDescent="0.35">
      <c r="A55" s="41" t="s">
        <v>47</v>
      </c>
      <c r="B55" s="15" t="str">
        <f t="shared" ref="B55:M55" si="0">B4</f>
        <v>Témoin solvant</v>
      </c>
      <c r="C55" s="15" t="str">
        <f t="shared" si="0"/>
        <v>EE2-33,8ng/L</v>
      </c>
      <c r="D55" s="15" t="str">
        <f t="shared" si="0"/>
        <v>EE2-50,6ng/L</v>
      </c>
      <c r="E55" s="15" t="str">
        <f t="shared" si="0"/>
        <v>EE2-76ng/L</v>
      </c>
      <c r="F55" s="15" t="str">
        <f t="shared" si="0"/>
        <v>EE2-114ng/L</v>
      </c>
      <c r="G55" s="15" t="str">
        <f t="shared" si="0"/>
        <v>EE2-170,9ng/L</v>
      </c>
      <c r="H55" s="15" t="str">
        <f t="shared" si="0"/>
        <v>EE2-488ng/L</v>
      </c>
      <c r="I55" s="15" t="str">
        <f t="shared" si="0"/>
        <v>Dutasteride-0,01mg/L</v>
      </c>
      <c r="J55" s="15" t="str">
        <f t="shared" si="0"/>
        <v>Dutasteride-0,1mg/L</v>
      </c>
      <c r="K55" s="15" t="str">
        <f t="shared" si="0"/>
        <v>Dutasteride-0,25mg/L</v>
      </c>
      <c r="L55" s="15" t="str">
        <f t="shared" si="0"/>
        <v>Dutasteride-0,5mg/L</v>
      </c>
      <c r="M55" s="15" t="str">
        <f t="shared" si="0"/>
        <v>Dutasteride-1mg/L</v>
      </c>
      <c r="O55" s="15" t="str">
        <f t="shared" ref="O55:V55" si="1">O4</f>
        <v>Testo -30µg/L</v>
      </c>
      <c r="P55" s="15" t="str">
        <f t="shared" si="1"/>
        <v>Testo 30µg/L + EE2 -64ng/L</v>
      </c>
      <c r="Q55" s="15" t="str">
        <f t="shared" si="1"/>
        <v>Testo 30µg/L + FAD-10µg/L</v>
      </c>
      <c r="R55" s="15" t="str">
        <f t="shared" si="1"/>
        <v>Dutasteride-0,01mg/L + Testostérone</v>
      </c>
      <c r="S55" s="15" t="str">
        <f t="shared" si="1"/>
        <v>Dutasteride-0,1mg/L + Testostérone</v>
      </c>
      <c r="T55" s="15" t="str">
        <f t="shared" si="1"/>
        <v>Dutasteride-0,25mg/L + Testostérone</v>
      </c>
      <c r="U55" s="15" t="str">
        <f t="shared" si="1"/>
        <v>Dutasteride-0,5mg/L + Testostérone</v>
      </c>
      <c r="V55" s="15" t="str">
        <f t="shared" si="1"/>
        <v>Dutasteride-1mg/L + Testostérone</v>
      </c>
    </row>
    <row r="56" spans="1:24" x14ac:dyDescent="0.35">
      <c r="A56" t="s">
        <v>48</v>
      </c>
      <c r="B56" s="9">
        <f t="shared" ref="B56:V56" si="2">AVERAGE(B6:B53)</f>
        <v>0.29313487556023021</v>
      </c>
      <c r="C56" s="9">
        <f t="shared" si="2"/>
        <v>0.2975687447224491</v>
      </c>
      <c r="D56" s="9">
        <f t="shared" si="2"/>
        <v>0.72446505123849336</v>
      </c>
      <c r="E56" s="9">
        <f t="shared" si="2"/>
        <v>1.6636154691166398</v>
      </c>
      <c r="F56" s="9">
        <f t="shared" si="2"/>
        <v>2.6808080544471031</v>
      </c>
      <c r="G56" s="9">
        <f t="shared" si="2"/>
        <v>3.4863533382132248</v>
      </c>
      <c r="H56" s="9">
        <f t="shared" si="2"/>
        <v>5.8355680233085572</v>
      </c>
      <c r="I56" s="9">
        <f t="shared" si="2"/>
        <v>0.18697787058800461</v>
      </c>
      <c r="J56" s="9">
        <f t="shared" si="2"/>
        <v>0.15403073547342597</v>
      </c>
      <c r="K56" s="9">
        <f t="shared" si="2"/>
        <v>0.17314720660996874</v>
      </c>
      <c r="L56" s="9">
        <f t="shared" si="2"/>
        <v>0.21760649230919263</v>
      </c>
      <c r="M56" s="9">
        <f t="shared" si="2"/>
        <v>0.18024131028716309</v>
      </c>
      <c r="N56" s="9"/>
      <c r="O56" s="9">
        <f t="shared" si="2"/>
        <v>0.99999999999999967</v>
      </c>
      <c r="P56" s="9">
        <f t="shared" si="2"/>
        <v>3.8071999917273995</v>
      </c>
      <c r="Q56" s="9">
        <f t="shared" si="2"/>
        <v>0.20838704961932908</v>
      </c>
      <c r="R56" s="9">
        <f t="shared" si="2"/>
        <v>1.3360265048474209</v>
      </c>
      <c r="S56" s="9">
        <f t="shared" si="2"/>
        <v>1.5242385266923411</v>
      </c>
      <c r="T56" s="9">
        <f t="shared" si="2"/>
        <v>1.4128480747381722</v>
      </c>
      <c r="U56" s="9">
        <f t="shared" si="2"/>
        <v>1.9274200989274173</v>
      </c>
      <c r="V56" s="9">
        <f t="shared" si="2"/>
        <v>1.8674764068179091</v>
      </c>
    </row>
    <row r="57" spans="1:24" x14ac:dyDescent="0.35">
      <c r="A57" t="s">
        <v>1</v>
      </c>
      <c r="B57" s="3">
        <f>STDEV(B6:B53)</f>
        <v>0.19794878200672983</v>
      </c>
      <c r="C57" s="3">
        <f t="shared" ref="C57:V57" si="3">STDEV(C6:C53)</f>
        <v>0.26986840718960231</v>
      </c>
      <c r="D57" s="3">
        <f t="shared" si="3"/>
        <v>0.71653359369770708</v>
      </c>
      <c r="E57" s="3">
        <f t="shared" si="3"/>
        <v>1.5093462625010456</v>
      </c>
      <c r="F57" s="3">
        <f t="shared" si="3"/>
        <v>1.9357730230626633</v>
      </c>
      <c r="G57" s="3">
        <f t="shared" si="3"/>
        <v>1.7233896070683916</v>
      </c>
      <c r="H57" s="3">
        <f t="shared" si="3"/>
        <v>3.2028425024611673</v>
      </c>
      <c r="I57" s="3">
        <f t="shared" si="3"/>
        <v>0.10846991273885301</v>
      </c>
      <c r="J57" s="3">
        <f t="shared" si="3"/>
        <v>0.11475290656041794</v>
      </c>
      <c r="K57" s="3">
        <f t="shared" si="3"/>
        <v>0.14827283270157235</v>
      </c>
      <c r="L57" s="3">
        <f t="shared" si="3"/>
        <v>0.25549705947428147</v>
      </c>
      <c r="M57" s="3">
        <f t="shared" si="3"/>
        <v>0.17733983434300216</v>
      </c>
      <c r="N57" s="3"/>
      <c r="O57" s="3">
        <f t="shared" si="3"/>
        <v>0.67392196195574361</v>
      </c>
      <c r="P57" s="3">
        <f t="shared" si="3"/>
        <v>2.1601877386240527</v>
      </c>
      <c r="Q57" s="3">
        <f t="shared" si="3"/>
        <v>0.17861347316134935</v>
      </c>
      <c r="R57" s="3">
        <f t="shared" si="3"/>
        <v>1.1386886658964741</v>
      </c>
      <c r="S57" s="3">
        <f t="shared" si="3"/>
        <v>1.2278385377486105</v>
      </c>
      <c r="T57" s="3">
        <f t="shared" si="3"/>
        <v>1.3460357927250237</v>
      </c>
      <c r="U57" s="3">
        <f t="shared" si="3"/>
        <v>1.6968597857269212</v>
      </c>
      <c r="V57" s="3">
        <f t="shared" si="3"/>
        <v>1.296764920629772</v>
      </c>
      <c r="W57" s="3"/>
      <c r="X57" s="3"/>
    </row>
    <row r="58" spans="1:24" x14ac:dyDescent="0.35">
      <c r="A58" t="s">
        <v>2</v>
      </c>
      <c r="B58" s="3">
        <f xml:space="preserve"> B57/SQRT(COUNT(B6:B53))</f>
        <v>4.1275174293444898E-2</v>
      </c>
      <c r="C58" s="3">
        <f t="shared" ref="C58:V58" si="4" xml:space="preserve"> C57/SQRT(COUNT(C6:C53))</f>
        <v>5.6271452797655996E-2</v>
      </c>
      <c r="D58" s="3">
        <f t="shared" si="4"/>
        <v>0.14626180734350858</v>
      </c>
      <c r="E58" s="3">
        <f t="shared" si="4"/>
        <v>0.32179370439388616</v>
      </c>
      <c r="F58" s="3">
        <f t="shared" si="4"/>
        <v>0.39513801369569823</v>
      </c>
      <c r="G58" s="3">
        <f t="shared" si="4"/>
        <v>0.35935157410991803</v>
      </c>
      <c r="H58" s="3">
        <f t="shared" si="4"/>
        <v>0.65377748812738634</v>
      </c>
      <c r="I58" s="3">
        <f t="shared" si="4"/>
        <v>2.214132822120057E-2</v>
      </c>
      <c r="J58" s="3">
        <f t="shared" si="4"/>
        <v>2.3423838964525018E-2</v>
      </c>
      <c r="K58" s="3">
        <f t="shared" si="4"/>
        <v>3.0266065236325641E-2</v>
      </c>
      <c r="L58" s="3">
        <f t="shared" si="4"/>
        <v>5.2153118874459677E-2</v>
      </c>
      <c r="M58" s="3">
        <f t="shared" si="4"/>
        <v>3.6199342100837653E-2</v>
      </c>
      <c r="N58" s="3"/>
      <c r="O58" s="3">
        <f t="shared" si="4"/>
        <v>9.8301621250918958E-2</v>
      </c>
      <c r="P58" s="3">
        <f t="shared" si="4"/>
        <v>0.44094647568713385</v>
      </c>
      <c r="Q58" s="3">
        <f t="shared" si="4"/>
        <v>3.7243483698937811E-2</v>
      </c>
      <c r="R58" s="3">
        <f t="shared" si="4"/>
        <v>0.23243385061140623</v>
      </c>
      <c r="S58" s="3">
        <f t="shared" si="4"/>
        <v>0.25063149200075979</v>
      </c>
      <c r="T58" s="3">
        <f t="shared" si="4"/>
        <v>0.27475840564158083</v>
      </c>
      <c r="U58" s="3">
        <f t="shared" si="4"/>
        <v>0.34637005333994625</v>
      </c>
      <c r="V58" s="3">
        <f t="shared" si="4"/>
        <v>0.26470103099030573</v>
      </c>
      <c r="W58" s="3"/>
      <c r="X58" s="3"/>
    </row>
    <row r="59" spans="1:24" s="1" customFormat="1" ht="15" thickBot="1" x14ac:dyDescent="0.4">
      <c r="B59" s="3"/>
      <c r="C59" s="3"/>
      <c r="D59" s="3"/>
      <c r="E59" s="3"/>
      <c r="F59" s="3"/>
      <c r="G59" s="3"/>
      <c r="H59" s="3"/>
      <c r="I59" s="3"/>
      <c r="J59" s="3"/>
      <c r="K59" s="3"/>
      <c r="L59" s="3"/>
      <c r="M59" s="3"/>
      <c r="N59" s="3"/>
      <c r="O59" s="3"/>
      <c r="P59" s="3"/>
      <c r="Q59" s="3"/>
      <c r="R59" s="3"/>
      <c r="S59" s="3"/>
      <c r="T59" s="3"/>
      <c r="U59" s="3"/>
      <c r="V59" s="3"/>
    </row>
    <row r="60" spans="1:24" s="48" customFormat="1" ht="26.5" thickBot="1" x14ac:dyDescent="0.4">
      <c r="A60" s="228" t="s">
        <v>46</v>
      </c>
      <c r="B60" s="229"/>
      <c r="C60" s="229"/>
      <c r="D60" s="229"/>
      <c r="E60" s="229"/>
      <c r="F60" s="229"/>
      <c r="G60" s="229"/>
      <c r="H60" s="229"/>
      <c r="I60" s="229"/>
      <c r="J60" s="229"/>
      <c r="K60" s="229"/>
      <c r="L60" s="229"/>
      <c r="M60" s="229"/>
      <c r="N60" s="229"/>
      <c r="O60" s="229"/>
      <c r="P60" s="229"/>
      <c r="Q60" s="229"/>
      <c r="R60" s="229"/>
      <c r="S60" s="229"/>
      <c r="T60" s="229"/>
      <c r="U60" s="229"/>
      <c r="V60" s="229"/>
    </row>
    <row r="61" spans="1:24" s="1" customFormat="1" x14ac:dyDescent="0.35">
      <c r="B61" s="3"/>
      <c r="C61" s="3"/>
      <c r="D61" s="3"/>
      <c r="E61" s="3"/>
      <c r="F61" s="3"/>
      <c r="G61" s="3"/>
      <c r="H61" s="3"/>
      <c r="I61" s="3"/>
      <c r="J61" s="3"/>
      <c r="K61" s="3"/>
      <c r="L61" s="3"/>
      <c r="M61" s="3"/>
      <c r="N61" s="3"/>
      <c r="O61" s="3"/>
      <c r="P61" s="3"/>
      <c r="Q61" s="3"/>
      <c r="R61" s="3"/>
      <c r="S61" s="3"/>
      <c r="T61" s="3"/>
      <c r="U61" s="3"/>
      <c r="V61" s="3"/>
    </row>
    <row r="62" spans="1:24" s="1" customFormat="1" x14ac:dyDescent="0.35">
      <c r="A62" s="1" t="s">
        <v>47</v>
      </c>
      <c r="B62" s="3" t="str">
        <f t="shared" ref="B62" si="5">B4</f>
        <v>Témoin solvant</v>
      </c>
      <c r="C62" s="3" t="str">
        <f t="shared" ref="C62:V62" si="6">C4</f>
        <v>EE2-33,8ng/L</v>
      </c>
      <c r="D62" s="3" t="str">
        <f t="shared" si="6"/>
        <v>EE2-50,6ng/L</v>
      </c>
      <c r="E62" s="3" t="str">
        <f t="shared" si="6"/>
        <v>EE2-76ng/L</v>
      </c>
      <c r="F62" s="3" t="str">
        <f t="shared" si="6"/>
        <v>EE2-114ng/L</v>
      </c>
      <c r="G62" s="3" t="str">
        <f t="shared" si="6"/>
        <v>EE2-170,9ng/L</v>
      </c>
      <c r="H62" s="3" t="str">
        <f t="shared" si="6"/>
        <v>EE2-488ng/L</v>
      </c>
      <c r="I62" s="3" t="str">
        <f t="shared" si="6"/>
        <v>Dutasteride-0,01mg/L</v>
      </c>
      <c r="J62" s="3" t="str">
        <f t="shared" si="6"/>
        <v>Dutasteride-0,1mg/L</v>
      </c>
      <c r="K62" s="3" t="str">
        <f t="shared" si="6"/>
        <v>Dutasteride-0,25mg/L</v>
      </c>
      <c r="L62" s="3" t="str">
        <f t="shared" si="6"/>
        <v>Dutasteride-0,5mg/L</v>
      </c>
      <c r="M62" s="3" t="str">
        <f t="shared" si="6"/>
        <v>Dutasteride-1mg/L</v>
      </c>
      <c r="N62" s="3"/>
      <c r="O62" s="3" t="str">
        <f t="shared" si="6"/>
        <v>Testo -30µg/L</v>
      </c>
      <c r="P62" s="3" t="str">
        <f t="shared" si="6"/>
        <v>Testo 30µg/L + EE2 -64ng/L</v>
      </c>
      <c r="Q62" s="3" t="str">
        <f t="shared" si="6"/>
        <v>Testo 30µg/L + FAD-10µg/L</v>
      </c>
      <c r="R62" s="3" t="str">
        <f t="shared" si="6"/>
        <v>Dutasteride-0,01mg/L + Testostérone</v>
      </c>
      <c r="S62" s="3" t="str">
        <f t="shared" si="6"/>
        <v>Dutasteride-0,1mg/L + Testostérone</v>
      </c>
      <c r="T62" s="3" t="str">
        <f t="shared" si="6"/>
        <v>Dutasteride-0,25mg/L + Testostérone</v>
      </c>
      <c r="U62" s="3" t="str">
        <f t="shared" si="6"/>
        <v>Dutasteride-0,5mg/L + Testostérone</v>
      </c>
      <c r="V62" s="3" t="str">
        <f t="shared" si="6"/>
        <v>Dutasteride-1mg/L + Testostérone</v>
      </c>
    </row>
    <row r="63" spans="1:24" s="1" customFormat="1" x14ac:dyDescent="0.35">
      <c r="A63" s="1" t="s">
        <v>49</v>
      </c>
      <c r="B63" s="3">
        <f>COUNT(B6:B53)</f>
        <v>23</v>
      </c>
      <c r="C63" s="3">
        <f t="shared" ref="C63:V63" si="7">COUNT(C6:C53)</f>
        <v>23</v>
      </c>
      <c r="D63" s="3">
        <f t="shared" si="7"/>
        <v>24</v>
      </c>
      <c r="E63" s="3">
        <f t="shared" si="7"/>
        <v>22</v>
      </c>
      <c r="F63" s="3">
        <f t="shared" si="7"/>
        <v>24</v>
      </c>
      <c r="G63" s="3">
        <f t="shared" si="7"/>
        <v>23</v>
      </c>
      <c r="H63" s="3">
        <f t="shared" si="7"/>
        <v>24</v>
      </c>
      <c r="I63" s="3">
        <f t="shared" si="7"/>
        <v>24</v>
      </c>
      <c r="J63" s="3">
        <f t="shared" si="7"/>
        <v>24</v>
      </c>
      <c r="K63" s="3">
        <f t="shared" si="7"/>
        <v>24</v>
      </c>
      <c r="L63" s="3">
        <f t="shared" si="7"/>
        <v>24</v>
      </c>
      <c r="M63" s="3">
        <f t="shared" si="7"/>
        <v>24</v>
      </c>
      <c r="N63" s="3"/>
      <c r="O63" s="3">
        <f t="shared" si="7"/>
        <v>47</v>
      </c>
      <c r="P63" s="3">
        <f t="shared" si="7"/>
        <v>24</v>
      </c>
      <c r="Q63" s="3">
        <f t="shared" si="7"/>
        <v>23</v>
      </c>
      <c r="R63" s="3">
        <f t="shared" si="7"/>
        <v>24</v>
      </c>
      <c r="S63" s="3">
        <f t="shared" si="7"/>
        <v>24</v>
      </c>
      <c r="T63" s="3">
        <f t="shared" si="7"/>
        <v>24</v>
      </c>
      <c r="U63" s="3">
        <f t="shared" si="7"/>
        <v>24</v>
      </c>
      <c r="V63" s="3">
        <f t="shared" si="7"/>
        <v>24</v>
      </c>
    </row>
    <row r="64" spans="1:24" s="1" customFormat="1" ht="15" thickBot="1" x14ac:dyDescent="0.4">
      <c r="B64" s="3" t="str">
        <f>IF(B63&gt;=21,"OK","ATTENTION")</f>
        <v>OK</v>
      </c>
      <c r="C64" s="3" t="str">
        <f t="shared" ref="C64:V64" si="8">IF(C63&gt;=21,"OK","ATTENTION")</f>
        <v>OK</v>
      </c>
      <c r="D64" s="3" t="str">
        <f t="shared" si="8"/>
        <v>OK</v>
      </c>
      <c r="E64" s="3" t="str">
        <f t="shared" si="8"/>
        <v>OK</v>
      </c>
      <c r="F64" s="3" t="str">
        <f t="shared" si="8"/>
        <v>OK</v>
      </c>
      <c r="G64" s="3" t="str">
        <f t="shared" si="8"/>
        <v>OK</v>
      </c>
      <c r="H64" s="3" t="str">
        <f t="shared" si="8"/>
        <v>OK</v>
      </c>
      <c r="I64" s="3" t="str">
        <f t="shared" si="8"/>
        <v>OK</v>
      </c>
      <c r="J64" s="3" t="str">
        <f t="shared" si="8"/>
        <v>OK</v>
      </c>
      <c r="K64" s="3" t="str">
        <f t="shared" si="8"/>
        <v>OK</v>
      </c>
      <c r="L64" s="3" t="str">
        <f t="shared" si="8"/>
        <v>OK</v>
      </c>
      <c r="M64" s="3" t="str">
        <f t="shared" si="8"/>
        <v>OK</v>
      </c>
      <c r="N64" s="3"/>
      <c r="O64" s="3" t="str">
        <f>IF(O63&gt;=41,"OK","ATTENTION")</f>
        <v>OK</v>
      </c>
      <c r="P64" s="3" t="str">
        <f t="shared" si="8"/>
        <v>OK</v>
      </c>
      <c r="Q64" s="3" t="str">
        <f t="shared" si="8"/>
        <v>OK</v>
      </c>
      <c r="R64" s="3" t="str">
        <f t="shared" si="8"/>
        <v>OK</v>
      </c>
      <c r="S64" s="3" t="str">
        <f t="shared" si="8"/>
        <v>OK</v>
      </c>
      <c r="T64" s="3" t="str">
        <f t="shared" si="8"/>
        <v>OK</v>
      </c>
      <c r="U64" s="3" t="str">
        <f t="shared" si="8"/>
        <v>OK</v>
      </c>
      <c r="V64" s="3" t="str">
        <f t="shared" si="8"/>
        <v>OK</v>
      </c>
    </row>
    <row r="65" spans="1:22" s="48" customFormat="1" ht="26.5" thickBot="1" x14ac:dyDescent="0.4">
      <c r="A65" s="228" t="s">
        <v>58</v>
      </c>
      <c r="B65" s="229"/>
      <c r="C65" s="229"/>
      <c r="D65" s="229"/>
      <c r="E65" s="229"/>
      <c r="F65" s="229"/>
      <c r="G65" s="229"/>
      <c r="H65" s="229"/>
      <c r="I65" s="229"/>
      <c r="J65" s="229"/>
      <c r="K65" s="229"/>
      <c r="L65" s="229"/>
      <c r="M65" s="229"/>
      <c r="N65" s="229"/>
      <c r="O65" s="229"/>
      <c r="P65" s="229"/>
      <c r="Q65" s="229"/>
      <c r="R65" s="229"/>
      <c r="S65" s="229"/>
      <c r="T65" s="229"/>
      <c r="U65" s="229"/>
      <c r="V65" s="229"/>
    </row>
    <row r="66" spans="1:22" s="1" customFormat="1" x14ac:dyDescent="0.35">
      <c r="B66" s="1" t="s">
        <v>61</v>
      </c>
      <c r="C66" s="3"/>
      <c r="D66" s="3"/>
      <c r="E66" s="3"/>
      <c r="F66" s="3"/>
      <c r="G66" s="3"/>
      <c r="H66" s="3"/>
      <c r="I66" s="3"/>
      <c r="J66" s="3"/>
      <c r="K66" s="3"/>
      <c r="L66" s="3"/>
      <c r="M66" s="3"/>
      <c r="N66" s="3"/>
      <c r="O66" s="3"/>
      <c r="P66" s="3"/>
      <c r="Q66" s="3"/>
      <c r="R66" s="3"/>
      <c r="S66" s="3"/>
      <c r="T66" s="3"/>
      <c r="U66" s="3"/>
      <c r="V66" s="3"/>
    </row>
    <row r="67" spans="1:22" s="1" customFormat="1" x14ac:dyDescent="0.35">
      <c r="A67" s="1" t="s">
        <v>59</v>
      </c>
      <c r="B67" s="3">
        <v>3.5</v>
      </c>
      <c r="C67" s="3"/>
      <c r="D67" s="3"/>
      <c r="E67" s="3"/>
      <c r="F67" s="3"/>
      <c r="G67" s="3"/>
      <c r="H67" s="3"/>
      <c r="I67" s="3"/>
      <c r="J67" s="3"/>
      <c r="K67" s="3"/>
      <c r="L67" s="3"/>
      <c r="M67" s="3"/>
      <c r="N67" s="3"/>
      <c r="O67" s="3"/>
      <c r="P67" s="3"/>
      <c r="Q67" s="3"/>
      <c r="R67" s="3"/>
      <c r="S67" s="3"/>
      <c r="T67" s="3"/>
      <c r="U67" s="3"/>
      <c r="V67" s="3"/>
    </row>
    <row r="68" spans="1:22" s="1" customFormat="1" x14ac:dyDescent="0.35">
      <c r="A68" s="1" t="s">
        <v>62</v>
      </c>
      <c r="B68" s="3">
        <v>2</v>
      </c>
      <c r="C68" s="3"/>
      <c r="D68" s="3"/>
      <c r="E68" s="3"/>
      <c r="F68" s="3"/>
      <c r="G68" s="3"/>
      <c r="H68" s="3"/>
      <c r="I68" s="3"/>
      <c r="J68" s="3"/>
      <c r="K68" s="3"/>
      <c r="L68" s="3"/>
      <c r="M68" s="3"/>
      <c r="N68" s="3"/>
      <c r="O68" s="3"/>
      <c r="P68" s="3"/>
      <c r="Q68" s="3"/>
      <c r="R68" s="3"/>
      <c r="S68" s="3"/>
      <c r="T68" s="3"/>
      <c r="U68" s="3"/>
      <c r="V68" s="3"/>
    </row>
    <row r="69" spans="1:22" s="1" customFormat="1" ht="15" thickBot="1" x14ac:dyDescent="0.4">
      <c r="A69" s="1" t="s">
        <v>63</v>
      </c>
      <c r="B69" s="3">
        <v>0.5</v>
      </c>
      <c r="C69" s="3"/>
      <c r="D69" s="3"/>
      <c r="E69" s="3"/>
      <c r="F69" s="3"/>
      <c r="G69" s="3"/>
      <c r="H69" s="3"/>
      <c r="I69" s="3"/>
      <c r="J69" s="3"/>
      <c r="K69" s="3"/>
      <c r="L69" s="3"/>
      <c r="M69" s="3"/>
      <c r="N69" s="3"/>
      <c r="O69" s="3"/>
      <c r="P69" s="3"/>
      <c r="Q69" s="3"/>
      <c r="R69" s="3"/>
      <c r="S69" s="3"/>
      <c r="T69" s="3"/>
      <c r="U69" s="3"/>
      <c r="V69" s="3"/>
    </row>
    <row r="70" spans="1:22" s="48" customFormat="1" ht="26.5" thickBot="1" x14ac:dyDescent="0.4">
      <c r="A70" s="228" t="s">
        <v>53</v>
      </c>
      <c r="B70" s="229"/>
      <c r="C70" s="229"/>
      <c r="D70" s="229"/>
      <c r="E70" s="229"/>
      <c r="F70" s="229"/>
      <c r="G70" s="229"/>
      <c r="H70" s="229"/>
      <c r="I70" s="229"/>
      <c r="J70" s="229"/>
      <c r="K70" s="229"/>
      <c r="L70" s="229"/>
      <c r="M70" s="229"/>
      <c r="N70" s="229"/>
      <c r="O70" s="229"/>
      <c r="P70" s="229"/>
      <c r="Q70" s="229"/>
      <c r="R70" s="229"/>
      <c r="S70" s="229"/>
      <c r="T70" s="229"/>
      <c r="U70" s="229"/>
      <c r="V70" s="229"/>
    </row>
    <row r="71" spans="1:22" ht="15" thickBot="1" x14ac:dyDescent="0.4"/>
    <row r="72" spans="1:22" s="48" customFormat="1" ht="26.5" thickBot="1" x14ac:dyDescent="0.4">
      <c r="A72" s="228" t="s">
        <v>54</v>
      </c>
      <c r="B72" s="229"/>
      <c r="C72" s="229"/>
      <c r="D72" s="229"/>
      <c r="E72" s="229"/>
      <c r="F72" s="229"/>
      <c r="G72" s="229"/>
      <c r="H72" s="229"/>
      <c r="I72" s="229"/>
      <c r="J72" s="229"/>
      <c r="K72" s="229"/>
      <c r="L72" s="229"/>
      <c r="M72" s="229"/>
      <c r="N72" s="229"/>
      <c r="O72" s="229"/>
      <c r="P72" s="229"/>
      <c r="Q72" s="229"/>
      <c r="R72" s="229"/>
      <c r="S72" s="229"/>
      <c r="T72" s="229"/>
      <c r="U72" s="229"/>
      <c r="V72" s="229"/>
    </row>
    <row r="73" spans="1:22" ht="15" thickBot="1" x14ac:dyDescent="0.4">
      <c r="J73" s="3">
        <v>1</v>
      </c>
      <c r="K73" s="3">
        <v>2</v>
      </c>
      <c r="L73" s="3">
        <v>3</v>
      </c>
      <c r="M73" s="3">
        <v>4</v>
      </c>
      <c r="R73" s="3">
        <v>1</v>
      </c>
      <c r="S73" s="3">
        <v>2</v>
      </c>
      <c r="T73" s="3">
        <v>3</v>
      </c>
      <c r="U73" s="3">
        <v>4</v>
      </c>
      <c r="V73" s="3">
        <v>5</v>
      </c>
    </row>
    <row r="74" spans="1:22" s="1" customFormat="1" x14ac:dyDescent="0.35">
      <c r="A74" s="45" t="s">
        <v>41</v>
      </c>
      <c r="B74" s="46" t="str">
        <f t="shared" ref="B74:M74" si="9">B4</f>
        <v>Témoin solvant</v>
      </c>
      <c r="C74" s="46" t="str">
        <f t="shared" si="9"/>
        <v>EE2-33,8ng/L</v>
      </c>
      <c r="D74" s="46" t="str">
        <f t="shared" si="9"/>
        <v>EE2-50,6ng/L</v>
      </c>
      <c r="E74" s="46" t="str">
        <f t="shared" si="9"/>
        <v>EE2-76ng/L</v>
      </c>
      <c r="F74" s="46" t="str">
        <f t="shared" si="9"/>
        <v>EE2-114ng/L</v>
      </c>
      <c r="G74" s="46" t="str">
        <f t="shared" si="9"/>
        <v>EE2-170,9ng/L</v>
      </c>
      <c r="H74" s="46" t="str">
        <f t="shared" si="9"/>
        <v>EE2-488ng/L</v>
      </c>
      <c r="I74" s="46" t="str">
        <f t="shared" si="9"/>
        <v>Dutasteride-0,01mg/L</v>
      </c>
      <c r="J74" s="46" t="str">
        <f t="shared" si="9"/>
        <v>Dutasteride-0,1mg/L</v>
      </c>
      <c r="K74" s="46" t="str">
        <f t="shared" si="9"/>
        <v>Dutasteride-0,25mg/L</v>
      </c>
      <c r="L74" s="46" t="str">
        <f t="shared" si="9"/>
        <v>Dutasteride-0,5mg/L</v>
      </c>
      <c r="M74" s="46" t="str">
        <f t="shared" si="9"/>
        <v>Dutasteride-1mg/L</v>
      </c>
      <c r="N74" s="46"/>
      <c r="O74" s="46" t="str">
        <f t="shared" ref="O74:V74" si="10">O4</f>
        <v>Testo -30µg/L</v>
      </c>
      <c r="P74" s="46" t="str">
        <f t="shared" si="10"/>
        <v>Testo 30µg/L + EE2 -64ng/L</v>
      </c>
      <c r="Q74" s="46" t="str">
        <f t="shared" si="10"/>
        <v>Testo 30µg/L + FAD-10µg/L</v>
      </c>
      <c r="R74" s="46" t="str">
        <f t="shared" si="10"/>
        <v>Dutasteride-0,01mg/L + Testostérone</v>
      </c>
      <c r="S74" s="46" t="str">
        <f t="shared" si="10"/>
        <v>Dutasteride-0,1mg/L + Testostérone</v>
      </c>
      <c r="T74" s="46" t="str">
        <f t="shared" si="10"/>
        <v>Dutasteride-0,25mg/L + Testostérone</v>
      </c>
      <c r="U74" s="46" t="str">
        <f t="shared" si="10"/>
        <v>Dutasteride-0,5mg/L + Testostérone</v>
      </c>
      <c r="V74" s="46" t="str">
        <f t="shared" si="10"/>
        <v>Dutasteride-1mg/L + Testostérone</v>
      </c>
    </row>
    <row r="75" spans="1:22" s="3" customFormat="1" x14ac:dyDescent="0.35">
      <c r="A75" s="61" t="s">
        <v>32</v>
      </c>
      <c r="B75" s="141">
        <f>B56</f>
        <v>0.29313487556023021</v>
      </c>
      <c r="C75" s="141">
        <f t="shared" ref="C75:V75" si="11">C56</f>
        <v>0.2975687447224491</v>
      </c>
      <c r="D75" s="141">
        <f t="shared" si="11"/>
        <v>0.72446505123849336</v>
      </c>
      <c r="E75" s="141">
        <f t="shared" si="11"/>
        <v>1.6636154691166398</v>
      </c>
      <c r="F75" s="141">
        <f t="shared" si="11"/>
        <v>2.6808080544471031</v>
      </c>
      <c r="G75" s="141">
        <f t="shared" si="11"/>
        <v>3.4863533382132248</v>
      </c>
      <c r="H75" s="141">
        <f t="shared" si="11"/>
        <v>5.8355680233085572</v>
      </c>
      <c r="I75" s="141">
        <f t="shared" si="11"/>
        <v>0.18697787058800461</v>
      </c>
      <c r="J75" s="141">
        <f t="shared" si="11"/>
        <v>0.15403073547342597</v>
      </c>
      <c r="K75" s="141">
        <f t="shared" si="11"/>
        <v>0.17314720660996874</v>
      </c>
      <c r="L75" s="141">
        <f t="shared" si="11"/>
        <v>0.21760649230919263</v>
      </c>
      <c r="M75" s="141">
        <f t="shared" si="11"/>
        <v>0.18024131028716309</v>
      </c>
      <c r="N75" s="141"/>
      <c r="O75" s="141">
        <f t="shared" si="11"/>
        <v>0.99999999999999967</v>
      </c>
      <c r="P75" s="141">
        <f t="shared" si="11"/>
        <v>3.8071999917273995</v>
      </c>
      <c r="Q75" s="141">
        <f t="shared" si="11"/>
        <v>0.20838704961932908</v>
      </c>
      <c r="R75" s="141">
        <f t="shared" si="11"/>
        <v>1.3360265048474209</v>
      </c>
      <c r="S75" s="141">
        <f t="shared" si="11"/>
        <v>1.5242385266923411</v>
      </c>
      <c r="T75" s="141">
        <f t="shared" si="11"/>
        <v>1.4128480747381722</v>
      </c>
      <c r="U75" s="141">
        <f t="shared" si="11"/>
        <v>1.9274200989274173</v>
      </c>
      <c r="V75" s="141">
        <f t="shared" si="11"/>
        <v>1.8674764068179091</v>
      </c>
    </row>
    <row r="76" spans="1:22" s="3" customFormat="1" x14ac:dyDescent="0.35">
      <c r="A76" s="61" t="s">
        <v>2</v>
      </c>
      <c r="B76" s="141">
        <f>B58</f>
        <v>4.1275174293444898E-2</v>
      </c>
      <c r="C76" s="141">
        <f t="shared" ref="C76:V76" si="12">C58</f>
        <v>5.6271452797655996E-2</v>
      </c>
      <c r="D76" s="141">
        <f t="shared" si="12"/>
        <v>0.14626180734350858</v>
      </c>
      <c r="E76" s="141">
        <f t="shared" si="12"/>
        <v>0.32179370439388616</v>
      </c>
      <c r="F76" s="141">
        <f t="shared" si="12"/>
        <v>0.39513801369569823</v>
      </c>
      <c r="G76" s="141">
        <f t="shared" si="12"/>
        <v>0.35935157410991803</v>
      </c>
      <c r="H76" s="141">
        <f t="shared" si="12"/>
        <v>0.65377748812738634</v>
      </c>
      <c r="I76" s="141">
        <f t="shared" si="12"/>
        <v>2.214132822120057E-2</v>
      </c>
      <c r="J76" s="141">
        <f t="shared" si="12"/>
        <v>2.3423838964525018E-2</v>
      </c>
      <c r="K76" s="141">
        <f t="shared" si="12"/>
        <v>3.0266065236325641E-2</v>
      </c>
      <c r="L76" s="141">
        <f t="shared" si="12"/>
        <v>5.2153118874459677E-2</v>
      </c>
      <c r="M76" s="141">
        <f t="shared" si="12"/>
        <v>3.6199342100837653E-2</v>
      </c>
      <c r="N76" s="141"/>
      <c r="O76" s="141">
        <f t="shared" si="12"/>
        <v>9.8301621250918958E-2</v>
      </c>
      <c r="P76" s="141">
        <f t="shared" si="12"/>
        <v>0.44094647568713385</v>
      </c>
      <c r="Q76" s="141">
        <f t="shared" si="12"/>
        <v>3.7243483698937811E-2</v>
      </c>
      <c r="R76" s="141">
        <f t="shared" si="12"/>
        <v>0.23243385061140623</v>
      </c>
      <c r="S76" s="141">
        <f t="shared" si="12"/>
        <v>0.25063149200075979</v>
      </c>
      <c r="T76" s="141">
        <f t="shared" si="12"/>
        <v>0.27475840564158083</v>
      </c>
      <c r="U76" s="141">
        <f t="shared" si="12"/>
        <v>0.34637005333994625</v>
      </c>
      <c r="V76" s="141">
        <f t="shared" si="12"/>
        <v>0.26470103099030573</v>
      </c>
    </row>
    <row r="77" spans="1:22" s="3" customFormat="1" x14ac:dyDescent="0.35">
      <c r="A77" s="61" t="s">
        <v>79</v>
      </c>
      <c r="B77" s="141">
        <f>(B75*100/$B$75)-100</f>
        <v>0</v>
      </c>
      <c r="C77" s="141">
        <f t="shared" ref="C77:M77" si="13">(C75*100/$B$75)-100</f>
        <v>1.5125696503171184</v>
      </c>
      <c r="D77" s="141">
        <f t="shared" si="13"/>
        <v>147.14392985615183</v>
      </c>
      <c r="E77" s="141">
        <f t="shared" si="13"/>
        <v>467.52560265549778</v>
      </c>
      <c r="F77" s="141">
        <f t="shared" si="13"/>
        <v>814.53057208686846</v>
      </c>
      <c r="G77" s="141">
        <f t="shared" si="13"/>
        <v>1089.3342037689017</v>
      </c>
      <c r="H77" s="141">
        <f t="shared" si="13"/>
        <v>1890.7450494096963</v>
      </c>
      <c r="I77" s="141">
        <f t="shared" si="13"/>
        <v>-36.214389287300477</v>
      </c>
      <c r="J77" s="141">
        <f t="shared" si="13"/>
        <v>-47.453971425594702</v>
      </c>
      <c r="K77" s="141">
        <f t="shared" si="13"/>
        <v>-40.932580512961756</v>
      </c>
      <c r="L77" s="141">
        <f t="shared" si="13"/>
        <v>-25.765744559288649</v>
      </c>
      <c r="M77" s="141">
        <f t="shared" si="13"/>
        <v>-38.512498745605917</v>
      </c>
      <c r="N77" s="141"/>
      <c r="O77" s="141">
        <f>(O75*100/$O$75)-100</f>
        <v>0</v>
      </c>
      <c r="P77" s="141">
        <f t="shared" ref="P77:V77" si="14">(P75*100/$O$75)-100</f>
        <v>280.71999917274007</v>
      </c>
      <c r="Q77" s="141">
        <f t="shared" si="14"/>
        <v>-79.161295038067081</v>
      </c>
      <c r="R77" s="141">
        <f t="shared" si="14"/>
        <v>33.602650484742156</v>
      </c>
      <c r="S77" s="141">
        <f t="shared" si="14"/>
        <v>52.423852669234151</v>
      </c>
      <c r="T77" s="141">
        <f t="shared" si="14"/>
        <v>41.284807473817267</v>
      </c>
      <c r="U77" s="141">
        <f t="shared" si="14"/>
        <v>92.742009892741777</v>
      </c>
      <c r="V77" s="141">
        <f t="shared" si="14"/>
        <v>86.747640681790955</v>
      </c>
    </row>
    <row r="78" spans="1:22" s="3" customFormat="1" x14ac:dyDescent="0.35">
      <c r="A78" s="61" t="s">
        <v>81</v>
      </c>
      <c r="B78" s="141">
        <f>[1]!DPTEST(B6:B53)</f>
        <v>0.15670373306966845</v>
      </c>
      <c r="C78" s="141">
        <f>[1]!DPTEST(C6:C53)</f>
        <v>2.8640626846451189E-3</v>
      </c>
      <c r="D78" s="141">
        <f>[1]!DPTEST(D6:D53)</f>
        <v>5.0446322558397316E-3</v>
      </c>
      <c r="E78" s="141">
        <f>[1]!DPTEST(E6:E53)</f>
        <v>8.5920107872894391E-6</v>
      </c>
      <c r="F78" s="141">
        <f>[1]!DPTEST(F6:F53)</f>
        <v>2.4270336518306124E-8</v>
      </c>
      <c r="G78" s="141">
        <f>[1]!DPTEST(G6:G53)</f>
        <v>0.15264446894538086</v>
      </c>
      <c r="H78" s="141">
        <f>[1]!DPTEST(H6:H53)</f>
        <v>1.4160099214657329E-3</v>
      </c>
      <c r="I78" s="141">
        <f>[1]!DPTEST(I6:I53)</f>
        <v>0.15143821625431331</v>
      </c>
      <c r="J78" s="141">
        <f>[1]!DPTEST(J6:J53)</f>
        <v>7.9382714077893546E-3</v>
      </c>
      <c r="K78" s="141">
        <f>[1]!DPTEST(K6:K53)</f>
        <v>4.2337663998037067E-2</v>
      </c>
      <c r="L78" s="141">
        <f>[1]!DPTEST(L6:L53)</f>
        <v>1.1571753067984858E-6</v>
      </c>
      <c r="M78" s="141">
        <f>[1]!DPTEST(M6:M53)</f>
        <v>1.2130415034753428E-3</v>
      </c>
      <c r="N78" s="141"/>
      <c r="O78" s="141">
        <f>[1]!DPTEST(O6:O53)</f>
        <v>0.17082584325860029</v>
      </c>
      <c r="P78" s="141">
        <f>[1]!DPTEST(P6:P53)</f>
        <v>2.0580543989089928E-2</v>
      </c>
      <c r="Q78" s="141">
        <f>[1]!DPTEST(Q6:Q53)</f>
        <v>5.376044899234711E-3</v>
      </c>
      <c r="R78" s="141">
        <f>[1]!DPTEST(R6:R53)</f>
        <v>6.5163540125325881E-3</v>
      </c>
      <c r="S78" s="141">
        <f>[1]!DPTEST(S6:S53)</f>
        <v>6.2131608144686989E-2</v>
      </c>
      <c r="T78" s="141">
        <f>[1]!DPTEST(T6:T53)</f>
        <v>2.2665562681794649E-2</v>
      </c>
      <c r="U78" s="141">
        <f>[1]!DPTEST(U6:U53)</f>
        <v>1.7208217785993352E-3</v>
      </c>
      <c r="V78" s="141">
        <f>[1]!DPTEST(V6:V53)</f>
        <v>7.0234775806163663E-2</v>
      </c>
    </row>
    <row r="79" spans="1:22" s="3" customFormat="1" x14ac:dyDescent="0.35">
      <c r="A79" s="61" t="s">
        <v>85</v>
      </c>
      <c r="B79" s="141" t="str">
        <f>IF(B78&gt;0.05,"Oui","Non")</f>
        <v>Oui</v>
      </c>
      <c r="C79" s="141" t="str">
        <f t="shared" ref="C79:V79" si="15">IF(C78&gt;0.05,"Oui","Non")</f>
        <v>Non</v>
      </c>
      <c r="D79" s="141" t="str">
        <f t="shared" si="15"/>
        <v>Non</v>
      </c>
      <c r="E79" s="141" t="str">
        <f t="shared" si="15"/>
        <v>Non</v>
      </c>
      <c r="F79" s="141" t="str">
        <f t="shared" si="15"/>
        <v>Non</v>
      </c>
      <c r="G79" s="141" t="str">
        <f t="shared" si="15"/>
        <v>Oui</v>
      </c>
      <c r="H79" s="141" t="str">
        <f t="shared" si="15"/>
        <v>Non</v>
      </c>
      <c r="I79" s="141" t="str">
        <f t="shared" si="15"/>
        <v>Oui</v>
      </c>
      <c r="J79" s="141" t="str">
        <f t="shared" si="15"/>
        <v>Non</v>
      </c>
      <c r="K79" s="141" t="str">
        <f t="shared" si="15"/>
        <v>Non</v>
      </c>
      <c r="L79" s="141" t="str">
        <f t="shared" si="15"/>
        <v>Non</v>
      </c>
      <c r="M79" s="141" t="str">
        <f t="shared" si="15"/>
        <v>Non</v>
      </c>
      <c r="N79" s="141"/>
      <c r="O79" s="141" t="str">
        <f t="shared" si="15"/>
        <v>Oui</v>
      </c>
      <c r="P79" s="141" t="str">
        <f t="shared" si="15"/>
        <v>Non</v>
      </c>
      <c r="Q79" s="141" t="str">
        <f t="shared" si="15"/>
        <v>Non</v>
      </c>
      <c r="R79" s="141" t="str">
        <f t="shared" si="15"/>
        <v>Non</v>
      </c>
      <c r="S79" s="141" t="str">
        <f t="shared" si="15"/>
        <v>Oui</v>
      </c>
      <c r="T79" s="141" t="str">
        <f t="shared" si="15"/>
        <v>Non</v>
      </c>
      <c r="U79" s="141" t="str">
        <f t="shared" si="15"/>
        <v>Non</v>
      </c>
      <c r="V79" s="141" t="str">
        <f t="shared" si="15"/>
        <v>Oui</v>
      </c>
    </row>
    <row r="80" spans="1:22" s="3" customFormat="1" x14ac:dyDescent="0.35">
      <c r="A80" s="61" t="s">
        <v>122</v>
      </c>
      <c r="B80" s="141"/>
      <c r="C80" s="141"/>
      <c r="D80" s="141"/>
      <c r="E80" s="141"/>
      <c r="F80" s="141"/>
      <c r="G80" s="141"/>
      <c r="H80" s="141"/>
      <c r="I80" s="141"/>
      <c r="J80" s="141" t="str">
        <f>IF(COUNTIF(J79:M79, "Non")&gt;0, "Oui","Non")</f>
        <v>Oui</v>
      </c>
      <c r="K80" s="141"/>
      <c r="L80" s="141"/>
      <c r="M80" s="141"/>
      <c r="N80" s="141"/>
      <c r="O80" s="141"/>
      <c r="P80" s="141"/>
      <c r="Q80" s="141"/>
      <c r="R80" s="141"/>
      <c r="S80" s="141"/>
      <c r="T80" s="141"/>
      <c r="U80" s="141"/>
      <c r="V80" s="141"/>
    </row>
    <row r="81" spans="1:22" s="3" customFormat="1" x14ac:dyDescent="0.35">
      <c r="A81" s="61" t="s">
        <v>82</v>
      </c>
      <c r="B81" s="141"/>
      <c r="C81" s="141" t="s">
        <v>175</v>
      </c>
      <c r="D81" s="141" t="s">
        <v>175</v>
      </c>
      <c r="E81" s="141" t="s">
        <v>175</v>
      </c>
      <c r="F81" s="141" t="s">
        <v>175</v>
      </c>
      <c r="G81" s="141" t="s">
        <v>175</v>
      </c>
      <c r="H81" s="141" t="s">
        <v>175</v>
      </c>
      <c r="I81" s="141" t="s">
        <v>175</v>
      </c>
      <c r="J81" s="141" t="s">
        <v>175</v>
      </c>
      <c r="K81" s="141" t="s">
        <v>175</v>
      </c>
      <c r="L81" s="141" t="s">
        <v>175</v>
      </c>
      <c r="M81" s="141" t="s">
        <v>175</v>
      </c>
      <c r="N81" s="141"/>
      <c r="O81" s="141" t="str">
        <f>IF($B79="Non",IF(O79="Non","Mann Withney",IF(O79="Oui","Mann Withney","")),IF($B79="Oui",IF(O79="Oui","T-Test Welch",IF(O79="Non","Mann Withney",""))))</f>
        <v>T-Test Welch</v>
      </c>
      <c r="P81" s="141" t="str">
        <f t="shared" ref="P81:Q81" si="16">IF($O79="Non",IF(P79="Non","Mann Withney",IF(P$79="Oui","Mann Withney","")),IF($O79="Oui",IF(P79="Oui","T-Test Welch",IF(P79="Non","Mann Withney",""))))</f>
        <v>Mann Withney</v>
      </c>
      <c r="Q81" s="141" t="str">
        <f t="shared" si="16"/>
        <v>Mann Withney</v>
      </c>
      <c r="R81" s="141" t="s">
        <v>175</v>
      </c>
      <c r="S81" s="141" t="s">
        <v>175</v>
      </c>
      <c r="T81" s="141" t="s">
        <v>175</v>
      </c>
      <c r="U81" s="141" t="s">
        <v>175</v>
      </c>
      <c r="V81" s="141" t="s">
        <v>175</v>
      </c>
    </row>
    <row r="82" spans="1:22" s="3" customFormat="1" x14ac:dyDescent="0.35">
      <c r="A82" s="61" t="s">
        <v>83</v>
      </c>
      <c r="B82" s="141"/>
      <c r="C82" s="141" t="s">
        <v>170</v>
      </c>
      <c r="D82" s="141">
        <v>0.87</v>
      </c>
      <c r="E82" s="141">
        <v>1E-3</v>
      </c>
      <c r="F82" s="141" t="s">
        <v>173</v>
      </c>
      <c r="G82" s="141" t="s">
        <v>173</v>
      </c>
      <c r="H82" s="141" t="s">
        <v>173</v>
      </c>
      <c r="I82" s="141">
        <v>0.74</v>
      </c>
      <c r="J82" s="141">
        <v>0.05</v>
      </c>
      <c r="K82" s="141">
        <v>0.08</v>
      </c>
      <c r="L82" s="141">
        <v>0.11</v>
      </c>
      <c r="M82" s="141">
        <v>0.06</v>
      </c>
      <c r="N82" s="141"/>
      <c r="O82" s="141">
        <f>IF(O81="Mann Withney",[1]!MTEST($B6:$B53,O6:O53,2), IF(O81="T-Test Welch",_xlfn.T.TEST($B6:$B53,O6:O53,2,3),""))</f>
        <v>1.0828312511147403E-8</v>
      </c>
      <c r="P82" s="141">
        <f>IF(P81="Mann Withney",[1]!MTEST($O6:$O53,P6:P53,2), IF(P81="T-Test Welch",_xlfn.T.TEST($O6:$O53,P6:P53,2,3),""))</f>
        <v>2.2224178053420474E-10</v>
      </c>
      <c r="Q82" s="141">
        <f>IF(Q81="Mann Withney",[1]!MTEST($O6:$O53,Q6:Q53,2), IF(Q81="T-Test Welch",_xlfn.T.TEST($O6:$O53,Q6:Q53,2,3),""))</f>
        <v>6.3741149913809636E-8</v>
      </c>
      <c r="R82" s="141" t="s">
        <v>170</v>
      </c>
      <c r="S82" s="141">
        <v>0.65</v>
      </c>
      <c r="T82" s="141" t="s">
        <v>170</v>
      </c>
      <c r="U82" s="141">
        <v>0.12</v>
      </c>
      <c r="V82" s="141">
        <v>0.02</v>
      </c>
    </row>
    <row r="83" spans="1:22" s="3" customFormat="1" ht="15" thickBot="1" x14ac:dyDescent="0.4">
      <c r="A83" s="62" t="s">
        <v>84</v>
      </c>
      <c r="B83" s="142"/>
      <c r="C83" s="142" t="s">
        <v>169</v>
      </c>
      <c r="D83" s="142" t="s">
        <v>169</v>
      </c>
      <c r="E83" s="142" t="s">
        <v>171</v>
      </c>
      <c r="F83" s="142" t="s">
        <v>172</v>
      </c>
      <c r="G83" s="142" t="s">
        <v>172</v>
      </c>
      <c r="H83" s="142" t="s">
        <v>172</v>
      </c>
      <c r="I83" s="142" t="s">
        <v>169</v>
      </c>
      <c r="J83" s="142" t="s">
        <v>169</v>
      </c>
      <c r="K83" s="142" t="s">
        <v>169</v>
      </c>
      <c r="L83" s="142" t="s">
        <v>169</v>
      </c>
      <c r="M83" s="142" t="s">
        <v>169</v>
      </c>
      <c r="N83" s="142"/>
      <c r="O83" s="142" t="str">
        <f t="shared" ref="O83" si="17">IF(O82&gt;0.05,"NS",IF(O82&gt;0.01,"*",IF(O82&gt;0.001,"**","***")))</f>
        <v>***</v>
      </c>
      <c r="P83" s="142" t="str">
        <f t="shared" ref="P83" si="18">IF(P82&gt;0.05,"NS",IF(P82&gt;0.01,"*",IF(P82&gt;0.001,"**","***")))</f>
        <v>***</v>
      </c>
      <c r="Q83" s="142" t="str">
        <f t="shared" ref="Q83" si="19">IF(Q82&gt;0.05,"NS",IF(Q82&gt;0.01,"*",IF(Q82&gt;0.001,"**","***")))</f>
        <v>***</v>
      </c>
      <c r="R83" s="142" t="s">
        <v>169</v>
      </c>
      <c r="S83" s="142" t="s">
        <v>169</v>
      </c>
      <c r="T83" s="142" t="s">
        <v>169</v>
      </c>
      <c r="U83" s="142" t="s">
        <v>169</v>
      </c>
      <c r="V83" s="142" t="s">
        <v>174</v>
      </c>
    </row>
    <row r="84" spans="1:22" s="1" customFormat="1" x14ac:dyDescent="0.35"/>
    <row r="85" spans="1:22" s="1" customFormat="1" x14ac:dyDescent="0.35">
      <c r="A85" s="2" t="s">
        <v>39</v>
      </c>
    </row>
    <row r="86" spans="1:22" x14ac:dyDescent="0.35">
      <c r="A86" s="1" t="s">
        <v>23</v>
      </c>
      <c r="B86" s="1">
        <f>B56+(3*B57)</f>
        <v>0.8869812215804197</v>
      </c>
    </row>
    <row r="87" spans="1:22" x14ac:dyDescent="0.35">
      <c r="A87" s="1" t="s">
        <v>24</v>
      </c>
      <c r="B87" s="1">
        <f>B56+(10*B57)</f>
        <v>2.2726226956275286</v>
      </c>
    </row>
    <row r="88" spans="1:22" ht="15" thickBot="1" x14ac:dyDescent="0.4"/>
    <row r="89" spans="1:22" s="48" customFormat="1" ht="26.5" thickBot="1" x14ac:dyDescent="0.4">
      <c r="A89" s="49" t="s">
        <v>55</v>
      </c>
      <c r="B89" s="50"/>
      <c r="C89" s="50"/>
      <c r="D89" s="50"/>
      <c r="E89" s="50"/>
      <c r="F89" s="50"/>
      <c r="G89" s="50"/>
      <c r="H89" s="50"/>
      <c r="I89" s="50"/>
      <c r="J89" s="50"/>
      <c r="K89" s="50"/>
      <c r="L89" s="50"/>
      <c r="M89" s="50"/>
      <c r="N89" s="50"/>
      <c r="O89" s="50"/>
      <c r="P89" s="50"/>
      <c r="Q89" s="50"/>
      <c r="R89" s="50"/>
      <c r="S89" s="50"/>
      <c r="T89" s="50"/>
      <c r="U89" s="50"/>
      <c r="V89" s="50"/>
    </row>
    <row r="90" spans="1:22" ht="15" thickBot="1" x14ac:dyDescent="0.4"/>
    <row r="91" spans="1:22" s="48" customFormat="1" ht="26.5" thickBot="1" x14ac:dyDescent="0.4">
      <c r="A91" s="49" t="s">
        <v>56</v>
      </c>
      <c r="B91" s="50"/>
      <c r="C91" s="50"/>
      <c r="D91" s="50"/>
      <c r="E91" s="50"/>
      <c r="F91" s="50"/>
      <c r="G91" s="50"/>
      <c r="H91" s="50"/>
      <c r="I91" s="50"/>
      <c r="J91" s="50"/>
      <c r="K91" s="50"/>
      <c r="L91" s="50"/>
      <c r="M91" s="50"/>
      <c r="N91" s="50"/>
      <c r="O91" s="50"/>
      <c r="P91" s="50"/>
      <c r="Q91" s="50"/>
      <c r="R91" s="50"/>
      <c r="S91" s="50"/>
      <c r="T91" s="50"/>
      <c r="U91" s="50"/>
      <c r="V91" s="50"/>
    </row>
    <row r="92" spans="1:22" ht="15" thickBot="1" x14ac:dyDescent="0.4"/>
    <row r="93" spans="1:22" s="48" customFormat="1" ht="26.5" thickBot="1" x14ac:dyDescent="0.4">
      <c r="A93" s="228" t="s">
        <v>57</v>
      </c>
      <c r="B93" s="229"/>
      <c r="C93" s="229"/>
      <c r="D93" s="229"/>
      <c r="E93" s="229"/>
      <c r="F93" s="229"/>
      <c r="G93" s="229"/>
      <c r="H93" s="229"/>
      <c r="I93" s="229"/>
      <c r="J93" s="229"/>
      <c r="K93" s="229"/>
      <c r="L93" s="229"/>
      <c r="M93" s="229"/>
      <c r="N93" s="229"/>
      <c r="O93" s="229"/>
      <c r="P93" s="229"/>
      <c r="Q93" s="229"/>
      <c r="R93" s="229"/>
      <c r="S93" s="229"/>
      <c r="T93" s="229"/>
      <c r="U93" s="229"/>
      <c r="V93" s="229"/>
    </row>
    <row r="94" spans="1:22" x14ac:dyDescent="0.35">
      <c r="B94" s="1">
        <f t="shared" ref="B94:V94" si="20">B75/$B$75</f>
        <v>1</v>
      </c>
      <c r="C94" s="1">
        <f t="shared" si="20"/>
        <v>1.0151256965031712</v>
      </c>
      <c r="D94" s="1">
        <f t="shared" si="20"/>
        <v>2.4714392985615183</v>
      </c>
      <c r="E94" s="1">
        <f t="shared" si="20"/>
        <v>5.675256026554977</v>
      </c>
      <c r="F94" s="1">
        <f t="shared" si="20"/>
        <v>9.1453057208686843</v>
      </c>
      <c r="G94" s="1">
        <f t="shared" si="20"/>
        <v>11.893342037689017</v>
      </c>
      <c r="H94" s="1">
        <f>H75/$B$75</f>
        <v>19.907450494096963</v>
      </c>
      <c r="I94" s="1">
        <f t="shared" si="20"/>
        <v>0.63785610712699514</v>
      </c>
      <c r="J94" s="1">
        <f t="shared" si="20"/>
        <v>0.5254602857440529</v>
      </c>
      <c r="K94" s="1">
        <f t="shared" si="20"/>
        <v>0.59067419487038253</v>
      </c>
      <c r="L94" s="1">
        <f t="shared" si="20"/>
        <v>0.7423425544071135</v>
      </c>
      <c r="M94" s="1">
        <f t="shared" si="20"/>
        <v>0.61487501254394084</v>
      </c>
      <c r="N94" s="1">
        <f t="shared" si="20"/>
        <v>0</v>
      </c>
      <c r="O94" s="1">
        <f t="shared" si="20"/>
        <v>3.4113989271622183</v>
      </c>
      <c r="P94" s="1">
        <f t="shared" si="20"/>
        <v>12.987877967270862</v>
      </c>
      <c r="Q94" s="1">
        <f t="shared" si="20"/>
        <v>0.7108913575058794</v>
      </c>
      <c r="R94" s="1">
        <f t="shared" si="20"/>
        <v>4.5577193852967817</v>
      </c>
      <c r="S94" s="1">
        <f t="shared" si="20"/>
        <v>5.1997856746975737</v>
      </c>
      <c r="T94" s="1">
        <f t="shared" si="20"/>
        <v>4.8197884064050074</v>
      </c>
      <c r="U94" s="1">
        <f t="shared" si="20"/>
        <v>6.5751988576718903</v>
      </c>
      <c r="V94" s="1">
        <f t="shared" si="20"/>
        <v>6.3707070107193715</v>
      </c>
    </row>
    <row r="100" spans="19:40" x14ac:dyDescent="0.35">
      <c r="S100" s="1"/>
      <c r="T100" s="1"/>
    </row>
    <row r="101" spans="19:40" x14ac:dyDescent="0.35">
      <c r="S101" s="1"/>
      <c r="T101" s="1"/>
      <c r="V101" s="1"/>
      <c r="W101" s="1"/>
      <c r="X101" s="1"/>
      <c r="Y101" s="1"/>
      <c r="Z101" s="1"/>
      <c r="AA101" s="1"/>
      <c r="AB101" s="1"/>
      <c r="AC101" s="1"/>
      <c r="AD101" s="1"/>
      <c r="AE101" s="1"/>
      <c r="AF101" s="1"/>
      <c r="AG101" s="1"/>
      <c r="AH101" s="1"/>
      <c r="AI101" s="1"/>
      <c r="AJ101" s="1"/>
      <c r="AK101" s="1"/>
      <c r="AL101" s="1"/>
      <c r="AM101" s="1"/>
      <c r="AN101" s="1"/>
    </row>
    <row r="102" spans="19:40" x14ac:dyDescent="0.35">
      <c r="S102" s="1"/>
      <c r="T102" s="1"/>
      <c r="V102" s="1"/>
      <c r="W102" s="1"/>
      <c r="X102" s="1"/>
      <c r="Y102" s="1"/>
      <c r="Z102" s="1"/>
      <c r="AA102" s="1"/>
      <c r="AB102" s="1"/>
      <c r="AC102" s="1"/>
      <c r="AD102" s="1"/>
      <c r="AE102" s="1"/>
      <c r="AF102" s="1"/>
      <c r="AG102" s="1"/>
      <c r="AH102" s="1"/>
      <c r="AI102" s="1"/>
      <c r="AJ102" s="1"/>
      <c r="AK102" s="1"/>
      <c r="AL102" s="1"/>
      <c r="AM102" s="1"/>
      <c r="AN102" s="1"/>
    </row>
    <row r="103" spans="19:40" x14ac:dyDescent="0.35">
      <c r="S103" s="1"/>
      <c r="T103" s="1"/>
    </row>
    <row r="104" spans="19:40" x14ac:dyDescent="0.35">
      <c r="S104" s="1"/>
      <c r="T104" s="1"/>
    </row>
    <row r="105" spans="19:40" x14ac:dyDescent="0.35">
      <c r="S105" s="1"/>
      <c r="T105" s="1"/>
    </row>
    <row r="106" spans="19:40" x14ac:dyDescent="0.35">
      <c r="S106" s="1"/>
      <c r="T106" s="1"/>
    </row>
    <row r="107" spans="19:40" x14ac:dyDescent="0.35">
      <c r="S107" s="1"/>
      <c r="T107" s="1"/>
    </row>
    <row r="108" spans="19:40" x14ac:dyDescent="0.35">
      <c r="S108" s="1"/>
      <c r="T108" s="1"/>
    </row>
    <row r="109" spans="19:40" x14ac:dyDescent="0.35">
      <c r="S109" s="1"/>
      <c r="T109" s="1"/>
    </row>
    <row r="110" spans="19:40" x14ac:dyDescent="0.35">
      <c r="S110" s="1"/>
      <c r="T110" s="1"/>
    </row>
    <row r="114" spans="19:20" x14ac:dyDescent="0.35">
      <c r="S114" s="1"/>
      <c r="T114" s="1"/>
    </row>
    <row r="115" spans="19:20" x14ac:dyDescent="0.35">
      <c r="S115" s="1"/>
      <c r="T115" s="1"/>
    </row>
    <row r="116" spans="19:20" x14ac:dyDescent="0.35">
      <c r="S116" s="1"/>
      <c r="T116" s="1"/>
    </row>
    <row r="117" spans="19:20" x14ac:dyDescent="0.35">
      <c r="S117" s="1"/>
      <c r="T117" s="1"/>
    </row>
    <row r="118" spans="19:20" x14ac:dyDescent="0.35">
      <c r="S118" s="1"/>
      <c r="T118" s="1"/>
    </row>
  </sheetData>
  <mergeCells count="10">
    <mergeCell ref="A7:A21"/>
    <mergeCell ref="A23:A37"/>
    <mergeCell ref="A93:V93"/>
    <mergeCell ref="O3:V3"/>
    <mergeCell ref="B3:M3"/>
    <mergeCell ref="A60:V60"/>
    <mergeCell ref="A72:V72"/>
    <mergeCell ref="A70:V70"/>
    <mergeCell ref="A65:V65"/>
    <mergeCell ref="A39:A53"/>
  </mergeCells>
  <pageMargins left="0.7" right="0.7" top="0.75" bottom="0.75" header="0.3" footer="0.3"/>
  <pageSetup paperSize="9" orientation="portrait" r:id="rId1"/>
  <headerFooter>
    <oddHeader>&amp;C&amp;"-,Gras"&amp;14Données poolées normalisées&amp;R&amp;"-,Gras"&amp;14Page : &amp;P/&amp;P</oddHeader>
  </headerFooter>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O53"/>
  <sheetViews>
    <sheetView showGridLines="0" zoomScale="70" zoomScaleNormal="70" workbookViewId="0">
      <selection activeCell="A7" sqref="A7"/>
    </sheetView>
  </sheetViews>
  <sheetFormatPr baseColWidth="10" defaultColWidth="9.1796875" defaultRowHeight="14.5" x14ac:dyDescent="0.35"/>
  <cols>
    <col min="1" max="1" width="33.7265625" style="41" bestFit="1" customWidth="1"/>
    <col min="2" max="3" width="14" style="41" bestFit="1" customWidth="1"/>
    <col min="4" max="4" width="14" style="41" customWidth="1"/>
    <col min="5" max="5" width="16" style="15" bestFit="1" customWidth="1"/>
    <col min="6" max="8" width="16" style="15" customWidth="1"/>
    <col min="9" max="13" width="19.1796875" style="15" customWidth="1"/>
    <col min="14" max="14" width="32.1796875" style="15" bestFit="1" customWidth="1"/>
    <col min="15" max="15" width="19.54296875" style="41" customWidth="1"/>
    <col min="16" max="16384" width="9.1796875" style="41"/>
  </cols>
  <sheetData>
    <row r="1" spans="1:15" s="48" customFormat="1" ht="26.5" thickBot="1" x14ac:dyDescent="0.4">
      <c r="A1" s="228" t="s">
        <v>104</v>
      </c>
      <c r="B1" s="229"/>
      <c r="C1" s="229"/>
      <c r="D1" s="229"/>
      <c r="E1" s="229"/>
      <c r="F1" s="229"/>
      <c r="G1" s="229"/>
      <c r="H1" s="229"/>
      <c r="I1" s="229"/>
      <c r="J1" s="229"/>
      <c r="K1" s="229"/>
      <c r="L1" s="229"/>
      <c r="M1" s="229"/>
      <c r="N1" s="229"/>
      <c r="O1" s="230"/>
    </row>
    <row r="2" spans="1:15" s="48" customFormat="1" ht="26.5" thickBot="1" x14ac:dyDescent="0.4">
      <c r="A2" s="228" t="s">
        <v>105</v>
      </c>
      <c r="B2" s="229"/>
      <c r="C2" s="229"/>
      <c r="D2" s="229"/>
      <c r="E2" s="229"/>
      <c r="F2" s="229"/>
      <c r="G2" s="229"/>
      <c r="H2" s="229"/>
      <c r="I2" s="229"/>
      <c r="J2" s="229"/>
      <c r="K2" s="229"/>
      <c r="L2" s="229"/>
      <c r="M2" s="229"/>
      <c r="N2" s="229"/>
      <c r="O2" s="230"/>
    </row>
    <row r="3" spans="1:15" s="76" customFormat="1" ht="15.5" x14ac:dyDescent="0.35">
      <c r="H3" s="77"/>
      <c r="I3" s="77"/>
      <c r="J3" s="77"/>
      <c r="K3" s="77"/>
      <c r="L3" s="77"/>
      <c r="M3" s="77"/>
      <c r="N3" s="77"/>
    </row>
    <row r="4" spans="1:15" s="76" customFormat="1" ht="15.5" x14ac:dyDescent="0.35">
      <c r="O4"/>
    </row>
    <row r="5" spans="1:15" s="76" customFormat="1" ht="45.75" customHeight="1" thickBot="1" x14ac:dyDescent="0.4">
      <c r="A5" s="78"/>
      <c r="B5" s="87" t="s">
        <v>25</v>
      </c>
      <c r="C5" s="87" t="s">
        <v>26</v>
      </c>
      <c r="D5" s="87" t="s">
        <v>27</v>
      </c>
      <c r="E5" s="88" t="s">
        <v>64</v>
      </c>
      <c r="F5" s="126" t="s">
        <v>80</v>
      </c>
      <c r="G5" s="94" t="s">
        <v>42</v>
      </c>
      <c r="H5" s="94" t="s">
        <v>65</v>
      </c>
      <c r="I5" s="94" t="s">
        <v>66</v>
      </c>
      <c r="J5" s="95" t="s">
        <v>77</v>
      </c>
      <c r="K5" s="95" t="s">
        <v>67</v>
      </c>
      <c r="L5" s="96" t="s">
        <v>76</v>
      </c>
      <c r="M5" s="96" t="s">
        <v>68</v>
      </c>
      <c r="N5" s="96" t="s">
        <v>69</v>
      </c>
      <c r="O5"/>
    </row>
    <row r="6" spans="1:15" s="76" customFormat="1" ht="15.5" x14ac:dyDescent="0.35">
      <c r="A6" s="79" t="s">
        <v>28</v>
      </c>
      <c r="B6" s="99">
        <v>64</v>
      </c>
      <c r="C6" s="79"/>
      <c r="D6" s="79"/>
      <c r="E6" s="89"/>
      <c r="F6" s="90"/>
      <c r="G6" s="128">
        <f>IF(F6="NS","NC",ROUND(B6,2-(1+INT(LOG10(ABS(B6))))))</f>
        <v>64</v>
      </c>
      <c r="H6" s="120"/>
      <c r="I6" s="120"/>
      <c r="J6" s="121"/>
      <c r="K6" s="122"/>
      <c r="L6" s="124"/>
      <c r="M6" s="121"/>
      <c r="N6" s="91"/>
      <c r="O6"/>
    </row>
    <row r="7" spans="1:15" s="76" customFormat="1" ht="15.5" x14ac:dyDescent="0.35">
      <c r="A7" s="79" t="str">
        <f>'Page de garde'!A15</f>
        <v>Dutasteride-0,01mg/L</v>
      </c>
      <c r="B7" s="98"/>
      <c r="C7" s="80"/>
      <c r="D7" s="80"/>
      <c r="E7" s="81"/>
      <c r="F7" s="97" t="str">
        <f>HLOOKUP(A7,'pooled normalised values'!$B$74:$V$83,10,FALSE)</f>
        <v>ns</v>
      </c>
      <c r="G7" s="128" t="str">
        <f>IF(F7="NS","NC",ROUND(B7,2-(1+INT(LOG10(ABS(B7))))))</f>
        <v>NC</v>
      </c>
      <c r="H7" s="119" t="str">
        <f>IF(VLOOKUP(A7,liste_groupe[],4,FALSE)="%",VLOOKUP(A7,liste_groupe[],3,FALSE)/100,IF(ISBLANK(VLOOKUP(A7,liste_groupe[],4,FALSE)),"Non","Non"))</f>
        <v>Non</v>
      </c>
      <c r="I7" s="128" t="str">
        <f>IF(F7="NS","NC",IF(H7="Non",G7,G7*(1/H7)))</f>
        <v>NC</v>
      </c>
      <c r="J7" s="129">
        <v>64</v>
      </c>
      <c r="K7" s="130">
        <f>IF(F7="NS",0,ROUND(I7/J7*100,0))</f>
        <v>0</v>
      </c>
      <c r="L7" s="125">
        <v>1</v>
      </c>
      <c r="M7" s="131">
        <f>IF(K7&gt;100,125,K7)</f>
        <v>0</v>
      </c>
      <c r="N7" s="92" t="str">
        <f>IF(H7="Non",CONCATENATE(VLOOKUP(A7,liste_groupe[],5,FALSE),"-",VLOOKUP(A7,liste_groupe[],3,FALSE),VLOOKUP(A7,liste_groupe[],4,FALSE)," : ",ROUND(K7,0),"%"),CONCATENATE(VLOOKUP(A7,liste_groupe[],5,FALSE)," : ",ROUND(K7,0),"%"))</f>
        <v>Dutasteride-0,01mg/L : 0%</v>
      </c>
      <c r="O7"/>
    </row>
    <row r="8" spans="1:15" s="76" customFormat="1" ht="15.5" x14ac:dyDescent="0.35">
      <c r="A8" s="79" t="str">
        <f>'Page de garde'!A16</f>
        <v>Dutasteride-0,1mg/L</v>
      </c>
      <c r="B8" s="98"/>
      <c r="C8" s="82"/>
      <c r="D8" s="80"/>
      <c r="E8" s="81"/>
      <c r="F8" s="97" t="str">
        <f>HLOOKUP(A8,'pooled normalised values'!$B$74:$V$83,10,FALSE)</f>
        <v>ns</v>
      </c>
      <c r="G8" s="128" t="str">
        <f t="shared" ref="G8:G13" si="0">IF(F8="NS","NC",ROUND(B8,2-(1+INT(LOG10(ABS(B8))))))</f>
        <v>NC</v>
      </c>
      <c r="H8" s="119" t="str">
        <f>IF(VLOOKUP(A8,liste_groupe[],4,FALSE)="%",VLOOKUP(A8,liste_groupe[],3,FALSE)/100,IF(ISBLANK(VLOOKUP(A8,liste_groupe[],4,FALSE)),"Non","Non"))</f>
        <v>Non</v>
      </c>
      <c r="I8" s="128" t="str">
        <f t="shared" ref="I8:I26" si="1">IF(F8="NS","NC",IF(H8="Non",G8,G8*(1/H8)))</f>
        <v>NC</v>
      </c>
      <c r="J8" s="129">
        <v>64</v>
      </c>
      <c r="K8" s="130">
        <f t="shared" ref="K8:K26" si="2">IF(F8="NS",0,ROUND(I8/J8*100,0))</f>
        <v>0</v>
      </c>
      <c r="L8" s="125"/>
      <c r="M8" s="131">
        <f t="shared" ref="M8:M26" si="3">IF(K8&gt;100,125,K8)</f>
        <v>0</v>
      </c>
      <c r="N8" s="92" t="str">
        <f>IF(H8="Non",CONCATENATE(VLOOKUP(A8,liste_groupe[],5,FALSE),"-",VLOOKUP(A8,liste_groupe[],3,FALSE),VLOOKUP(A8,liste_groupe[],4,FALSE)," : ",ROUND(K8,0),"%"),CONCATENATE(VLOOKUP(A8,liste_groupe[],5,FALSE)," : ",ROUND(K8,0),"%"))</f>
        <v>Dutasteride-0,1mg/L : 0%</v>
      </c>
      <c r="O8"/>
    </row>
    <row r="9" spans="1:15" s="76" customFormat="1" ht="15.5" x14ac:dyDescent="0.35">
      <c r="A9" s="79" t="str">
        <f>'Page de garde'!A17</f>
        <v>Dutasteride-0,25mg/L</v>
      </c>
      <c r="B9" s="98"/>
      <c r="C9" s="82"/>
      <c r="D9" s="80"/>
      <c r="E9" s="81"/>
      <c r="F9" s="97" t="str">
        <f>HLOOKUP(A9,'pooled normalised values'!$B$74:$V$83,10,FALSE)</f>
        <v>ns</v>
      </c>
      <c r="G9" s="128" t="str">
        <f t="shared" si="0"/>
        <v>NC</v>
      </c>
      <c r="H9" s="119" t="str">
        <f>IF(VLOOKUP(A9,liste_groupe[],4,FALSE)="%",VLOOKUP(A9,liste_groupe[],3,FALSE)/100,IF(ISBLANK(VLOOKUP(A9,liste_groupe[],4,FALSE)),"Non","Non"))</f>
        <v>Non</v>
      </c>
      <c r="I9" s="128" t="str">
        <f t="shared" si="1"/>
        <v>NC</v>
      </c>
      <c r="J9" s="129">
        <v>64</v>
      </c>
      <c r="K9" s="130">
        <f t="shared" si="2"/>
        <v>0</v>
      </c>
      <c r="L9" s="125"/>
      <c r="M9" s="131">
        <f t="shared" si="3"/>
        <v>0</v>
      </c>
      <c r="N9" s="92" t="str">
        <f>IF(H9="Non",CONCATENATE(VLOOKUP(A9,liste_groupe[],5,FALSE),"-",VLOOKUP(A9,liste_groupe[],3,FALSE),VLOOKUP(A9,liste_groupe[],4,FALSE)," : ",ROUND(K9,0),"%"),CONCATENATE(VLOOKUP(A9,liste_groupe[],5,FALSE)," : ",ROUND(K9,0),"%"))</f>
        <v>Dutasteride-0,25mg/L : 0%</v>
      </c>
      <c r="O9"/>
    </row>
    <row r="10" spans="1:15" s="76" customFormat="1" ht="15.5" x14ac:dyDescent="0.35">
      <c r="A10" s="79" t="str">
        <f>'Page de garde'!A18</f>
        <v>Dutasteride-0,5mg/L</v>
      </c>
      <c r="B10" s="99"/>
      <c r="C10" s="79"/>
      <c r="D10" s="84"/>
      <c r="E10" s="81"/>
      <c r="F10" s="97" t="str">
        <f>HLOOKUP(A10,'pooled normalised values'!$B$74:$V$83,10,FALSE)</f>
        <v>ns</v>
      </c>
      <c r="G10" s="128" t="str">
        <f t="shared" si="0"/>
        <v>NC</v>
      </c>
      <c r="H10" s="119" t="str">
        <f>IF(VLOOKUP(A10,liste_groupe[],4,FALSE)="%",VLOOKUP(A10,liste_groupe[],3,FALSE)/100,IF(ISBLANK(VLOOKUP(A10,liste_groupe[],4,FALSE)),"Non","Non"))</f>
        <v>Non</v>
      </c>
      <c r="I10" s="128" t="str">
        <f t="shared" si="1"/>
        <v>NC</v>
      </c>
      <c r="J10" s="129">
        <v>64</v>
      </c>
      <c r="K10" s="130">
        <f t="shared" si="2"/>
        <v>0</v>
      </c>
      <c r="L10" s="125"/>
      <c r="M10" s="131">
        <f t="shared" si="3"/>
        <v>0</v>
      </c>
      <c r="N10" s="92" t="str">
        <f>IF(H10="Non",CONCATENATE(VLOOKUP(A10,liste_groupe[],5,FALSE),"-",VLOOKUP(A10,liste_groupe[],3,FALSE),VLOOKUP(A10,liste_groupe[],4,FALSE)," : ",ROUND(K10,0),"%"),CONCATENATE(VLOOKUP(A10,liste_groupe[],5,FALSE)," : ",ROUND(K10,0),"%"))</f>
        <v>Dutasteride-0,5mg/L : 0%</v>
      </c>
      <c r="O10"/>
    </row>
    <row r="11" spans="1:15" s="76" customFormat="1" ht="15.5" x14ac:dyDescent="0.35">
      <c r="A11" s="79" t="str">
        <f>'Page de garde'!A19</f>
        <v>Dutasteride-1mg/L</v>
      </c>
      <c r="B11" s="99"/>
      <c r="C11" s="79"/>
      <c r="D11" s="84"/>
      <c r="E11" s="81"/>
      <c r="F11" s="97" t="str">
        <f>HLOOKUP(A11,'pooled normalised values'!$B$74:$V$83,10,FALSE)</f>
        <v>ns</v>
      </c>
      <c r="G11" s="128" t="str">
        <f t="shared" si="0"/>
        <v>NC</v>
      </c>
      <c r="H11" s="119" t="str">
        <f>IF(VLOOKUP(A11,liste_groupe[],4,FALSE)="%",VLOOKUP(A11,liste_groupe[],3,FALSE)/100,IF(ISBLANK(VLOOKUP(A11,liste_groupe[],4,FALSE)),"Non","Non"))</f>
        <v>Non</v>
      </c>
      <c r="I11" s="128" t="str">
        <f t="shared" si="1"/>
        <v>NC</v>
      </c>
      <c r="J11" s="129">
        <v>64</v>
      </c>
      <c r="K11" s="130">
        <f t="shared" si="2"/>
        <v>0</v>
      </c>
      <c r="L11" s="125"/>
      <c r="M11" s="131">
        <f t="shared" si="3"/>
        <v>0</v>
      </c>
      <c r="N11" s="92" t="str">
        <f>IF(H11="Non",CONCATENATE(VLOOKUP(A11,liste_groupe[],5,FALSE),"-",VLOOKUP(A11,liste_groupe[],3,FALSE),VLOOKUP(A11,liste_groupe[],4,FALSE)," : ",ROUND(K11,0),"%"),CONCATENATE(VLOOKUP(A11,liste_groupe[],5,FALSE)," : ",ROUND(K11,0),"%"))</f>
        <v>Dutasteride-1mg/L : 0%</v>
      </c>
      <c r="O11"/>
    </row>
    <row r="12" spans="1:15" s="76" customFormat="1" ht="15.5" x14ac:dyDescent="0.35">
      <c r="A12" s="79" t="str">
        <f>'Page de garde'!A20</f>
        <v xml:space="preserve"> </v>
      </c>
      <c r="B12" s="99"/>
      <c r="C12" s="79"/>
      <c r="D12" s="84"/>
      <c r="E12" s="81"/>
      <c r="F12" s="97" t="e">
        <f>HLOOKUP(A12,'pooled normalised values'!$B$74:$V$83,10,FALSE)</f>
        <v>#N/A</v>
      </c>
      <c r="G12" s="128" t="e">
        <f t="shared" si="0"/>
        <v>#N/A</v>
      </c>
      <c r="H12" s="119" t="str">
        <f>IF(VLOOKUP(A12,liste_groupe[],4,FALSE)="%",VLOOKUP(A12,liste_groupe[],3,FALSE)/100,IF(ISBLANK(VLOOKUP(A12,liste_groupe[],4,FALSE)),"Non","Non"))</f>
        <v>Non</v>
      </c>
      <c r="I12" s="128" t="e">
        <f t="shared" si="1"/>
        <v>#N/A</v>
      </c>
      <c r="J12" s="129">
        <v>64</v>
      </c>
      <c r="K12" s="130" t="e">
        <f t="shared" si="2"/>
        <v>#N/A</v>
      </c>
      <c r="L12" s="125"/>
      <c r="M12" s="131" t="e">
        <f t="shared" si="3"/>
        <v>#N/A</v>
      </c>
      <c r="N12" s="92" t="e">
        <f>IF(H12="Non",CONCATENATE(VLOOKUP(A12,liste_groupe[],5,FALSE),"-",VLOOKUP(A12,liste_groupe[],3,FALSE),VLOOKUP(A12,liste_groupe[],4,FALSE)," : ",ROUND(K12,0),"%"),CONCATENATE(VLOOKUP(A12,liste_groupe[],5,FALSE)," : ",ROUND(K12,0),"%"))</f>
        <v>#N/A</v>
      </c>
      <c r="O12"/>
    </row>
    <row r="13" spans="1:15" s="76" customFormat="1" ht="15.5" x14ac:dyDescent="0.35">
      <c r="A13" s="79" t="str">
        <f>'Page de garde'!A21</f>
        <v xml:space="preserve"> </v>
      </c>
      <c r="B13" s="99"/>
      <c r="C13" s="79"/>
      <c r="D13" s="79"/>
      <c r="E13" s="81"/>
      <c r="F13" s="97" t="e">
        <f>HLOOKUP(A13,'pooled normalised values'!$B$74:$V$83,10,FALSE)</f>
        <v>#N/A</v>
      </c>
      <c r="G13" s="128" t="e">
        <f t="shared" si="0"/>
        <v>#N/A</v>
      </c>
      <c r="H13" s="119" t="str">
        <f>IF(VLOOKUP(A13,liste_groupe[],4,FALSE)="%",VLOOKUP(A13,liste_groupe[],3,FALSE)/100,IF(ISBLANK(VLOOKUP(A13,liste_groupe[],4,FALSE)),"Non","Non"))</f>
        <v>Non</v>
      </c>
      <c r="I13" s="128" t="e">
        <f t="shared" si="1"/>
        <v>#N/A</v>
      </c>
      <c r="J13" s="129">
        <v>64</v>
      </c>
      <c r="K13" s="130" t="e">
        <f t="shared" si="2"/>
        <v>#N/A</v>
      </c>
      <c r="L13" s="125"/>
      <c r="M13" s="131" t="e">
        <f t="shared" si="3"/>
        <v>#N/A</v>
      </c>
      <c r="N13" s="92" t="e">
        <f>IF(H13="Non",CONCATENATE(VLOOKUP(A13,liste_groupe[],5,FALSE),"-",VLOOKUP(A13,liste_groupe[],3,FALSE),VLOOKUP(A13,liste_groupe[],4,FALSE)," : ",ROUND(K13,0),"%"),CONCATENATE(VLOOKUP(A13,liste_groupe[],5,FALSE)," : ",ROUND(K13,0),"%"))</f>
        <v>#N/A</v>
      </c>
      <c r="O13"/>
    </row>
    <row r="14" spans="1:15" s="76" customFormat="1" ht="15.5" x14ac:dyDescent="0.35">
      <c r="A14" s="79" t="str">
        <f>'Page de garde'!A22</f>
        <v xml:space="preserve"> </v>
      </c>
      <c r="B14" s="99"/>
      <c r="C14" s="79"/>
      <c r="D14" s="79"/>
      <c r="E14" s="81"/>
      <c r="F14" s="97" t="e">
        <f>HLOOKUP(A14,'pooled normalised values'!$B$74:$V$83,10,FALSE)</f>
        <v>#N/A</v>
      </c>
      <c r="G14" s="128" t="e">
        <f t="shared" ref="G14:G25" si="4">IF(F14="NS","NC",ROUND(B14,2-(1+INT(LOG10(ABS(B14))))))</f>
        <v>#N/A</v>
      </c>
      <c r="H14" s="119" t="str">
        <f>IF(VLOOKUP(A14,liste_groupe[],4,FALSE)="%",VLOOKUP(A14,liste_groupe[],3,FALSE)/100,IF(ISBLANK(VLOOKUP(A14,liste_groupe[],4,FALSE)),"Non","Non"))</f>
        <v>Non</v>
      </c>
      <c r="I14" s="128" t="e">
        <f t="shared" si="1"/>
        <v>#N/A</v>
      </c>
      <c r="J14" s="129">
        <v>64</v>
      </c>
      <c r="K14" s="130" t="e">
        <f t="shared" si="2"/>
        <v>#N/A</v>
      </c>
      <c r="L14" s="125"/>
      <c r="M14" s="131" t="e">
        <f t="shared" si="3"/>
        <v>#N/A</v>
      </c>
      <c r="N14" s="92" t="e">
        <f>IF(H14="Non",CONCATENATE(VLOOKUP(A14,liste_groupe[],5,FALSE),"-",VLOOKUP(A14,liste_groupe[],3,FALSE),VLOOKUP(A14,liste_groupe[],4,FALSE)," : ",ROUND(K14,0),"%"),CONCATENATE(VLOOKUP(A14,liste_groupe[],5,FALSE)," : ",ROUND(K14,0),"%"))</f>
        <v>#N/A</v>
      </c>
      <c r="O14" s="1"/>
    </row>
    <row r="15" spans="1:15" s="76" customFormat="1" ht="15.5" x14ac:dyDescent="0.35">
      <c r="A15" s="79" t="str">
        <f>'Page de garde'!A23</f>
        <v xml:space="preserve"> </v>
      </c>
      <c r="B15" s="99"/>
      <c r="C15" s="79"/>
      <c r="D15" s="79"/>
      <c r="E15" s="81"/>
      <c r="F15" s="97" t="e">
        <f>HLOOKUP(A15,'pooled normalised values'!$B$74:$V$83,10,FALSE)</f>
        <v>#N/A</v>
      </c>
      <c r="G15" s="128" t="e">
        <f t="shared" si="4"/>
        <v>#N/A</v>
      </c>
      <c r="H15" s="119" t="str">
        <f>IF(VLOOKUP(A15,liste_groupe[],4,FALSE)="%",VLOOKUP(A15,liste_groupe[],3,FALSE)/100,IF(ISBLANK(VLOOKUP(A15,liste_groupe[],4,FALSE)),"Non","Non"))</f>
        <v>Non</v>
      </c>
      <c r="I15" s="128" t="e">
        <f t="shared" si="1"/>
        <v>#N/A</v>
      </c>
      <c r="J15" s="129">
        <v>64</v>
      </c>
      <c r="K15" s="130" t="e">
        <f t="shared" si="2"/>
        <v>#N/A</v>
      </c>
      <c r="L15" s="125"/>
      <c r="M15" s="131" t="e">
        <f t="shared" si="3"/>
        <v>#N/A</v>
      </c>
      <c r="N15" s="92" t="e">
        <f>IF(H15="Non",CONCATENATE(VLOOKUP(A15,liste_groupe[],5,FALSE),"-",VLOOKUP(A15,liste_groupe[],3,FALSE),VLOOKUP(A15,liste_groupe[],4,FALSE)," : ",ROUND(K15,0),"%"),CONCATENATE(VLOOKUP(A15,liste_groupe[],5,FALSE)," : ",ROUND(K15,0),"%"))</f>
        <v>#N/A</v>
      </c>
      <c r="O15" s="1"/>
    </row>
    <row r="16" spans="1:15" s="76" customFormat="1" ht="15.5" x14ac:dyDescent="0.35">
      <c r="A16" s="79" t="str">
        <f>'Page de garde'!A24</f>
        <v xml:space="preserve"> </v>
      </c>
      <c r="B16" s="99"/>
      <c r="C16" s="79"/>
      <c r="D16" s="79"/>
      <c r="E16" s="81"/>
      <c r="F16" s="97" t="e">
        <f>HLOOKUP(A16,'pooled normalised values'!$B$74:$V$83,10,FALSE)</f>
        <v>#N/A</v>
      </c>
      <c r="G16" s="128" t="e">
        <f t="shared" si="4"/>
        <v>#N/A</v>
      </c>
      <c r="H16" s="119" t="str">
        <f>IF(VLOOKUP(A16,liste_groupe[],4,FALSE)="%",VLOOKUP(A16,liste_groupe[],3,FALSE)/100,IF(ISBLANK(VLOOKUP(A16,liste_groupe[],4,FALSE)),"Non","Non"))</f>
        <v>Non</v>
      </c>
      <c r="I16" s="128" t="e">
        <f t="shared" si="1"/>
        <v>#N/A</v>
      </c>
      <c r="J16" s="129">
        <v>64</v>
      </c>
      <c r="K16" s="130" t="e">
        <f t="shared" si="2"/>
        <v>#N/A</v>
      </c>
      <c r="L16" s="125"/>
      <c r="M16" s="131" t="e">
        <f t="shared" si="3"/>
        <v>#N/A</v>
      </c>
      <c r="N16" s="92" t="e">
        <f>IF(H16="Non",CONCATENATE(VLOOKUP(A16,liste_groupe[],5,FALSE),"-",VLOOKUP(A16,liste_groupe[],3,FALSE),VLOOKUP(A16,liste_groupe[],4,FALSE)," : ",ROUND(K16,0),"%"),CONCATENATE(VLOOKUP(A16,liste_groupe[],5,FALSE)," : ",ROUND(K16,0),"%"))</f>
        <v>#N/A</v>
      </c>
      <c r="O16" s="1"/>
    </row>
    <row r="17" spans="1:15" s="76" customFormat="1" ht="15.5" x14ac:dyDescent="0.35">
      <c r="A17" s="79" t="str">
        <f>'Page de garde'!A25</f>
        <v xml:space="preserve"> </v>
      </c>
      <c r="B17" s="99"/>
      <c r="C17" s="79"/>
      <c r="D17" s="79"/>
      <c r="E17" s="81"/>
      <c r="F17" s="97" t="e">
        <f>HLOOKUP(A17,'pooled normalised values'!$B$74:$V$83,10,FALSE)</f>
        <v>#N/A</v>
      </c>
      <c r="G17" s="128" t="e">
        <f t="shared" si="4"/>
        <v>#N/A</v>
      </c>
      <c r="H17" s="119" t="str">
        <f>IF(VLOOKUP(A17,liste_groupe[],4,FALSE)="%",VLOOKUP(A17,liste_groupe[],3,FALSE)/100,IF(ISBLANK(VLOOKUP(A17,liste_groupe[],4,FALSE)),"Non","Non"))</f>
        <v>Non</v>
      </c>
      <c r="I17" s="128" t="e">
        <f t="shared" si="1"/>
        <v>#N/A</v>
      </c>
      <c r="J17" s="129">
        <v>64</v>
      </c>
      <c r="K17" s="130" t="e">
        <f t="shared" si="2"/>
        <v>#N/A</v>
      </c>
      <c r="L17" s="125"/>
      <c r="M17" s="131" t="e">
        <f t="shared" si="3"/>
        <v>#N/A</v>
      </c>
      <c r="N17" s="92" t="e">
        <f>IF(H17="Non",CONCATENATE(VLOOKUP(A17,liste_groupe[],5,FALSE),"-",VLOOKUP(A17,liste_groupe[],3,FALSE),VLOOKUP(A17,liste_groupe[],4,FALSE)," : ",ROUND(K17,0),"%"),CONCATENATE(VLOOKUP(A17,liste_groupe[],5,FALSE)," : ",ROUND(K17,0),"%"))</f>
        <v>#N/A</v>
      </c>
      <c r="O17" s="1"/>
    </row>
    <row r="18" spans="1:15" s="76" customFormat="1" ht="15.5" x14ac:dyDescent="0.35">
      <c r="A18" s="79" t="str">
        <f>'Page de garde'!A26</f>
        <v xml:space="preserve"> </v>
      </c>
      <c r="B18" s="99"/>
      <c r="C18" s="79"/>
      <c r="D18" s="79"/>
      <c r="E18" s="81"/>
      <c r="F18" s="97" t="e">
        <f>HLOOKUP(A18,'pooled normalised values'!$B$74:$V$83,10,FALSE)</f>
        <v>#N/A</v>
      </c>
      <c r="G18" s="128" t="e">
        <f t="shared" si="4"/>
        <v>#N/A</v>
      </c>
      <c r="H18" s="119" t="str">
        <f>IF(VLOOKUP(A18,liste_groupe[],4,FALSE)="%",VLOOKUP(A18,liste_groupe[],3,FALSE)/100,IF(ISBLANK(VLOOKUP(A18,liste_groupe[],4,FALSE)),"Non","Non"))</f>
        <v>Non</v>
      </c>
      <c r="I18" s="128" t="e">
        <f t="shared" si="1"/>
        <v>#N/A</v>
      </c>
      <c r="J18" s="129">
        <v>64</v>
      </c>
      <c r="K18" s="130" t="e">
        <f t="shared" si="2"/>
        <v>#N/A</v>
      </c>
      <c r="L18" s="125"/>
      <c r="M18" s="131" t="e">
        <f t="shared" si="3"/>
        <v>#N/A</v>
      </c>
      <c r="N18" s="92" t="e">
        <f>IF(H18="Non",CONCATENATE(VLOOKUP(A18,liste_groupe[],5,FALSE),"-",VLOOKUP(A18,liste_groupe[],3,FALSE),VLOOKUP(A18,liste_groupe[],4,FALSE)," : ",ROUND(K18,0),"%"),CONCATENATE(VLOOKUP(A18,liste_groupe[],5,FALSE)," : ",ROUND(K18,0),"%"))</f>
        <v>#N/A</v>
      </c>
      <c r="O18" s="1"/>
    </row>
    <row r="19" spans="1:15" s="76" customFormat="1" ht="15.5" x14ac:dyDescent="0.35">
      <c r="A19" s="79" t="str">
        <f>'Page de garde'!A27</f>
        <v xml:space="preserve"> </v>
      </c>
      <c r="B19" s="99"/>
      <c r="C19" s="79"/>
      <c r="D19" s="79"/>
      <c r="E19" s="81"/>
      <c r="F19" s="97" t="e">
        <f>HLOOKUP(A19,'pooled normalised values'!$B$74:$V$83,10,FALSE)</f>
        <v>#N/A</v>
      </c>
      <c r="G19" s="128" t="e">
        <f t="shared" si="4"/>
        <v>#N/A</v>
      </c>
      <c r="H19" s="119" t="str">
        <f>IF(VLOOKUP(A19,liste_groupe[],4,FALSE)="%",VLOOKUP(A19,liste_groupe[],3,FALSE)/100,IF(ISBLANK(VLOOKUP(A19,liste_groupe[],4,FALSE)),"Non","Non"))</f>
        <v>Non</v>
      </c>
      <c r="I19" s="128" t="e">
        <f t="shared" si="1"/>
        <v>#N/A</v>
      </c>
      <c r="J19" s="129">
        <v>64</v>
      </c>
      <c r="K19" s="130" t="e">
        <f t="shared" si="2"/>
        <v>#N/A</v>
      </c>
      <c r="L19" s="125"/>
      <c r="M19" s="131" t="e">
        <f t="shared" si="3"/>
        <v>#N/A</v>
      </c>
      <c r="N19" s="92" t="e">
        <f>IF(H19="Non",CONCATENATE(VLOOKUP(A19,liste_groupe[],5,FALSE),"-",VLOOKUP(A19,liste_groupe[],3,FALSE),VLOOKUP(A19,liste_groupe[],4,FALSE)," : ",ROUND(K19,0),"%"),CONCATENATE(VLOOKUP(A19,liste_groupe[],5,FALSE)," : ",ROUND(K19,0),"%"))</f>
        <v>#N/A</v>
      </c>
      <c r="O19" s="1"/>
    </row>
    <row r="20" spans="1:15" s="76" customFormat="1" ht="15.5" x14ac:dyDescent="0.35">
      <c r="A20" s="79" t="str">
        <f>'Page de garde'!A28</f>
        <v xml:space="preserve"> </v>
      </c>
      <c r="B20" s="99"/>
      <c r="C20" s="79"/>
      <c r="D20" s="79"/>
      <c r="E20" s="81"/>
      <c r="F20" s="97" t="e">
        <f>HLOOKUP(A20,'pooled normalised values'!$B$74:$V$83,10,FALSE)</f>
        <v>#N/A</v>
      </c>
      <c r="G20" s="128" t="e">
        <f t="shared" si="4"/>
        <v>#N/A</v>
      </c>
      <c r="H20" s="119" t="str">
        <f>IF(VLOOKUP(A20,liste_groupe[],4,FALSE)="%",VLOOKUP(A20,liste_groupe[],3,FALSE)/100,IF(ISBLANK(VLOOKUP(A20,liste_groupe[],4,FALSE)),"Non","Non"))</f>
        <v>Non</v>
      </c>
      <c r="I20" s="128" t="e">
        <f t="shared" si="1"/>
        <v>#N/A</v>
      </c>
      <c r="J20" s="129">
        <v>64</v>
      </c>
      <c r="K20" s="130" t="e">
        <f t="shared" si="2"/>
        <v>#N/A</v>
      </c>
      <c r="L20" s="125"/>
      <c r="M20" s="131" t="e">
        <f t="shared" si="3"/>
        <v>#N/A</v>
      </c>
      <c r="N20" s="92" t="e">
        <f>IF(H20="Non",CONCATENATE(VLOOKUP(A20,liste_groupe[],5,FALSE),"-",VLOOKUP(A20,liste_groupe[],3,FALSE),VLOOKUP(A20,liste_groupe[],4,FALSE)," : ",ROUND(K20,0),"%"),CONCATENATE(VLOOKUP(A20,liste_groupe[],5,FALSE)," : ",ROUND(K20,0),"%"))</f>
        <v>#N/A</v>
      </c>
      <c r="O20" s="1"/>
    </row>
    <row r="21" spans="1:15" s="76" customFormat="1" ht="15.5" x14ac:dyDescent="0.35">
      <c r="A21" s="79" t="str">
        <f>'Page de garde'!A29</f>
        <v xml:space="preserve"> </v>
      </c>
      <c r="B21" s="99"/>
      <c r="C21" s="79"/>
      <c r="D21" s="79"/>
      <c r="E21" s="81"/>
      <c r="F21" s="97" t="e">
        <f>HLOOKUP(A21,'pooled normalised values'!$B$74:$V$83,10,FALSE)</f>
        <v>#N/A</v>
      </c>
      <c r="G21" s="128" t="e">
        <f t="shared" si="4"/>
        <v>#N/A</v>
      </c>
      <c r="H21" s="119" t="str">
        <f>IF(VLOOKUP(A21,liste_groupe[],4,FALSE)="%",VLOOKUP(A21,liste_groupe[],3,FALSE)/100,IF(ISBLANK(VLOOKUP(A21,liste_groupe[],4,FALSE)),"Non","Non"))</f>
        <v>Non</v>
      </c>
      <c r="I21" s="128" t="e">
        <f t="shared" si="1"/>
        <v>#N/A</v>
      </c>
      <c r="J21" s="129">
        <v>64</v>
      </c>
      <c r="K21" s="130" t="e">
        <f t="shared" si="2"/>
        <v>#N/A</v>
      </c>
      <c r="L21" s="125"/>
      <c r="M21" s="131" t="e">
        <f t="shared" si="3"/>
        <v>#N/A</v>
      </c>
      <c r="N21" s="92" t="e">
        <f>IF(H21="Non",CONCATENATE(VLOOKUP(A21,liste_groupe[],5,FALSE),"-",VLOOKUP(A21,liste_groupe[],3,FALSE),VLOOKUP(A21,liste_groupe[],4,FALSE)," : ",ROUND(K21,0),"%"),CONCATENATE(VLOOKUP(A21,liste_groupe[],5,FALSE)," : ",ROUND(K21,0),"%"))</f>
        <v>#N/A</v>
      </c>
      <c r="O21" s="1"/>
    </row>
    <row r="22" spans="1:15" s="76" customFormat="1" ht="15.5" x14ac:dyDescent="0.35">
      <c r="A22" s="79" t="str">
        <f>'Page de garde'!A30</f>
        <v xml:space="preserve"> </v>
      </c>
      <c r="B22" s="99"/>
      <c r="C22" s="79"/>
      <c r="D22" s="79"/>
      <c r="E22" s="81"/>
      <c r="F22" s="97" t="e">
        <f>HLOOKUP(A22,'pooled normalised values'!$B$74:$V$83,10,FALSE)</f>
        <v>#N/A</v>
      </c>
      <c r="G22" s="128" t="e">
        <f t="shared" si="4"/>
        <v>#N/A</v>
      </c>
      <c r="H22" s="119" t="str">
        <f>IF(VLOOKUP(A22,liste_groupe[],4,FALSE)="%",VLOOKUP(A22,liste_groupe[],3,FALSE)/100,IF(ISBLANK(VLOOKUP(A22,liste_groupe[],4,FALSE)),"Non","Non"))</f>
        <v>Non</v>
      </c>
      <c r="I22" s="128" t="e">
        <f t="shared" si="1"/>
        <v>#N/A</v>
      </c>
      <c r="J22" s="129">
        <v>64</v>
      </c>
      <c r="K22" s="130" t="e">
        <f t="shared" si="2"/>
        <v>#N/A</v>
      </c>
      <c r="L22" s="125"/>
      <c r="M22" s="131" t="e">
        <f t="shared" si="3"/>
        <v>#N/A</v>
      </c>
      <c r="N22" s="92" t="e">
        <f>IF(H22="Non",CONCATENATE(VLOOKUP(A22,liste_groupe[],5,FALSE),"-",VLOOKUP(A22,liste_groupe[],3,FALSE),VLOOKUP(A22,liste_groupe[],4,FALSE)," : ",ROUND(K22,0),"%"),CONCATENATE(VLOOKUP(A22,liste_groupe[],5,FALSE)," : ",ROUND(K22,0),"%"))</f>
        <v>#N/A</v>
      </c>
      <c r="O22" s="1"/>
    </row>
    <row r="23" spans="1:15" s="76" customFormat="1" ht="15.5" x14ac:dyDescent="0.35">
      <c r="A23" s="79" t="str">
        <f>'Page de garde'!A31</f>
        <v xml:space="preserve"> </v>
      </c>
      <c r="B23" s="99"/>
      <c r="C23" s="79"/>
      <c r="D23" s="79"/>
      <c r="E23" s="81"/>
      <c r="F23" s="97" t="e">
        <f>HLOOKUP(A23,'pooled normalised values'!$B$74:$V$83,10,FALSE)</f>
        <v>#N/A</v>
      </c>
      <c r="G23" s="128" t="e">
        <f t="shared" si="4"/>
        <v>#N/A</v>
      </c>
      <c r="H23" s="119" t="str">
        <f>IF(VLOOKUP(A23,liste_groupe[],4,FALSE)="%",VLOOKUP(A23,liste_groupe[],3,FALSE)/100,IF(ISBLANK(VLOOKUP(A23,liste_groupe[],4,FALSE)),"Non","Non"))</f>
        <v>Non</v>
      </c>
      <c r="I23" s="128" t="e">
        <f t="shared" si="1"/>
        <v>#N/A</v>
      </c>
      <c r="J23" s="129">
        <v>64</v>
      </c>
      <c r="K23" s="130" t="e">
        <f t="shared" si="2"/>
        <v>#N/A</v>
      </c>
      <c r="L23" s="125"/>
      <c r="M23" s="131" t="e">
        <f t="shared" si="3"/>
        <v>#N/A</v>
      </c>
      <c r="N23" s="92" t="e">
        <f>IF(H23="Non",CONCATENATE(VLOOKUP(A23,liste_groupe[],5,FALSE),"-",VLOOKUP(A23,liste_groupe[],3,FALSE),VLOOKUP(A23,liste_groupe[],4,FALSE)," : ",ROUND(K23,0),"%"),CONCATENATE(VLOOKUP(A23,liste_groupe[],5,FALSE)," : ",ROUND(K23,0),"%"))</f>
        <v>#N/A</v>
      </c>
      <c r="O23" s="1"/>
    </row>
    <row r="24" spans="1:15" s="76" customFormat="1" ht="15.5" x14ac:dyDescent="0.35">
      <c r="A24" s="79" t="str">
        <f>'Page de garde'!A32</f>
        <v xml:space="preserve"> </v>
      </c>
      <c r="B24" s="99"/>
      <c r="C24" s="79"/>
      <c r="D24" s="79"/>
      <c r="E24" s="81"/>
      <c r="F24" s="97" t="e">
        <f>HLOOKUP(A24,'pooled normalised values'!$B$74:$V$83,10,FALSE)</f>
        <v>#N/A</v>
      </c>
      <c r="G24" s="128" t="e">
        <f t="shared" si="4"/>
        <v>#N/A</v>
      </c>
      <c r="H24" s="119" t="str">
        <f>IF(VLOOKUP(A24,liste_groupe[],4,FALSE)="%",VLOOKUP(A24,liste_groupe[],3,FALSE)/100,IF(ISBLANK(VLOOKUP(A24,liste_groupe[],4,FALSE)),"Non","Non"))</f>
        <v>Non</v>
      </c>
      <c r="I24" s="128" t="e">
        <f t="shared" si="1"/>
        <v>#N/A</v>
      </c>
      <c r="J24" s="129">
        <v>64</v>
      </c>
      <c r="K24" s="130" t="e">
        <f t="shared" si="2"/>
        <v>#N/A</v>
      </c>
      <c r="L24" s="125"/>
      <c r="M24" s="131" t="e">
        <f t="shared" si="3"/>
        <v>#N/A</v>
      </c>
      <c r="N24" s="92" t="e">
        <f>IF(H24="Non",CONCATENATE(VLOOKUP(A24,liste_groupe[],5,FALSE),"-",VLOOKUP(A24,liste_groupe[],3,FALSE),VLOOKUP(A24,liste_groupe[],4,FALSE)," : ",ROUND(K24,0),"%"),CONCATENATE(VLOOKUP(A24,liste_groupe[],5,FALSE)," : ",ROUND(K24,0),"%"))</f>
        <v>#N/A</v>
      </c>
      <c r="O24" s="1"/>
    </row>
    <row r="25" spans="1:15" s="76" customFormat="1" ht="15.5" x14ac:dyDescent="0.35">
      <c r="A25" s="79" t="str">
        <f>'Page de garde'!A33</f>
        <v xml:space="preserve"> </v>
      </c>
      <c r="B25" s="99"/>
      <c r="C25" s="79"/>
      <c r="D25" s="79"/>
      <c r="E25" s="81"/>
      <c r="F25" s="97" t="e">
        <f>HLOOKUP(A25,'pooled normalised values'!$B$74:$V$83,10,FALSE)</f>
        <v>#N/A</v>
      </c>
      <c r="G25" s="128" t="e">
        <f t="shared" si="4"/>
        <v>#N/A</v>
      </c>
      <c r="H25" s="119" t="str">
        <f>IF(VLOOKUP(A25,liste_groupe[],4,FALSE)="%",VLOOKUP(A25,liste_groupe[],3,FALSE)/100,IF(ISBLANK(VLOOKUP(A25,liste_groupe[],4,FALSE)),"Non","Non"))</f>
        <v>Non</v>
      </c>
      <c r="I25" s="128" t="e">
        <f t="shared" si="1"/>
        <v>#N/A</v>
      </c>
      <c r="J25" s="129">
        <v>64</v>
      </c>
      <c r="K25" s="130" t="e">
        <f t="shared" si="2"/>
        <v>#N/A</v>
      </c>
      <c r="L25" s="125"/>
      <c r="M25" s="131" t="e">
        <f t="shared" si="3"/>
        <v>#N/A</v>
      </c>
      <c r="N25" s="92" t="e">
        <f>IF(H25="Non",CONCATENATE(VLOOKUP(A25,liste_groupe[],5,FALSE),"-",VLOOKUP(A25,liste_groupe[],3,FALSE),VLOOKUP(A25,liste_groupe[],4,FALSE)," : ",ROUND(K25,0),"%"),CONCATENATE(VLOOKUP(A25,liste_groupe[],5,FALSE)," : ",ROUND(K25,0),"%"))</f>
        <v>#N/A</v>
      </c>
      <c r="O25" s="1"/>
    </row>
    <row r="26" spans="1:15" s="76" customFormat="1" ht="15.5" x14ac:dyDescent="0.35">
      <c r="A26" s="79" t="str">
        <f>'Page de garde'!A34</f>
        <v xml:space="preserve"> </v>
      </c>
      <c r="B26" s="98"/>
      <c r="C26" s="85"/>
      <c r="D26" s="85"/>
      <c r="E26" s="81"/>
      <c r="F26" s="97" t="e">
        <f>HLOOKUP(A26,'pooled normalised values'!$B$74:$V$83,10,FALSE)</f>
        <v>#N/A</v>
      </c>
      <c r="G26" s="128" t="e">
        <f t="shared" ref="G26" si="5">IF(F26="NS","NC",ROUND(B26,2-(1+INT(LOG10(ABS(B26))))))</f>
        <v>#N/A</v>
      </c>
      <c r="H26" s="119" t="str">
        <f>IF(VLOOKUP(A26,liste_groupe[],4,FALSE)="%",VLOOKUP(A26,liste_groupe[],3,FALSE)/100,IF(ISBLANK(VLOOKUP(A26,liste_groupe[],4,FALSE)),"Non","Non"))</f>
        <v>Non</v>
      </c>
      <c r="I26" s="128" t="e">
        <f t="shared" si="1"/>
        <v>#N/A</v>
      </c>
      <c r="J26" s="129">
        <v>64</v>
      </c>
      <c r="K26" s="130" t="e">
        <f t="shared" si="2"/>
        <v>#N/A</v>
      </c>
      <c r="L26" s="125"/>
      <c r="M26" s="131" t="e">
        <f t="shared" si="3"/>
        <v>#N/A</v>
      </c>
      <c r="N26" s="92" t="e">
        <f>IF(H26="Non",CONCATENATE(VLOOKUP(A26,liste_groupe[],5,FALSE),"-",VLOOKUP(A26,liste_groupe[],3,FALSE),VLOOKUP(A26,liste_groupe[],4,FALSE)," : ",ROUND(K26,0),"%"),CONCATENATE(VLOOKUP(A26,liste_groupe[],5,FALSE)," : ",ROUND(K26,0),"%"))</f>
        <v>#N/A</v>
      </c>
      <c r="O26"/>
    </row>
    <row r="27" spans="1:15" s="76" customFormat="1" ht="15.5" x14ac:dyDescent="0.35">
      <c r="A27"/>
      <c r="B27"/>
      <c r="C27"/>
      <c r="D27"/>
      <c r="E27"/>
      <c r="F27"/>
      <c r="G27"/>
      <c r="H27"/>
      <c r="I27"/>
      <c r="J27"/>
      <c r="K27"/>
      <c r="L27"/>
      <c r="M27"/>
      <c r="N27"/>
      <c r="O27" s="1"/>
    </row>
    <row r="28" spans="1:15" s="76" customFormat="1" ht="31.5" thickBot="1" x14ac:dyDescent="0.4">
      <c r="A28"/>
      <c r="B28" s="87" t="s">
        <v>25</v>
      </c>
      <c r="C28" s="87" t="s">
        <v>26</v>
      </c>
      <c r="D28" s="87" t="s">
        <v>27</v>
      </c>
      <c r="E28" s="88" t="s">
        <v>64</v>
      </c>
      <c r="F28" s="126" t="s">
        <v>80</v>
      </c>
      <c r="G28" s="94" t="s">
        <v>42</v>
      </c>
      <c r="H28" s="94" t="s">
        <v>65</v>
      </c>
      <c r="I28" s="94" t="s">
        <v>66</v>
      </c>
      <c r="J28" s="95" t="s">
        <v>77</v>
      </c>
      <c r="K28" s="95" t="s">
        <v>67</v>
      </c>
      <c r="L28" s="96" t="s">
        <v>76</v>
      </c>
      <c r="M28" s="96" t="s">
        <v>68</v>
      </c>
      <c r="N28" s="96" t="s">
        <v>69</v>
      </c>
      <c r="O28" s="1"/>
    </row>
    <row r="29" spans="1:15" s="76" customFormat="1" ht="15.5" x14ac:dyDescent="0.35">
      <c r="A29" s="83" t="s">
        <v>29</v>
      </c>
      <c r="B29" s="99"/>
      <c r="C29" s="79"/>
      <c r="D29" s="79"/>
      <c r="E29" s="81"/>
      <c r="F29" s="90"/>
      <c r="G29" s="133"/>
      <c r="H29" s="120"/>
      <c r="I29" s="120"/>
      <c r="J29" s="121"/>
      <c r="K29" s="122"/>
      <c r="L29" s="124"/>
      <c r="M29" s="121"/>
      <c r="N29" s="91"/>
      <c r="O29"/>
    </row>
    <row r="30" spans="1:15" s="76" customFormat="1" ht="15.5" x14ac:dyDescent="0.35">
      <c r="A30" s="83" t="s">
        <v>31</v>
      </c>
      <c r="B30" s="99"/>
      <c r="C30" s="79"/>
      <c r="D30" s="79"/>
      <c r="E30" s="81"/>
      <c r="F30" s="90"/>
      <c r="G30" s="132" t="e">
        <f>IF(F30="NS","NC",ROUND(B30-$B$29,2-(1+INT(LOG10(ABS(B30-$B$29))))))</f>
        <v>#NUM!</v>
      </c>
      <c r="H30" s="120"/>
      <c r="I30" s="133"/>
      <c r="J30" s="134"/>
      <c r="K30" s="135"/>
      <c r="L30" s="134"/>
      <c r="M30" s="134"/>
      <c r="N30" s="136"/>
      <c r="O30"/>
    </row>
    <row r="31" spans="1:15" s="76" customFormat="1" ht="15.5" x14ac:dyDescent="0.35">
      <c r="A31" s="83" t="s">
        <v>30</v>
      </c>
      <c r="B31" s="99"/>
      <c r="C31" s="79"/>
      <c r="D31" s="79"/>
      <c r="E31" s="81"/>
      <c r="F31" s="90"/>
      <c r="G31" s="132" t="e">
        <f t="shared" ref="G31:G51" si="6">IF(F31="NS","NC",ROUND(B31-$B$29,2-(1+INT(LOG10(ABS(B31-$B$29))))))</f>
        <v>#NUM!</v>
      </c>
      <c r="H31" s="120"/>
      <c r="I31" s="133"/>
      <c r="J31" s="134"/>
      <c r="K31" s="135"/>
      <c r="L31" s="134"/>
      <c r="M31" s="134"/>
      <c r="N31" s="136"/>
    </row>
    <row r="32" spans="1:15" s="76" customFormat="1" ht="15.5" x14ac:dyDescent="0.35">
      <c r="A32" s="127" t="str">
        <f>'Page de garde'!A39</f>
        <v>Dutasteride-0,01mg/L + Testostérone</v>
      </c>
      <c r="B32" s="99"/>
      <c r="C32" s="79"/>
      <c r="D32" s="79"/>
      <c r="E32" s="81"/>
      <c r="F32" s="93" t="str">
        <f>HLOOKUP(A32,'pooled normalised values'!$B$74:$V$83,10,FALSE)</f>
        <v>ns</v>
      </c>
      <c r="G32" s="132" t="str">
        <f t="shared" si="6"/>
        <v>NC</v>
      </c>
      <c r="H32" s="123" t="str">
        <f>IF(VLOOKUP(A32,liste_groupe[],4,FALSE)="%",VLOOKUP(A32,liste_groupe[],3,FALSE)/100,IF(ISBLANK(VLOOKUP(A32,liste_groupe[],4,FALSE)),"Non","Non"))</f>
        <v>Non</v>
      </c>
      <c r="I32" s="132" t="str">
        <f>IF(F32="NS","NC",IF(H32="Non",G32,G32*(1/H32)))</f>
        <v>NC</v>
      </c>
      <c r="J32" s="137" t="e">
        <f>IF(G32&lt;0,$G$31,$G$30)</f>
        <v>#NUM!</v>
      </c>
      <c r="K32" s="138">
        <f>IF(F32="NS",0,IF(I32&lt;0,-ROUND(I32/J32*100,0),ROUND(I32/J32*100,0)))</f>
        <v>0</v>
      </c>
      <c r="L32" s="139">
        <v>1</v>
      </c>
      <c r="M32" s="131">
        <f>IF(I32&lt;0,IF(K32&lt;-100,-125,K32),IF(K32&gt;100,125,K32))</f>
        <v>0</v>
      </c>
      <c r="N32" s="140" t="str">
        <f>IF(H32="Non",CONCATENATE(VLOOKUP(A32,liste_groupe[],5,FALSE),"-",VLOOKUP(A32,liste_groupe[],3,FALSE),VLOOKUP(A32,liste_groupe[],4,FALSE)," : ",ROUND(K32,0),"%"),CONCATENATE(VLOOKUP(A32,liste_groupe[],5,FALSE)," : ",ROUND(K32,0),"%"))</f>
        <v>Dutasteride-0,01mg/L : 0%</v>
      </c>
    </row>
    <row r="33" spans="1:14" s="76" customFormat="1" ht="15.5" x14ac:dyDescent="0.35">
      <c r="A33" s="127" t="str">
        <f>'Page de garde'!A40</f>
        <v>Dutasteride-0,1mg/L + Testostérone</v>
      </c>
      <c r="B33" s="98"/>
      <c r="C33" s="86"/>
      <c r="D33" s="86"/>
      <c r="E33" s="81"/>
      <c r="F33" s="93" t="str">
        <f>HLOOKUP(A33,'pooled normalised values'!$B$74:$V$83,10,FALSE)</f>
        <v>ns</v>
      </c>
      <c r="G33" s="132" t="str">
        <f>IF(F33="NS","NC",ROUND(B33-$B$29,2-(1+INT(LOG10(ABS(B33-$B$29))))))</f>
        <v>NC</v>
      </c>
      <c r="H33" s="123" t="str">
        <f>IF(VLOOKUP(A33,liste_groupe[],4,FALSE)="%",VLOOKUP(A33,liste_groupe[],3,FALSE)/100,IF(ISBLANK(VLOOKUP(A33,liste_groupe[],4,FALSE)),"Non","Non"))</f>
        <v>Non</v>
      </c>
      <c r="I33" s="132" t="str">
        <f t="shared" ref="I33:I51" si="7">IF(F33="NS","NC",IF(H33="Non",G33,G33*(1/H33)))</f>
        <v>NC</v>
      </c>
      <c r="J33" s="137" t="e">
        <f t="shared" ref="J33:J51" si="8">IF(G33&lt;0,$G$31,$G$30)</f>
        <v>#NUM!</v>
      </c>
      <c r="K33" s="138">
        <f t="shared" ref="K33:K51" si="9">IF(F33="NS",0,IF(I33&lt;0,-ROUND(I33/J33*100,0),ROUND(I33/J33*100,0)))</f>
        <v>0</v>
      </c>
      <c r="L33" s="139"/>
      <c r="M33" s="131">
        <f t="shared" ref="M33:M51" si="10">IF(I33&lt;0,IF(K33&lt;-100,-125,K33),IF(K33&gt;100,125,K33))</f>
        <v>0</v>
      </c>
      <c r="N33" s="140" t="str">
        <f>IF(H33="Non",CONCATENATE(VLOOKUP(A33,liste_groupe[],5,FALSE),"-",VLOOKUP(A33,liste_groupe[],3,FALSE),VLOOKUP(A33,liste_groupe[],4,FALSE)," : ",ROUND(K33,0),"%"),CONCATENATE(VLOOKUP(A33,liste_groupe[],5,FALSE)," : ",ROUND(K33,0),"%"))</f>
        <v>Dutasteride-0,1mg/L : 0%</v>
      </c>
    </row>
    <row r="34" spans="1:14" s="76" customFormat="1" ht="15.5" x14ac:dyDescent="0.35">
      <c r="A34" s="127" t="str">
        <f>'Page de garde'!A41</f>
        <v>Dutasteride-0,25mg/L + Testostérone</v>
      </c>
      <c r="B34" s="99"/>
      <c r="C34" s="79"/>
      <c r="D34" s="79"/>
      <c r="E34" s="81"/>
      <c r="F34" s="93" t="str">
        <f>HLOOKUP(A34,'pooled normalised values'!$B$74:$V$83,10,FALSE)</f>
        <v>ns</v>
      </c>
      <c r="G34" s="132" t="str">
        <f t="shared" si="6"/>
        <v>NC</v>
      </c>
      <c r="H34" s="123" t="str">
        <f>IF(VLOOKUP(A34,liste_groupe[],4,FALSE)="%",VLOOKUP(A34,liste_groupe[],3,FALSE)/100,IF(ISBLANK(VLOOKUP(A34,liste_groupe[],4,FALSE)),"Non","Non"))</f>
        <v>Non</v>
      </c>
      <c r="I34" s="132" t="str">
        <f t="shared" si="7"/>
        <v>NC</v>
      </c>
      <c r="J34" s="137" t="e">
        <f t="shared" si="8"/>
        <v>#NUM!</v>
      </c>
      <c r="K34" s="138">
        <f t="shared" si="9"/>
        <v>0</v>
      </c>
      <c r="L34" s="139"/>
      <c r="M34" s="131">
        <f t="shared" si="10"/>
        <v>0</v>
      </c>
      <c r="N34" s="140" t="str">
        <f>IF(H34="Non",CONCATENATE(VLOOKUP(A34,liste_groupe[],5,FALSE),"-",VLOOKUP(A34,liste_groupe[],3,FALSE),VLOOKUP(A34,liste_groupe[],4,FALSE)," : ",ROUND(K34,0),"%"),CONCATENATE(VLOOKUP(A34,liste_groupe[],5,FALSE)," : ",ROUND(K34,0),"%"))</f>
        <v>Dutasteride-0,25mg/L : 0%</v>
      </c>
    </row>
    <row r="35" spans="1:14" s="76" customFormat="1" ht="15.5" x14ac:dyDescent="0.35">
      <c r="A35" s="127" t="str">
        <f>'Page de garde'!A42</f>
        <v>Dutasteride-0,5mg/L + Testostérone</v>
      </c>
      <c r="B35" s="98"/>
      <c r="C35" s="86"/>
      <c r="D35" s="86"/>
      <c r="E35" s="81"/>
      <c r="F35" s="93" t="str">
        <f>HLOOKUP(A35,'pooled normalised values'!$B$74:$V$83,10,FALSE)</f>
        <v>ns</v>
      </c>
      <c r="G35" s="132" t="str">
        <f t="shared" si="6"/>
        <v>NC</v>
      </c>
      <c r="H35" s="123" t="str">
        <f>IF(VLOOKUP(A35,liste_groupe[],4,FALSE)="%",VLOOKUP(A35,liste_groupe[],3,FALSE)/100,IF(ISBLANK(VLOOKUP(A35,liste_groupe[],4,FALSE)),"Non","Non"))</f>
        <v>Non</v>
      </c>
      <c r="I35" s="132" t="str">
        <f t="shared" si="7"/>
        <v>NC</v>
      </c>
      <c r="J35" s="137" t="e">
        <f t="shared" si="8"/>
        <v>#NUM!</v>
      </c>
      <c r="K35" s="138">
        <f t="shared" si="9"/>
        <v>0</v>
      </c>
      <c r="L35" s="139"/>
      <c r="M35" s="131">
        <f t="shared" si="10"/>
        <v>0</v>
      </c>
      <c r="N35" s="140" t="str">
        <f>IF(H35="Non",CONCATENATE(VLOOKUP(A35,liste_groupe[],5,FALSE),"-",VLOOKUP(A35,liste_groupe[],3,FALSE),VLOOKUP(A35,liste_groupe[],4,FALSE)," : ",ROUND(K35,0),"%"),CONCATENATE(VLOOKUP(A35,liste_groupe[],5,FALSE)," : ",ROUND(K35,0),"%"))</f>
        <v>Dutasteride-0,5mg/L : 0%</v>
      </c>
    </row>
    <row r="36" spans="1:14" s="76" customFormat="1" ht="15.5" x14ac:dyDescent="0.35">
      <c r="A36" s="127" t="str">
        <f>'Page de garde'!A43</f>
        <v>Dutasteride-1mg/L + Testostérone</v>
      </c>
      <c r="B36" s="98"/>
      <c r="C36" s="86"/>
      <c r="D36" s="86"/>
      <c r="E36" s="81"/>
      <c r="F36" s="93" t="str">
        <f>HLOOKUP(A36,'pooled normalised values'!$B$74:$V$83,10,FALSE)</f>
        <v>*</v>
      </c>
      <c r="G36" s="132" t="e">
        <f t="shared" si="6"/>
        <v>#NUM!</v>
      </c>
      <c r="H36" s="123" t="str">
        <f>IF(VLOOKUP(A36,liste_groupe[],4,FALSE)="%",VLOOKUP(A36,liste_groupe[],3,FALSE)/100,IF(ISBLANK(VLOOKUP(A36,liste_groupe[],4,FALSE)),"Non","Non"))</f>
        <v>Non</v>
      </c>
      <c r="I36" s="132" t="e">
        <f t="shared" si="7"/>
        <v>#NUM!</v>
      </c>
      <c r="J36" s="137" t="e">
        <f t="shared" si="8"/>
        <v>#NUM!</v>
      </c>
      <c r="K36" s="138" t="e">
        <f t="shared" si="9"/>
        <v>#NUM!</v>
      </c>
      <c r="L36" s="139"/>
      <c r="M36" s="131" t="e">
        <f t="shared" si="10"/>
        <v>#NUM!</v>
      </c>
      <c r="N36" s="140" t="e">
        <f>IF(H36="Non",CONCATENATE(VLOOKUP(A36,liste_groupe[],5,FALSE),"-",VLOOKUP(A36,liste_groupe[],3,FALSE),VLOOKUP(A36,liste_groupe[],4,FALSE)," : ",ROUND(K36,0),"%"),CONCATENATE(VLOOKUP(A36,liste_groupe[],5,FALSE)," : ",ROUND(K36,0),"%"))</f>
        <v>#NUM!</v>
      </c>
    </row>
    <row r="37" spans="1:14" s="76" customFormat="1" ht="15.5" x14ac:dyDescent="0.35">
      <c r="A37" s="127" t="str">
        <f>'Page de garde'!A44</f>
        <v>0-00 + Testostérone</v>
      </c>
      <c r="B37" s="98"/>
      <c r="C37" s="86"/>
      <c r="D37" s="86"/>
      <c r="E37" s="81"/>
      <c r="F37" s="93" t="e">
        <f>HLOOKUP(A37,'pooled normalised values'!$B$74:$V$83,10,FALSE)</f>
        <v>#N/A</v>
      </c>
      <c r="G37" s="132" t="e">
        <f t="shared" si="6"/>
        <v>#N/A</v>
      </c>
      <c r="H37" s="123" t="str">
        <f>IF(VLOOKUP(A37,liste_groupe[],4,FALSE)="%",VLOOKUP(A37,liste_groupe[],3,FALSE)/100,IF(ISBLANK(VLOOKUP(A37,liste_groupe[],4,FALSE)),"Non","Non"))</f>
        <v>Non</v>
      </c>
      <c r="I37" s="132" t="e">
        <f t="shared" si="7"/>
        <v>#N/A</v>
      </c>
      <c r="J37" s="137" t="e">
        <f t="shared" si="8"/>
        <v>#N/A</v>
      </c>
      <c r="K37" s="138" t="e">
        <f t="shared" si="9"/>
        <v>#N/A</v>
      </c>
      <c r="L37" s="139"/>
      <c r="M37" s="131" t="e">
        <f t="shared" si="10"/>
        <v>#N/A</v>
      </c>
      <c r="N37" s="140" t="e">
        <f>IF(H37="Non",CONCATENATE(VLOOKUP(A37,liste_groupe[],5,FALSE),"-",VLOOKUP(A37,liste_groupe[],3,FALSE),VLOOKUP(A37,liste_groupe[],4,FALSE)," : ",ROUND(K37,0),"%"),CONCATENATE(VLOOKUP(A37,liste_groupe[],5,FALSE)," : ",ROUND(K37,0),"%"))</f>
        <v>#N/A</v>
      </c>
    </row>
    <row r="38" spans="1:14" s="76" customFormat="1" ht="15.5" x14ac:dyDescent="0.35">
      <c r="A38" s="127" t="str">
        <f>'Page de garde'!A45</f>
        <v>0-00 + Testostérone</v>
      </c>
      <c r="B38" s="98"/>
      <c r="C38" s="86"/>
      <c r="D38" s="86"/>
      <c r="E38" s="81"/>
      <c r="F38" s="93" t="e">
        <f>HLOOKUP(A38,'pooled normalised values'!$B$74:$V$83,10,FALSE)</f>
        <v>#N/A</v>
      </c>
      <c r="G38" s="132" t="e">
        <f t="shared" si="6"/>
        <v>#N/A</v>
      </c>
      <c r="H38" s="123" t="str">
        <f>IF(VLOOKUP(A38,liste_groupe[],4,FALSE)="%",VLOOKUP(A38,liste_groupe[],3,FALSE)/100,IF(ISBLANK(VLOOKUP(A38,liste_groupe[],4,FALSE)),"Non","Non"))</f>
        <v>Non</v>
      </c>
      <c r="I38" s="132" t="e">
        <f t="shared" si="7"/>
        <v>#N/A</v>
      </c>
      <c r="J38" s="137" t="e">
        <f t="shared" si="8"/>
        <v>#N/A</v>
      </c>
      <c r="K38" s="138" t="e">
        <f t="shared" si="9"/>
        <v>#N/A</v>
      </c>
      <c r="L38" s="139"/>
      <c r="M38" s="131" t="e">
        <f t="shared" si="10"/>
        <v>#N/A</v>
      </c>
      <c r="N38" s="140" t="e">
        <f>IF(H38="Non",CONCATENATE(VLOOKUP(A38,liste_groupe[],5,FALSE),"-",VLOOKUP(A38,liste_groupe[],3,FALSE),VLOOKUP(A38,liste_groupe[],4,FALSE)," : ",ROUND(K38,0),"%"),CONCATENATE(VLOOKUP(A38,liste_groupe[],5,FALSE)," : ",ROUND(K38,0),"%"))</f>
        <v>#N/A</v>
      </c>
    </row>
    <row r="39" spans="1:14" s="76" customFormat="1" ht="15.5" x14ac:dyDescent="0.35">
      <c r="A39" s="127" t="str">
        <f>'Page de garde'!A46</f>
        <v>0-00 + Testostérone</v>
      </c>
      <c r="B39" s="98"/>
      <c r="C39" s="86"/>
      <c r="D39" s="86"/>
      <c r="E39" s="81"/>
      <c r="F39" s="93" t="e">
        <f>HLOOKUP(A39,'pooled normalised values'!$B$74:$V$83,10,FALSE)</f>
        <v>#N/A</v>
      </c>
      <c r="G39" s="132" t="e">
        <f t="shared" ref="G39:G50" si="11">IF(F39="NS","NC",ROUND(B39-$B$29,2-(1+INT(LOG10(ABS(B39-$B$29))))))</f>
        <v>#N/A</v>
      </c>
      <c r="H39" s="123" t="str">
        <f>IF(VLOOKUP(A39,liste_groupe[],4,FALSE)="%",VLOOKUP(A39,liste_groupe[],3,FALSE)/100,IF(ISBLANK(VLOOKUP(A39,liste_groupe[],4,FALSE)),"Non","Non"))</f>
        <v>Non</v>
      </c>
      <c r="I39" s="132" t="e">
        <f t="shared" si="7"/>
        <v>#N/A</v>
      </c>
      <c r="J39" s="137" t="e">
        <f t="shared" ref="J39:J50" si="12">IF(G39&lt;0,$G$31,$G$30)</f>
        <v>#N/A</v>
      </c>
      <c r="K39" s="138" t="e">
        <f t="shared" si="9"/>
        <v>#N/A</v>
      </c>
      <c r="L39" s="139"/>
      <c r="M39" s="131" t="e">
        <f t="shared" si="10"/>
        <v>#N/A</v>
      </c>
      <c r="N39" s="140" t="e">
        <f>IF(H39="Non",CONCATENATE(VLOOKUP(A39,liste_groupe[],5,FALSE),"-",VLOOKUP(A39,liste_groupe[],3,FALSE),VLOOKUP(A39,liste_groupe[],4,FALSE)," : ",ROUND(K39,0),"%"),CONCATENATE(VLOOKUP(A39,liste_groupe[],5,FALSE)," : ",ROUND(K39,0),"%"))</f>
        <v>#N/A</v>
      </c>
    </row>
    <row r="40" spans="1:14" s="76" customFormat="1" ht="15.5" x14ac:dyDescent="0.35">
      <c r="A40" s="127" t="str">
        <f>'Page de garde'!A47</f>
        <v>0-00 + Testostérone</v>
      </c>
      <c r="B40" s="98"/>
      <c r="C40" s="86"/>
      <c r="D40" s="86"/>
      <c r="E40" s="81"/>
      <c r="F40" s="93" t="e">
        <f>HLOOKUP(A40,'pooled normalised values'!$B$74:$V$83,10,FALSE)</f>
        <v>#N/A</v>
      </c>
      <c r="G40" s="132" t="e">
        <f t="shared" si="11"/>
        <v>#N/A</v>
      </c>
      <c r="H40" s="123" t="str">
        <f>IF(VLOOKUP(A40,liste_groupe[],4,FALSE)="%",VLOOKUP(A40,liste_groupe[],3,FALSE)/100,IF(ISBLANK(VLOOKUP(A40,liste_groupe[],4,FALSE)),"Non","Non"))</f>
        <v>Non</v>
      </c>
      <c r="I40" s="132" t="e">
        <f t="shared" si="7"/>
        <v>#N/A</v>
      </c>
      <c r="J40" s="137" t="e">
        <f t="shared" si="12"/>
        <v>#N/A</v>
      </c>
      <c r="K40" s="138" t="e">
        <f t="shared" si="9"/>
        <v>#N/A</v>
      </c>
      <c r="L40" s="139"/>
      <c r="M40" s="131" t="e">
        <f t="shared" si="10"/>
        <v>#N/A</v>
      </c>
      <c r="N40" s="140" t="e">
        <f>IF(H40="Non",CONCATENATE(VLOOKUP(A40,liste_groupe[],5,FALSE),"-",VLOOKUP(A40,liste_groupe[],3,FALSE),VLOOKUP(A40,liste_groupe[],4,FALSE)," : ",ROUND(K40,0),"%"),CONCATENATE(VLOOKUP(A40,liste_groupe[],5,FALSE)," : ",ROUND(K40,0),"%"))</f>
        <v>#N/A</v>
      </c>
    </row>
    <row r="41" spans="1:14" s="76" customFormat="1" ht="15.5" x14ac:dyDescent="0.35">
      <c r="A41" s="127" t="str">
        <f>'Page de garde'!A48</f>
        <v>0-00 + Testostérone</v>
      </c>
      <c r="B41" s="98"/>
      <c r="C41" s="86"/>
      <c r="D41" s="86"/>
      <c r="E41" s="81"/>
      <c r="F41" s="93" t="e">
        <f>HLOOKUP(A41,'pooled normalised values'!$B$74:$V$83,10,FALSE)</f>
        <v>#N/A</v>
      </c>
      <c r="G41" s="132" t="e">
        <f t="shared" si="11"/>
        <v>#N/A</v>
      </c>
      <c r="H41" s="123" t="str">
        <f>IF(VLOOKUP(A41,liste_groupe[],4,FALSE)="%",VLOOKUP(A41,liste_groupe[],3,FALSE)/100,IF(ISBLANK(VLOOKUP(A41,liste_groupe[],4,FALSE)),"Non","Non"))</f>
        <v>Non</v>
      </c>
      <c r="I41" s="132" t="e">
        <f t="shared" si="7"/>
        <v>#N/A</v>
      </c>
      <c r="J41" s="137" t="e">
        <f t="shared" si="12"/>
        <v>#N/A</v>
      </c>
      <c r="K41" s="138" t="e">
        <f t="shared" si="9"/>
        <v>#N/A</v>
      </c>
      <c r="L41" s="139"/>
      <c r="M41" s="131" t="e">
        <f t="shared" si="10"/>
        <v>#N/A</v>
      </c>
      <c r="N41" s="140" t="e">
        <f>IF(H41="Non",CONCATENATE(VLOOKUP(A41,liste_groupe[],5,FALSE),"-",VLOOKUP(A41,liste_groupe[],3,FALSE),VLOOKUP(A41,liste_groupe[],4,FALSE)," : ",ROUND(K41,0),"%"),CONCATENATE(VLOOKUP(A41,liste_groupe[],5,FALSE)," : ",ROUND(K41,0),"%"))</f>
        <v>#N/A</v>
      </c>
    </row>
    <row r="42" spans="1:14" s="76" customFormat="1" ht="15.5" x14ac:dyDescent="0.35">
      <c r="A42" s="127" t="str">
        <f>'Page de garde'!A49</f>
        <v>0-00 + Testostérone</v>
      </c>
      <c r="B42" s="98"/>
      <c r="C42" s="86"/>
      <c r="D42" s="86"/>
      <c r="E42" s="81"/>
      <c r="F42" s="93" t="e">
        <f>HLOOKUP(A42,'pooled normalised values'!$B$74:$V$83,10,FALSE)</f>
        <v>#N/A</v>
      </c>
      <c r="G42" s="132" t="e">
        <f t="shared" si="11"/>
        <v>#N/A</v>
      </c>
      <c r="H42" s="123" t="str">
        <f>IF(VLOOKUP(A42,liste_groupe[],4,FALSE)="%",VLOOKUP(A42,liste_groupe[],3,FALSE)/100,IF(ISBLANK(VLOOKUP(A42,liste_groupe[],4,FALSE)),"Non","Non"))</f>
        <v>Non</v>
      </c>
      <c r="I42" s="132" t="e">
        <f t="shared" si="7"/>
        <v>#N/A</v>
      </c>
      <c r="J42" s="137" t="e">
        <f t="shared" si="12"/>
        <v>#N/A</v>
      </c>
      <c r="K42" s="138" t="e">
        <f t="shared" si="9"/>
        <v>#N/A</v>
      </c>
      <c r="L42" s="139"/>
      <c r="M42" s="131" t="e">
        <f t="shared" si="10"/>
        <v>#N/A</v>
      </c>
      <c r="N42" s="140" t="e">
        <f>IF(H42="Non",CONCATENATE(VLOOKUP(A42,liste_groupe[],5,FALSE),"-",VLOOKUP(A42,liste_groupe[],3,FALSE),VLOOKUP(A42,liste_groupe[],4,FALSE)," : ",ROUND(K42,0),"%"),CONCATENATE(VLOOKUP(A42,liste_groupe[],5,FALSE)," : ",ROUND(K42,0),"%"))</f>
        <v>#N/A</v>
      </c>
    </row>
    <row r="43" spans="1:14" s="76" customFormat="1" ht="15.5" x14ac:dyDescent="0.35">
      <c r="A43" s="127" t="str">
        <f>'Page de garde'!A50</f>
        <v>0-00 + Testostérone</v>
      </c>
      <c r="B43" s="98"/>
      <c r="C43" s="86"/>
      <c r="D43" s="86"/>
      <c r="E43" s="81"/>
      <c r="F43" s="93" t="e">
        <f>HLOOKUP(A43,'pooled normalised values'!$B$74:$V$83,10,FALSE)</f>
        <v>#N/A</v>
      </c>
      <c r="G43" s="132" t="e">
        <f t="shared" si="11"/>
        <v>#N/A</v>
      </c>
      <c r="H43" s="123" t="str">
        <f>IF(VLOOKUP(A43,liste_groupe[],4,FALSE)="%",VLOOKUP(A43,liste_groupe[],3,FALSE)/100,IF(ISBLANK(VLOOKUP(A43,liste_groupe[],4,FALSE)),"Non","Non"))</f>
        <v>Non</v>
      </c>
      <c r="I43" s="132" t="e">
        <f t="shared" si="7"/>
        <v>#N/A</v>
      </c>
      <c r="J43" s="137" t="e">
        <f t="shared" si="12"/>
        <v>#N/A</v>
      </c>
      <c r="K43" s="138" t="e">
        <f t="shared" si="9"/>
        <v>#N/A</v>
      </c>
      <c r="L43" s="139"/>
      <c r="M43" s="131" t="e">
        <f t="shared" si="10"/>
        <v>#N/A</v>
      </c>
      <c r="N43" s="140" t="e">
        <f>IF(H43="Non",CONCATENATE(VLOOKUP(A43,liste_groupe[],5,FALSE),"-",VLOOKUP(A43,liste_groupe[],3,FALSE),VLOOKUP(A43,liste_groupe[],4,FALSE)," : ",ROUND(K43,0),"%"),CONCATENATE(VLOOKUP(A43,liste_groupe[],5,FALSE)," : ",ROUND(K43,0),"%"))</f>
        <v>#N/A</v>
      </c>
    </row>
    <row r="44" spans="1:14" s="76" customFormat="1" ht="15.5" x14ac:dyDescent="0.35">
      <c r="A44" s="127" t="str">
        <f>'Page de garde'!A51</f>
        <v>0-00 + Testostérone</v>
      </c>
      <c r="B44" s="98"/>
      <c r="C44" s="86"/>
      <c r="D44" s="86"/>
      <c r="E44" s="81"/>
      <c r="F44" s="93" t="e">
        <f>HLOOKUP(A44,'pooled normalised values'!$B$74:$V$83,10,FALSE)</f>
        <v>#N/A</v>
      </c>
      <c r="G44" s="132" t="e">
        <f t="shared" si="11"/>
        <v>#N/A</v>
      </c>
      <c r="H44" s="123" t="str">
        <f>IF(VLOOKUP(A44,liste_groupe[],4,FALSE)="%",VLOOKUP(A44,liste_groupe[],3,FALSE)/100,IF(ISBLANK(VLOOKUP(A44,liste_groupe[],4,FALSE)),"Non","Non"))</f>
        <v>Non</v>
      </c>
      <c r="I44" s="132" t="e">
        <f t="shared" si="7"/>
        <v>#N/A</v>
      </c>
      <c r="J44" s="137" t="e">
        <f t="shared" si="12"/>
        <v>#N/A</v>
      </c>
      <c r="K44" s="138" t="e">
        <f t="shared" si="9"/>
        <v>#N/A</v>
      </c>
      <c r="L44" s="139"/>
      <c r="M44" s="131" t="e">
        <f t="shared" si="10"/>
        <v>#N/A</v>
      </c>
      <c r="N44" s="140" t="e">
        <f>IF(H44="Non",CONCATENATE(VLOOKUP(A44,liste_groupe[],5,FALSE),"-",VLOOKUP(A44,liste_groupe[],3,FALSE),VLOOKUP(A44,liste_groupe[],4,FALSE)," : ",ROUND(K44,0),"%"),CONCATENATE(VLOOKUP(A44,liste_groupe[],5,FALSE)," : ",ROUND(K44,0),"%"))</f>
        <v>#N/A</v>
      </c>
    </row>
    <row r="45" spans="1:14" s="76" customFormat="1" ht="15.5" x14ac:dyDescent="0.35">
      <c r="A45" s="127" t="str">
        <f>'Page de garde'!A52</f>
        <v>0-00 + Testostérone</v>
      </c>
      <c r="B45" s="98"/>
      <c r="C45" s="86"/>
      <c r="D45" s="86"/>
      <c r="E45" s="81"/>
      <c r="F45" s="93" t="e">
        <f>HLOOKUP(A45,'pooled normalised values'!$B$74:$V$83,10,FALSE)</f>
        <v>#N/A</v>
      </c>
      <c r="G45" s="132" t="e">
        <f t="shared" si="11"/>
        <v>#N/A</v>
      </c>
      <c r="H45" s="123" t="str">
        <f>IF(VLOOKUP(A45,liste_groupe[],4,FALSE)="%",VLOOKUP(A45,liste_groupe[],3,FALSE)/100,IF(ISBLANK(VLOOKUP(A45,liste_groupe[],4,FALSE)),"Non","Non"))</f>
        <v>Non</v>
      </c>
      <c r="I45" s="132" t="e">
        <f t="shared" si="7"/>
        <v>#N/A</v>
      </c>
      <c r="J45" s="137" t="e">
        <f t="shared" si="12"/>
        <v>#N/A</v>
      </c>
      <c r="K45" s="138" t="e">
        <f t="shared" si="9"/>
        <v>#N/A</v>
      </c>
      <c r="L45" s="139"/>
      <c r="M45" s="131" t="e">
        <f t="shared" si="10"/>
        <v>#N/A</v>
      </c>
      <c r="N45" s="140" t="e">
        <f>IF(H45="Non",CONCATENATE(VLOOKUP(A45,liste_groupe[],5,FALSE),"-",VLOOKUP(A45,liste_groupe[],3,FALSE),VLOOKUP(A45,liste_groupe[],4,FALSE)," : ",ROUND(K45,0),"%"),CONCATENATE(VLOOKUP(A45,liste_groupe[],5,FALSE)," : ",ROUND(K45,0),"%"))</f>
        <v>#N/A</v>
      </c>
    </row>
    <row r="46" spans="1:14" s="76" customFormat="1" ht="15.5" x14ac:dyDescent="0.35">
      <c r="A46" s="127" t="str">
        <f>'Page de garde'!A53</f>
        <v>0-00 + Testostérone</v>
      </c>
      <c r="B46" s="98"/>
      <c r="C46" s="86"/>
      <c r="D46" s="86"/>
      <c r="E46" s="81"/>
      <c r="F46" s="93" t="e">
        <f>HLOOKUP(A46,'pooled normalised values'!$B$74:$V$83,10,FALSE)</f>
        <v>#N/A</v>
      </c>
      <c r="G46" s="132" t="e">
        <f t="shared" si="11"/>
        <v>#N/A</v>
      </c>
      <c r="H46" s="123" t="str">
        <f>IF(VLOOKUP(A46,liste_groupe[],4,FALSE)="%",VLOOKUP(A46,liste_groupe[],3,FALSE)/100,IF(ISBLANK(VLOOKUP(A46,liste_groupe[],4,FALSE)),"Non","Non"))</f>
        <v>Non</v>
      </c>
      <c r="I46" s="132" t="e">
        <f t="shared" si="7"/>
        <v>#N/A</v>
      </c>
      <c r="J46" s="137" t="e">
        <f t="shared" si="12"/>
        <v>#N/A</v>
      </c>
      <c r="K46" s="138" t="e">
        <f t="shared" si="9"/>
        <v>#N/A</v>
      </c>
      <c r="L46" s="139"/>
      <c r="M46" s="131" t="e">
        <f t="shared" si="10"/>
        <v>#N/A</v>
      </c>
      <c r="N46" s="140" t="e">
        <f>IF(H46="Non",CONCATENATE(VLOOKUP(A46,liste_groupe[],5,FALSE),"-",VLOOKUP(A46,liste_groupe[],3,FALSE),VLOOKUP(A46,liste_groupe[],4,FALSE)," : ",ROUND(K46,0),"%"),CONCATENATE(VLOOKUP(A46,liste_groupe[],5,FALSE)," : ",ROUND(K46,0),"%"))</f>
        <v>#N/A</v>
      </c>
    </row>
    <row r="47" spans="1:14" s="76" customFormat="1" ht="15.5" x14ac:dyDescent="0.35">
      <c r="A47" s="127" t="str">
        <f>'Page de garde'!A54</f>
        <v>0-00 + Testostérone</v>
      </c>
      <c r="B47" s="98"/>
      <c r="C47" s="86"/>
      <c r="D47" s="86"/>
      <c r="E47" s="81"/>
      <c r="F47" s="93" t="e">
        <f>HLOOKUP(A47,'pooled normalised values'!$B$74:$V$83,10,FALSE)</f>
        <v>#N/A</v>
      </c>
      <c r="G47" s="132" t="e">
        <f t="shared" si="11"/>
        <v>#N/A</v>
      </c>
      <c r="H47" s="123" t="str">
        <f>IF(VLOOKUP(A47,liste_groupe[],4,FALSE)="%",VLOOKUP(A47,liste_groupe[],3,FALSE)/100,IF(ISBLANK(VLOOKUP(A47,liste_groupe[],4,FALSE)),"Non","Non"))</f>
        <v>Non</v>
      </c>
      <c r="I47" s="132" t="e">
        <f t="shared" si="7"/>
        <v>#N/A</v>
      </c>
      <c r="J47" s="137" t="e">
        <f t="shared" si="12"/>
        <v>#N/A</v>
      </c>
      <c r="K47" s="138" t="e">
        <f t="shared" si="9"/>
        <v>#N/A</v>
      </c>
      <c r="L47" s="139"/>
      <c r="M47" s="131" t="e">
        <f t="shared" si="10"/>
        <v>#N/A</v>
      </c>
      <c r="N47" s="140" t="e">
        <f>IF(H47="Non",CONCATENATE(VLOOKUP(A47,liste_groupe[],5,FALSE),"-",VLOOKUP(A47,liste_groupe[],3,FALSE),VLOOKUP(A47,liste_groupe[],4,FALSE)," : ",ROUND(K47,0),"%"),CONCATENATE(VLOOKUP(A47,liste_groupe[],5,FALSE)," : ",ROUND(K47,0),"%"))</f>
        <v>#N/A</v>
      </c>
    </row>
    <row r="48" spans="1:14" s="76" customFormat="1" ht="15.5" x14ac:dyDescent="0.35">
      <c r="A48" s="127" t="str">
        <f>'Page de garde'!A55</f>
        <v>0-00 + Testostérone</v>
      </c>
      <c r="B48" s="98"/>
      <c r="C48" s="86"/>
      <c r="D48" s="86"/>
      <c r="E48" s="81"/>
      <c r="F48" s="93" t="e">
        <f>HLOOKUP(A48,'pooled normalised values'!$B$74:$V$83,10,FALSE)</f>
        <v>#N/A</v>
      </c>
      <c r="G48" s="132" t="e">
        <f t="shared" si="11"/>
        <v>#N/A</v>
      </c>
      <c r="H48" s="123" t="str">
        <f>IF(VLOOKUP(A48,liste_groupe[],4,FALSE)="%",VLOOKUP(A48,liste_groupe[],3,FALSE)/100,IF(ISBLANK(VLOOKUP(A48,liste_groupe[],4,FALSE)),"Non","Non"))</f>
        <v>Non</v>
      </c>
      <c r="I48" s="132" t="e">
        <f t="shared" si="7"/>
        <v>#N/A</v>
      </c>
      <c r="J48" s="137" t="e">
        <f t="shared" si="12"/>
        <v>#N/A</v>
      </c>
      <c r="K48" s="138" t="e">
        <f t="shared" si="9"/>
        <v>#N/A</v>
      </c>
      <c r="L48" s="139"/>
      <c r="M48" s="131" t="e">
        <f t="shared" si="10"/>
        <v>#N/A</v>
      </c>
      <c r="N48" s="140" t="e">
        <f>IF(H48="Non",CONCATENATE(VLOOKUP(A48,liste_groupe[],5,FALSE),"-",VLOOKUP(A48,liste_groupe[],3,FALSE),VLOOKUP(A48,liste_groupe[],4,FALSE)," : ",ROUND(K48,0),"%"),CONCATENATE(VLOOKUP(A48,liste_groupe[],5,FALSE)," : ",ROUND(K48,0),"%"))</f>
        <v>#N/A</v>
      </c>
    </row>
    <row r="49" spans="1:15" s="76" customFormat="1" ht="15.5" x14ac:dyDescent="0.35">
      <c r="A49" s="127" t="str">
        <f>'Page de garde'!A56</f>
        <v>0-00 + Testostérone</v>
      </c>
      <c r="B49" s="98"/>
      <c r="C49" s="86"/>
      <c r="D49" s="86"/>
      <c r="E49" s="81"/>
      <c r="F49" s="93" t="e">
        <f>HLOOKUP(A49,'pooled normalised values'!$B$74:$V$83,10,FALSE)</f>
        <v>#N/A</v>
      </c>
      <c r="G49" s="132" t="e">
        <f t="shared" si="11"/>
        <v>#N/A</v>
      </c>
      <c r="H49" s="123" t="str">
        <f>IF(VLOOKUP(A49,liste_groupe[],4,FALSE)="%",VLOOKUP(A49,liste_groupe[],3,FALSE)/100,IF(ISBLANK(VLOOKUP(A49,liste_groupe[],4,FALSE)),"Non","Non"))</f>
        <v>Non</v>
      </c>
      <c r="I49" s="132" t="e">
        <f t="shared" si="7"/>
        <v>#N/A</v>
      </c>
      <c r="J49" s="137" t="e">
        <f t="shared" si="12"/>
        <v>#N/A</v>
      </c>
      <c r="K49" s="138" t="e">
        <f t="shared" si="9"/>
        <v>#N/A</v>
      </c>
      <c r="L49" s="139"/>
      <c r="M49" s="131" t="e">
        <f t="shared" si="10"/>
        <v>#N/A</v>
      </c>
      <c r="N49" s="140" t="e">
        <f>IF(H49="Non",CONCATENATE(VLOOKUP(A49,liste_groupe[],5,FALSE),"-",VLOOKUP(A49,liste_groupe[],3,FALSE),VLOOKUP(A49,liste_groupe[],4,FALSE)," : ",ROUND(K49,0),"%"),CONCATENATE(VLOOKUP(A49,liste_groupe[],5,FALSE)," : ",ROUND(K49,0),"%"))</f>
        <v>#N/A</v>
      </c>
    </row>
    <row r="50" spans="1:15" s="76" customFormat="1" ht="15.5" x14ac:dyDescent="0.35">
      <c r="A50" s="127" t="str">
        <f>'Page de garde'!A57</f>
        <v>0-00 + Testostérone</v>
      </c>
      <c r="B50" s="98"/>
      <c r="C50" s="86"/>
      <c r="D50" s="86"/>
      <c r="E50" s="81"/>
      <c r="F50" s="93" t="e">
        <f>HLOOKUP(A50,'pooled normalised values'!$B$74:$V$83,10,FALSE)</f>
        <v>#N/A</v>
      </c>
      <c r="G50" s="132" t="e">
        <f t="shared" si="11"/>
        <v>#N/A</v>
      </c>
      <c r="H50" s="123" t="str">
        <f>IF(VLOOKUP(A50,liste_groupe[],4,FALSE)="%",VLOOKUP(A50,liste_groupe[],3,FALSE)/100,IF(ISBLANK(VLOOKUP(A50,liste_groupe[],4,FALSE)),"Non","Non"))</f>
        <v>Non</v>
      </c>
      <c r="I50" s="132" t="e">
        <f t="shared" si="7"/>
        <v>#N/A</v>
      </c>
      <c r="J50" s="137" t="e">
        <f t="shared" si="12"/>
        <v>#N/A</v>
      </c>
      <c r="K50" s="138" t="e">
        <f t="shared" si="9"/>
        <v>#N/A</v>
      </c>
      <c r="L50" s="139"/>
      <c r="M50" s="131" t="e">
        <f t="shared" si="10"/>
        <v>#N/A</v>
      </c>
      <c r="N50" s="140" t="e">
        <f>IF(H50="Non",CONCATENATE(VLOOKUP(A50,liste_groupe[],5,FALSE),"-",VLOOKUP(A50,liste_groupe[],3,FALSE),VLOOKUP(A50,liste_groupe[],4,FALSE)," : ",ROUND(K50,0),"%"),CONCATENATE(VLOOKUP(A50,liste_groupe[],5,FALSE)," : ",ROUND(K50,0),"%"))</f>
        <v>#N/A</v>
      </c>
    </row>
    <row r="51" spans="1:15" s="76" customFormat="1" ht="15.5" x14ac:dyDescent="0.35">
      <c r="A51" s="127" t="str">
        <f>'Page de garde'!A58</f>
        <v>0-00 + Testostérone</v>
      </c>
      <c r="B51" s="98"/>
      <c r="C51" s="86"/>
      <c r="D51" s="86"/>
      <c r="E51" s="81"/>
      <c r="F51" s="93" t="e">
        <f>HLOOKUP(A51,'pooled normalised values'!$B$74:$V$83,10,FALSE)</f>
        <v>#N/A</v>
      </c>
      <c r="G51" s="132" t="e">
        <f t="shared" si="6"/>
        <v>#N/A</v>
      </c>
      <c r="H51" s="123" t="str">
        <f>IF(VLOOKUP(A51,liste_groupe[],4,FALSE)="%",VLOOKUP(A51,liste_groupe[],3,FALSE)/100,IF(ISBLANK(VLOOKUP(A51,liste_groupe[],4,FALSE)),"Non","Non"))</f>
        <v>Non</v>
      </c>
      <c r="I51" s="132" t="e">
        <f t="shared" si="7"/>
        <v>#N/A</v>
      </c>
      <c r="J51" s="137" t="e">
        <f t="shared" si="8"/>
        <v>#N/A</v>
      </c>
      <c r="K51" s="138" t="e">
        <f t="shared" si="9"/>
        <v>#N/A</v>
      </c>
      <c r="L51" s="139"/>
      <c r="M51" s="131" t="e">
        <f t="shared" si="10"/>
        <v>#N/A</v>
      </c>
      <c r="N51" s="140" t="e">
        <f>IF(H51="Non",CONCATENATE(VLOOKUP(A51,liste_groupe[],5,FALSE),"-",VLOOKUP(A51,liste_groupe[],3,FALSE),VLOOKUP(A51,liste_groupe[],4,FALSE)," : ",ROUND(K51,0),"%"),CONCATENATE(VLOOKUP(A51,liste_groupe[],5,FALSE)," : ",ROUND(K51,0),"%"))</f>
        <v>#N/A</v>
      </c>
    </row>
    <row r="52" spans="1:15" s="76" customFormat="1" ht="16" thickBot="1" x14ac:dyDescent="0.4">
      <c r="E52" s="77"/>
      <c r="F52" s="77"/>
      <c r="G52" s="77"/>
      <c r="H52" s="77"/>
      <c r="I52" s="77"/>
      <c r="J52" s="77"/>
      <c r="K52" s="77"/>
      <c r="L52" s="77"/>
      <c r="M52" s="77"/>
      <c r="N52" s="77"/>
    </row>
    <row r="53" spans="1:15" s="48" customFormat="1" ht="26.5" thickBot="1" x14ac:dyDescent="0.4">
      <c r="A53" s="228" t="s">
        <v>60</v>
      </c>
      <c r="B53" s="229"/>
      <c r="C53" s="229"/>
      <c r="D53" s="229"/>
      <c r="E53" s="229"/>
      <c r="F53" s="229"/>
      <c r="G53" s="229"/>
      <c r="H53" s="229"/>
      <c r="I53" s="229"/>
      <c r="J53" s="229"/>
      <c r="K53" s="229"/>
      <c r="L53" s="229"/>
      <c r="M53" s="229"/>
      <c r="N53" s="229"/>
      <c r="O53" s="230"/>
    </row>
  </sheetData>
  <mergeCells count="3">
    <mergeCell ref="A2:O2"/>
    <mergeCell ref="A1:O1"/>
    <mergeCell ref="A53:O53"/>
  </mergeCell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G2"/>
  <sheetViews>
    <sheetView showGridLines="0" workbookViewId="0">
      <selection activeCell="B6" sqref="B6"/>
    </sheetView>
  </sheetViews>
  <sheetFormatPr baseColWidth="10" defaultColWidth="11.453125" defaultRowHeight="14.5" x14ac:dyDescent="0.35"/>
  <cols>
    <col min="1" max="1" width="22.81640625" style="179" customWidth="1"/>
    <col min="2" max="2" width="46.26953125" style="179" customWidth="1"/>
    <col min="3" max="3" width="15.26953125" style="179" customWidth="1"/>
    <col min="4" max="4" width="24.7265625" style="179" customWidth="1"/>
    <col min="5" max="5" width="24.453125" style="179" customWidth="1"/>
    <col min="6" max="6" width="23.1796875" style="179" customWidth="1"/>
    <col min="7" max="7" width="21.26953125" style="179" customWidth="1"/>
    <col min="8" max="16384" width="11.453125" style="179"/>
  </cols>
  <sheetData>
    <row r="1" spans="1:7" ht="29.5" thickBot="1" x14ac:dyDescent="0.4">
      <c r="A1" s="184" t="s">
        <v>131</v>
      </c>
      <c r="B1" s="185" t="s">
        <v>132</v>
      </c>
      <c r="C1" s="185" t="s">
        <v>138</v>
      </c>
      <c r="D1" s="185" t="s">
        <v>137</v>
      </c>
      <c r="E1" s="185" t="s">
        <v>139</v>
      </c>
      <c r="F1" s="186" t="s">
        <v>140</v>
      </c>
      <c r="G1" s="187" t="s">
        <v>141</v>
      </c>
    </row>
    <row r="2" spans="1:7" ht="58" x14ac:dyDescent="0.35">
      <c r="A2" s="180" t="s">
        <v>133</v>
      </c>
      <c r="B2" s="181" t="s">
        <v>134</v>
      </c>
      <c r="C2" s="181" t="s">
        <v>135</v>
      </c>
      <c r="D2" s="181" t="s">
        <v>142</v>
      </c>
      <c r="E2" s="181" t="s">
        <v>136</v>
      </c>
      <c r="F2" s="182" t="s">
        <v>135</v>
      </c>
      <c r="G2" s="183" t="s">
        <v>135</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2:AK24"/>
  <sheetViews>
    <sheetView zoomScale="70" zoomScaleNormal="70" workbookViewId="0">
      <selection activeCell="A16" sqref="A16"/>
    </sheetView>
  </sheetViews>
  <sheetFormatPr baseColWidth="10" defaultRowHeight="12.5" x14ac:dyDescent="0.25"/>
  <cols>
    <col min="1" max="1" width="18.81640625" style="17" customWidth="1"/>
    <col min="2" max="2" width="7.26953125" style="17" bestFit="1" customWidth="1"/>
    <col min="3" max="3" width="10.54296875" style="17" customWidth="1"/>
    <col min="4" max="4" width="13.7265625" style="17" bestFit="1" customWidth="1"/>
    <col min="5" max="5" width="12" style="17" bestFit="1" customWidth="1"/>
    <col min="6" max="19" width="14.81640625" style="17" customWidth="1"/>
    <col min="20" max="21" width="11.453125" style="17"/>
    <col min="22" max="22" width="13.54296875" style="17" bestFit="1" customWidth="1"/>
    <col min="23" max="34" width="13.54296875" style="17" customWidth="1"/>
    <col min="35" max="35" width="13.54296875" style="17" bestFit="1" customWidth="1"/>
    <col min="36" max="282" width="11.453125" style="17"/>
    <col min="283" max="283" width="18.7265625" style="17" customWidth="1"/>
    <col min="284" max="284" width="13.7265625" style="17" bestFit="1" customWidth="1"/>
    <col min="285" max="285" width="17.26953125" style="17" customWidth="1"/>
    <col min="286" max="286" width="11" style="17" customWidth="1"/>
    <col min="287" max="287" width="12" style="17" bestFit="1" customWidth="1"/>
    <col min="288" max="288" width="14.81640625" style="17" customWidth="1"/>
    <col min="289" max="538" width="11.453125" style="17"/>
    <col min="539" max="539" width="18.7265625" style="17" customWidth="1"/>
    <col min="540" max="540" width="13.7265625" style="17" bestFit="1" customWidth="1"/>
    <col min="541" max="541" width="17.26953125" style="17" customWidth="1"/>
    <col min="542" max="542" width="11" style="17" customWidth="1"/>
    <col min="543" max="543" width="12" style="17" bestFit="1" customWidth="1"/>
    <col min="544" max="544" width="14.81640625" style="17" customWidth="1"/>
    <col min="545" max="794" width="11.453125" style="17"/>
    <col min="795" max="795" width="18.7265625" style="17" customWidth="1"/>
    <col min="796" max="796" width="13.7265625" style="17" bestFit="1" customWidth="1"/>
    <col min="797" max="797" width="17.26953125" style="17" customWidth="1"/>
    <col min="798" max="798" width="11" style="17" customWidth="1"/>
    <col min="799" max="799" width="12" style="17" bestFit="1" customWidth="1"/>
    <col min="800" max="800" width="14.81640625" style="17" customWidth="1"/>
    <col min="801" max="1050" width="11.453125" style="17"/>
    <col min="1051" max="1051" width="18.7265625" style="17" customWidth="1"/>
    <col min="1052" max="1052" width="13.7265625" style="17" bestFit="1" customWidth="1"/>
    <col min="1053" max="1053" width="17.26953125" style="17" customWidth="1"/>
    <col min="1054" max="1054" width="11" style="17" customWidth="1"/>
    <col min="1055" max="1055" width="12" style="17" bestFit="1" customWidth="1"/>
    <col min="1056" max="1056" width="14.81640625" style="17" customWidth="1"/>
    <col min="1057" max="1306" width="11.453125" style="17"/>
    <col min="1307" max="1307" width="18.7265625" style="17" customWidth="1"/>
    <col min="1308" max="1308" width="13.7265625" style="17" bestFit="1" customWidth="1"/>
    <col min="1309" max="1309" width="17.26953125" style="17" customWidth="1"/>
    <col min="1310" max="1310" width="11" style="17" customWidth="1"/>
    <col min="1311" max="1311" width="12" style="17" bestFit="1" customWidth="1"/>
    <col min="1312" max="1312" width="14.81640625" style="17" customWidth="1"/>
    <col min="1313" max="1562" width="11.453125" style="17"/>
    <col min="1563" max="1563" width="18.7265625" style="17" customWidth="1"/>
    <col min="1564" max="1564" width="13.7265625" style="17" bestFit="1" customWidth="1"/>
    <col min="1565" max="1565" width="17.26953125" style="17" customWidth="1"/>
    <col min="1566" max="1566" width="11" style="17" customWidth="1"/>
    <col min="1567" max="1567" width="12" style="17" bestFit="1" customWidth="1"/>
    <col min="1568" max="1568" width="14.81640625" style="17" customWidth="1"/>
    <col min="1569" max="1818" width="11.453125" style="17"/>
    <col min="1819" max="1819" width="18.7265625" style="17" customWidth="1"/>
    <col min="1820" max="1820" width="13.7265625" style="17" bestFit="1" customWidth="1"/>
    <col min="1821" max="1821" width="17.26953125" style="17" customWidth="1"/>
    <col min="1822" max="1822" width="11" style="17" customWidth="1"/>
    <col min="1823" max="1823" width="12" style="17" bestFit="1" customWidth="1"/>
    <col min="1824" max="1824" width="14.81640625" style="17" customWidth="1"/>
    <col min="1825" max="2074" width="11.453125" style="17"/>
    <col min="2075" max="2075" width="18.7265625" style="17" customWidth="1"/>
    <col min="2076" max="2076" width="13.7265625" style="17" bestFit="1" customWidth="1"/>
    <col min="2077" max="2077" width="17.26953125" style="17" customWidth="1"/>
    <col min="2078" max="2078" width="11" style="17" customWidth="1"/>
    <col min="2079" max="2079" width="12" style="17" bestFit="1" customWidth="1"/>
    <col min="2080" max="2080" width="14.81640625" style="17" customWidth="1"/>
    <col min="2081" max="2330" width="11.453125" style="17"/>
    <col min="2331" max="2331" width="18.7265625" style="17" customWidth="1"/>
    <col min="2332" max="2332" width="13.7265625" style="17" bestFit="1" customWidth="1"/>
    <col min="2333" max="2333" width="17.26953125" style="17" customWidth="1"/>
    <col min="2334" max="2334" width="11" style="17" customWidth="1"/>
    <col min="2335" max="2335" width="12" style="17" bestFit="1" customWidth="1"/>
    <col min="2336" max="2336" width="14.81640625" style="17" customWidth="1"/>
    <col min="2337" max="2586" width="11.453125" style="17"/>
    <col min="2587" max="2587" width="18.7265625" style="17" customWidth="1"/>
    <col min="2588" max="2588" width="13.7265625" style="17" bestFit="1" customWidth="1"/>
    <col min="2589" max="2589" width="17.26953125" style="17" customWidth="1"/>
    <col min="2590" max="2590" width="11" style="17" customWidth="1"/>
    <col min="2591" max="2591" width="12" style="17" bestFit="1" customWidth="1"/>
    <col min="2592" max="2592" width="14.81640625" style="17" customWidth="1"/>
    <col min="2593" max="2842" width="11.453125" style="17"/>
    <col min="2843" max="2843" width="18.7265625" style="17" customWidth="1"/>
    <col min="2844" max="2844" width="13.7265625" style="17" bestFit="1" customWidth="1"/>
    <col min="2845" max="2845" width="17.26953125" style="17" customWidth="1"/>
    <col min="2846" max="2846" width="11" style="17" customWidth="1"/>
    <col min="2847" max="2847" width="12" style="17" bestFit="1" customWidth="1"/>
    <col min="2848" max="2848" width="14.81640625" style="17" customWidth="1"/>
    <col min="2849" max="3098" width="11.453125" style="17"/>
    <col min="3099" max="3099" width="18.7265625" style="17" customWidth="1"/>
    <col min="3100" max="3100" width="13.7265625" style="17" bestFit="1" customWidth="1"/>
    <col min="3101" max="3101" width="17.26953125" style="17" customWidth="1"/>
    <col min="3102" max="3102" width="11" style="17" customWidth="1"/>
    <col min="3103" max="3103" width="12" style="17" bestFit="1" customWidth="1"/>
    <col min="3104" max="3104" width="14.81640625" style="17" customWidth="1"/>
    <col min="3105" max="3354" width="11.453125" style="17"/>
    <col min="3355" max="3355" width="18.7265625" style="17" customWidth="1"/>
    <col min="3356" max="3356" width="13.7265625" style="17" bestFit="1" customWidth="1"/>
    <col min="3357" max="3357" width="17.26953125" style="17" customWidth="1"/>
    <col min="3358" max="3358" width="11" style="17" customWidth="1"/>
    <col min="3359" max="3359" width="12" style="17" bestFit="1" customWidth="1"/>
    <col min="3360" max="3360" width="14.81640625" style="17" customWidth="1"/>
    <col min="3361" max="3610" width="11.453125" style="17"/>
    <col min="3611" max="3611" width="18.7265625" style="17" customWidth="1"/>
    <col min="3612" max="3612" width="13.7265625" style="17" bestFit="1" customWidth="1"/>
    <col min="3613" max="3613" width="17.26953125" style="17" customWidth="1"/>
    <col min="3614" max="3614" width="11" style="17" customWidth="1"/>
    <col min="3615" max="3615" width="12" style="17" bestFit="1" customWidth="1"/>
    <col min="3616" max="3616" width="14.81640625" style="17" customWidth="1"/>
    <col min="3617" max="3866" width="11.453125" style="17"/>
    <col min="3867" max="3867" width="18.7265625" style="17" customWidth="1"/>
    <col min="3868" max="3868" width="13.7265625" style="17" bestFit="1" customWidth="1"/>
    <col min="3869" max="3869" width="17.26953125" style="17" customWidth="1"/>
    <col min="3870" max="3870" width="11" style="17" customWidth="1"/>
    <col min="3871" max="3871" width="12" style="17" bestFit="1" customWidth="1"/>
    <col min="3872" max="3872" width="14.81640625" style="17" customWidth="1"/>
    <col min="3873" max="4122" width="11.453125" style="17"/>
    <col min="4123" max="4123" width="18.7265625" style="17" customWidth="1"/>
    <col min="4124" max="4124" width="13.7265625" style="17" bestFit="1" customWidth="1"/>
    <col min="4125" max="4125" width="17.26953125" style="17" customWidth="1"/>
    <col min="4126" max="4126" width="11" style="17" customWidth="1"/>
    <col min="4127" max="4127" width="12" style="17" bestFit="1" customWidth="1"/>
    <col min="4128" max="4128" width="14.81640625" style="17" customWidth="1"/>
    <col min="4129" max="4378" width="11.453125" style="17"/>
    <col min="4379" max="4379" width="18.7265625" style="17" customWidth="1"/>
    <col min="4380" max="4380" width="13.7265625" style="17" bestFit="1" customWidth="1"/>
    <col min="4381" max="4381" width="17.26953125" style="17" customWidth="1"/>
    <col min="4382" max="4382" width="11" style="17" customWidth="1"/>
    <col min="4383" max="4383" width="12" style="17" bestFit="1" customWidth="1"/>
    <col min="4384" max="4384" width="14.81640625" style="17" customWidth="1"/>
    <col min="4385" max="4634" width="11.453125" style="17"/>
    <col min="4635" max="4635" width="18.7265625" style="17" customWidth="1"/>
    <col min="4636" max="4636" width="13.7265625" style="17" bestFit="1" customWidth="1"/>
    <col min="4637" max="4637" width="17.26953125" style="17" customWidth="1"/>
    <col min="4638" max="4638" width="11" style="17" customWidth="1"/>
    <col min="4639" max="4639" width="12" style="17" bestFit="1" customWidth="1"/>
    <col min="4640" max="4640" width="14.81640625" style="17" customWidth="1"/>
    <col min="4641" max="4890" width="11.453125" style="17"/>
    <col min="4891" max="4891" width="18.7265625" style="17" customWidth="1"/>
    <col min="4892" max="4892" width="13.7265625" style="17" bestFit="1" customWidth="1"/>
    <col min="4893" max="4893" width="17.26953125" style="17" customWidth="1"/>
    <col min="4894" max="4894" width="11" style="17" customWidth="1"/>
    <col min="4895" max="4895" width="12" style="17" bestFit="1" customWidth="1"/>
    <col min="4896" max="4896" width="14.81640625" style="17" customWidth="1"/>
    <col min="4897" max="5146" width="11.453125" style="17"/>
    <col min="5147" max="5147" width="18.7265625" style="17" customWidth="1"/>
    <col min="5148" max="5148" width="13.7265625" style="17" bestFit="1" customWidth="1"/>
    <col min="5149" max="5149" width="17.26953125" style="17" customWidth="1"/>
    <col min="5150" max="5150" width="11" style="17" customWidth="1"/>
    <col min="5151" max="5151" width="12" style="17" bestFit="1" customWidth="1"/>
    <col min="5152" max="5152" width="14.81640625" style="17" customWidth="1"/>
    <col min="5153" max="5402" width="11.453125" style="17"/>
    <col min="5403" max="5403" width="18.7265625" style="17" customWidth="1"/>
    <col min="5404" max="5404" width="13.7265625" style="17" bestFit="1" customWidth="1"/>
    <col min="5405" max="5405" width="17.26953125" style="17" customWidth="1"/>
    <col min="5406" max="5406" width="11" style="17" customWidth="1"/>
    <col min="5407" max="5407" width="12" style="17" bestFit="1" customWidth="1"/>
    <col min="5408" max="5408" width="14.81640625" style="17" customWidth="1"/>
    <col min="5409" max="5658" width="11.453125" style="17"/>
    <col min="5659" max="5659" width="18.7265625" style="17" customWidth="1"/>
    <col min="5660" max="5660" width="13.7265625" style="17" bestFit="1" customWidth="1"/>
    <col min="5661" max="5661" width="17.26953125" style="17" customWidth="1"/>
    <col min="5662" max="5662" width="11" style="17" customWidth="1"/>
    <col min="5663" max="5663" width="12" style="17" bestFit="1" customWidth="1"/>
    <col min="5664" max="5664" width="14.81640625" style="17" customWidth="1"/>
    <col min="5665" max="5914" width="11.453125" style="17"/>
    <col min="5915" max="5915" width="18.7265625" style="17" customWidth="1"/>
    <col min="5916" max="5916" width="13.7265625" style="17" bestFit="1" customWidth="1"/>
    <col min="5917" max="5917" width="17.26953125" style="17" customWidth="1"/>
    <col min="5918" max="5918" width="11" style="17" customWidth="1"/>
    <col min="5919" max="5919" width="12" style="17" bestFit="1" customWidth="1"/>
    <col min="5920" max="5920" width="14.81640625" style="17" customWidth="1"/>
    <col min="5921" max="6170" width="11.453125" style="17"/>
    <col min="6171" max="6171" width="18.7265625" style="17" customWidth="1"/>
    <col min="6172" max="6172" width="13.7265625" style="17" bestFit="1" customWidth="1"/>
    <col min="6173" max="6173" width="17.26953125" style="17" customWidth="1"/>
    <col min="6174" max="6174" width="11" style="17" customWidth="1"/>
    <col min="6175" max="6175" width="12" style="17" bestFit="1" customWidth="1"/>
    <col min="6176" max="6176" width="14.81640625" style="17" customWidth="1"/>
    <col min="6177" max="6426" width="11.453125" style="17"/>
    <col min="6427" max="6427" width="18.7265625" style="17" customWidth="1"/>
    <col min="6428" max="6428" width="13.7265625" style="17" bestFit="1" customWidth="1"/>
    <col min="6429" max="6429" width="17.26953125" style="17" customWidth="1"/>
    <col min="6430" max="6430" width="11" style="17" customWidth="1"/>
    <col min="6431" max="6431" width="12" style="17" bestFit="1" customWidth="1"/>
    <col min="6432" max="6432" width="14.81640625" style="17" customWidth="1"/>
    <col min="6433" max="6682" width="11.453125" style="17"/>
    <col min="6683" max="6683" width="18.7265625" style="17" customWidth="1"/>
    <col min="6684" max="6684" width="13.7265625" style="17" bestFit="1" customWidth="1"/>
    <col min="6685" max="6685" width="17.26953125" style="17" customWidth="1"/>
    <col min="6686" max="6686" width="11" style="17" customWidth="1"/>
    <col min="6687" max="6687" width="12" style="17" bestFit="1" customWidth="1"/>
    <col min="6688" max="6688" width="14.81640625" style="17" customWidth="1"/>
    <col min="6689" max="6938" width="11.453125" style="17"/>
    <col min="6939" max="6939" width="18.7265625" style="17" customWidth="1"/>
    <col min="6940" max="6940" width="13.7265625" style="17" bestFit="1" customWidth="1"/>
    <col min="6941" max="6941" width="17.26953125" style="17" customWidth="1"/>
    <col min="6942" max="6942" width="11" style="17" customWidth="1"/>
    <col min="6943" max="6943" width="12" style="17" bestFit="1" customWidth="1"/>
    <col min="6944" max="6944" width="14.81640625" style="17" customWidth="1"/>
    <col min="6945" max="7194" width="11.453125" style="17"/>
    <col min="7195" max="7195" width="18.7265625" style="17" customWidth="1"/>
    <col min="7196" max="7196" width="13.7265625" style="17" bestFit="1" customWidth="1"/>
    <col min="7197" max="7197" width="17.26953125" style="17" customWidth="1"/>
    <col min="7198" max="7198" width="11" style="17" customWidth="1"/>
    <col min="7199" max="7199" width="12" style="17" bestFit="1" customWidth="1"/>
    <col min="7200" max="7200" width="14.81640625" style="17" customWidth="1"/>
    <col min="7201" max="7450" width="11.453125" style="17"/>
    <col min="7451" max="7451" width="18.7265625" style="17" customWidth="1"/>
    <col min="7452" max="7452" width="13.7265625" style="17" bestFit="1" customWidth="1"/>
    <col min="7453" max="7453" width="17.26953125" style="17" customWidth="1"/>
    <col min="7454" max="7454" width="11" style="17" customWidth="1"/>
    <col min="7455" max="7455" width="12" style="17" bestFit="1" customWidth="1"/>
    <col min="7456" max="7456" width="14.81640625" style="17" customWidth="1"/>
    <col min="7457" max="7706" width="11.453125" style="17"/>
    <col min="7707" max="7707" width="18.7265625" style="17" customWidth="1"/>
    <col min="7708" max="7708" width="13.7265625" style="17" bestFit="1" customWidth="1"/>
    <col min="7709" max="7709" width="17.26953125" style="17" customWidth="1"/>
    <col min="7710" max="7710" width="11" style="17" customWidth="1"/>
    <col min="7711" max="7711" width="12" style="17" bestFit="1" customWidth="1"/>
    <col min="7712" max="7712" width="14.81640625" style="17" customWidth="1"/>
    <col min="7713" max="7962" width="11.453125" style="17"/>
    <col min="7963" max="7963" width="18.7265625" style="17" customWidth="1"/>
    <col min="7964" max="7964" width="13.7265625" style="17" bestFit="1" customWidth="1"/>
    <col min="7965" max="7965" width="17.26953125" style="17" customWidth="1"/>
    <col min="7966" max="7966" width="11" style="17" customWidth="1"/>
    <col min="7967" max="7967" width="12" style="17" bestFit="1" customWidth="1"/>
    <col min="7968" max="7968" width="14.81640625" style="17" customWidth="1"/>
    <col min="7969" max="8218" width="11.453125" style="17"/>
    <col min="8219" max="8219" width="18.7265625" style="17" customWidth="1"/>
    <col min="8220" max="8220" width="13.7265625" style="17" bestFit="1" customWidth="1"/>
    <col min="8221" max="8221" width="17.26953125" style="17" customWidth="1"/>
    <col min="8222" max="8222" width="11" style="17" customWidth="1"/>
    <col min="8223" max="8223" width="12" style="17" bestFit="1" customWidth="1"/>
    <col min="8224" max="8224" width="14.81640625" style="17" customWidth="1"/>
    <col min="8225" max="8474" width="11.453125" style="17"/>
    <col min="8475" max="8475" width="18.7265625" style="17" customWidth="1"/>
    <col min="8476" max="8476" width="13.7265625" style="17" bestFit="1" customWidth="1"/>
    <col min="8477" max="8477" width="17.26953125" style="17" customWidth="1"/>
    <col min="8478" max="8478" width="11" style="17" customWidth="1"/>
    <col min="8479" max="8479" width="12" style="17" bestFit="1" customWidth="1"/>
    <col min="8480" max="8480" width="14.81640625" style="17" customWidth="1"/>
    <col min="8481" max="8730" width="11.453125" style="17"/>
    <col min="8731" max="8731" width="18.7265625" style="17" customWidth="1"/>
    <col min="8732" max="8732" width="13.7265625" style="17" bestFit="1" customWidth="1"/>
    <col min="8733" max="8733" width="17.26953125" style="17" customWidth="1"/>
    <col min="8734" max="8734" width="11" style="17" customWidth="1"/>
    <col min="8735" max="8735" width="12" style="17" bestFit="1" customWidth="1"/>
    <col min="8736" max="8736" width="14.81640625" style="17" customWidth="1"/>
    <col min="8737" max="8986" width="11.453125" style="17"/>
    <col min="8987" max="8987" width="18.7265625" style="17" customWidth="1"/>
    <col min="8988" max="8988" width="13.7265625" style="17" bestFit="1" customWidth="1"/>
    <col min="8989" max="8989" width="17.26953125" style="17" customWidth="1"/>
    <col min="8990" max="8990" width="11" style="17" customWidth="1"/>
    <col min="8991" max="8991" width="12" style="17" bestFit="1" customWidth="1"/>
    <col min="8992" max="8992" width="14.81640625" style="17" customWidth="1"/>
    <col min="8993" max="9242" width="11.453125" style="17"/>
    <col min="9243" max="9243" width="18.7265625" style="17" customWidth="1"/>
    <col min="9244" max="9244" width="13.7265625" style="17" bestFit="1" customWidth="1"/>
    <col min="9245" max="9245" width="17.26953125" style="17" customWidth="1"/>
    <col min="9246" max="9246" width="11" style="17" customWidth="1"/>
    <col min="9247" max="9247" width="12" style="17" bestFit="1" customWidth="1"/>
    <col min="9248" max="9248" width="14.81640625" style="17" customWidth="1"/>
    <col min="9249" max="9498" width="11.453125" style="17"/>
    <col min="9499" max="9499" width="18.7265625" style="17" customWidth="1"/>
    <col min="9500" max="9500" width="13.7265625" style="17" bestFit="1" customWidth="1"/>
    <col min="9501" max="9501" width="17.26953125" style="17" customWidth="1"/>
    <col min="9502" max="9502" width="11" style="17" customWidth="1"/>
    <col min="9503" max="9503" width="12" style="17" bestFit="1" customWidth="1"/>
    <col min="9504" max="9504" width="14.81640625" style="17" customWidth="1"/>
    <col min="9505" max="9754" width="11.453125" style="17"/>
    <col min="9755" max="9755" width="18.7265625" style="17" customWidth="1"/>
    <col min="9756" max="9756" width="13.7265625" style="17" bestFit="1" customWidth="1"/>
    <col min="9757" max="9757" width="17.26953125" style="17" customWidth="1"/>
    <col min="9758" max="9758" width="11" style="17" customWidth="1"/>
    <col min="9759" max="9759" width="12" style="17" bestFit="1" customWidth="1"/>
    <col min="9760" max="9760" width="14.81640625" style="17" customWidth="1"/>
    <col min="9761" max="10010" width="11.453125" style="17"/>
    <col min="10011" max="10011" width="18.7265625" style="17" customWidth="1"/>
    <col min="10012" max="10012" width="13.7265625" style="17" bestFit="1" customWidth="1"/>
    <col min="10013" max="10013" width="17.26953125" style="17" customWidth="1"/>
    <col min="10014" max="10014" width="11" style="17" customWidth="1"/>
    <col min="10015" max="10015" width="12" style="17" bestFit="1" customWidth="1"/>
    <col min="10016" max="10016" width="14.81640625" style="17" customWidth="1"/>
    <col min="10017" max="10266" width="11.453125" style="17"/>
    <col min="10267" max="10267" width="18.7265625" style="17" customWidth="1"/>
    <col min="10268" max="10268" width="13.7265625" style="17" bestFit="1" customWidth="1"/>
    <col min="10269" max="10269" width="17.26953125" style="17" customWidth="1"/>
    <col min="10270" max="10270" width="11" style="17" customWidth="1"/>
    <col min="10271" max="10271" width="12" style="17" bestFit="1" customWidth="1"/>
    <col min="10272" max="10272" width="14.81640625" style="17" customWidth="1"/>
    <col min="10273" max="10522" width="11.453125" style="17"/>
    <col min="10523" max="10523" width="18.7265625" style="17" customWidth="1"/>
    <col min="10524" max="10524" width="13.7265625" style="17" bestFit="1" customWidth="1"/>
    <col min="10525" max="10525" width="17.26953125" style="17" customWidth="1"/>
    <col min="10526" max="10526" width="11" style="17" customWidth="1"/>
    <col min="10527" max="10527" width="12" style="17" bestFit="1" customWidth="1"/>
    <col min="10528" max="10528" width="14.81640625" style="17" customWidth="1"/>
    <col min="10529" max="10778" width="11.453125" style="17"/>
    <col min="10779" max="10779" width="18.7265625" style="17" customWidth="1"/>
    <col min="10780" max="10780" width="13.7265625" style="17" bestFit="1" customWidth="1"/>
    <col min="10781" max="10781" width="17.26953125" style="17" customWidth="1"/>
    <col min="10782" max="10782" width="11" style="17" customWidth="1"/>
    <col min="10783" max="10783" width="12" style="17" bestFit="1" customWidth="1"/>
    <col min="10784" max="10784" width="14.81640625" style="17" customWidth="1"/>
    <col min="10785" max="11034" width="11.453125" style="17"/>
    <col min="11035" max="11035" width="18.7265625" style="17" customWidth="1"/>
    <col min="11036" max="11036" width="13.7265625" style="17" bestFit="1" customWidth="1"/>
    <col min="11037" max="11037" width="17.26953125" style="17" customWidth="1"/>
    <col min="11038" max="11038" width="11" style="17" customWidth="1"/>
    <col min="11039" max="11039" width="12" style="17" bestFit="1" customWidth="1"/>
    <col min="11040" max="11040" width="14.81640625" style="17" customWidth="1"/>
    <col min="11041" max="11290" width="11.453125" style="17"/>
    <col min="11291" max="11291" width="18.7265625" style="17" customWidth="1"/>
    <col min="11292" max="11292" width="13.7265625" style="17" bestFit="1" customWidth="1"/>
    <col min="11293" max="11293" width="17.26953125" style="17" customWidth="1"/>
    <col min="11294" max="11294" width="11" style="17" customWidth="1"/>
    <col min="11295" max="11295" width="12" style="17" bestFit="1" customWidth="1"/>
    <col min="11296" max="11296" width="14.81640625" style="17" customWidth="1"/>
    <col min="11297" max="11546" width="11.453125" style="17"/>
    <col min="11547" max="11547" width="18.7265625" style="17" customWidth="1"/>
    <col min="11548" max="11548" width="13.7265625" style="17" bestFit="1" customWidth="1"/>
    <col min="11549" max="11549" width="17.26953125" style="17" customWidth="1"/>
    <col min="11550" max="11550" width="11" style="17" customWidth="1"/>
    <col min="11551" max="11551" width="12" style="17" bestFit="1" customWidth="1"/>
    <col min="11552" max="11552" width="14.81640625" style="17" customWidth="1"/>
    <col min="11553" max="11802" width="11.453125" style="17"/>
    <col min="11803" max="11803" width="18.7265625" style="17" customWidth="1"/>
    <col min="11804" max="11804" width="13.7265625" style="17" bestFit="1" customWidth="1"/>
    <col min="11805" max="11805" width="17.26953125" style="17" customWidth="1"/>
    <col min="11806" max="11806" width="11" style="17" customWidth="1"/>
    <col min="11807" max="11807" width="12" style="17" bestFit="1" customWidth="1"/>
    <col min="11808" max="11808" width="14.81640625" style="17" customWidth="1"/>
    <col min="11809" max="12058" width="11.453125" style="17"/>
    <col min="12059" max="12059" width="18.7265625" style="17" customWidth="1"/>
    <col min="12060" max="12060" width="13.7265625" style="17" bestFit="1" customWidth="1"/>
    <col min="12061" max="12061" width="17.26953125" style="17" customWidth="1"/>
    <col min="12062" max="12062" width="11" style="17" customWidth="1"/>
    <col min="12063" max="12063" width="12" style="17" bestFit="1" customWidth="1"/>
    <col min="12064" max="12064" width="14.81640625" style="17" customWidth="1"/>
    <col min="12065" max="12314" width="11.453125" style="17"/>
    <col min="12315" max="12315" width="18.7265625" style="17" customWidth="1"/>
    <col min="12316" max="12316" width="13.7265625" style="17" bestFit="1" customWidth="1"/>
    <col min="12317" max="12317" width="17.26953125" style="17" customWidth="1"/>
    <col min="12318" max="12318" width="11" style="17" customWidth="1"/>
    <col min="12319" max="12319" width="12" style="17" bestFit="1" customWidth="1"/>
    <col min="12320" max="12320" width="14.81640625" style="17" customWidth="1"/>
    <col min="12321" max="12570" width="11.453125" style="17"/>
    <col min="12571" max="12571" width="18.7265625" style="17" customWidth="1"/>
    <col min="12572" max="12572" width="13.7265625" style="17" bestFit="1" customWidth="1"/>
    <col min="12573" max="12573" width="17.26953125" style="17" customWidth="1"/>
    <col min="12574" max="12574" width="11" style="17" customWidth="1"/>
    <col min="12575" max="12575" width="12" style="17" bestFit="1" customWidth="1"/>
    <col min="12576" max="12576" width="14.81640625" style="17" customWidth="1"/>
    <col min="12577" max="12826" width="11.453125" style="17"/>
    <col min="12827" max="12827" width="18.7265625" style="17" customWidth="1"/>
    <col min="12828" max="12828" width="13.7265625" style="17" bestFit="1" customWidth="1"/>
    <col min="12829" max="12829" width="17.26953125" style="17" customWidth="1"/>
    <col min="12830" max="12830" width="11" style="17" customWidth="1"/>
    <col min="12831" max="12831" width="12" style="17" bestFit="1" customWidth="1"/>
    <col min="12832" max="12832" width="14.81640625" style="17" customWidth="1"/>
    <col min="12833" max="13082" width="11.453125" style="17"/>
    <col min="13083" max="13083" width="18.7265625" style="17" customWidth="1"/>
    <col min="13084" max="13084" width="13.7265625" style="17" bestFit="1" customWidth="1"/>
    <col min="13085" max="13085" width="17.26953125" style="17" customWidth="1"/>
    <col min="13086" max="13086" width="11" style="17" customWidth="1"/>
    <col min="13087" max="13087" width="12" style="17" bestFit="1" customWidth="1"/>
    <col min="13088" max="13088" width="14.81640625" style="17" customWidth="1"/>
    <col min="13089" max="13338" width="11.453125" style="17"/>
    <col min="13339" max="13339" width="18.7265625" style="17" customWidth="1"/>
    <col min="13340" max="13340" width="13.7265625" style="17" bestFit="1" customWidth="1"/>
    <col min="13341" max="13341" width="17.26953125" style="17" customWidth="1"/>
    <col min="13342" max="13342" width="11" style="17" customWidth="1"/>
    <col min="13343" max="13343" width="12" style="17" bestFit="1" customWidth="1"/>
    <col min="13344" max="13344" width="14.81640625" style="17" customWidth="1"/>
    <col min="13345" max="13594" width="11.453125" style="17"/>
    <col min="13595" max="13595" width="18.7265625" style="17" customWidth="1"/>
    <col min="13596" max="13596" width="13.7265625" style="17" bestFit="1" customWidth="1"/>
    <col min="13597" max="13597" width="17.26953125" style="17" customWidth="1"/>
    <col min="13598" max="13598" width="11" style="17" customWidth="1"/>
    <col min="13599" max="13599" width="12" style="17" bestFit="1" customWidth="1"/>
    <col min="13600" max="13600" width="14.81640625" style="17" customWidth="1"/>
    <col min="13601" max="13850" width="11.453125" style="17"/>
    <col min="13851" max="13851" width="18.7265625" style="17" customWidth="1"/>
    <col min="13852" max="13852" width="13.7265625" style="17" bestFit="1" customWidth="1"/>
    <col min="13853" max="13853" width="17.26953125" style="17" customWidth="1"/>
    <col min="13854" max="13854" width="11" style="17" customWidth="1"/>
    <col min="13855" max="13855" width="12" style="17" bestFit="1" customWidth="1"/>
    <col min="13856" max="13856" width="14.81640625" style="17" customWidth="1"/>
    <col min="13857" max="14106" width="11.453125" style="17"/>
    <col min="14107" max="14107" width="18.7265625" style="17" customWidth="1"/>
    <col min="14108" max="14108" width="13.7265625" style="17" bestFit="1" customWidth="1"/>
    <col min="14109" max="14109" width="17.26953125" style="17" customWidth="1"/>
    <col min="14110" max="14110" width="11" style="17" customWidth="1"/>
    <col min="14111" max="14111" width="12" style="17" bestFit="1" customWidth="1"/>
    <col min="14112" max="14112" width="14.81640625" style="17" customWidth="1"/>
    <col min="14113" max="14362" width="11.453125" style="17"/>
    <col min="14363" max="14363" width="18.7265625" style="17" customWidth="1"/>
    <col min="14364" max="14364" width="13.7265625" style="17" bestFit="1" customWidth="1"/>
    <col min="14365" max="14365" width="17.26953125" style="17" customWidth="1"/>
    <col min="14366" max="14366" width="11" style="17" customWidth="1"/>
    <col min="14367" max="14367" width="12" style="17" bestFit="1" customWidth="1"/>
    <col min="14368" max="14368" width="14.81640625" style="17" customWidth="1"/>
    <col min="14369" max="14618" width="11.453125" style="17"/>
    <col min="14619" max="14619" width="18.7265625" style="17" customWidth="1"/>
    <col min="14620" max="14620" width="13.7265625" style="17" bestFit="1" customWidth="1"/>
    <col min="14621" max="14621" width="17.26953125" style="17" customWidth="1"/>
    <col min="14622" max="14622" width="11" style="17" customWidth="1"/>
    <col min="14623" max="14623" width="12" style="17" bestFit="1" customWidth="1"/>
    <col min="14624" max="14624" width="14.81640625" style="17" customWidth="1"/>
    <col min="14625" max="14874" width="11.453125" style="17"/>
    <col min="14875" max="14875" width="18.7265625" style="17" customWidth="1"/>
    <col min="14876" max="14876" width="13.7265625" style="17" bestFit="1" customWidth="1"/>
    <col min="14877" max="14877" width="17.26953125" style="17" customWidth="1"/>
    <col min="14878" max="14878" width="11" style="17" customWidth="1"/>
    <col min="14879" max="14879" width="12" style="17" bestFit="1" customWidth="1"/>
    <col min="14880" max="14880" width="14.81640625" style="17" customWidth="1"/>
    <col min="14881" max="15130" width="11.453125" style="17"/>
    <col min="15131" max="15131" width="18.7265625" style="17" customWidth="1"/>
    <col min="15132" max="15132" width="13.7265625" style="17" bestFit="1" customWidth="1"/>
    <col min="15133" max="15133" width="17.26953125" style="17" customWidth="1"/>
    <col min="15134" max="15134" width="11" style="17" customWidth="1"/>
    <col min="15135" max="15135" width="12" style="17" bestFit="1" customWidth="1"/>
    <col min="15136" max="15136" width="14.81640625" style="17" customWidth="1"/>
    <col min="15137" max="15386" width="11.453125" style="17"/>
    <col min="15387" max="15387" width="18.7265625" style="17" customWidth="1"/>
    <col min="15388" max="15388" width="13.7265625" style="17" bestFit="1" customWidth="1"/>
    <col min="15389" max="15389" width="17.26953125" style="17" customWidth="1"/>
    <col min="15390" max="15390" width="11" style="17" customWidth="1"/>
    <col min="15391" max="15391" width="12" style="17" bestFit="1" customWidth="1"/>
    <col min="15392" max="15392" width="14.81640625" style="17" customWidth="1"/>
    <col min="15393" max="15642" width="11.453125" style="17"/>
    <col min="15643" max="15643" width="18.7265625" style="17" customWidth="1"/>
    <col min="15644" max="15644" width="13.7265625" style="17" bestFit="1" customWidth="1"/>
    <col min="15645" max="15645" width="17.26953125" style="17" customWidth="1"/>
    <col min="15646" max="15646" width="11" style="17" customWidth="1"/>
    <col min="15647" max="15647" width="12" style="17" bestFit="1" customWidth="1"/>
    <col min="15648" max="15648" width="14.81640625" style="17" customWidth="1"/>
    <col min="15649" max="15898" width="11.453125" style="17"/>
    <col min="15899" max="15899" width="18.7265625" style="17" customWidth="1"/>
    <col min="15900" max="15900" width="13.7265625" style="17" bestFit="1" customWidth="1"/>
    <col min="15901" max="15901" width="17.26953125" style="17" customWidth="1"/>
    <col min="15902" max="15902" width="11" style="17" customWidth="1"/>
    <col min="15903" max="15903" width="12" style="17" bestFit="1" customWidth="1"/>
    <col min="15904" max="15904" width="14.81640625" style="17" customWidth="1"/>
    <col min="15905" max="16154" width="11.453125" style="17"/>
    <col min="16155" max="16155" width="18.7265625" style="17" customWidth="1"/>
    <col min="16156" max="16156" width="13.7265625" style="17" bestFit="1" customWidth="1"/>
    <col min="16157" max="16157" width="17.26953125" style="17" customWidth="1"/>
    <col min="16158" max="16158" width="11" style="17" customWidth="1"/>
    <col min="16159" max="16159" width="12" style="17" bestFit="1" customWidth="1"/>
    <col min="16160" max="16160" width="14.81640625" style="17" customWidth="1"/>
    <col min="16161" max="16384" width="11.453125" style="17"/>
  </cols>
  <sheetData>
    <row r="2" spans="1:37" x14ac:dyDescent="0.25">
      <c r="A2" s="17" t="s">
        <v>70</v>
      </c>
      <c r="B2" s="63">
        <f>'pooled normalised values'!B75</f>
        <v>0.29313487556023021</v>
      </c>
      <c r="D2" s="17" t="s">
        <v>9</v>
      </c>
      <c r="E2" s="18"/>
      <c r="F2" s="19" t="str">
        <f>'pooled normalised values'!J74</f>
        <v>Dutasteride-0,1mg/L</v>
      </c>
      <c r="G2" s="19" t="str">
        <f>'pooled normalised values'!K74</f>
        <v>Dutasteride-0,25mg/L</v>
      </c>
      <c r="H2" s="19" t="str">
        <f>'pooled normalised values'!L74</f>
        <v>Dutasteride-0,5mg/L</v>
      </c>
      <c r="I2" s="19" t="str">
        <f>'pooled normalised values'!M74</f>
        <v>Dutasteride-1mg/L</v>
      </c>
      <c r="J2" s="19" t="e">
        <f>'pooled normalised values'!#REF!</f>
        <v>#REF!</v>
      </c>
      <c r="K2" s="19" t="e">
        <f>'pooled normalised values'!#REF!</f>
        <v>#REF!</v>
      </c>
      <c r="L2" s="19" t="e">
        <f>'pooled normalised values'!#REF!</f>
        <v>#REF!</v>
      </c>
      <c r="M2" s="19" t="e">
        <f>'pooled normalised values'!#REF!</f>
        <v>#REF!</v>
      </c>
      <c r="N2" s="19" t="e">
        <f>'pooled normalised values'!#REF!</f>
        <v>#REF!</v>
      </c>
      <c r="O2" s="19" t="e">
        <f>'pooled normalised values'!#REF!</f>
        <v>#REF!</v>
      </c>
      <c r="P2" s="19" t="e">
        <f>'pooled normalised values'!#REF!</f>
        <v>#REF!</v>
      </c>
      <c r="Q2" s="19" t="e">
        <f>'pooled normalised values'!#REF!</f>
        <v>#REF!</v>
      </c>
      <c r="R2" s="19" t="e">
        <f>'pooled normalised values'!#REF!</f>
        <v>#REF!</v>
      </c>
      <c r="S2" s="19" t="e">
        <f>'pooled normalised values'!#REF!</f>
        <v>#REF!</v>
      </c>
      <c r="T2" s="18"/>
      <c r="U2" s="20"/>
      <c r="V2" s="19" t="str">
        <f>'pooled normalised values'!R74</f>
        <v>Dutasteride-0,01mg/L + Testostérone</v>
      </c>
      <c r="W2" s="19" t="str">
        <f>'pooled normalised values'!S74</f>
        <v>Dutasteride-0,1mg/L + Testostérone</v>
      </c>
      <c r="X2" s="19" t="str">
        <f>'pooled normalised values'!T74</f>
        <v>Dutasteride-0,25mg/L + Testostérone</v>
      </c>
      <c r="Y2" s="19" t="str">
        <f>'pooled normalised values'!U74</f>
        <v>Dutasteride-0,5mg/L + Testostérone</v>
      </c>
      <c r="Z2" s="19" t="str">
        <f>'pooled normalised values'!V74</f>
        <v>Dutasteride-1mg/L + Testostérone</v>
      </c>
      <c r="AA2" s="19" t="e">
        <f>'pooled normalised values'!#REF!</f>
        <v>#REF!</v>
      </c>
      <c r="AB2" s="19" t="e">
        <f>'pooled normalised values'!#REF!</f>
        <v>#REF!</v>
      </c>
      <c r="AC2" s="19" t="e">
        <f>'pooled normalised values'!#REF!</f>
        <v>#REF!</v>
      </c>
      <c r="AD2" s="19" t="e">
        <f>'pooled normalised values'!#REF!</f>
        <v>#REF!</v>
      </c>
      <c r="AE2" s="19" t="e">
        <f>'pooled normalised values'!#REF!</f>
        <v>#REF!</v>
      </c>
      <c r="AF2" s="19" t="e">
        <f>'pooled normalised values'!#REF!</f>
        <v>#REF!</v>
      </c>
      <c r="AG2" s="19" t="e">
        <f>'pooled normalised values'!#REF!</f>
        <v>#REF!</v>
      </c>
      <c r="AH2" s="19" t="e">
        <f>'pooled normalised values'!#REF!</f>
        <v>#REF!</v>
      </c>
      <c r="AI2" s="19" t="e">
        <f>'pooled normalised values'!#REF!</f>
        <v>#REF!</v>
      </c>
      <c r="AJ2" s="20"/>
      <c r="AK2" s="17" t="s">
        <v>9</v>
      </c>
    </row>
    <row r="3" spans="1:37" x14ac:dyDescent="0.25">
      <c r="A3" s="17" t="s">
        <v>71</v>
      </c>
      <c r="B3" s="63">
        <f>'summary results'!E6</f>
        <v>0</v>
      </c>
      <c r="D3" s="21" t="s">
        <v>10</v>
      </c>
      <c r="E3" s="22"/>
      <c r="F3" s="19">
        <f>HLOOKUP(F2,'pooled normalised values'!B74:V83,2,FALSE)</f>
        <v>0.15403073547342597</v>
      </c>
      <c r="G3" s="19">
        <f>HLOOKUP(G2,'pooled normalised values'!C74:W83,2,FALSE)</f>
        <v>0.17314720660996874</v>
      </c>
      <c r="H3" s="19">
        <f>HLOOKUP(H2,'pooled normalised values'!C74:X83,2,FALSE)</f>
        <v>0.21760649230919263</v>
      </c>
      <c r="I3" s="19">
        <f>HLOOKUP(I2,'pooled normalised values'!D74:Y83,2,FALSE)</f>
        <v>0.18024131028716309</v>
      </c>
      <c r="J3" s="19" t="e">
        <f>HLOOKUP(J2,'pooled normalised values'!E74:Z83,2,FALSE)</f>
        <v>#REF!</v>
      </c>
      <c r="K3" s="19" t="e">
        <f>HLOOKUP(K2,'pooled normalised values'!F74:AA83,2,FALSE)</f>
        <v>#REF!</v>
      </c>
      <c r="L3" s="19" t="e">
        <f>HLOOKUP(L2,'pooled normalised values'!G74:AB83,2,FALSE)</f>
        <v>#REF!</v>
      </c>
      <c r="M3" s="19" t="e">
        <f>HLOOKUP(M2,'pooled normalised values'!H74:AC83,2,FALSE)</f>
        <v>#REF!</v>
      </c>
      <c r="N3" s="19" t="e">
        <f>HLOOKUP(N2,'pooled normalised values'!I74:AD83,2,FALSE)</f>
        <v>#REF!</v>
      </c>
      <c r="O3" s="19" t="e">
        <f>HLOOKUP(O2,'pooled normalised values'!J74:AE83,2,FALSE)</f>
        <v>#REF!</v>
      </c>
      <c r="P3" s="19" t="e">
        <f>HLOOKUP(P2,'pooled normalised values'!K74:AF83,2,FALSE)</f>
        <v>#REF!</v>
      </c>
      <c r="Q3" s="19" t="e">
        <f>HLOOKUP(Q2,'pooled normalised values'!L74:AG83,2,FALSE)</f>
        <v>#REF!</v>
      </c>
      <c r="R3" s="19" t="e">
        <f>HLOOKUP(R2,'pooled normalised values'!M74:AH83,2,FALSE)</f>
        <v>#REF!</v>
      </c>
      <c r="S3" s="19" t="e">
        <f>HLOOKUP(S2,'pooled normalised values'!N74:AI83,2,FALSE)</f>
        <v>#REF!</v>
      </c>
      <c r="T3" s="22"/>
      <c r="U3" s="20"/>
      <c r="V3" s="19">
        <f>HLOOKUP(V2,'pooled normalised values'!N74:AL83,2,FALSE)</f>
        <v>1.3360265048474209</v>
      </c>
      <c r="W3" s="19">
        <f>HLOOKUP(W2,'pooled normalised values'!N74:AM83,2,FALSE)</f>
        <v>1.5242385266923411</v>
      </c>
      <c r="X3" s="19">
        <f>HLOOKUP(X2,'pooled normalised values'!N74:AN83,2,FALSE)</f>
        <v>1.4128480747381722</v>
      </c>
      <c r="Y3" s="19">
        <f>HLOOKUP(Y2,'pooled normalised values'!N74:AO83,2,FALSE)</f>
        <v>1.9274200989274173</v>
      </c>
      <c r="Z3" s="19">
        <f>HLOOKUP(Z2,'pooled normalised values'!N74:AP83,2,FALSE)</f>
        <v>1.8674764068179091</v>
      </c>
      <c r="AA3" s="19" t="e">
        <f>HLOOKUP(AA2,'pooled normalised values'!N74:AQ83,2,FALSE)</f>
        <v>#REF!</v>
      </c>
      <c r="AB3" s="19" t="e">
        <f>HLOOKUP(AB2,'pooled normalised values'!N74:AR83,2,FALSE)</f>
        <v>#REF!</v>
      </c>
      <c r="AC3" s="19" t="e">
        <f>HLOOKUP(AC2,'pooled normalised values'!N74:AS83,2,FALSE)</f>
        <v>#REF!</v>
      </c>
      <c r="AD3" s="19" t="e">
        <f>HLOOKUP(AD2,'pooled normalised values'!N74:AT83,2,FALSE)</f>
        <v>#REF!</v>
      </c>
      <c r="AE3" s="19" t="e">
        <f>HLOOKUP(AE2,'pooled normalised values'!N74:AU83,2,FALSE)</f>
        <v>#REF!</v>
      </c>
      <c r="AF3" s="19" t="e">
        <f>HLOOKUP(AF2,'pooled normalised values'!N74:AV83,2,FALSE)</f>
        <v>#REF!</v>
      </c>
      <c r="AG3" s="19" t="e">
        <f>HLOOKUP(AG2,'pooled normalised values'!N74:AW83,2,FALSE)</f>
        <v>#REF!</v>
      </c>
      <c r="AH3" s="19" t="e">
        <f>HLOOKUP(AH2,'pooled normalised values'!N74:AX83,2,FALSE)</f>
        <v>#REF!</v>
      </c>
      <c r="AI3" s="19" t="e">
        <f>HLOOKUP(AI2,'pooled normalised values'!N74:AY83,2,FALSE)</f>
        <v>#REF!</v>
      </c>
      <c r="AJ3" s="20"/>
      <c r="AK3" s="21" t="s">
        <v>10</v>
      </c>
    </row>
    <row r="4" spans="1:37" x14ac:dyDescent="0.25">
      <c r="A4" s="17" t="s">
        <v>72</v>
      </c>
      <c r="B4" s="63">
        <f>'pooled normalised values'!O75</f>
        <v>0.99999999999999967</v>
      </c>
      <c r="D4" s="21" t="s">
        <v>2</v>
      </c>
      <c r="E4" s="22"/>
      <c r="F4" s="19">
        <f>HLOOKUP(F2,'pooled normalised values'!B74:V83,3,FALSE)</f>
        <v>2.3423838964525018E-2</v>
      </c>
      <c r="G4" s="19">
        <f>HLOOKUP(G2,'pooled normalised values'!C74:W83,3,FALSE)</f>
        <v>3.0266065236325641E-2</v>
      </c>
      <c r="H4" s="19">
        <f>HLOOKUP(H2,'pooled normalised values'!C74:X83,3,FALSE)</f>
        <v>5.2153118874459677E-2</v>
      </c>
      <c r="I4" s="19">
        <f>HLOOKUP(I2,'pooled normalised values'!D74:Y83,3,FALSE)</f>
        <v>3.6199342100837653E-2</v>
      </c>
      <c r="J4" s="19" t="e">
        <f>HLOOKUP(J2,'pooled normalised values'!E74:Z83,3,FALSE)</f>
        <v>#REF!</v>
      </c>
      <c r="K4" s="19" t="e">
        <f>HLOOKUP(K2,'pooled normalised values'!F74:AA83,3,FALSE)</f>
        <v>#REF!</v>
      </c>
      <c r="L4" s="19" t="e">
        <f>HLOOKUP(L2,'pooled normalised values'!G74:AB83,3,FALSE)</f>
        <v>#REF!</v>
      </c>
      <c r="M4" s="19" t="e">
        <f>HLOOKUP(M2,'pooled normalised values'!H74:AC83,3,FALSE)</f>
        <v>#REF!</v>
      </c>
      <c r="N4" s="19" t="e">
        <f>HLOOKUP(N2,'pooled normalised values'!I74:AD83,3,FALSE)</f>
        <v>#REF!</v>
      </c>
      <c r="O4" s="19" t="e">
        <f>HLOOKUP(O2,'pooled normalised values'!J74:AE83,3,FALSE)</f>
        <v>#REF!</v>
      </c>
      <c r="P4" s="19" t="e">
        <f>HLOOKUP(P2,'pooled normalised values'!K74:AF83,3,FALSE)</f>
        <v>#REF!</v>
      </c>
      <c r="Q4" s="19" t="e">
        <f>HLOOKUP(Q2,'pooled normalised values'!L74:AG83,3,FALSE)</f>
        <v>#REF!</v>
      </c>
      <c r="R4" s="19" t="e">
        <f>HLOOKUP(R2,'pooled normalised values'!M74:AH83,3,FALSE)</f>
        <v>#REF!</v>
      </c>
      <c r="S4" s="19" t="e">
        <f>HLOOKUP(S2,'pooled normalised values'!N74:AI83,3,FALSE)</f>
        <v>#REF!</v>
      </c>
      <c r="T4" s="22"/>
      <c r="U4" s="20"/>
      <c r="V4" s="19">
        <f>HLOOKUP(V2,'pooled normalised values'!N74:AL83,3,FALSE)</f>
        <v>0.23243385061140623</v>
      </c>
      <c r="W4" s="19">
        <f>HLOOKUP(W2,'pooled normalised values'!N74:AM83,3,FALSE)</f>
        <v>0.25063149200075979</v>
      </c>
      <c r="X4" s="19">
        <f>HLOOKUP(X2,'pooled normalised values'!N74:AN83,3,FALSE)</f>
        <v>0.27475840564158083</v>
      </c>
      <c r="Y4" s="19">
        <f>HLOOKUP(Y2,'pooled normalised values'!N74:AO83,3,FALSE)</f>
        <v>0.34637005333994625</v>
      </c>
      <c r="Z4" s="19">
        <f>HLOOKUP(Z2,'pooled normalised values'!N74:AP83,3,FALSE)</f>
        <v>0.26470103099030573</v>
      </c>
      <c r="AA4" s="19" t="e">
        <f>HLOOKUP(AA2,'pooled normalised values'!N74:AQ83,3,FALSE)</f>
        <v>#REF!</v>
      </c>
      <c r="AB4" s="19" t="e">
        <f>HLOOKUP(AB2,'pooled normalised values'!N74:AR83,3,FALSE)</f>
        <v>#REF!</v>
      </c>
      <c r="AC4" s="19" t="e">
        <f>HLOOKUP(AC2,'pooled normalised values'!N74:AS83,3,FALSE)</f>
        <v>#REF!</v>
      </c>
      <c r="AD4" s="19" t="e">
        <f>HLOOKUP(AD2,'pooled normalised values'!N74:AT83,3,FALSE)</f>
        <v>#REF!</v>
      </c>
      <c r="AE4" s="19" t="e">
        <f>HLOOKUP(AE2,'pooled normalised values'!N74:AU83,3,FALSE)</f>
        <v>#REF!</v>
      </c>
      <c r="AF4" s="19" t="e">
        <f>HLOOKUP(AF2,'pooled normalised values'!N74:AV83,3,FALSE)</f>
        <v>#REF!</v>
      </c>
      <c r="AG4" s="19" t="e">
        <f>HLOOKUP(AG2,'pooled normalised values'!N74:AW83,3,FALSE)</f>
        <v>#REF!</v>
      </c>
      <c r="AH4" s="19" t="e">
        <f>HLOOKUP(AH2,'pooled normalised values'!N74:AX83,3,FALSE)</f>
        <v>#REF!</v>
      </c>
      <c r="AI4" s="19" t="e">
        <f>HLOOKUP(AI2,'pooled normalised values'!N74:AY83,3,FALSE)</f>
        <v>#REF!</v>
      </c>
      <c r="AJ4" s="20"/>
      <c r="AK4" s="21" t="s">
        <v>2</v>
      </c>
    </row>
    <row r="5" spans="1:37" x14ac:dyDescent="0.25">
      <c r="A5" s="17" t="s">
        <v>73</v>
      </c>
      <c r="B5" s="63">
        <f>'pooled normalised values'!P75</f>
        <v>3.8071999917273995</v>
      </c>
      <c r="D5" s="23" t="s">
        <v>11</v>
      </c>
      <c r="E5" s="22"/>
      <c r="F5" s="19" t="str">
        <f>HLOOKUP(F2,'pooled normalised values'!B74:V83,10,FALSE)</f>
        <v>ns</v>
      </c>
      <c r="G5" s="19" t="str">
        <f>HLOOKUP(G2,'pooled normalised values'!C74:W83,10,FALSE)</f>
        <v>ns</v>
      </c>
      <c r="H5" s="19" t="str">
        <f>HLOOKUP(H2,'pooled normalised values'!C74:X83,10,FALSE)</f>
        <v>ns</v>
      </c>
      <c r="I5" s="19" t="str">
        <f>HLOOKUP(I2,'pooled normalised values'!D74:Y83,10,FALSE)</f>
        <v>ns</v>
      </c>
      <c r="J5" s="19" t="e">
        <f>HLOOKUP(J2,'pooled normalised values'!E74:Z83,10,FALSE)</f>
        <v>#REF!</v>
      </c>
      <c r="K5" s="19" t="e">
        <f>HLOOKUP(K2,'pooled normalised values'!F74:AA83,10,FALSE)</f>
        <v>#REF!</v>
      </c>
      <c r="L5" s="19" t="e">
        <f>HLOOKUP(L2,'pooled normalised values'!G74:AB83,10,FALSE)</f>
        <v>#REF!</v>
      </c>
      <c r="M5" s="19" t="e">
        <f>HLOOKUP(M2,'pooled normalised values'!H74:AC83,10,FALSE)</f>
        <v>#REF!</v>
      </c>
      <c r="N5" s="19" t="e">
        <f>HLOOKUP(N2,'pooled normalised values'!I74:AD83,10,FALSE)</f>
        <v>#REF!</v>
      </c>
      <c r="O5" s="19" t="e">
        <f>HLOOKUP(O2,'pooled normalised values'!J74:AE83,10,FALSE)</f>
        <v>#REF!</v>
      </c>
      <c r="P5" s="19" t="e">
        <f>HLOOKUP(P2,'pooled normalised values'!K74:AF83,10,FALSE)</f>
        <v>#REF!</v>
      </c>
      <c r="Q5" s="19" t="e">
        <f>HLOOKUP(Q2,'pooled normalised values'!L74:AG83,10,FALSE)</f>
        <v>#REF!</v>
      </c>
      <c r="R5" s="19" t="e">
        <f>HLOOKUP(R2,'pooled normalised values'!M74:AH83,10,FALSE)</f>
        <v>#REF!</v>
      </c>
      <c r="S5" s="19" t="e">
        <f>HLOOKUP(S2,'pooled normalised values'!N74:AI83,10,FALSE)</f>
        <v>#REF!</v>
      </c>
      <c r="T5" s="22"/>
      <c r="U5" s="20"/>
      <c r="V5" s="19" t="str">
        <f>HLOOKUP(V2,'pooled normalised values'!N74:AL83,10,FALSE)</f>
        <v>ns</v>
      </c>
      <c r="W5" s="19" t="str">
        <f>HLOOKUP(W2,'pooled normalised values'!N74:AM83,10,FALSE)</f>
        <v>ns</v>
      </c>
      <c r="X5" s="19" t="str">
        <f>HLOOKUP(X2,'pooled normalised values'!N74:AN83,10,FALSE)</f>
        <v>ns</v>
      </c>
      <c r="Y5" s="19" t="str">
        <f>HLOOKUP(Y2,'pooled normalised values'!N74:AO83,10,FALSE)</f>
        <v>ns</v>
      </c>
      <c r="Z5" s="19" t="str">
        <f>HLOOKUP(Z2,'pooled normalised values'!N74:AP83,10,FALSE)</f>
        <v>*</v>
      </c>
      <c r="AA5" s="19" t="e">
        <f>HLOOKUP(AA2,'pooled normalised values'!N74:AQ83,10,FALSE)</f>
        <v>#REF!</v>
      </c>
      <c r="AB5" s="19" t="e">
        <f>HLOOKUP(AB2,'pooled normalised values'!N74:AR83,10,FALSE)</f>
        <v>#REF!</v>
      </c>
      <c r="AC5" s="19" t="e">
        <f>HLOOKUP(AC2,'pooled normalised values'!N74:AS83,10,FALSE)</f>
        <v>#REF!</v>
      </c>
      <c r="AD5" s="19" t="e">
        <f>HLOOKUP(AD2,'pooled normalised values'!N74:AT83,10,FALSE)</f>
        <v>#REF!</v>
      </c>
      <c r="AE5" s="19" t="e">
        <f>HLOOKUP(AE2,'pooled normalised values'!N74:AU83,10,FALSE)</f>
        <v>#REF!</v>
      </c>
      <c r="AF5" s="19" t="e">
        <f>HLOOKUP(AF2,'pooled normalised values'!N74:AV83,10,FALSE)</f>
        <v>#REF!</v>
      </c>
      <c r="AG5" s="19" t="e">
        <f>HLOOKUP(AG2,'pooled normalised values'!N74:AW83,10,FALSE)</f>
        <v>#REF!</v>
      </c>
      <c r="AH5" s="19" t="e">
        <f>HLOOKUP(AH2,'pooled normalised values'!N74:AX83,10,FALSE)</f>
        <v>#REF!</v>
      </c>
      <c r="AI5" s="19" t="e">
        <f>HLOOKUP(AI2,'pooled normalised values'!N74:AY83,10,FALSE)</f>
        <v>#REF!</v>
      </c>
      <c r="AJ5" s="20"/>
      <c r="AK5" s="23" t="s">
        <v>11</v>
      </c>
    </row>
    <row r="6" spans="1:37" x14ac:dyDescent="0.25">
      <c r="A6" s="17" t="s">
        <v>74</v>
      </c>
      <c r="B6" s="63">
        <f>'pooled normalised values'!Q75</f>
        <v>0.20838704961932908</v>
      </c>
      <c r="D6" s="21" t="s">
        <v>12</v>
      </c>
      <c r="E6" s="24">
        <f>$B$2</f>
        <v>0.29313487556023021</v>
      </c>
      <c r="F6" s="24">
        <f>$B$2</f>
        <v>0.29313487556023021</v>
      </c>
      <c r="G6" s="24">
        <f t="shared" ref="G6:R6" si="0">$B$2</f>
        <v>0.29313487556023021</v>
      </c>
      <c r="H6" s="24">
        <f t="shared" si="0"/>
        <v>0.29313487556023021</v>
      </c>
      <c r="I6" s="24">
        <f t="shared" si="0"/>
        <v>0.29313487556023021</v>
      </c>
      <c r="J6" s="24">
        <f t="shared" si="0"/>
        <v>0.29313487556023021</v>
      </c>
      <c r="K6" s="24">
        <f t="shared" si="0"/>
        <v>0.29313487556023021</v>
      </c>
      <c r="L6" s="24">
        <f t="shared" si="0"/>
        <v>0.29313487556023021</v>
      </c>
      <c r="M6" s="24">
        <f t="shared" si="0"/>
        <v>0.29313487556023021</v>
      </c>
      <c r="N6" s="24">
        <f t="shared" si="0"/>
        <v>0.29313487556023021</v>
      </c>
      <c r="O6" s="24">
        <f t="shared" si="0"/>
        <v>0.29313487556023021</v>
      </c>
      <c r="P6" s="24">
        <f t="shared" si="0"/>
        <v>0.29313487556023021</v>
      </c>
      <c r="Q6" s="24">
        <f t="shared" si="0"/>
        <v>0.29313487556023021</v>
      </c>
      <c r="R6" s="24">
        <f t="shared" si="0"/>
        <v>0.29313487556023021</v>
      </c>
      <c r="S6" s="24">
        <f>$B$2</f>
        <v>0.29313487556023021</v>
      </c>
      <c r="T6" s="24">
        <f>$B$2</f>
        <v>0.29313487556023021</v>
      </c>
      <c r="U6" s="25"/>
      <c r="V6" s="25"/>
      <c r="W6" s="25"/>
      <c r="X6" s="25"/>
      <c r="Y6" s="25"/>
      <c r="Z6" s="25"/>
      <c r="AA6" s="25"/>
      <c r="AB6" s="25"/>
      <c r="AC6" s="25"/>
      <c r="AD6" s="25"/>
      <c r="AE6" s="25"/>
      <c r="AF6" s="25"/>
      <c r="AG6" s="25"/>
      <c r="AH6" s="25"/>
      <c r="AI6" s="25"/>
      <c r="AJ6" s="25"/>
      <c r="AK6" s="21" t="s">
        <v>12</v>
      </c>
    </row>
    <row r="7" spans="1:37" x14ac:dyDescent="0.25">
      <c r="B7" s="26"/>
      <c r="D7" s="26" t="s">
        <v>13</v>
      </c>
      <c r="E7" s="24"/>
      <c r="F7" s="24"/>
      <c r="G7" s="24"/>
      <c r="H7" s="24"/>
      <c r="I7" s="24"/>
      <c r="J7" s="24"/>
      <c r="K7" s="24"/>
      <c r="L7" s="24"/>
      <c r="M7" s="24"/>
      <c r="N7" s="24"/>
      <c r="O7" s="24"/>
      <c r="P7" s="24"/>
      <c r="Q7" s="24"/>
      <c r="R7" s="24"/>
      <c r="S7" s="24"/>
      <c r="T7" s="27"/>
      <c r="U7" s="25">
        <f t="shared" ref="U7:AJ7" si="1">$B$4</f>
        <v>0.99999999999999967</v>
      </c>
      <c r="V7" s="25">
        <f t="shared" si="1"/>
        <v>0.99999999999999967</v>
      </c>
      <c r="W7" s="25">
        <f t="shared" si="1"/>
        <v>0.99999999999999967</v>
      </c>
      <c r="X7" s="25">
        <f t="shared" si="1"/>
        <v>0.99999999999999967</v>
      </c>
      <c r="Y7" s="25">
        <f t="shared" si="1"/>
        <v>0.99999999999999967</v>
      </c>
      <c r="Z7" s="25">
        <f t="shared" si="1"/>
        <v>0.99999999999999967</v>
      </c>
      <c r="AA7" s="25">
        <f t="shared" si="1"/>
        <v>0.99999999999999967</v>
      </c>
      <c r="AB7" s="25">
        <f t="shared" si="1"/>
        <v>0.99999999999999967</v>
      </c>
      <c r="AC7" s="25">
        <f t="shared" si="1"/>
        <v>0.99999999999999967</v>
      </c>
      <c r="AD7" s="25">
        <f t="shared" si="1"/>
        <v>0.99999999999999967</v>
      </c>
      <c r="AE7" s="25">
        <f t="shared" si="1"/>
        <v>0.99999999999999967</v>
      </c>
      <c r="AF7" s="25">
        <f t="shared" si="1"/>
        <v>0.99999999999999967</v>
      </c>
      <c r="AG7" s="25">
        <f t="shared" si="1"/>
        <v>0.99999999999999967</v>
      </c>
      <c r="AH7" s="25">
        <f t="shared" si="1"/>
        <v>0.99999999999999967</v>
      </c>
      <c r="AI7" s="25">
        <f t="shared" si="1"/>
        <v>0.99999999999999967</v>
      </c>
      <c r="AJ7" s="25">
        <f t="shared" si="1"/>
        <v>0.99999999999999967</v>
      </c>
      <c r="AK7" s="26" t="s">
        <v>13</v>
      </c>
    </row>
    <row r="8" spans="1:37" x14ac:dyDescent="0.25">
      <c r="D8" s="28" t="s">
        <v>14</v>
      </c>
      <c r="E8" s="24">
        <v>0</v>
      </c>
      <c r="F8" s="24">
        <v>0</v>
      </c>
      <c r="G8" s="24">
        <v>0</v>
      </c>
      <c r="H8" s="24">
        <v>0</v>
      </c>
      <c r="I8" s="24">
        <v>0</v>
      </c>
      <c r="J8" s="24">
        <v>0</v>
      </c>
      <c r="K8" s="24">
        <v>0</v>
      </c>
      <c r="L8" s="24">
        <v>0</v>
      </c>
      <c r="M8" s="24">
        <v>0</v>
      </c>
      <c r="N8" s="24">
        <v>0</v>
      </c>
      <c r="O8" s="24">
        <v>0</v>
      </c>
      <c r="P8" s="24">
        <v>0</v>
      </c>
      <c r="Q8" s="24">
        <v>0</v>
      </c>
      <c r="R8" s="24">
        <v>0</v>
      </c>
      <c r="S8" s="24">
        <v>0</v>
      </c>
      <c r="T8" s="27">
        <v>0</v>
      </c>
      <c r="U8" s="25">
        <f>$B$6</f>
        <v>0.20838704961932908</v>
      </c>
      <c r="V8" s="25">
        <f t="shared" ref="V8:AJ8" si="2">$B$6</f>
        <v>0.20838704961932908</v>
      </c>
      <c r="W8" s="25">
        <f t="shared" si="2"/>
        <v>0.20838704961932908</v>
      </c>
      <c r="X8" s="25">
        <f t="shared" si="2"/>
        <v>0.20838704961932908</v>
      </c>
      <c r="Y8" s="25">
        <f t="shared" si="2"/>
        <v>0.20838704961932908</v>
      </c>
      <c r="Z8" s="25">
        <f t="shared" si="2"/>
        <v>0.20838704961932908</v>
      </c>
      <c r="AA8" s="25">
        <f t="shared" si="2"/>
        <v>0.20838704961932908</v>
      </c>
      <c r="AB8" s="25">
        <f t="shared" si="2"/>
        <v>0.20838704961932908</v>
      </c>
      <c r="AC8" s="25">
        <f t="shared" si="2"/>
        <v>0.20838704961932908</v>
      </c>
      <c r="AD8" s="25">
        <f t="shared" si="2"/>
        <v>0.20838704961932908</v>
      </c>
      <c r="AE8" s="25">
        <f t="shared" si="2"/>
        <v>0.20838704961932908</v>
      </c>
      <c r="AF8" s="25">
        <f t="shared" si="2"/>
        <v>0.20838704961932908</v>
      </c>
      <c r="AG8" s="25">
        <f t="shared" si="2"/>
        <v>0.20838704961932908</v>
      </c>
      <c r="AH8" s="25">
        <f t="shared" si="2"/>
        <v>0.20838704961932908</v>
      </c>
      <c r="AI8" s="25">
        <f t="shared" si="2"/>
        <v>0.20838704961932908</v>
      </c>
      <c r="AJ8" s="25">
        <f t="shared" si="2"/>
        <v>0.20838704961932908</v>
      </c>
      <c r="AK8" s="28" t="s">
        <v>14</v>
      </c>
    </row>
    <row r="9" spans="1:37" x14ac:dyDescent="0.25">
      <c r="D9" s="28" t="s">
        <v>15</v>
      </c>
      <c r="E9" s="29">
        <f>$B$3-E8</f>
        <v>0</v>
      </c>
      <c r="F9" s="29">
        <f>$B$3-F8</f>
        <v>0</v>
      </c>
      <c r="G9" s="29">
        <f t="shared" ref="G9:R9" si="3">$B$3-G8</f>
        <v>0</v>
      </c>
      <c r="H9" s="29">
        <f t="shared" si="3"/>
        <v>0</v>
      </c>
      <c r="I9" s="29">
        <f t="shared" si="3"/>
        <v>0</v>
      </c>
      <c r="J9" s="29">
        <f t="shared" si="3"/>
        <v>0</v>
      </c>
      <c r="K9" s="29">
        <f t="shared" si="3"/>
        <v>0</v>
      </c>
      <c r="L9" s="29">
        <f t="shared" si="3"/>
        <v>0</v>
      </c>
      <c r="M9" s="29">
        <f t="shared" si="3"/>
        <v>0</v>
      </c>
      <c r="N9" s="29">
        <f t="shared" si="3"/>
        <v>0</v>
      </c>
      <c r="O9" s="29">
        <f t="shared" si="3"/>
        <v>0</v>
      </c>
      <c r="P9" s="29">
        <f t="shared" si="3"/>
        <v>0</v>
      </c>
      <c r="Q9" s="29">
        <f t="shared" si="3"/>
        <v>0</v>
      </c>
      <c r="R9" s="29">
        <f t="shared" si="3"/>
        <v>0</v>
      </c>
      <c r="S9" s="29">
        <f>$B$3-S8</f>
        <v>0</v>
      </c>
      <c r="T9" s="29">
        <f>$B$3-T8</f>
        <v>0</v>
      </c>
      <c r="U9" s="25">
        <f>$B$5-U8</f>
        <v>3.5988129421080703</v>
      </c>
      <c r="V9" s="25">
        <f>$B$5-V8</f>
        <v>3.5988129421080703</v>
      </c>
      <c r="W9" s="25">
        <f t="shared" ref="W9:AH9" si="4">$B$5-W8</f>
        <v>3.5988129421080703</v>
      </c>
      <c r="X9" s="25">
        <f t="shared" si="4"/>
        <v>3.5988129421080703</v>
      </c>
      <c r="Y9" s="25">
        <f t="shared" si="4"/>
        <v>3.5988129421080703</v>
      </c>
      <c r="Z9" s="25">
        <f t="shared" si="4"/>
        <v>3.5988129421080703</v>
      </c>
      <c r="AA9" s="25">
        <f t="shared" si="4"/>
        <v>3.5988129421080703</v>
      </c>
      <c r="AB9" s="25">
        <f t="shared" si="4"/>
        <v>3.5988129421080703</v>
      </c>
      <c r="AC9" s="25">
        <f t="shared" si="4"/>
        <v>3.5988129421080703</v>
      </c>
      <c r="AD9" s="25">
        <f t="shared" si="4"/>
        <v>3.5988129421080703</v>
      </c>
      <c r="AE9" s="25">
        <f t="shared" si="4"/>
        <v>3.5988129421080703</v>
      </c>
      <c r="AF9" s="25">
        <f t="shared" si="4"/>
        <v>3.5988129421080703</v>
      </c>
      <c r="AG9" s="25">
        <f t="shared" si="4"/>
        <v>3.5988129421080703</v>
      </c>
      <c r="AH9" s="25">
        <f t="shared" si="4"/>
        <v>3.5988129421080703</v>
      </c>
      <c r="AI9" s="25">
        <f>$B$5-AI8</f>
        <v>3.5988129421080703</v>
      </c>
      <c r="AJ9" s="25">
        <f>$B$5-AJ8</f>
        <v>3.5988129421080703</v>
      </c>
      <c r="AK9" s="28" t="s">
        <v>15</v>
      </c>
    </row>
    <row r="10" spans="1:37" x14ac:dyDescent="0.25">
      <c r="D10" s="28" t="s">
        <v>16</v>
      </c>
      <c r="E10" s="27">
        <f>2.5-E9</f>
        <v>2.5</v>
      </c>
      <c r="F10" s="27">
        <f>2.5-F9</f>
        <v>2.5</v>
      </c>
      <c r="G10" s="27">
        <f t="shared" ref="G10:R10" si="5">2.5-G9</f>
        <v>2.5</v>
      </c>
      <c r="H10" s="27">
        <f t="shared" si="5"/>
        <v>2.5</v>
      </c>
      <c r="I10" s="27">
        <f t="shared" si="5"/>
        <v>2.5</v>
      </c>
      <c r="J10" s="27">
        <f t="shared" si="5"/>
        <v>2.5</v>
      </c>
      <c r="K10" s="27">
        <f t="shared" si="5"/>
        <v>2.5</v>
      </c>
      <c r="L10" s="27">
        <f t="shared" si="5"/>
        <v>2.5</v>
      </c>
      <c r="M10" s="27">
        <f t="shared" si="5"/>
        <v>2.5</v>
      </c>
      <c r="N10" s="27">
        <f t="shared" si="5"/>
        <v>2.5</v>
      </c>
      <c r="O10" s="27">
        <f t="shared" si="5"/>
        <v>2.5</v>
      </c>
      <c r="P10" s="27">
        <f t="shared" si="5"/>
        <v>2.5</v>
      </c>
      <c r="Q10" s="27">
        <f t="shared" si="5"/>
        <v>2.5</v>
      </c>
      <c r="R10" s="27">
        <f t="shared" si="5"/>
        <v>2.5</v>
      </c>
      <c r="S10" s="27">
        <f>2.5-S9</f>
        <v>2.5</v>
      </c>
      <c r="T10" s="27">
        <f>2.5-T9</f>
        <v>2.5</v>
      </c>
      <c r="U10" s="25">
        <f>2.5-U9</f>
        <v>-1.0988129421080703</v>
      </c>
      <c r="V10" s="25">
        <f>2.5-V9</f>
        <v>-1.0988129421080703</v>
      </c>
      <c r="W10" s="25">
        <f t="shared" ref="W10:AH10" si="6">2.5-W9</f>
        <v>-1.0988129421080703</v>
      </c>
      <c r="X10" s="25">
        <f t="shared" si="6"/>
        <v>-1.0988129421080703</v>
      </c>
      <c r="Y10" s="25">
        <f t="shared" si="6"/>
        <v>-1.0988129421080703</v>
      </c>
      <c r="Z10" s="25">
        <f t="shared" si="6"/>
        <v>-1.0988129421080703</v>
      </c>
      <c r="AA10" s="25">
        <f t="shared" si="6"/>
        <v>-1.0988129421080703</v>
      </c>
      <c r="AB10" s="25">
        <f t="shared" si="6"/>
        <v>-1.0988129421080703</v>
      </c>
      <c r="AC10" s="25">
        <f t="shared" si="6"/>
        <v>-1.0988129421080703</v>
      </c>
      <c r="AD10" s="25">
        <f t="shared" si="6"/>
        <v>-1.0988129421080703</v>
      </c>
      <c r="AE10" s="25">
        <f t="shared" si="6"/>
        <v>-1.0988129421080703</v>
      </c>
      <c r="AF10" s="25">
        <f t="shared" si="6"/>
        <v>-1.0988129421080703</v>
      </c>
      <c r="AG10" s="25">
        <f t="shared" si="6"/>
        <v>-1.0988129421080703</v>
      </c>
      <c r="AH10" s="25">
        <f t="shared" si="6"/>
        <v>-1.0988129421080703</v>
      </c>
      <c r="AI10" s="25">
        <f>2.5-AI9</f>
        <v>-1.0988129421080703</v>
      </c>
      <c r="AJ10" s="25">
        <f>2.5-AJ9</f>
        <v>-1.0988129421080703</v>
      </c>
      <c r="AK10" s="28" t="s">
        <v>16</v>
      </c>
    </row>
    <row r="17" spans="2:20" x14ac:dyDescent="0.25">
      <c r="C17" s="23"/>
      <c r="D17" s="23"/>
    </row>
    <row r="18" spans="2:20" x14ac:dyDescent="0.25">
      <c r="B18" s="30"/>
    </row>
    <row r="19" spans="2:20" x14ac:dyDescent="0.25">
      <c r="B19" s="30"/>
    </row>
    <row r="20" spans="2:20" x14ac:dyDescent="0.25">
      <c r="B20" s="31"/>
    </row>
    <row r="21" spans="2:20" x14ac:dyDescent="0.25">
      <c r="B21" s="30"/>
    </row>
    <row r="22" spans="2:20" x14ac:dyDescent="0.25">
      <c r="B22" s="30"/>
      <c r="T22" s="23"/>
    </row>
    <row r="23" spans="2:20" x14ac:dyDescent="0.25">
      <c r="B23" s="31"/>
      <c r="T23" s="23"/>
    </row>
    <row r="24" spans="2:20" x14ac:dyDescent="0.25">
      <c r="T24" s="23"/>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2:K24"/>
  <sheetViews>
    <sheetView topLeftCell="A16" zoomScale="70" zoomScaleNormal="70" workbookViewId="0">
      <selection activeCell="N34" sqref="N34"/>
    </sheetView>
  </sheetViews>
  <sheetFormatPr baseColWidth="10" defaultRowHeight="12.5" x14ac:dyDescent="0.25"/>
  <cols>
    <col min="1" max="1" width="18.81640625" style="17" customWidth="1"/>
    <col min="2" max="2" width="7.26953125" style="17" bestFit="1" customWidth="1"/>
    <col min="3" max="3" width="10.54296875" style="17" customWidth="1"/>
    <col min="4" max="4" width="13.7265625" style="17" bestFit="1" customWidth="1"/>
    <col min="5" max="5" width="12" style="17" bestFit="1" customWidth="1"/>
    <col min="6" max="6" width="14.81640625" style="17" customWidth="1"/>
    <col min="7" max="8" width="11.453125" style="17"/>
    <col min="9" max="9" width="13.54296875" style="17" bestFit="1" customWidth="1"/>
    <col min="10" max="256" width="11.453125" style="17"/>
    <col min="257" max="257" width="18.7265625" style="17" customWidth="1"/>
    <col min="258" max="258" width="13.7265625" style="17" bestFit="1" customWidth="1"/>
    <col min="259" max="259" width="17.26953125" style="17" customWidth="1"/>
    <col min="260" max="260" width="11" style="17" customWidth="1"/>
    <col min="261" max="261" width="12" style="17" bestFit="1" customWidth="1"/>
    <col min="262" max="262" width="14.81640625" style="17" customWidth="1"/>
    <col min="263" max="512" width="11.453125" style="17"/>
    <col min="513" max="513" width="18.7265625" style="17" customWidth="1"/>
    <col min="514" max="514" width="13.7265625" style="17" bestFit="1" customWidth="1"/>
    <col min="515" max="515" width="17.26953125" style="17" customWidth="1"/>
    <col min="516" max="516" width="11" style="17" customWidth="1"/>
    <col min="517" max="517" width="12" style="17" bestFit="1" customWidth="1"/>
    <col min="518" max="518" width="14.81640625" style="17" customWidth="1"/>
    <col min="519" max="768" width="11.453125" style="17"/>
    <col min="769" max="769" width="18.7265625" style="17" customWidth="1"/>
    <col min="770" max="770" width="13.7265625" style="17" bestFit="1" customWidth="1"/>
    <col min="771" max="771" width="17.26953125" style="17" customWidth="1"/>
    <col min="772" max="772" width="11" style="17" customWidth="1"/>
    <col min="773" max="773" width="12" style="17" bestFit="1" customWidth="1"/>
    <col min="774" max="774" width="14.81640625" style="17" customWidth="1"/>
    <col min="775" max="1024" width="11.453125" style="17"/>
    <col min="1025" max="1025" width="18.7265625" style="17" customWidth="1"/>
    <col min="1026" max="1026" width="13.7265625" style="17" bestFit="1" customWidth="1"/>
    <col min="1027" max="1027" width="17.26953125" style="17" customWidth="1"/>
    <col min="1028" max="1028" width="11" style="17" customWidth="1"/>
    <col min="1029" max="1029" width="12" style="17" bestFit="1" customWidth="1"/>
    <col min="1030" max="1030" width="14.81640625" style="17" customWidth="1"/>
    <col min="1031" max="1280" width="11.453125" style="17"/>
    <col min="1281" max="1281" width="18.7265625" style="17" customWidth="1"/>
    <col min="1282" max="1282" width="13.7265625" style="17" bestFit="1" customWidth="1"/>
    <col min="1283" max="1283" width="17.26953125" style="17" customWidth="1"/>
    <col min="1284" max="1284" width="11" style="17" customWidth="1"/>
    <col min="1285" max="1285" width="12" style="17" bestFit="1" customWidth="1"/>
    <col min="1286" max="1286" width="14.81640625" style="17" customWidth="1"/>
    <col min="1287" max="1536" width="11.453125" style="17"/>
    <col min="1537" max="1537" width="18.7265625" style="17" customWidth="1"/>
    <col min="1538" max="1538" width="13.7265625" style="17" bestFit="1" customWidth="1"/>
    <col min="1539" max="1539" width="17.26953125" style="17" customWidth="1"/>
    <col min="1540" max="1540" width="11" style="17" customWidth="1"/>
    <col min="1541" max="1541" width="12" style="17" bestFit="1" customWidth="1"/>
    <col min="1542" max="1542" width="14.81640625" style="17" customWidth="1"/>
    <col min="1543" max="1792" width="11.453125" style="17"/>
    <col min="1793" max="1793" width="18.7265625" style="17" customWidth="1"/>
    <col min="1794" max="1794" width="13.7265625" style="17" bestFit="1" customWidth="1"/>
    <col min="1795" max="1795" width="17.26953125" style="17" customWidth="1"/>
    <col min="1796" max="1796" width="11" style="17" customWidth="1"/>
    <col min="1797" max="1797" width="12" style="17" bestFit="1" customWidth="1"/>
    <col min="1798" max="1798" width="14.81640625" style="17" customWidth="1"/>
    <col min="1799" max="2048" width="11.453125" style="17"/>
    <col min="2049" max="2049" width="18.7265625" style="17" customWidth="1"/>
    <col min="2050" max="2050" width="13.7265625" style="17" bestFit="1" customWidth="1"/>
    <col min="2051" max="2051" width="17.26953125" style="17" customWidth="1"/>
    <col min="2052" max="2052" width="11" style="17" customWidth="1"/>
    <col min="2053" max="2053" width="12" style="17" bestFit="1" customWidth="1"/>
    <col min="2054" max="2054" width="14.81640625" style="17" customWidth="1"/>
    <col min="2055" max="2304" width="11.453125" style="17"/>
    <col min="2305" max="2305" width="18.7265625" style="17" customWidth="1"/>
    <col min="2306" max="2306" width="13.7265625" style="17" bestFit="1" customWidth="1"/>
    <col min="2307" max="2307" width="17.26953125" style="17" customWidth="1"/>
    <col min="2308" max="2308" width="11" style="17" customWidth="1"/>
    <col min="2309" max="2309" width="12" style="17" bestFit="1" customWidth="1"/>
    <col min="2310" max="2310" width="14.81640625" style="17" customWidth="1"/>
    <col min="2311" max="2560" width="11.453125" style="17"/>
    <col min="2561" max="2561" width="18.7265625" style="17" customWidth="1"/>
    <col min="2562" max="2562" width="13.7265625" style="17" bestFit="1" customWidth="1"/>
    <col min="2563" max="2563" width="17.26953125" style="17" customWidth="1"/>
    <col min="2564" max="2564" width="11" style="17" customWidth="1"/>
    <col min="2565" max="2565" width="12" style="17" bestFit="1" customWidth="1"/>
    <col min="2566" max="2566" width="14.81640625" style="17" customWidth="1"/>
    <col min="2567" max="2816" width="11.453125" style="17"/>
    <col min="2817" max="2817" width="18.7265625" style="17" customWidth="1"/>
    <col min="2818" max="2818" width="13.7265625" style="17" bestFit="1" customWidth="1"/>
    <col min="2819" max="2819" width="17.26953125" style="17" customWidth="1"/>
    <col min="2820" max="2820" width="11" style="17" customWidth="1"/>
    <col min="2821" max="2821" width="12" style="17" bestFit="1" customWidth="1"/>
    <col min="2822" max="2822" width="14.81640625" style="17" customWidth="1"/>
    <col min="2823" max="3072" width="11.453125" style="17"/>
    <col min="3073" max="3073" width="18.7265625" style="17" customWidth="1"/>
    <col min="3074" max="3074" width="13.7265625" style="17" bestFit="1" customWidth="1"/>
    <col min="3075" max="3075" width="17.26953125" style="17" customWidth="1"/>
    <col min="3076" max="3076" width="11" style="17" customWidth="1"/>
    <col min="3077" max="3077" width="12" style="17" bestFit="1" customWidth="1"/>
    <col min="3078" max="3078" width="14.81640625" style="17" customWidth="1"/>
    <col min="3079" max="3328" width="11.453125" style="17"/>
    <col min="3329" max="3329" width="18.7265625" style="17" customWidth="1"/>
    <col min="3330" max="3330" width="13.7265625" style="17" bestFit="1" customWidth="1"/>
    <col min="3331" max="3331" width="17.26953125" style="17" customWidth="1"/>
    <col min="3332" max="3332" width="11" style="17" customWidth="1"/>
    <col min="3333" max="3333" width="12" style="17" bestFit="1" customWidth="1"/>
    <col min="3334" max="3334" width="14.81640625" style="17" customWidth="1"/>
    <col min="3335" max="3584" width="11.453125" style="17"/>
    <col min="3585" max="3585" width="18.7265625" style="17" customWidth="1"/>
    <col min="3586" max="3586" width="13.7265625" style="17" bestFit="1" customWidth="1"/>
    <col min="3587" max="3587" width="17.26953125" style="17" customWidth="1"/>
    <col min="3588" max="3588" width="11" style="17" customWidth="1"/>
    <col min="3589" max="3589" width="12" style="17" bestFit="1" customWidth="1"/>
    <col min="3590" max="3590" width="14.81640625" style="17" customWidth="1"/>
    <col min="3591" max="3840" width="11.453125" style="17"/>
    <col min="3841" max="3841" width="18.7265625" style="17" customWidth="1"/>
    <col min="3842" max="3842" width="13.7265625" style="17" bestFit="1" customWidth="1"/>
    <col min="3843" max="3843" width="17.26953125" style="17" customWidth="1"/>
    <col min="3844" max="3844" width="11" style="17" customWidth="1"/>
    <col min="3845" max="3845" width="12" style="17" bestFit="1" customWidth="1"/>
    <col min="3846" max="3846" width="14.81640625" style="17" customWidth="1"/>
    <col min="3847" max="4096" width="11.453125" style="17"/>
    <col min="4097" max="4097" width="18.7265625" style="17" customWidth="1"/>
    <col min="4098" max="4098" width="13.7265625" style="17" bestFit="1" customWidth="1"/>
    <col min="4099" max="4099" width="17.26953125" style="17" customWidth="1"/>
    <col min="4100" max="4100" width="11" style="17" customWidth="1"/>
    <col min="4101" max="4101" width="12" style="17" bestFit="1" customWidth="1"/>
    <col min="4102" max="4102" width="14.81640625" style="17" customWidth="1"/>
    <col min="4103" max="4352" width="11.453125" style="17"/>
    <col min="4353" max="4353" width="18.7265625" style="17" customWidth="1"/>
    <col min="4354" max="4354" width="13.7265625" style="17" bestFit="1" customWidth="1"/>
    <col min="4355" max="4355" width="17.26953125" style="17" customWidth="1"/>
    <col min="4356" max="4356" width="11" style="17" customWidth="1"/>
    <col min="4357" max="4357" width="12" style="17" bestFit="1" customWidth="1"/>
    <col min="4358" max="4358" width="14.81640625" style="17" customWidth="1"/>
    <col min="4359" max="4608" width="11.453125" style="17"/>
    <col min="4609" max="4609" width="18.7265625" style="17" customWidth="1"/>
    <col min="4610" max="4610" width="13.7265625" style="17" bestFit="1" customWidth="1"/>
    <col min="4611" max="4611" width="17.26953125" style="17" customWidth="1"/>
    <col min="4612" max="4612" width="11" style="17" customWidth="1"/>
    <col min="4613" max="4613" width="12" style="17" bestFit="1" customWidth="1"/>
    <col min="4614" max="4614" width="14.81640625" style="17" customWidth="1"/>
    <col min="4615" max="4864" width="11.453125" style="17"/>
    <col min="4865" max="4865" width="18.7265625" style="17" customWidth="1"/>
    <col min="4866" max="4866" width="13.7265625" style="17" bestFit="1" customWidth="1"/>
    <col min="4867" max="4867" width="17.26953125" style="17" customWidth="1"/>
    <col min="4868" max="4868" width="11" style="17" customWidth="1"/>
    <col min="4869" max="4869" width="12" style="17" bestFit="1" customWidth="1"/>
    <col min="4870" max="4870" width="14.81640625" style="17" customWidth="1"/>
    <col min="4871" max="5120" width="11.453125" style="17"/>
    <col min="5121" max="5121" width="18.7265625" style="17" customWidth="1"/>
    <col min="5122" max="5122" width="13.7265625" style="17" bestFit="1" customWidth="1"/>
    <col min="5123" max="5123" width="17.26953125" style="17" customWidth="1"/>
    <col min="5124" max="5124" width="11" style="17" customWidth="1"/>
    <col min="5125" max="5125" width="12" style="17" bestFit="1" customWidth="1"/>
    <col min="5126" max="5126" width="14.81640625" style="17" customWidth="1"/>
    <col min="5127" max="5376" width="11.453125" style="17"/>
    <col min="5377" max="5377" width="18.7265625" style="17" customWidth="1"/>
    <col min="5378" max="5378" width="13.7265625" style="17" bestFit="1" customWidth="1"/>
    <col min="5379" max="5379" width="17.26953125" style="17" customWidth="1"/>
    <col min="5380" max="5380" width="11" style="17" customWidth="1"/>
    <col min="5381" max="5381" width="12" style="17" bestFit="1" customWidth="1"/>
    <col min="5382" max="5382" width="14.81640625" style="17" customWidth="1"/>
    <col min="5383" max="5632" width="11.453125" style="17"/>
    <col min="5633" max="5633" width="18.7265625" style="17" customWidth="1"/>
    <col min="5634" max="5634" width="13.7265625" style="17" bestFit="1" customWidth="1"/>
    <col min="5635" max="5635" width="17.26953125" style="17" customWidth="1"/>
    <col min="5636" max="5636" width="11" style="17" customWidth="1"/>
    <col min="5637" max="5637" width="12" style="17" bestFit="1" customWidth="1"/>
    <col min="5638" max="5638" width="14.81640625" style="17" customWidth="1"/>
    <col min="5639" max="5888" width="11.453125" style="17"/>
    <col min="5889" max="5889" width="18.7265625" style="17" customWidth="1"/>
    <col min="5890" max="5890" width="13.7265625" style="17" bestFit="1" customWidth="1"/>
    <col min="5891" max="5891" width="17.26953125" style="17" customWidth="1"/>
    <col min="5892" max="5892" width="11" style="17" customWidth="1"/>
    <col min="5893" max="5893" width="12" style="17" bestFit="1" customWidth="1"/>
    <col min="5894" max="5894" width="14.81640625" style="17" customWidth="1"/>
    <col min="5895" max="6144" width="11.453125" style="17"/>
    <col min="6145" max="6145" width="18.7265625" style="17" customWidth="1"/>
    <col min="6146" max="6146" width="13.7265625" style="17" bestFit="1" customWidth="1"/>
    <col min="6147" max="6147" width="17.26953125" style="17" customWidth="1"/>
    <col min="6148" max="6148" width="11" style="17" customWidth="1"/>
    <col min="6149" max="6149" width="12" style="17" bestFit="1" customWidth="1"/>
    <col min="6150" max="6150" width="14.81640625" style="17" customWidth="1"/>
    <col min="6151" max="6400" width="11.453125" style="17"/>
    <col min="6401" max="6401" width="18.7265625" style="17" customWidth="1"/>
    <col min="6402" max="6402" width="13.7265625" style="17" bestFit="1" customWidth="1"/>
    <col min="6403" max="6403" width="17.26953125" style="17" customWidth="1"/>
    <col min="6404" max="6404" width="11" style="17" customWidth="1"/>
    <col min="6405" max="6405" width="12" style="17" bestFit="1" customWidth="1"/>
    <col min="6406" max="6406" width="14.81640625" style="17" customWidth="1"/>
    <col min="6407" max="6656" width="11.453125" style="17"/>
    <col min="6657" max="6657" width="18.7265625" style="17" customWidth="1"/>
    <col min="6658" max="6658" width="13.7265625" style="17" bestFit="1" customWidth="1"/>
    <col min="6659" max="6659" width="17.26953125" style="17" customWidth="1"/>
    <col min="6660" max="6660" width="11" style="17" customWidth="1"/>
    <col min="6661" max="6661" width="12" style="17" bestFit="1" customWidth="1"/>
    <col min="6662" max="6662" width="14.81640625" style="17" customWidth="1"/>
    <col min="6663" max="6912" width="11.453125" style="17"/>
    <col min="6913" max="6913" width="18.7265625" style="17" customWidth="1"/>
    <col min="6914" max="6914" width="13.7265625" style="17" bestFit="1" customWidth="1"/>
    <col min="6915" max="6915" width="17.26953125" style="17" customWidth="1"/>
    <col min="6916" max="6916" width="11" style="17" customWidth="1"/>
    <col min="6917" max="6917" width="12" style="17" bestFit="1" customWidth="1"/>
    <col min="6918" max="6918" width="14.81640625" style="17" customWidth="1"/>
    <col min="6919" max="7168" width="11.453125" style="17"/>
    <col min="7169" max="7169" width="18.7265625" style="17" customWidth="1"/>
    <col min="7170" max="7170" width="13.7265625" style="17" bestFit="1" customWidth="1"/>
    <col min="7171" max="7171" width="17.26953125" style="17" customWidth="1"/>
    <col min="7172" max="7172" width="11" style="17" customWidth="1"/>
    <col min="7173" max="7173" width="12" style="17" bestFit="1" customWidth="1"/>
    <col min="7174" max="7174" width="14.81640625" style="17" customWidth="1"/>
    <col min="7175" max="7424" width="11.453125" style="17"/>
    <col min="7425" max="7425" width="18.7265625" style="17" customWidth="1"/>
    <col min="7426" max="7426" width="13.7265625" style="17" bestFit="1" customWidth="1"/>
    <col min="7427" max="7427" width="17.26953125" style="17" customWidth="1"/>
    <col min="7428" max="7428" width="11" style="17" customWidth="1"/>
    <col min="7429" max="7429" width="12" style="17" bestFit="1" customWidth="1"/>
    <col min="7430" max="7430" width="14.81640625" style="17" customWidth="1"/>
    <col min="7431" max="7680" width="11.453125" style="17"/>
    <col min="7681" max="7681" width="18.7265625" style="17" customWidth="1"/>
    <col min="7682" max="7682" width="13.7265625" style="17" bestFit="1" customWidth="1"/>
    <col min="7683" max="7683" width="17.26953125" style="17" customWidth="1"/>
    <col min="7684" max="7684" width="11" style="17" customWidth="1"/>
    <col min="7685" max="7685" width="12" style="17" bestFit="1" customWidth="1"/>
    <col min="7686" max="7686" width="14.81640625" style="17" customWidth="1"/>
    <col min="7687" max="7936" width="11.453125" style="17"/>
    <col min="7937" max="7937" width="18.7265625" style="17" customWidth="1"/>
    <col min="7938" max="7938" width="13.7265625" style="17" bestFit="1" customWidth="1"/>
    <col min="7939" max="7939" width="17.26953125" style="17" customWidth="1"/>
    <col min="7940" max="7940" width="11" style="17" customWidth="1"/>
    <col min="7941" max="7941" width="12" style="17" bestFit="1" customWidth="1"/>
    <col min="7942" max="7942" width="14.81640625" style="17" customWidth="1"/>
    <col min="7943" max="8192" width="11.453125" style="17"/>
    <col min="8193" max="8193" width="18.7265625" style="17" customWidth="1"/>
    <col min="8194" max="8194" width="13.7265625" style="17" bestFit="1" customWidth="1"/>
    <col min="8195" max="8195" width="17.26953125" style="17" customWidth="1"/>
    <col min="8196" max="8196" width="11" style="17" customWidth="1"/>
    <col min="8197" max="8197" width="12" style="17" bestFit="1" customWidth="1"/>
    <col min="8198" max="8198" width="14.81640625" style="17" customWidth="1"/>
    <col min="8199" max="8448" width="11.453125" style="17"/>
    <col min="8449" max="8449" width="18.7265625" style="17" customWidth="1"/>
    <col min="8450" max="8450" width="13.7265625" style="17" bestFit="1" customWidth="1"/>
    <col min="8451" max="8451" width="17.26953125" style="17" customWidth="1"/>
    <col min="8452" max="8452" width="11" style="17" customWidth="1"/>
    <col min="8453" max="8453" width="12" style="17" bestFit="1" customWidth="1"/>
    <col min="8454" max="8454" width="14.81640625" style="17" customWidth="1"/>
    <col min="8455" max="8704" width="11.453125" style="17"/>
    <col min="8705" max="8705" width="18.7265625" style="17" customWidth="1"/>
    <col min="8706" max="8706" width="13.7265625" style="17" bestFit="1" customWidth="1"/>
    <col min="8707" max="8707" width="17.26953125" style="17" customWidth="1"/>
    <col min="8708" max="8708" width="11" style="17" customWidth="1"/>
    <col min="8709" max="8709" width="12" style="17" bestFit="1" customWidth="1"/>
    <col min="8710" max="8710" width="14.81640625" style="17" customWidth="1"/>
    <col min="8711" max="8960" width="11.453125" style="17"/>
    <col min="8961" max="8961" width="18.7265625" style="17" customWidth="1"/>
    <col min="8962" max="8962" width="13.7265625" style="17" bestFit="1" customWidth="1"/>
    <col min="8963" max="8963" width="17.26953125" style="17" customWidth="1"/>
    <col min="8964" max="8964" width="11" style="17" customWidth="1"/>
    <col min="8965" max="8965" width="12" style="17" bestFit="1" customWidth="1"/>
    <col min="8966" max="8966" width="14.81640625" style="17" customWidth="1"/>
    <col min="8967" max="9216" width="11.453125" style="17"/>
    <col min="9217" max="9217" width="18.7265625" style="17" customWidth="1"/>
    <col min="9218" max="9218" width="13.7265625" style="17" bestFit="1" customWidth="1"/>
    <col min="9219" max="9219" width="17.26953125" style="17" customWidth="1"/>
    <col min="9220" max="9220" width="11" style="17" customWidth="1"/>
    <col min="9221" max="9221" width="12" style="17" bestFit="1" customWidth="1"/>
    <col min="9222" max="9222" width="14.81640625" style="17" customWidth="1"/>
    <col min="9223" max="9472" width="11.453125" style="17"/>
    <col min="9473" max="9473" width="18.7265625" style="17" customWidth="1"/>
    <col min="9474" max="9474" width="13.7265625" style="17" bestFit="1" customWidth="1"/>
    <col min="9475" max="9475" width="17.26953125" style="17" customWidth="1"/>
    <col min="9476" max="9476" width="11" style="17" customWidth="1"/>
    <col min="9477" max="9477" width="12" style="17" bestFit="1" customWidth="1"/>
    <col min="9478" max="9478" width="14.81640625" style="17" customWidth="1"/>
    <col min="9479" max="9728" width="11.453125" style="17"/>
    <col min="9729" max="9729" width="18.7265625" style="17" customWidth="1"/>
    <col min="9730" max="9730" width="13.7265625" style="17" bestFit="1" customWidth="1"/>
    <col min="9731" max="9731" width="17.26953125" style="17" customWidth="1"/>
    <col min="9732" max="9732" width="11" style="17" customWidth="1"/>
    <col min="9733" max="9733" width="12" style="17" bestFit="1" customWidth="1"/>
    <col min="9734" max="9734" width="14.81640625" style="17" customWidth="1"/>
    <col min="9735" max="9984" width="11.453125" style="17"/>
    <col min="9985" max="9985" width="18.7265625" style="17" customWidth="1"/>
    <col min="9986" max="9986" width="13.7265625" style="17" bestFit="1" customWidth="1"/>
    <col min="9987" max="9987" width="17.26953125" style="17" customWidth="1"/>
    <col min="9988" max="9988" width="11" style="17" customWidth="1"/>
    <col min="9989" max="9989" width="12" style="17" bestFit="1" customWidth="1"/>
    <col min="9990" max="9990" width="14.81640625" style="17" customWidth="1"/>
    <col min="9991" max="10240" width="11.453125" style="17"/>
    <col min="10241" max="10241" width="18.7265625" style="17" customWidth="1"/>
    <col min="10242" max="10242" width="13.7265625" style="17" bestFit="1" customWidth="1"/>
    <col min="10243" max="10243" width="17.26953125" style="17" customWidth="1"/>
    <col min="10244" max="10244" width="11" style="17" customWidth="1"/>
    <col min="10245" max="10245" width="12" style="17" bestFit="1" customWidth="1"/>
    <col min="10246" max="10246" width="14.81640625" style="17" customWidth="1"/>
    <col min="10247" max="10496" width="11.453125" style="17"/>
    <col min="10497" max="10497" width="18.7265625" style="17" customWidth="1"/>
    <col min="10498" max="10498" width="13.7265625" style="17" bestFit="1" customWidth="1"/>
    <col min="10499" max="10499" width="17.26953125" style="17" customWidth="1"/>
    <col min="10500" max="10500" width="11" style="17" customWidth="1"/>
    <col min="10501" max="10501" width="12" style="17" bestFit="1" customWidth="1"/>
    <col min="10502" max="10502" width="14.81640625" style="17" customWidth="1"/>
    <col min="10503" max="10752" width="11.453125" style="17"/>
    <col min="10753" max="10753" width="18.7265625" style="17" customWidth="1"/>
    <col min="10754" max="10754" width="13.7265625" style="17" bestFit="1" customWidth="1"/>
    <col min="10755" max="10755" width="17.26953125" style="17" customWidth="1"/>
    <col min="10756" max="10756" width="11" style="17" customWidth="1"/>
    <col min="10757" max="10757" width="12" style="17" bestFit="1" customWidth="1"/>
    <col min="10758" max="10758" width="14.81640625" style="17" customWidth="1"/>
    <col min="10759" max="11008" width="11.453125" style="17"/>
    <col min="11009" max="11009" width="18.7265625" style="17" customWidth="1"/>
    <col min="11010" max="11010" width="13.7265625" style="17" bestFit="1" customWidth="1"/>
    <col min="11011" max="11011" width="17.26953125" style="17" customWidth="1"/>
    <col min="11012" max="11012" width="11" style="17" customWidth="1"/>
    <col min="11013" max="11013" width="12" style="17" bestFit="1" customWidth="1"/>
    <col min="11014" max="11014" width="14.81640625" style="17" customWidth="1"/>
    <col min="11015" max="11264" width="11.453125" style="17"/>
    <col min="11265" max="11265" width="18.7265625" style="17" customWidth="1"/>
    <col min="11266" max="11266" width="13.7265625" style="17" bestFit="1" customWidth="1"/>
    <col min="11267" max="11267" width="17.26953125" style="17" customWidth="1"/>
    <col min="11268" max="11268" width="11" style="17" customWidth="1"/>
    <col min="11269" max="11269" width="12" style="17" bestFit="1" customWidth="1"/>
    <col min="11270" max="11270" width="14.81640625" style="17" customWidth="1"/>
    <col min="11271" max="11520" width="11.453125" style="17"/>
    <col min="11521" max="11521" width="18.7265625" style="17" customWidth="1"/>
    <col min="11522" max="11522" width="13.7265625" style="17" bestFit="1" customWidth="1"/>
    <col min="11523" max="11523" width="17.26953125" style="17" customWidth="1"/>
    <col min="11524" max="11524" width="11" style="17" customWidth="1"/>
    <col min="11525" max="11525" width="12" style="17" bestFit="1" customWidth="1"/>
    <col min="11526" max="11526" width="14.81640625" style="17" customWidth="1"/>
    <col min="11527" max="11776" width="11.453125" style="17"/>
    <col min="11777" max="11777" width="18.7265625" style="17" customWidth="1"/>
    <col min="11778" max="11778" width="13.7265625" style="17" bestFit="1" customWidth="1"/>
    <col min="11779" max="11779" width="17.26953125" style="17" customWidth="1"/>
    <col min="11780" max="11780" width="11" style="17" customWidth="1"/>
    <col min="11781" max="11781" width="12" style="17" bestFit="1" customWidth="1"/>
    <col min="11782" max="11782" width="14.81640625" style="17" customWidth="1"/>
    <col min="11783" max="12032" width="11.453125" style="17"/>
    <col min="12033" max="12033" width="18.7265625" style="17" customWidth="1"/>
    <col min="12034" max="12034" width="13.7265625" style="17" bestFit="1" customWidth="1"/>
    <col min="12035" max="12035" width="17.26953125" style="17" customWidth="1"/>
    <col min="12036" max="12036" width="11" style="17" customWidth="1"/>
    <col min="12037" max="12037" width="12" style="17" bestFit="1" customWidth="1"/>
    <col min="12038" max="12038" width="14.81640625" style="17" customWidth="1"/>
    <col min="12039" max="12288" width="11.453125" style="17"/>
    <col min="12289" max="12289" width="18.7265625" style="17" customWidth="1"/>
    <col min="12290" max="12290" width="13.7265625" style="17" bestFit="1" customWidth="1"/>
    <col min="12291" max="12291" width="17.26953125" style="17" customWidth="1"/>
    <col min="12292" max="12292" width="11" style="17" customWidth="1"/>
    <col min="12293" max="12293" width="12" style="17" bestFit="1" customWidth="1"/>
    <col min="12294" max="12294" width="14.81640625" style="17" customWidth="1"/>
    <col min="12295" max="12544" width="11.453125" style="17"/>
    <col min="12545" max="12545" width="18.7265625" style="17" customWidth="1"/>
    <col min="12546" max="12546" width="13.7265625" style="17" bestFit="1" customWidth="1"/>
    <col min="12547" max="12547" width="17.26953125" style="17" customWidth="1"/>
    <col min="12548" max="12548" width="11" style="17" customWidth="1"/>
    <col min="12549" max="12549" width="12" style="17" bestFit="1" customWidth="1"/>
    <col min="12550" max="12550" width="14.81640625" style="17" customWidth="1"/>
    <col min="12551" max="12800" width="11.453125" style="17"/>
    <col min="12801" max="12801" width="18.7265625" style="17" customWidth="1"/>
    <col min="12802" max="12802" width="13.7265625" style="17" bestFit="1" customWidth="1"/>
    <col min="12803" max="12803" width="17.26953125" style="17" customWidth="1"/>
    <col min="12804" max="12804" width="11" style="17" customWidth="1"/>
    <col min="12805" max="12805" width="12" style="17" bestFit="1" customWidth="1"/>
    <col min="12806" max="12806" width="14.81640625" style="17" customWidth="1"/>
    <col min="12807" max="13056" width="11.453125" style="17"/>
    <col min="13057" max="13057" width="18.7265625" style="17" customWidth="1"/>
    <col min="13058" max="13058" width="13.7265625" style="17" bestFit="1" customWidth="1"/>
    <col min="13059" max="13059" width="17.26953125" style="17" customWidth="1"/>
    <col min="13060" max="13060" width="11" style="17" customWidth="1"/>
    <col min="13061" max="13061" width="12" style="17" bestFit="1" customWidth="1"/>
    <col min="13062" max="13062" width="14.81640625" style="17" customWidth="1"/>
    <col min="13063" max="13312" width="11.453125" style="17"/>
    <col min="13313" max="13313" width="18.7265625" style="17" customWidth="1"/>
    <col min="13314" max="13314" width="13.7265625" style="17" bestFit="1" customWidth="1"/>
    <col min="13315" max="13315" width="17.26953125" style="17" customWidth="1"/>
    <col min="13316" max="13316" width="11" style="17" customWidth="1"/>
    <col min="13317" max="13317" width="12" style="17" bestFit="1" customWidth="1"/>
    <col min="13318" max="13318" width="14.81640625" style="17" customWidth="1"/>
    <col min="13319" max="13568" width="11.453125" style="17"/>
    <col min="13569" max="13569" width="18.7265625" style="17" customWidth="1"/>
    <col min="13570" max="13570" width="13.7265625" style="17" bestFit="1" customWidth="1"/>
    <col min="13571" max="13571" width="17.26953125" style="17" customWidth="1"/>
    <col min="13572" max="13572" width="11" style="17" customWidth="1"/>
    <col min="13573" max="13573" width="12" style="17" bestFit="1" customWidth="1"/>
    <col min="13574" max="13574" width="14.81640625" style="17" customWidth="1"/>
    <col min="13575" max="13824" width="11.453125" style="17"/>
    <col min="13825" max="13825" width="18.7265625" style="17" customWidth="1"/>
    <col min="13826" max="13826" width="13.7265625" style="17" bestFit="1" customWidth="1"/>
    <col min="13827" max="13827" width="17.26953125" style="17" customWidth="1"/>
    <col min="13828" max="13828" width="11" style="17" customWidth="1"/>
    <col min="13829" max="13829" width="12" style="17" bestFit="1" customWidth="1"/>
    <col min="13830" max="13830" width="14.81640625" style="17" customWidth="1"/>
    <col min="13831" max="14080" width="11.453125" style="17"/>
    <col min="14081" max="14081" width="18.7265625" style="17" customWidth="1"/>
    <col min="14082" max="14082" width="13.7265625" style="17" bestFit="1" customWidth="1"/>
    <col min="14083" max="14083" width="17.26953125" style="17" customWidth="1"/>
    <col min="14084" max="14084" width="11" style="17" customWidth="1"/>
    <col min="14085" max="14085" width="12" style="17" bestFit="1" customWidth="1"/>
    <col min="14086" max="14086" width="14.81640625" style="17" customWidth="1"/>
    <col min="14087" max="14336" width="11.453125" style="17"/>
    <col min="14337" max="14337" width="18.7265625" style="17" customWidth="1"/>
    <col min="14338" max="14338" width="13.7265625" style="17" bestFit="1" customWidth="1"/>
    <col min="14339" max="14339" width="17.26953125" style="17" customWidth="1"/>
    <col min="14340" max="14340" width="11" style="17" customWidth="1"/>
    <col min="14341" max="14341" width="12" style="17" bestFit="1" customWidth="1"/>
    <col min="14342" max="14342" width="14.81640625" style="17" customWidth="1"/>
    <col min="14343" max="14592" width="11.453125" style="17"/>
    <col min="14593" max="14593" width="18.7265625" style="17" customWidth="1"/>
    <col min="14594" max="14594" width="13.7265625" style="17" bestFit="1" customWidth="1"/>
    <col min="14595" max="14595" width="17.26953125" style="17" customWidth="1"/>
    <col min="14596" max="14596" width="11" style="17" customWidth="1"/>
    <col min="14597" max="14597" width="12" style="17" bestFit="1" customWidth="1"/>
    <col min="14598" max="14598" width="14.81640625" style="17" customWidth="1"/>
    <col min="14599" max="14848" width="11.453125" style="17"/>
    <col min="14849" max="14849" width="18.7265625" style="17" customWidth="1"/>
    <col min="14850" max="14850" width="13.7265625" style="17" bestFit="1" customWidth="1"/>
    <col min="14851" max="14851" width="17.26953125" style="17" customWidth="1"/>
    <col min="14852" max="14852" width="11" style="17" customWidth="1"/>
    <col min="14853" max="14853" width="12" style="17" bestFit="1" customWidth="1"/>
    <col min="14854" max="14854" width="14.81640625" style="17" customWidth="1"/>
    <col min="14855" max="15104" width="11.453125" style="17"/>
    <col min="15105" max="15105" width="18.7265625" style="17" customWidth="1"/>
    <col min="15106" max="15106" width="13.7265625" style="17" bestFit="1" customWidth="1"/>
    <col min="15107" max="15107" width="17.26953125" style="17" customWidth="1"/>
    <col min="15108" max="15108" width="11" style="17" customWidth="1"/>
    <col min="15109" max="15109" width="12" style="17" bestFit="1" customWidth="1"/>
    <col min="15110" max="15110" width="14.81640625" style="17" customWidth="1"/>
    <col min="15111" max="15360" width="11.453125" style="17"/>
    <col min="15361" max="15361" width="18.7265625" style="17" customWidth="1"/>
    <col min="15362" max="15362" width="13.7265625" style="17" bestFit="1" customWidth="1"/>
    <col min="15363" max="15363" width="17.26953125" style="17" customWidth="1"/>
    <col min="15364" max="15364" width="11" style="17" customWidth="1"/>
    <col min="15365" max="15365" width="12" style="17" bestFit="1" customWidth="1"/>
    <col min="15366" max="15366" width="14.81640625" style="17" customWidth="1"/>
    <col min="15367" max="15616" width="11.453125" style="17"/>
    <col min="15617" max="15617" width="18.7265625" style="17" customWidth="1"/>
    <col min="15618" max="15618" width="13.7265625" style="17" bestFit="1" customWidth="1"/>
    <col min="15619" max="15619" width="17.26953125" style="17" customWidth="1"/>
    <col min="15620" max="15620" width="11" style="17" customWidth="1"/>
    <col min="15621" max="15621" width="12" style="17" bestFit="1" customWidth="1"/>
    <col min="15622" max="15622" width="14.81640625" style="17" customWidth="1"/>
    <col min="15623" max="15872" width="11.453125" style="17"/>
    <col min="15873" max="15873" width="18.7265625" style="17" customWidth="1"/>
    <col min="15874" max="15874" width="13.7265625" style="17" bestFit="1" customWidth="1"/>
    <col min="15875" max="15875" width="17.26953125" style="17" customWidth="1"/>
    <col min="15876" max="15876" width="11" style="17" customWidth="1"/>
    <col min="15877" max="15877" width="12" style="17" bestFit="1" customWidth="1"/>
    <col min="15878" max="15878" width="14.81640625" style="17" customWidth="1"/>
    <col min="15879" max="16128" width="11.453125" style="17"/>
    <col min="16129" max="16129" width="18.7265625" style="17" customWidth="1"/>
    <col min="16130" max="16130" width="13.7265625" style="17" bestFit="1" customWidth="1"/>
    <col min="16131" max="16131" width="17.26953125" style="17" customWidth="1"/>
    <col min="16132" max="16132" width="11" style="17" customWidth="1"/>
    <col min="16133" max="16133" width="12" style="17" bestFit="1" customWidth="1"/>
    <col min="16134" max="16134" width="14.81640625" style="17" customWidth="1"/>
    <col min="16135" max="16384" width="11.453125" style="17"/>
  </cols>
  <sheetData>
    <row r="2" spans="1:11" x14ac:dyDescent="0.25">
      <c r="A2" s="17" t="s">
        <v>70</v>
      </c>
      <c r="B2" s="63">
        <f>'pooled normalised values'!B75</f>
        <v>0.29313487556023021</v>
      </c>
      <c r="D2" s="17" t="s">
        <v>9</v>
      </c>
      <c r="E2" s="18"/>
      <c r="F2" s="19" t="str">
        <f>'pooled normalised values'!J74</f>
        <v>Dutasteride-0,1mg/L</v>
      </c>
      <c r="G2" s="18"/>
      <c r="H2" s="20"/>
      <c r="I2" s="19" t="str">
        <f>'pooled normalised values'!R74</f>
        <v>Dutasteride-0,01mg/L + Testostérone</v>
      </c>
      <c r="J2" s="20"/>
      <c r="K2" s="17" t="s">
        <v>9</v>
      </c>
    </row>
    <row r="3" spans="1:11" x14ac:dyDescent="0.25">
      <c r="A3" s="17" t="s">
        <v>71</v>
      </c>
      <c r="B3" s="63">
        <f>'summary results'!E6</f>
        <v>0</v>
      </c>
      <c r="D3" s="21" t="s">
        <v>10</v>
      </c>
      <c r="E3" s="22"/>
      <c r="F3" s="19">
        <f>HLOOKUP(F2,'pooled normalised values'!B74:V83,2,FALSE)</f>
        <v>0.15403073547342597</v>
      </c>
      <c r="G3" s="22"/>
      <c r="H3" s="20"/>
      <c r="I3" s="19">
        <f>HLOOKUP(I2,'pooled normalised values'!N74:AL83,2,FALSE)</f>
        <v>1.3360265048474209</v>
      </c>
      <c r="J3" s="20"/>
      <c r="K3" s="21" t="s">
        <v>10</v>
      </c>
    </row>
    <row r="4" spans="1:11" x14ac:dyDescent="0.25">
      <c r="A4" s="17" t="s">
        <v>72</v>
      </c>
      <c r="B4" s="63">
        <f>'pooled normalised values'!O75</f>
        <v>0.99999999999999967</v>
      </c>
      <c r="D4" s="21" t="s">
        <v>2</v>
      </c>
      <c r="E4" s="22"/>
      <c r="F4" s="19">
        <f>HLOOKUP(F2,'pooled normalised values'!B74:V83,3,FALSE)</f>
        <v>2.3423838964525018E-2</v>
      </c>
      <c r="G4" s="22"/>
      <c r="H4" s="20"/>
      <c r="I4" s="19">
        <f>HLOOKUP(I2,'pooled normalised values'!N74:AL83,3,FALSE)</f>
        <v>0.23243385061140623</v>
      </c>
      <c r="J4" s="20"/>
      <c r="K4" s="21" t="s">
        <v>2</v>
      </c>
    </row>
    <row r="5" spans="1:11" x14ac:dyDescent="0.25">
      <c r="A5" s="17" t="s">
        <v>73</v>
      </c>
      <c r="B5" s="63">
        <f>'pooled normalised values'!P75</f>
        <v>3.8071999917273995</v>
      </c>
      <c r="D5" s="23" t="s">
        <v>11</v>
      </c>
      <c r="E5" s="22"/>
      <c r="F5" s="19" t="str">
        <f>HLOOKUP(F2,'pooled normalised values'!B74:V83,10,FALSE)</f>
        <v>ns</v>
      </c>
      <c r="G5" s="22"/>
      <c r="H5" s="20"/>
      <c r="I5" s="19" t="str">
        <f>HLOOKUP(I2,'pooled normalised values'!N74:AL83,10,FALSE)</f>
        <v>ns</v>
      </c>
      <c r="J5" s="20"/>
      <c r="K5" s="23" t="s">
        <v>11</v>
      </c>
    </row>
    <row r="6" spans="1:11" x14ac:dyDescent="0.25">
      <c r="A6" s="17" t="s">
        <v>74</v>
      </c>
      <c r="B6" s="63">
        <f>'pooled normalised values'!Q75</f>
        <v>0.20838704961932908</v>
      </c>
      <c r="D6" s="21" t="s">
        <v>12</v>
      </c>
      <c r="E6" s="24">
        <f>$B$2</f>
        <v>0.29313487556023021</v>
      </c>
      <c r="F6" s="24">
        <f>$B$2</f>
        <v>0.29313487556023021</v>
      </c>
      <c r="G6" s="24">
        <f>$B$2</f>
        <v>0.29313487556023021</v>
      </c>
      <c r="H6" s="25"/>
      <c r="I6" s="25"/>
      <c r="J6" s="25"/>
      <c r="K6" s="21" t="s">
        <v>12</v>
      </c>
    </row>
    <row r="7" spans="1:11" x14ac:dyDescent="0.25">
      <c r="B7" s="26"/>
      <c r="D7" s="26" t="s">
        <v>13</v>
      </c>
      <c r="E7" s="24"/>
      <c r="F7" s="24"/>
      <c r="G7" s="27"/>
      <c r="H7" s="25">
        <f t="shared" ref="H7:J7" si="0">$B$4</f>
        <v>0.99999999999999967</v>
      </c>
      <c r="I7" s="25">
        <f t="shared" si="0"/>
        <v>0.99999999999999967</v>
      </c>
      <c r="J7" s="25">
        <f t="shared" si="0"/>
        <v>0.99999999999999967</v>
      </c>
      <c r="K7" s="26" t="s">
        <v>13</v>
      </c>
    </row>
    <row r="8" spans="1:11" x14ac:dyDescent="0.25">
      <c r="D8" s="28" t="s">
        <v>14</v>
      </c>
      <c r="E8" s="24">
        <v>0</v>
      </c>
      <c r="F8" s="24">
        <v>0</v>
      </c>
      <c r="G8" s="27">
        <v>0</v>
      </c>
      <c r="H8" s="25">
        <f>$B$6</f>
        <v>0.20838704961932908</v>
      </c>
      <c r="I8" s="25">
        <f t="shared" ref="I8:J8" si="1">$B$6</f>
        <v>0.20838704961932908</v>
      </c>
      <c r="J8" s="25">
        <f t="shared" si="1"/>
        <v>0.20838704961932908</v>
      </c>
      <c r="K8" s="28" t="s">
        <v>14</v>
      </c>
    </row>
    <row r="9" spans="1:11" x14ac:dyDescent="0.25">
      <c r="D9" s="28" t="s">
        <v>15</v>
      </c>
      <c r="E9" s="29">
        <f>$B$3-E8</f>
        <v>0</v>
      </c>
      <c r="F9" s="29">
        <f>$B$3-F8</f>
        <v>0</v>
      </c>
      <c r="G9" s="29">
        <f>$B$3-G8</f>
        <v>0</v>
      </c>
      <c r="H9" s="25">
        <f>$B$5-H8</f>
        <v>3.5988129421080703</v>
      </c>
      <c r="I9" s="25">
        <f>$B$5-I8</f>
        <v>3.5988129421080703</v>
      </c>
      <c r="J9" s="25">
        <f>$B$5-J8</f>
        <v>3.5988129421080703</v>
      </c>
      <c r="K9" s="28" t="s">
        <v>15</v>
      </c>
    </row>
    <row r="10" spans="1:11" x14ac:dyDescent="0.25">
      <c r="D10" s="28" t="s">
        <v>16</v>
      </c>
      <c r="E10" s="27">
        <f t="shared" ref="E10:J10" si="2">2.5-E9</f>
        <v>2.5</v>
      </c>
      <c r="F10" s="27">
        <f t="shared" si="2"/>
        <v>2.5</v>
      </c>
      <c r="G10" s="27">
        <f t="shared" si="2"/>
        <v>2.5</v>
      </c>
      <c r="H10" s="25">
        <f t="shared" si="2"/>
        <v>-1.0988129421080703</v>
      </c>
      <c r="I10" s="25">
        <f t="shared" si="2"/>
        <v>-1.0988129421080703</v>
      </c>
      <c r="J10" s="25">
        <f t="shared" si="2"/>
        <v>-1.0988129421080703</v>
      </c>
      <c r="K10" s="28" t="s">
        <v>16</v>
      </c>
    </row>
    <row r="17" spans="2:7" x14ac:dyDescent="0.25">
      <c r="C17" s="23"/>
      <c r="D17" s="23"/>
    </row>
    <row r="18" spans="2:7" x14ac:dyDescent="0.25">
      <c r="B18" s="30"/>
    </row>
    <row r="19" spans="2:7" x14ac:dyDescent="0.25">
      <c r="B19" s="30"/>
    </row>
    <row r="20" spans="2:7" x14ac:dyDescent="0.25">
      <c r="B20" s="31"/>
    </row>
    <row r="21" spans="2:7" x14ac:dyDescent="0.25">
      <c r="B21" s="30"/>
    </row>
    <row r="22" spans="2:7" x14ac:dyDescent="0.25">
      <c r="B22" s="30"/>
      <c r="G22" s="23"/>
    </row>
    <row r="23" spans="2:7" x14ac:dyDescent="0.25">
      <c r="B23" s="31"/>
      <c r="G23" s="23"/>
    </row>
    <row r="24" spans="2:7" x14ac:dyDescent="0.25">
      <c r="G24" s="23"/>
    </row>
  </sheetData>
  <pageMargins left="0.7" right="0.7" top="0.75" bottom="0.75" header="0.3" footer="0.3"/>
  <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000-000000000000}">
          <x14:formula1>
            <xm:f>'pooled normalised values'!$J$74:$M$74</xm:f>
          </x14:formula1>
          <xm:sqref>F2</xm:sqref>
        </x14:dataValidation>
        <x14:dataValidation type="list" allowBlank="1" showInputMessage="1" showErrorMessage="1" xr:uid="{00000000-0002-0000-1000-000001000000}">
          <x14:formula1>
            <xm:f>'pooled normalised values'!$R$74:$V$74</xm:f>
          </x14:formula1>
          <xm:sqref>I2</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15"/>
  <sheetViews>
    <sheetView showGridLines="0" topLeftCell="N1" zoomScale="85" zoomScaleNormal="85" workbookViewId="0">
      <selection activeCell="U3" sqref="U3"/>
    </sheetView>
  </sheetViews>
  <sheetFormatPr baseColWidth="10" defaultRowHeight="14.5" x14ac:dyDescent="0.35"/>
  <cols>
    <col min="1" max="1" width="11.453125" style="1"/>
    <col min="3" max="3" width="15.26953125" customWidth="1"/>
    <col min="4" max="4" width="13.7265625" customWidth="1"/>
    <col min="5" max="5" width="18.26953125" customWidth="1"/>
    <col min="6" max="6" width="14" customWidth="1"/>
    <col min="7" max="7" width="14.453125" customWidth="1"/>
    <col min="8" max="8" width="14.26953125" customWidth="1"/>
    <col min="9" max="9" width="17" customWidth="1"/>
    <col min="10" max="10" width="12.54296875" customWidth="1"/>
    <col min="11" max="11" width="13.1796875" customWidth="1"/>
    <col min="12" max="12" width="15.7265625" customWidth="1"/>
    <col min="13" max="14" width="16.1796875" customWidth="1"/>
    <col min="17" max="23" width="9.7265625" customWidth="1"/>
  </cols>
  <sheetData>
    <row r="1" spans="1:23" ht="29.5" thickBot="1" x14ac:dyDescent="0.4">
      <c r="A1" s="146" t="s">
        <v>102</v>
      </c>
      <c r="B1" s="146" t="s">
        <v>103</v>
      </c>
      <c r="C1" s="143" t="s">
        <v>86</v>
      </c>
      <c r="D1" s="143" t="s">
        <v>87</v>
      </c>
      <c r="E1" s="144" t="s">
        <v>88</v>
      </c>
      <c r="F1" s="144" t="s">
        <v>89</v>
      </c>
      <c r="G1" s="143" t="s">
        <v>90</v>
      </c>
      <c r="H1" s="143" t="s">
        <v>91</v>
      </c>
      <c r="I1" s="143" t="s">
        <v>92</v>
      </c>
      <c r="J1" s="143" t="s">
        <v>93</v>
      </c>
      <c r="K1" s="143" t="s">
        <v>94</v>
      </c>
      <c r="L1" s="143" t="s">
        <v>95</v>
      </c>
      <c r="M1" s="143" t="s">
        <v>96</v>
      </c>
      <c r="N1" s="143" t="s">
        <v>97</v>
      </c>
      <c r="Q1" s="231" t="s">
        <v>99</v>
      </c>
      <c r="R1" s="231"/>
      <c r="S1" s="231"/>
      <c r="U1" s="231" t="s">
        <v>98</v>
      </c>
      <c r="V1" s="231"/>
      <c r="W1" s="231"/>
    </row>
    <row r="2" spans="1:23" x14ac:dyDescent="0.35">
      <c r="A2" s="1" t="str">
        <f>Q6</f>
        <v xml:space="preserve"> </v>
      </c>
      <c r="B2" t="str">
        <f t="shared" ref="B2:B3" si="0">U6</f>
        <v>0-00 + Testostérone</v>
      </c>
      <c r="D2" t="str">
        <f>CONCATENATE(VLOOKUP(Tableau3[[#This Row],[Nom ND]],liste_groupe[],3,FALSE),VLOOKUP(Tableau3[[#This Row],[Nom ND]],liste_groupe[],4,FALSE))</f>
        <v/>
      </c>
      <c r="E2" t="e">
        <f>HLOOKUP(Tableau3[[#This Row],[Nom ND]],'pooled normalised values'!$B$74:$V$83,4,FALSE)</f>
        <v>#N/A</v>
      </c>
      <c r="F2" s="1" t="e">
        <f>HLOOKUP(Tableau3[[#This Row],[Nom ND]],'pooled normalised values'!$B$74:$V$83,8,FALSE)</f>
        <v>#N/A</v>
      </c>
      <c r="G2" t="e">
        <f>VLOOKUP(Tableau3[[#This Row],[Nom ND]],'summary results'!$A$6:$N$26,9,FALSE)</f>
        <v>#N/A</v>
      </c>
      <c r="H2" s="1" t="e">
        <f>VLOOKUP(Tableau3[[#This Row],[Nom ND]],'summary results'!$A$6:$N$26,11,FALSE)</f>
        <v>#N/A</v>
      </c>
      <c r="I2" s="1" t="e">
        <f>HLOOKUP(Tableau3[[#This Row],[Nom D]],'pooled normalised values'!$B$74:$V$83,4,FALSE)</f>
        <v>#N/A</v>
      </c>
      <c r="J2" s="1" t="e">
        <f>HLOOKUP(Tableau3[[#This Row],[Nom D]],'pooled normalised values'!$B$74:$V$83,8,FALSE)</f>
        <v>#N/A</v>
      </c>
      <c r="K2" s="1" t="e">
        <f>VLOOKUP(Tableau3[[#This Row],[Nom D]],'summary results'!$A$29:$N$51,9,FALSE)</f>
        <v>#N/A</v>
      </c>
      <c r="L2" s="1" t="e">
        <f>VLOOKUP(Tableau3[[#This Row],[Nom D]],'summary results'!$A$29:$N$51,11,FALSE)</f>
        <v>#N/A</v>
      </c>
      <c r="M2" t="e">
        <f>'summary results'!$G$30</f>
        <v>#NUM!</v>
      </c>
      <c r="N2" t="e">
        <f>'summary results'!$G$31</f>
        <v>#NUM!</v>
      </c>
      <c r="Q2" s="118" t="s">
        <v>7</v>
      </c>
      <c r="R2" s="1" t="s">
        <v>130</v>
      </c>
      <c r="U2" s="118" t="s">
        <v>7</v>
      </c>
      <c r="V2" s="1" t="s">
        <v>130</v>
      </c>
    </row>
    <row r="3" spans="1:23" x14ac:dyDescent="0.35">
      <c r="A3" s="1">
        <f>Q7</f>
        <v>0</v>
      </c>
      <c r="B3">
        <f t="shared" si="0"/>
        <v>0</v>
      </c>
      <c r="D3" t="e">
        <f>CONCATENATE(VLOOKUP(Tableau3[[#This Row],[Nom ND]],liste_groupe[],3,FALSE),VLOOKUP(Tableau3[[#This Row],[Nom ND]],liste_groupe[],4,FALSE))</f>
        <v>#N/A</v>
      </c>
      <c r="E3" t="e">
        <f>HLOOKUP(Tableau3[[#This Row],[Nom ND]],'pooled normalised values'!$B$74:$V$83,4,FALSE)</f>
        <v>#N/A</v>
      </c>
      <c r="F3" t="e">
        <f>HLOOKUP(Tableau3[[#This Row],[Nom ND]],'pooled normalised values'!$B$74:$V$83,8,FALSE)</f>
        <v>#N/A</v>
      </c>
      <c r="G3" t="e">
        <f>VLOOKUP(Tableau3[[#This Row],[Nom ND]],'summary results'!$A$6:$N$26,9,FALSE)</f>
        <v>#N/A</v>
      </c>
      <c r="H3" t="e">
        <f>VLOOKUP(Tableau3[[#This Row],[Nom ND]],'summary results'!$A$6:$N$26,11,FALSE)</f>
        <v>#N/A</v>
      </c>
      <c r="I3" t="e">
        <f>HLOOKUP(Tableau3[[#This Row],[Nom D]],'pooled normalised values'!$B$74:$V$83,4,FALSE)</f>
        <v>#N/A</v>
      </c>
      <c r="J3" t="e">
        <f>HLOOKUP(Tableau3[[#This Row],[Nom D]],'pooled normalised values'!$B$74:$V$83,8,FALSE)</f>
        <v>#N/A</v>
      </c>
      <c r="K3" t="e">
        <f>VLOOKUP(Tableau3[[#This Row],[Nom D]],'summary results'!$A$29:$N$51,9,FALSE)</f>
        <v>#N/A</v>
      </c>
      <c r="L3" t="e">
        <f>VLOOKUP(Tableau3[[#This Row],[Nom D]],'summary results'!$A$29:$N$51,11,FALSE)</f>
        <v>#N/A</v>
      </c>
      <c r="M3" s="1" t="e">
        <f>'summary results'!$G$30</f>
        <v>#NUM!</v>
      </c>
      <c r="N3" s="1" t="e">
        <f>'summary results'!$G$31</f>
        <v>#NUM!</v>
      </c>
      <c r="Q3" s="118" t="s">
        <v>78</v>
      </c>
      <c r="R3" s="1" t="s">
        <v>106</v>
      </c>
      <c r="U3" s="118" t="s">
        <v>78</v>
      </c>
      <c r="V3" s="1" t="s">
        <v>50</v>
      </c>
    </row>
    <row r="4" spans="1:23" x14ac:dyDescent="0.35">
      <c r="A4" s="1">
        <f t="shared" ref="A4:A15" si="1">Q8</f>
        <v>0</v>
      </c>
      <c r="B4" s="44">
        <f t="shared" ref="B4:B15" si="2">U8</f>
        <v>0</v>
      </c>
      <c r="D4" s="44" t="e">
        <f>CONCATENATE(VLOOKUP(Tableau3[[#This Row],[Nom ND]],liste_groupe[],3,FALSE),VLOOKUP(Tableau3[[#This Row],[Nom ND]],liste_groupe[],4,FALSE))</f>
        <v>#N/A</v>
      </c>
      <c r="E4" s="44" t="e">
        <f>HLOOKUP(Tableau3[[#This Row],[Nom ND]],'pooled normalised values'!$B$74:$V$83,4,FALSE)</f>
        <v>#N/A</v>
      </c>
      <c r="F4" s="44" t="e">
        <f>HLOOKUP(Tableau3[[#This Row],[Nom ND]],'pooled normalised values'!$B$74:$V$83,8,FALSE)</f>
        <v>#N/A</v>
      </c>
      <c r="G4" s="44" t="e">
        <f>VLOOKUP(Tableau3[[#This Row],[Nom ND]],'summary results'!$A$6:$N$26,9,FALSE)</f>
        <v>#N/A</v>
      </c>
      <c r="H4" s="44" t="e">
        <f>VLOOKUP(Tableau3[[#This Row],[Nom ND]],'summary results'!$A$6:$N$26,11,FALSE)</f>
        <v>#N/A</v>
      </c>
      <c r="I4" s="44" t="e">
        <f>HLOOKUP(Tableau3[[#This Row],[Nom D]],'pooled normalised values'!$B$74:$V$83,4,FALSE)</f>
        <v>#N/A</v>
      </c>
      <c r="J4" s="44" t="e">
        <f>HLOOKUP(Tableau3[[#This Row],[Nom D]],'pooled normalised values'!$B$74:$V$83,8,FALSE)</f>
        <v>#N/A</v>
      </c>
      <c r="K4" s="44" t="e">
        <f>VLOOKUP(Tableau3[[#This Row],[Nom D]],'summary results'!$A$29:$N$51,9,FALSE)</f>
        <v>#N/A</v>
      </c>
      <c r="L4" s="44" t="e">
        <f>VLOOKUP(Tableau3[[#This Row],[Nom D]],'summary results'!$A$29:$N$51,11,FALSE)</f>
        <v>#N/A</v>
      </c>
      <c r="M4" t="e">
        <f>'summary results'!$G$30</f>
        <v>#NUM!</v>
      </c>
      <c r="N4" t="e">
        <f>'summary results'!$G$31</f>
        <v>#NUM!</v>
      </c>
    </row>
    <row r="5" spans="1:23" x14ac:dyDescent="0.35">
      <c r="A5" s="1">
        <f t="shared" si="1"/>
        <v>0</v>
      </c>
      <c r="B5" s="44">
        <f t="shared" si="2"/>
        <v>0</v>
      </c>
      <c r="D5" s="44" t="e">
        <f>CONCATENATE(VLOOKUP(Tableau3[[#This Row],[Nom ND]],liste_groupe[],3,FALSE),VLOOKUP(Tableau3[[#This Row],[Nom ND]],liste_groupe[],4,FALSE))</f>
        <v>#N/A</v>
      </c>
      <c r="E5" s="44" t="e">
        <f>HLOOKUP(Tableau3[[#This Row],[Nom ND]],'pooled normalised values'!$B$74:$V$83,4,FALSE)</f>
        <v>#N/A</v>
      </c>
      <c r="F5" s="44" t="e">
        <f>HLOOKUP(Tableau3[[#This Row],[Nom ND]],'pooled normalised values'!$B$74:$V$83,8,FALSE)</f>
        <v>#N/A</v>
      </c>
      <c r="G5" s="44" t="e">
        <f>VLOOKUP(Tableau3[[#This Row],[Nom ND]],'summary results'!$A$6:$N$26,9,FALSE)</f>
        <v>#N/A</v>
      </c>
      <c r="H5" s="44" t="e">
        <f>VLOOKUP(Tableau3[[#This Row],[Nom ND]],'summary results'!$A$6:$N$26,11,FALSE)</f>
        <v>#N/A</v>
      </c>
      <c r="I5" s="44" t="e">
        <f>HLOOKUP(Tableau3[[#This Row],[Nom D]],'pooled normalised values'!$B$74:$V$83,4,FALSE)</f>
        <v>#N/A</v>
      </c>
      <c r="J5" s="44" t="e">
        <f>HLOOKUP(Tableau3[[#This Row],[Nom D]],'pooled normalised values'!$B$74:$V$83,8,FALSE)</f>
        <v>#N/A</v>
      </c>
      <c r="K5" s="44" t="e">
        <f>VLOOKUP(Tableau3[[#This Row],[Nom D]],'summary results'!$A$29:$N$51,9,FALSE)</f>
        <v>#N/A</v>
      </c>
      <c r="L5" s="44" t="e">
        <f>VLOOKUP(Tableau3[[#This Row],[Nom D]],'summary results'!$A$29:$N$51,11,FALSE)</f>
        <v>#N/A</v>
      </c>
      <c r="M5" t="e">
        <f>'summary results'!$G$30</f>
        <v>#NUM!</v>
      </c>
      <c r="N5" t="e">
        <f>'summary results'!$G$31</f>
        <v>#NUM!</v>
      </c>
      <c r="Q5" s="118" t="s">
        <v>100</v>
      </c>
      <c r="U5" s="118" t="s">
        <v>100</v>
      </c>
    </row>
    <row r="6" spans="1:23" x14ac:dyDescent="0.35">
      <c r="A6" s="1">
        <f t="shared" si="1"/>
        <v>0</v>
      </c>
      <c r="B6" s="44">
        <f t="shared" si="2"/>
        <v>0</v>
      </c>
      <c r="D6" s="44" t="e">
        <f>CONCATENATE(VLOOKUP(Tableau3[[#This Row],[Nom ND]],liste_groupe[],3,FALSE),VLOOKUP(Tableau3[[#This Row],[Nom ND]],liste_groupe[],4,FALSE))</f>
        <v>#N/A</v>
      </c>
      <c r="E6" s="44" t="e">
        <f>HLOOKUP(Tableau3[[#This Row],[Nom ND]],'pooled normalised values'!$B$74:$V$83,4,FALSE)</f>
        <v>#N/A</v>
      </c>
      <c r="F6" s="44" t="e">
        <f>HLOOKUP(Tableau3[[#This Row],[Nom ND]],'pooled normalised values'!$B$74:$V$83,8,FALSE)</f>
        <v>#N/A</v>
      </c>
      <c r="G6" s="44" t="e">
        <f>VLOOKUP(Tableau3[[#This Row],[Nom ND]],'summary results'!$A$6:$N$26,9,FALSE)</f>
        <v>#N/A</v>
      </c>
      <c r="H6" s="44" t="e">
        <f>VLOOKUP(Tableau3[[#This Row],[Nom ND]],'summary results'!$A$6:$N$26,11,FALSE)</f>
        <v>#N/A</v>
      </c>
      <c r="I6" s="44" t="e">
        <f>HLOOKUP(Tableau3[[#This Row],[Nom D]],'pooled normalised values'!$B$74:$V$83,4,FALSE)</f>
        <v>#N/A</v>
      </c>
      <c r="J6" s="44" t="e">
        <f>HLOOKUP(Tableau3[[#This Row],[Nom D]],'pooled normalised values'!$B$74:$V$83,8,FALSE)</f>
        <v>#N/A</v>
      </c>
      <c r="K6" s="44" t="e">
        <f>VLOOKUP(Tableau3[[#This Row],[Nom D]],'summary results'!$A$29:$N$51,9,FALSE)</f>
        <v>#N/A</v>
      </c>
      <c r="L6" s="44" t="e">
        <f>VLOOKUP(Tableau3[[#This Row],[Nom D]],'summary results'!$A$29:$N$51,11,FALSE)</f>
        <v>#N/A</v>
      </c>
      <c r="M6" t="e">
        <f>'summary results'!$G$30</f>
        <v>#NUM!</v>
      </c>
      <c r="N6" t="e">
        <f>'summary results'!$G$31</f>
        <v>#NUM!</v>
      </c>
      <c r="Q6" s="145" t="s">
        <v>112</v>
      </c>
      <c r="U6" s="145" t="s">
        <v>101</v>
      </c>
    </row>
    <row r="7" spans="1:23" x14ac:dyDescent="0.35">
      <c r="A7" s="1">
        <f t="shared" si="1"/>
        <v>0</v>
      </c>
      <c r="B7" s="44">
        <f t="shared" si="2"/>
        <v>0</v>
      </c>
      <c r="D7" s="44" t="e">
        <f>CONCATENATE(VLOOKUP(Tableau3[[#This Row],[Nom ND]],liste_groupe[],3,FALSE),VLOOKUP(Tableau3[[#This Row],[Nom ND]],liste_groupe[],4,FALSE))</f>
        <v>#N/A</v>
      </c>
      <c r="E7" s="44" t="e">
        <f>HLOOKUP(Tableau3[[#This Row],[Nom ND]],'pooled normalised values'!$B$74:$V$83,4,FALSE)</f>
        <v>#N/A</v>
      </c>
      <c r="F7" s="44" t="e">
        <f>HLOOKUP(Tableau3[[#This Row],[Nom ND]],'pooled normalised values'!$B$74:$V$83,8,FALSE)</f>
        <v>#N/A</v>
      </c>
      <c r="G7" s="44" t="e">
        <f>VLOOKUP(Tableau3[[#This Row],[Nom ND]],'summary results'!$A$6:$N$26,9,FALSE)</f>
        <v>#N/A</v>
      </c>
      <c r="H7" s="44" t="e">
        <f>VLOOKUP(Tableau3[[#This Row],[Nom ND]],'summary results'!$A$6:$N$26,11,FALSE)</f>
        <v>#N/A</v>
      </c>
      <c r="I7" s="44" t="e">
        <f>HLOOKUP(Tableau3[[#This Row],[Nom D]],'pooled normalised values'!$B$74:$V$83,4,FALSE)</f>
        <v>#N/A</v>
      </c>
      <c r="J7" s="44" t="e">
        <f>HLOOKUP(Tableau3[[#This Row],[Nom D]],'pooled normalised values'!$B$74:$V$83,8,FALSE)</f>
        <v>#N/A</v>
      </c>
      <c r="K7" s="44" t="e">
        <f>VLOOKUP(Tableau3[[#This Row],[Nom D]],'summary results'!$A$29:$N$51,9,FALSE)</f>
        <v>#N/A</v>
      </c>
      <c r="L7" s="44" t="e">
        <f>VLOOKUP(Tableau3[[#This Row],[Nom D]],'summary results'!$A$29:$N$51,11,FALSE)</f>
        <v>#N/A</v>
      </c>
      <c r="M7" t="e">
        <f>'summary results'!$G$30</f>
        <v>#NUM!</v>
      </c>
      <c r="N7" t="e">
        <f>'summary results'!$G$31</f>
        <v>#NUM!</v>
      </c>
    </row>
    <row r="8" spans="1:23" x14ac:dyDescent="0.35">
      <c r="A8" s="1">
        <f t="shared" si="1"/>
        <v>0</v>
      </c>
      <c r="B8" s="44">
        <f t="shared" si="2"/>
        <v>0</v>
      </c>
      <c r="D8" s="44" t="e">
        <f>CONCATENATE(VLOOKUP(Tableau3[[#This Row],[Nom ND]],liste_groupe[],3,FALSE),VLOOKUP(Tableau3[[#This Row],[Nom ND]],liste_groupe[],4,FALSE))</f>
        <v>#N/A</v>
      </c>
      <c r="E8" s="147" t="e">
        <f>HLOOKUP(Tableau3[[#This Row],[Nom ND]],'pooled normalised values'!$B$74:$V$83,4,FALSE)</f>
        <v>#N/A</v>
      </c>
      <c r="F8" s="44" t="e">
        <f>HLOOKUP(Tableau3[[#This Row],[Nom ND]],'pooled normalised values'!$B$74:$V$83,8,FALSE)</f>
        <v>#N/A</v>
      </c>
      <c r="G8" s="44" t="e">
        <f>VLOOKUP(Tableau3[[#This Row],[Nom ND]],'summary results'!$A$6:$N$26,9,FALSE)</f>
        <v>#N/A</v>
      </c>
      <c r="H8" s="44" t="e">
        <f>VLOOKUP(Tableau3[[#This Row],[Nom ND]],'summary results'!$A$6:$N$26,11,FALSE)</f>
        <v>#N/A</v>
      </c>
      <c r="I8" s="44" t="e">
        <f>HLOOKUP(Tableau3[[#This Row],[Nom D]],'pooled normalised values'!$B$74:$V$83,4,FALSE)</f>
        <v>#N/A</v>
      </c>
      <c r="J8" s="44" t="e">
        <f>HLOOKUP(Tableau3[[#This Row],[Nom D]],'pooled normalised values'!$B$74:$V$83,8,FALSE)</f>
        <v>#N/A</v>
      </c>
      <c r="K8" s="44" t="e">
        <f>VLOOKUP(Tableau3[[#This Row],[Nom D]],'summary results'!$A$29:$N$51,9,FALSE)</f>
        <v>#N/A</v>
      </c>
      <c r="L8" s="44" t="e">
        <f>VLOOKUP(Tableau3[[#This Row],[Nom D]],'summary results'!$A$29:$N$51,11,FALSE)</f>
        <v>#N/A</v>
      </c>
      <c r="M8" t="e">
        <f>'summary results'!$G$30</f>
        <v>#NUM!</v>
      </c>
      <c r="N8" t="e">
        <f>'summary results'!$G$31</f>
        <v>#NUM!</v>
      </c>
    </row>
    <row r="9" spans="1:23" x14ac:dyDescent="0.35">
      <c r="A9" s="1">
        <f t="shared" si="1"/>
        <v>0</v>
      </c>
      <c r="B9" s="44">
        <f t="shared" si="2"/>
        <v>0</v>
      </c>
      <c r="D9" s="44" t="e">
        <f>CONCATENATE(VLOOKUP(Tableau3[[#This Row],[Nom ND]],liste_groupe[],3,FALSE),VLOOKUP(Tableau3[[#This Row],[Nom ND]],liste_groupe[],4,FALSE))</f>
        <v>#N/A</v>
      </c>
      <c r="E9" s="44" t="e">
        <f>HLOOKUP(Tableau3[[#This Row],[Nom ND]],'pooled normalised values'!$B$74:$V$83,4,FALSE)</f>
        <v>#N/A</v>
      </c>
      <c r="F9" s="44" t="e">
        <f>HLOOKUP(Tableau3[[#This Row],[Nom ND]],'pooled normalised values'!$B$74:$V$83,8,FALSE)</f>
        <v>#N/A</v>
      </c>
      <c r="G9" s="44" t="e">
        <f>VLOOKUP(Tableau3[[#This Row],[Nom ND]],'summary results'!$A$6:$N$26,9,FALSE)</f>
        <v>#N/A</v>
      </c>
      <c r="H9" s="44" t="e">
        <f>VLOOKUP(Tableau3[[#This Row],[Nom ND]],'summary results'!$A$6:$N$26,11,FALSE)</f>
        <v>#N/A</v>
      </c>
      <c r="I9" s="44" t="e">
        <f>HLOOKUP(Tableau3[[#This Row],[Nom D]],'pooled normalised values'!$B$74:$V$83,4,FALSE)</f>
        <v>#N/A</v>
      </c>
      <c r="J9" s="44" t="e">
        <f>HLOOKUP(Tableau3[[#This Row],[Nom D]],'pooled normalised values'!$B$74:$V$83,8,FALSE)</f>
        <v>#N/A</v>
      </c>
      <c r="K9" s="44" t="e">
        <f>VLOOKUP(Tableau3[[#This Row],[Nom D]],'summary results'!$A$29:$N$51,9,FALSE)</f>
        <v>#N/A</v>
      </c>
      <c r="L9" s="44" t="e">
        <f>VLOOKUP(Tableau3[[#This Row],[Nom D]],'summary results'!$A$29:$N$51,11,FALSE)</f>
        <v>#N/A</v>
      </c>
      <c r="M9" t="e">
        <f>'summary results'!$G$30</f>
        <v>#NUM!</v>
      </c>
      <c r="N9" t="e">
        <f>'summary results'!$G$31</f>
        <v>#NUM!</v>
      </c>
    </row>
    <row r="10" spans="1:23" x14ac:dyDescent="0.35">
      <c r="A10" s="1">
        <f t="shared" si="1"/>
        <v>0</v>
      </c>
      <c r="B10" s="44">
        <f t="shared" si="2"/>
        <v>0</v>
      </c>
      <c r="D10" s="44" t="e">
        <f>CONCATENATE(VLOOKUP(Tableau3[[#This Row],[Nom ND]],liste_groupe[],3,FALSE),VLOOKUP(Tableau3[[#This Row],[Nom ND]],liste_groupe[],4,FALSE))</f>
        <v>#N/A</v>
      </c>
      <c r="E10" s="44" t="e">
        <f>HLOOKUP(Tableau3[[#This Row],[Nom ND]],'pooled normalised values'!$B$74:$V$83,4,FALSE)</f>
        <v>#N/A</v>
      </c>
      <c r="F10" s="44" t="e">
        <f>HLOOKUP(Tableau3[[#This Row],[Nom ND]],'pooled normalised values'!$B$74:$V$83,8,FALSE)</f>
        <v>#N/A</v>
      </c>
      <c r="G10" s="44" t="e">
        <f>VLOOKUP(Tableau3[[#This Row],[Nom ND]],'summary results'!$A$6:$N$26,9,FALSE)</f>
        <v>#N/A</v>
      </c>
      <c r="H10" s="44" t="e">
        <f>VLOOKUP(Tableau3[[#This Row],[Nom ND]],'summary results'!$A$6:$N$26,11,FALSE)</f>
        <v>#N/A</v>
      </c>
      <c r="I10" s="44" t="e">
        <f>HLOOKUP(Tableau3[[#This Row],[Nom D]],'pooled normalised values'!$B$74:$V$83,4,FALSE)</f>
        <v>#N/A</v>
      </c>
      <c r="J10" s="44" t="e">
        <f>HLOOKUP(Tableau3[[#This Row],[Nom D]],'pooled normalised values'!$B$74:$V$83,8,FALSE)</f>
        <v>#N/A</v>
      </c>
      <c r="K10" s="44" t="e">
        <f>VLOOKUP(Tableau3[[#This Row],[Nom D]],'summary results'!$A$29:$N$51,9,FALSE)</f>
        <v>#N/A</v>
      </c>
      <c r="L10" s="44" t="e">
        <f>VLOOKUP(Tableau3[[#This Row],[Nom D]],'summary results'!$A$29:$N$51,11,FALSE)</f>
        <v>#N/A</v>
      </c>
      <c r="M10" t="e">
        <f>'summary results'!$G$30</f>
        <v>#NUM!</v>
      </c>
      <c r="N10" t="e">
        <f>'summary results'!$G$31</f>
        <v>#NUM!</v>
      </c>
    </row>
    <row r="11" spans="1:23" x14ac:dyDescent="0.35">
      <c r="A11" s="1">
        <f t="shared" si="1"/>
        <v>0</v>
      </c>
      <c r="B11" s="44">
        <f t="shared" si="2"/>
        <v>0</v>
      </c>
      <c r="D11" s="44" t="e">
        <f>CONCATENATE(VLOOKUP(Tableau3[[#This Row],[Nom ND]],liste_groupe[],3,FALSE),VLOOKUP(Tableau3[[#This Row],[Nom ND]],liste_groupe[],4,FALSE))</f>
        <v>#N/A</v>
      </c>
      <c r="E11" s="44" t="e">
        <f>HLOOKUP(Tableau3[[#This Row],[Nom ND]],'pooled normalised values'!$B$74:$V$83,4,FALSE)</f>
        <v>#N/A</v>
      </c>
      <c r="F11" s="44" t="e">
        <f>HLOOKUP(Tableau3[[#This Row],[Nom ND]],'pooled normalised values'!$B$74:$V$83,8,FALSE)</f>
        <v>#N/A</v>
      </c>
      <c r="G11" s="44" t="e">
        <f>VLOOKUP(Tableau3[[#This Row],[Nom ND]],'summary results'!$A$6:$N$26,9,FALSE)</f>
        <v>#N/A</v>
      </c>
      <c r="H11" s="44" t="e">
        <f>VLOOKUP(Tableau3[[#This Row],[Nom ND]],'summary results'!$A$6:$N$26,11,FALSE)</f>
        <v>#N/A</v>
      </c>
      <c r="I11" s="44" t="e">
        <f>HLOOKUP(Tableau3[[#This Row],[Nom D]],'pooled normalised values'!$B$74:$V$83,4,FALSE)</f>
        <v>#N/A</v>
      </c>
      <c r="J11" s="44" t="e">
        <f>HLOOKUP(Tableau3[[#This Row],[Nom D]],'pooled normalised values'!$B$74:$V$83,8,FALSE)</f>
        <v>#N/A</v>
      </c>
      <c r="K11" s="44" t="e">
        <f>VLOOKUP(Tableau3[[#This Row],[Nom D]],'summary results'!$A$29:$N$51,9,FALSE)</f>
        <v>#N/A</v>
      </c>
      <c r="L11" s="44" t="e">
        <f>VLOOKUP(Tableau3[[#This Row],[Nom D]],'summary results'!$A$29:$N$51,11,FALSE)</f>
        <v>#N/A</v>
      </c>
      <c r="M11" t="e">
        <f>'summary results'!$G$30</f>
        <v>#NUM!</v>
      </c>
      <c r="N11" t="e">
        <f>'summary results'!$G$31</f>
        <v>#NUM!</v>
      </c>
    </row>
    <row r="12" spans="1:23" x14ac:dyDescent="0.35">
      <c r="A12" s="1">
        <f t="shared" si="1"/>
        <v>0</v>
      </c>
      <c r="B12" s="44">
        <f t="shared" si="2"/>
        <v>0</v>
      </c>
      <c r="D12" s="44" t="e">
        <f>CONCATENATE(VLOOKUP(Tableau3[[#This Row],[Nom ND]],liste_groupe[],3,FALSE),VLOOKUP(Tableau3[[#This Row],[Nom ND]],liste_groupe[],4,FALSE))</f>
        <v>#N/A</v>
      </c>
      <c r="E12" s="44" t="e">
        <f>HLOOKUP(Tableau3[[#This Row],[Nom ND]],'pooled normalised values'!$B$74:$V$83,4,FALSE)</f>
        <v>#N/A</v>
      </c>
      <c r="F12" s="44" t="e">
        <f>HLOOKUP(Tableau3[[#This Row],[Nom ND]],'pooled normalised values'!$B$74:$V$83,8,FALSE)</f>
        <v>#N/A</v>
      </c>
      <c r="G12" s="44" t="e">
        <f>VLOOKUP(Tableau3[[#This Row],[Nom ND]],'summary results'!$A$6:$N$26,9,FALSE)</f>
        <v>#N/A</v>
      </c>
      <c r="H12" s="44" t="e">
        <f>VLOOKUP(Tableau3[[#This Row],[Nom ND]],'summary results'!$A$6:$N$26,11,FALSE)</f>
        <v>#N/A</v>
      </c>
      <c r="I12" s="44" t="e">
        <f>HLOOKUP(Tableau3[[#This Row],[Nom D]],'pooled normalised values'!$B$74:$V$83,4,FALSE)</f>
        <v>#N/A</v>
      </c>
      <c r="J12" s="44" t="e">
        <f>HLOOKUP(Tableau3[[#This Row],[Nom D]],'pooled normalised values'!$B$74:$V$83,8,FALSE)</f>
        <v>#N/A</v>
      </c>
      <c r="K12" s="44" t="e">
        <f>VLOOKUP(Tableau3[[#This Row],[Nom D]],'summary results'!$A$29:$N$51,9,FALSE)</f>
        <v>#N/A</v>
      </c>
      <c r="L12" s="44" t="e">
        <f>VLOOKUP(Tableau3[[#This Row],[Nom D]],'summary results'!$A$29:$N$51,11,FALSE)</f>
        <v>#N/A</v>
      </c>
      <c r="M12" t="e">
        <f>'summary results'!$G$30</f>
        <v>#NUM!</v>
      </c>
      <c r="N12" t="e">
        <f>'summary results'!$G$31</f>
        <v>#NUM!</v>
      </c>
    </row>
    <row r="13" spans="1:23" x14ac:dyDescent="0.35">
      <c r="A13" s="1">
        <f t="shared" si="1"/>
        <v>0</v>
      </c>
      <c r="B13" s="44">
        <f t="shared" si="2"/>
        <v>0</v>
      </c>
      <c r="D13" s="44" t="e">
        <f>CONCATENATE(VLOOKUP(Tableau3[[#This Row],[Nom ND]],liste_groupe[],3,FALSE),VLOOKUP(Tableau3[[#This Row],[Nom ND]],liste_groupe[],4,FALSE))</f>
        <v>#N/A</v>
      </c>
      <c r="E13" s="44" t="e">
        <f>HLOOKUP(Tableau3[[#This Row],[Nom ND]],'pooled normalised values'!$B$74:$V$83,4,FALSE)</f>
        <v>#N/A</v>
      </c>
      <c r="F13" s="44" t="e">
        <f>HLOOKUP(Tableau3[[#This Row],[Nom ND]],'pooled normalised values'!$B$74:$V$83,8,FALSE)</f>
        <v>#N/A</v>
      </c>
      <c r="G13" s="44" t="e">
        <f>VLOOKUP(Tableau3[[#This Row],[Nom ND]],'summary results'!$A$6:$N$26,9,FALSE)</f>
        <v>#N/A</v>
      </c>
      <c r="H13" s="44" t="e">
        <f>VLOOKUP(Tableau3[[#This Row],[Nom ND]],'summary results'!$A$6:$N$26,11,FALSE)</f>
        <v>#N/A</v>
      </c>
      <c r="I13" s="44" t="e">
        <f>HLOOKUP(Tableau3[[#This Row],[Nom D]],'pooled normalised values'!$B$74:$V$83,4,FALSE)</f>
        <v>#N/A</v>
      </c>
      <c r="J13" s="44" t="e">
        <f>HLOOKUP(Tableau3[[#This Row],[Nom D]],'pooled normalised values'!$B$74:$V$83,8,FALSE)</f>
        <v>#N/A</v>
      </c>
      <c r="K13" s="44" t="e">
        <f>VLOOKUP(Tableau3[[#This Row],[Nom D]],'summary results'!$A$29:$N$51,9,FALSE)</f>
        <v>#N/A</v>
      </c>
      <c r="L13" s="44" t="e">
        <f>VLOOKUP(Tableau3[[#This Row],[Nom D]],'summary results'!$A$29:$N$51,11,FALSE)</f>
        <v>#N/A</v>
      </c>
      <c r="M13" t="e">
        <f>'summary results'!$G$30</f>
        <v>#NUM!</v>
      </c>
      <c r="N13" t="e">
        <f>'summary results'!$G$31</f>
        <v>#NUM!</v>
      </c>
    </row>
    <row r="14" spans="1:23" x14ac:dyDescent="0.35">
      <c r="A14" s="1">
        <f t="shared" si="1"/>
        <v>0</v>
      </c>
      <c r="B14" s="44">
        <f t="shared" si="2"/>
        <v>0</v>
      </c>
      <c r="D14" s="44" t="e">
        <f>CONCATENATE(VLOOKUP(Tableau3[[#This Row],[Nom ND]],liste_groupe[],3,FALSE),VLOOKUP(Tableau3[[#This Row],[Nom ND]],liste_groupe[],4,FALSE))</f>
        <v>#N/A</v>
      </c>
      <c r="E14" s="44" t="e">
        <f>HLOOKUP(Tableau3[[#This Row],[Nom ND]],'pooled normalised values'!$B$74:$V$83,4,FALSE)</f>
        <v>#N/A</v>
      </c>
      <c r="F14" s="44" t="e">
        <f>HLOOKUP(Tableau3[[#This Row],[Nom ND]],'pooled normalised values'!$B$74:$V$83,8,FALSE)</f>
        <v>#N/A</v>
      </c>
      <c r="G14" s="44" t="e">
        <f>VLOOKUP(Tableau3[[#This Row],[Nom ND]],'summary results'!$A$6:$N$26,9,FALSE)</f>
        <v>#N/A</v>
      </c>
      <c r="H14" s="44" t="e">
        <f>VLOOKUP(Tableau3[[#This Row],[Nom ND]],'summary results'!$A$6:$N$26,11,FALSE)</f>
        <v>#N/A</v>
      </c>
      <c r="I14" s="44" t="e">
        <f>HLOOKUP(Tableau3[[#This Row],[Nom D]],'pooled normalised values'!$B$74:$V$83,4,FALSE)</f>
        <v>#N/A</v>
      </c>
      <c r="J14" s="44" t="e">
        <f>HLOOKUP(Tableau3[[#This Row],[Nom D]],'pooled normalised values'!$B$74:$V$83,8,FALSE)</f>
        <v>#N/A</v>
      </c>
      <c r="K14" s="44" t="e">
        <f>VLOOKUP(Tableau3[[#This Row],[Nom D]],'summary results'!$A$29:$N$51,9,FALSE)</f>
        <v>#N/A</v>
      </c>
      <c r="L14" s="44" t="e">
        <f>VLOOKUP(Tableau3[[#This Row],[Nom D]],'summary results'!$A$29:$N$51,11,FALSE)</f>
        <v>#N/A</v>
      </c>
      <c r="M14" t="e">
        <f>'summary results'!$G$30</f>
        <v>#NUM!</v>
      </c>
      <c r="N14" t="e">
        <f>'summary results'!$G$31</f>
        <v>#NUM!</v>
      </c>
    </row>
    <row r="15" spans="1:23" x14ac:dyDescent="0.35">
      <c r="A15" s="1">
        <f t="shared" si="1"/>
        <v>0</v>
      </c>
      <c r="B15" s="44">
        <f t="shared" si="2"/>
        <v>0</v>
      </c>
      <c r="D15" s="44" t="e">
        <f>CONCATENATE(VLOOKUP(Tableau3[[#This Row],[Nom ND]],liste_groupe[],3,FALSE),VLOOKUP(Tableau3[[#This Row],[Nom ND]],liste_groupe[],4,FALSE))</f>
        <v>#N/A</v>
      </c>
      <c r="E15" s="44" t="e">
        <f>HLOOKUP(Tableau3[[#This Row],[Nom ND]],'pooled normalised values'!$B$74:$V$83,4,FALSE)</f>
        <v>#N/A</v>
      </c>
      <c r="F15" s="44" t="e">
        <f>HLOOKUP(Tableau3[[#This Row],[Nom ND]],'pooled normalised values'!$B$74:$V$83,8,FALSE)</f>
        <v>#N/A</v>
      </c>
      <c r="G15" s="44" t="e">
        <f>VLOOKUP(Tableau3[[#This Row],[Nom ND]],'summary results'!$A$6:$N$26,9,FALSE)</f>
        <v>#N/A</v>
      </c>
      <c r="H15" s="44" t="e">
        <f>VLOOKUP(Tableau3[[#This Row],[Nom ND]],'summary results'!$A$6:$N$26,11,FALSE)</f>
        <v>#N/A</v>
      </c>
      <c r="I15" s="44" t="e">
        <f>HLOOKUP(Tableau3[[#This Row],[Nom D]],'pooled normalised values'!$B$74:$V$83,4,FALSE)</f>
        <v>#N/A</v>
      </c>
      <c r="J15" s="44" t="e">
        <f>HLOOKUP(Tableau3[[#This Row],[Nom D]],'pooled normalised values'!$B$74:$V$83,8,FALSE)</f>
        <v>#N/A</v>
      </c>
      <c r="K15" s="44" t="e">
        <f>VLOOKUP(Tableau3[[#This Row],[Nom D]],'summary results'!$A$29:$N$51,9,FALSE)</f>
        <v>#N/A</v>
      </c>
      <c r="L15" s="44" t="e">
        <f>VLOOKUP(Tableau3[[#This Row],[Nom D]],'summary results'!$A$29:$N$51,11,FALSE)</f>
        <v>#N/A</v>
      </c>
      <c r="M15" t="e">
        <f>'summary results'!$G$30</f>
        <v>#NUM!</v>
      </c>
      <c r="N15" t="e">
        <f>'summary results'!$G$31</f>
        <v>#NUM!</v>
      </c>
    </row>
  </sheetData>
  <mergeCells count="2">
    <mergeCell ref="Q1:S1"/>
    <mergeCell ref="U1:W1"/>
  </mergeCells>
  <pageMargins left="0.7" right="0.7" top="0.75" bottom="0.75" header="0.3" footer="0.3"/>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76C436BD700BD428C1C0C71E54D8B5E" ma:contentTypeVersion="18" ma:contentTypeDescription="Create a new document." ma:contentTypeScope="" ma:versionID="782111b43a65dadfbc410eb6ccb7aa06">
  <xsd:schema xmlns:xsd="http://www.w3.org/2001/XMLSchema" xmlns:xs="http://www.w3.org/2001/XMLSchema" xmlns:p="http://schemas.microsoft.com/office/2006/metadata/properties" xmlns:ns2="cc801401-75a6-4297-ad63-d4d786ff6e7c" xmlns:ns3="508cc0b8-c8e1-4e41-95d2-be8416ed53ba" targetNamespace="http://schemas.microsoft.com/office/2006/metadata/properties" ma:root="true" ma:fieldsID="7f493af8791a6264672b29a70f2a6765" ns2:_="" ns3:_="">
    <xsd:import namespace="cc801401-75a6-4297-ad63-d4d786ff6e7c"/>
    <xsd:import namespace="508cc0b8-c8e1-4e41-95d2-be8416ed53ba"/>
    <xsd:element name="properties">
      <xsd:complexType>
        <xsd:sequence>
          <xsd:element name="documentManagement">
            <xsd:complexType>
              <xsd:all>
                <xsd:element ref="ns2:SharedWithUsers" minOccurs="0"/>
                <xsd:element ref="ns2:SharedWithDetails" minOccurs="0"/>
                <xsd:element ref="ns2:LastSharedByUser" minOccurs="0"/>
                <xsd:element ref="ns2:LastSharedByTime" minOccurs="0"/>
                <xsd:element ref="ns3:MediaServiceMetadata" minOccurs="0"/>
                <xsd:element ref="ns3:MediaServiceFastMetadata"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element ref="ns3:MediaServiceAutoKeyPoints" minOccurs="0"/>
                <xsd:element ref="ns3:MediaServiceKeyPoints" minOccurs="0"/>
                <xsd:element ref="ns3:MediaLengthInSeconds" minOccurs="0"/>
                <xsd:element ref="ns3:lcf76f155ced4ddcb4097134ff3c332f" minOccurs="0"/>
                <xsd:element ref="ns2: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c801401-75a6-4297-ad63-d4d786ff6e7c"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LastSharedByUser" ma:index="10" nillable="true" ma:displayName="Last Shared By User" ma:description="" ma:internalName="LastSharedByUser" ma:readOnly="true">
      <xsd:simpleType>
        <xsd:restriction base="dms:Note">
          <xsd:maxLength value="255"/>
        </xsd:restriction>
      </xsd:simpleType>
    </xsd:element>
    <xsd:element name="LastSharedByTime" ma:index="11" nillable="true" ma:displayName="Last Shared By Time" ma:description="" ma:internalName="LastSharedByTime" ma:readOnly="true">
      <xsd:simpleType>
        <xsd:restriction base="dms:DateTime"/>
      </xsd:simpleType>
    </xsd:element>
    <xsd:element name="TaxCatchAll" ma:index="25" nillable="true" ma:displayName="Taxonomy Catch All Column" ma:hidden="true" ma:list="2e281972-ae1b-43a4-854f-cb1565a95e46" ma:internalName="TaxCatchAll" ma:showField="CatchAllData" ma:web="cc801401-75a6-4297-ad63-d4d786ff6e7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08cc0b8-c8e1-4e41-95d2-be8416ed53ba" elementFormDefault="qualified">
    <xsd:import namespace="http://schemas.microsoft.com/office/2006/documentManagement/types"/>
    <xsd:import namespace="http://schemas.microsoft.com/office/infopath/2007/PartnerControls"/>
    <xsd:element name="MediaServiceMetadata" ma:index="12" nillable="true" ma:displayName="MediaServiceMetadata" ma:description="" ma:hidden="true" ma:internalName="MediaServiceMetadata" ma:readOnly="true">
      <xsd:simpleType>
        <xsd:restriction base="dms:Note"/>
      </xsd:simpleType>
    </xsd:element>
    <xsd:element name="MediaServiceFastMetadata" ma:index="13" nillable="true" ma:displayName="MediaServiceFastMetadata" ma:description="" ma:hidden="true" ma:internalName="MediaServiceFastMetadata" ma:readOnly="true">
      <xsd:simpleType>
        <xsd:restriction base="dms:Note"/>
      </xsd:simpleType>
    </xsd:element>
    <xsd:element name="MediaServiceDateTaken" ma:index="14" nillable="true" ma:displayName="MediaServiceDateTaken" ma:description="" ma:hidden="true" ma:internalName="MediaServiceDateTaken" ma:readOnly="true">
      <xsd:simpleType>
        <xsd:restriction base="dms:Text"/>
      </xsd:simpleType>
    </xsd:element>
    <xsd:element name="MediaServiceAutoTags" ma:index="15" nillable="true" ma:displayName="MediaServiceAutoTags" ma:description="" ma:internalName="MediaServiceAutoTags" ma:readOnly="true">
      <xsd:simpleType>
        <xsd:restriction base="dms:Text"/>
      </xsd:simpleType>
    </xsd:element>
    <xsd:element name="MediaServiceLocation" ma:index="16" nillable="true" ma:displayName="MediaServiceLocation" ma:internalName="MediaServiceLocation" ma:readOnly="true">
      <xsd:simpleType>
        <xsd:restriction base="dms:Text"/>
      </xsd:simpleType>
    </xsd:element>
    <xsd:element name="MediaServiceOCR" ma:index="17" nillable="true" ma:displayName="MediaServiceOCR"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AutoKeyPoints" ma:index="20" nillable="true" ma:displayName="MediaServiceAutoKeyPoints" ma:hidden="true" ma:internalName="MediaServiceAutoKeyPoints" ma:readOnly="true">
      <xsd:simpleType>
        <xsd:restriction base="dms:Note"/>
      </xsd:simpleType>
    </xsd:element>
    <xsd:element name="MediaServiceKeyPoints" ma:index="21" nillable="true" ma:displayName="KeyPoints" ma:internalName="MediaServiceKeyPoints" ma:readOnly="true">
      <xsd:simpleType>
        <xsd:restriction base="dms:Note">
          <xsd:maxLength value="255"/>
        </xsd:restriction>
      </xsd:simpleType>
    </xsd:element>
    <xsd:element name="MediaLengthInSeconds" ma:index="22" nillable="true" ma:displayName="Length (seconds)"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04f2cd92-8d93-4e4c-83d3-86703d91558f"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A1AFBA9-058C-42E4-9DA9-F48D267BCDD2}"/>
</file>

<file path=customXml/itemProps2.xml><?xml version="1.0" encoding="utf-8"?>
<ds:datastoreItem xmlns:ds="http://schemas.openxmlformats.org/officeDocument/2006/customXml" ds:itemID="{FF973EFA-90FF-4EDA-B70F-2668E00C5F6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Feuilles de calcul</vt:lpstr>
      </vt:variant>
      <vt:variant>
        <vt:i4>14</vt:i4>
      </vt:variant>
      <vt:variant>
        <vt:lpstr>Graphiques</vt:lpstr>
      </vt:variant>
      <vt:variant>
        <vt:i4>4</vt:i4>
      </vt:variant>
      <vt:variant>
        <vt:lpstr>Plages nommées</vt:lpstr>
      </vt:variant>
      <vt:variant>
        <vt:i4>1</vt:i4>
      </vt:variant>
    </vt:vector>
  </HeadingPairs>
  <TitlesOfParts>
    <vt:vector size="19" baseType="lpstr">
      <vt:lpstr>Page de garde</vt:lpstr>
      <vt:lpstr>Feuil1</vt:lpstr>
      <vt:lpstr>Raw data R1</vt:lpstr>
      <vt:lpstr>R1</vt:lpstr>
      <vt:lpstr>Raw data R2</vt:lpstr>
      <vt:lpstr>R2</vt:lpstr>
      <vt:lpstr>Raw data R3</vt:lpstr>
      <vt:lpstr>R3</vt:lpstr>
      <vt:lpstr>pooled normalised values</vt:lpstr>
      <vt:lpstr>summary results</vt:lpstr>
      <vt:lpstr>Notice</vt:lpstr>
      <vt:lpstr>Graph format rapport CHG</vt:lpstr>
      <vt:lpstr>Graph format rapport CHG 1éch</vt:lpstr>
      <vt:lpstr>Récap</vt:lpstr>
      <vt:lpstr>Graph R1</vt:lpstr>
      <vt:lpstr>Graph R2</vt:lpstr>
      <vt:lpstr>Graph R3</vt:lpstr>
      <vt:lpstr>pooled normalised graphe</vt:lpstr>
      <vt:lpstr>'Page de garde'!Zone_d_impression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2022-10-05T13:22:19Z</dcterms:modified>
</cp:coreProperties>
</file>