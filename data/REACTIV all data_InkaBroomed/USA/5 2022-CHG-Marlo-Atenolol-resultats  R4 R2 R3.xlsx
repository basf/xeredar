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1" documentId="13_ncr:1_{5FCF49FC-7F27-4F76-BF70-C4C822E8EF4A}" xr6:coauthVersionLast="47" xr6:coauthVersionMax="47" xr10:uidLastSave="{3DBE5A3C-4DA2-4522-950D-205DD945BE66}"/>
  <bookViews>
    <workbookView xWindow="-108" yWindow="-108" windowWidth="23256" windowHeight="12576" activeTab="3" xr2:uid="{00000000-000D-0000-FFFF-FFFF00000000}"/>
  </bookViews>
  <sheets>
    <sheet name="Page de garde" sheetId="10" r:id="rId1"/>
    <sheet name="Feuil1" sheetId="39" r:id="rId2"/>
    <sheet name="Raw data R1" sheetId="35" r:id="rId3"/>
    <sheet name="R1" sheetId="1" r:id="rId4"/>
    <sheet name="Graph R4"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Q35" i="33"/>
  <c r="Q45" i="4" s="1"/>
  <c r="Q33" i="33"/>
  <c r="Q43" i="4" s="1"/>
  <c r="Q30" i="33"/>
  <c r="Q40" i="4" s="1"/>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D35" i="33" s="1"/>
  <c r="D45" i="4" s="1"/>
  <c r="L23" i="33"/>
  <c r="J23" i="33"/>
  <c r="I23" i="33"/>
  <c r="H23" i="33"/>
  <c r="G23" i="33"/>
  <c r="F23" i="33"/>
  <c r="E23" i="33"/>
  <c r="D23" i="33"/>
  <c r="C23" i="33"/>
  <c r="B23" i="33"/>
  <c r="A22" i="33"/>
  <c r="H22" i="33"/>
  <c r="G45" i="33"/>
  <c r="F27" i="33"/>
  <c r="F52" i="33" s="1"/>
  <c r="E45" i="33"/>
  <c r="D22" i="33"/>
  <c r="C45" i="33"/>
  <c r="B45" i="33"/>
  <c r="Q56" i="33"/>
  <c r="P56" i="33"/>
  <c r="Q28" i="33" l="1"/>
  <c r="L31" i="33"/>
  <c r="L41" i="4" s="1"/>
  <c r="P34" i="33"/>
  <c r="P44" i="4" s="1"/>
  <c r="T28" i="33"/>
  <c r="P31" i="33"/>
  <c r="P41" i="4" s="1"/>
  <c r="Q34" i="33"/>
  <c r="Q44" i="4" s="1"/>
  <c r="L29" i="33"/>
  <c r="L39" i="4" s="1"/>
  <c r="Q31" i="33"/>
  <c r="Q41" i="4" s="1"/>
  <c r="T35" i="33"/>
  <c r="T45" i="4" s="1"/>
  <c r="F29" i="33"/>
  <c r="F30" i="33"/>
  <c r="F31" i="33"/>
  <c r="F32" i="33"/>
  <c r="F33" i="33"/>
  <c r="F43" i="4" s="1"/>
  <c r="F28" i="33"/>
  <c r="F38" i="4" s="1"/>
  <c r="F34" i="33"/>
  <c r="F44" i="4" s="1"/>
  <c r="F35" i="33"/>
  <c r="P29" i="33"/>
  <c r="P39" i="4" s="1"/>
  <c r="C32" i="33"/>
  <c r="C42" i="4" s="1"/>
  <c r="P35" i="33"/>
  <c r="P45" i="4" s="1"/>
  <c r="Q29" i="33"/>
  <c r="Q39" i="4" s="1"/>
  <c r="P32" i="33"/>
  <c r="P42" i="4" s="1"/>
  <c r="C28" i="33"/>
  <c r="C38" i="4" s="1"/>
  <c r="C30" i="33"/>
  <c r="C40" i="4" s="1"/>
  <c r="Q32" i="33"/>
  <c r="Q42" i="4" s="1"/>
  <c r="H28" i="33"/>
  <c r="P30" i="33"/>
  <c r="P40" i="4" s="1"/>
  <c r="P33" i="33"/>
  <c r="P43" i="4" s="1"/>
  <c r="O42" i="33"/>
  <c r="O52" i="4" s="1"/>
  <c r="O43" i="33"/>
  <c r="O53" i="4" s="1"/>
  <c r="H30" i="33"/>
  <c r="H40" i="4" s="1"/>
  <c r="T30" i="33"/>
  <c r="T40" i="4" s="1"/>
  <c r="H32" i="33"/>
  <c r="H42" i="4" s="1"/>
  <c r="T32" i="33"/>
  <c r="T42" i="4" s="1"/>
  <c r="K28" i="33"/>
  <c r="K38" i="4" s="1"/>
  <c r="D29" i="33"/>
  <c r="D39" i="4" s="1"/>
  <c r="K30" i="33"/>
  <c r="K40" i="4" s="1"/>
  <c r="D31" i="33"/>
  <c r="D41" i="4" s="1"/>
  <c r="K32" i="33"/>
  <c r="K42" i="4" s="1"/>
  <c r="G33" i="33"/>
  <c r="G43" i="4" s="1"/>
  <c r="T33" i="33"/>
  <c r="T43" i="4" s="1"/>
  <c r="O36" i="33"/>
  <c r="O46" i="4" s="1"/>
  <c r="O37" i="33"/>
  <c r="O47" i="4" s="1"/>
  <c r="O38" i="33"/>
  <c r="O48" i="4" s="1"/>
  <c r="O39" i="33"/>
  <c r="O49" i="4" s="1"/>
  <c r="O40" i="33"/>
  <c r="O50" i="4" s="1"/>
  <c r="O41" i="33"/>
  <c r="O51" i="4" s="1"/>
  <c r="G29" i="33"/>
  <c r="G39" i="4" s="1"/>
  <c r="U29" i="33"/>
  <c r="U39" i="4" s="1"/>
  <c r="G31" i="33"/>
  <c r="G41" i="4" s="1"/>
  <c r="U31" i="33"/>
  <c r="U41" i="4" s="1"/>
  <c r="K33" i="33"/>
  <c r="K43" i="4" s="1"/>
  <c r="C34" i="33"/>
  <c r="C44" i="4" s="1"/>
  <c r="O35" i="33"/>
  <c r="O45" i="4" s="1"/>
  <c r="G35" i="33"/>
  <c r="G45" i="4" s="1"/>
  <c r="D28" i="33"/>
  <c r="D38" i="4" s="1"/>
  <c r="L28" i="33"/>
  <c r="L38" i="4" s="1"/>
  <c r="U28" i="33"/>
  <c r="H29" i="33"/>
  <c r="D30" i="33"/>
  <c r="D40" i="4" s="1"/>
  <c r="L30" i="33"/>
  <c r="L40" i="4" s="1"/>
  <c r="U30" i="33"/>
  <c r="U40" i="4" s="1"/>
  <c r="H31" i="33"/>
  <c r="H41" i="4" s="1"/>
  <c r="D32" i="33"/>
  <c r="D42" i="4" s="1"/>
  <c r="L32" i="33"/>
  <c r="L42" i="4" s="1"/>
  <c r="U32" i="33"/>
  <c r="U42" i="4" s="1"/>
  <c r="G34" i="33"/>
  <c r="G44" i="4" s="1"/>
  <c r="T34" i="33"/>
  <c r="T44" i="4" s="1"/>
  <c r="K35" i="33"/>
  <c r="K45" i="4" s="1"/>
  <c r="S35" i="33"/>
  <c r="S45" i="4" s="1"/>
  <c r="J35" i="33"/>
  <c r="J45" i="4" s="1"/>
  <c r="F45" i="4"/>
  <c r="B35" i="33"/>
  <c r="B45" i="4" s="1"/>
  <c r="S34" i="33"/>
  <c r="S44" i="4" s="1"/>
  <c r="O34" i="33"/>
  <c r="O44" i="4" s="1"/>
  <c r="J34" i="33"/>
  <c r="J44" i="4" s="1"/>
  <c r="B34" i="33"/>
  <c r="B44" i="4" s="1"/>
  <c r="S33" i="33"/>
  <c r="S43" i="4" s="1"/>
  <c r="O33" i="33"/>
  <c r="O43" i="4" s="1"/>
  <c r="J33" i="33"/>
  <c r="J43" i="4" s="1"/>
  <c r="B33" i="33"/>
  <c r="B43" i="4" s="1"/>
  <c r="S32" i="33"/>
  <c r="S42" i="4" s="1"/>
  <c r="O32" i="33"/>
  <c r="O42" i="4" s="1"/>
  <c r="J32" i="33"/>
  <c r="J42" i="4" s="1"/>
  <c r="F42" i="4"/>
  <c r="B32" i="33"/>
  <c r="B42" i="4" s="1"/>
  <c r="S31" i="33"/>
  <c r="S41" i="4" s="1"/>
  <c r="O31" i="33"/>
  <c r="O41" i="4" s="1"/>
  <c r="J31" i="33"/>
  <c r="J41" i="4" s="1"/>
  <c r="F41" i="4"/>
  <c r="B31" i="33"/>
  <c r="B41" i="4" s="1"/>
  <c r="S30" i="33"/>
  <c r="S40" i="4" s="1"/>
  <c r="O30" i="33"/>
  <c r="O40" i="4" s="1"/>
  <c r="J30" i="33"/>
  <c r="J40" i="4" s="1"/>
  <c r="F40" i="4"/>
  <c r="B30" i="33"/>
  <c r="B40" i="4" s="1"/>
  <c r="S29" i="33"/>
  <c r="S39" i="4" s="1"/>
  <c r="O29" i="33"/>
  <c r="O39" i="4" s="1"/>
  <c r="J29" i="33"/>
  <c r="J39" i="4" s="1"/>
  <c r="F39" i="4"/>
  <c r="B29" i="33"/>
  <c r="B39" i="4" s="1"/>
  <c r="S28" i="33"/>
  <c r="S38" i="4" s="1"/>
  <c r="O28" i="33"/>
  <c r="O38" i="4" s="1"/>
  <c r="J28" i="33"/>
  <c r="J38" i="4" s="1"/>
  <c r="B28" i="33"/>
  <c r="B38" i="4" s="1"/>
  <c r="R35" i="33"/>
  <c r="R45" i="4" s="1"/>
  <c r="M35" i="33"/>
  <c r="M45" i="4" s="1"/>
  <c r="I35" i="33"/>
  <c r="I45" i="4" s="1"/>
  <c r="E35" i="33"/>
  <c r="E45" i="4" s="1"/>
  <c r="V34" i="33"/>
  <c r="V44" i="4" s="1"/>
  <c r="R34" i="33"/>
  <c r="R44" i="4" s="1"/>
  <c r="M34" i="33"/>
  <c r="M44" i="4" s="1"/>
  <c r="I34" i="33"/>
  <c r="I44" i="4" s="1"/>
  <c r="E34" i="33"/>
  <c r="E44" i="4" s="1"/>
  <c r="V33" i="33"/>
  <c r="V43" i="4" s="1"/>
  <c r="R33" i="33"/>
  <c r="R43" i="4" s="1"/>
  <c r="M33" i="33"/>
  <c r="M43" i="4" s="1"/>
  <c r="I33" i="33"/>
  <c r="I43" i="4" s="1"/>
  <c r="E33" i="33"/>
  <c r="E43" i="4" s="1"/>
  <c r="V32" i="33"/>
  <c r="V42" i="4" s="1"/>
  <c r="R32" i="33"/>
  <c r="R42" i="4" s="1"/>
  <c r="M32" i="33"/>
  <c r="M42" i="4" s="1"/>
  <c r="I32" i="33"/>
  <c r="I42" i="4" s="1"/>
  <c r="E32" i="33"/>
  <c r="E42" i="4" s="1"/>
  <c r="V31" i="33"/>
  <c r="V41" i="4" s="1"/>
  <c r="R31" i="33"/>
  <c r="R41" i="4" s="1"/>
  <c r="M31" i="33"/>
  <c r="M41" i="4" s="1"/>
  <c r="I31" i="33"/>
  <c r="I41" i="4" s="1"/>
  <c r="E31" i="33"/>
  <c r="E41" i="4" s="1"/>
  <c r="V30" i="33"/>
  <c r="V40" i="4" s="1"/>
  <c r="R30" i="33"/>
  <c r="R40" i="4" s="1"/>
  <c r="M30" i="33"/>
  <c r="M40" i="4" s="1"/>
  <c r="I30" i="33"/>
  <c r="I40" i="4" s="1"/>
  <c r="E30" i="33"/>
  <c r="E40" i="4" s="1"/>
  <c r="V29" i="33"/>
  <c r="V39" i="4" s="1"/>
  <c r="R29" i="33"/>
  <c r="R39" i="4" s="1"/>
  <c r="M29" i="33"/>
  <c r="M39" i="4" s="1"/>
  <c r="I29" i="33"/>
  <c r="I39" i="4" s="1"/>
  <c r="E29" i="33"/>
  <c r="E39" i="4" s="1"/>
  <c r="V28" i="33"/>
  <c r="V38" i="4" s="1"/>
  <c r="R28" i="33"/>
  <c r="R38" i="4" s="1"/>
  <c r="M28" i="33"/>
  <c r="M38" i="4" s="1"/>
  <c r="I28" i="33"/>
  <c r="I38" i="4" s="1"/>
  <c r="E28" i="33"/>
  <c r="E38" i="4" s="1"/>
  <c r="U35" i="33"/>
  <c r="U45" i="4" s="1"/>
  <c r="L35" i="33"/>
  <c r="L45" i="4" s="1"/>
  <c r="H35" i="33"/>
  <c r="H45" i="4" s="1"/>
  <c r="U33" i="33"/>
  <c r="U43" i="4" s="1"/>
  <c r="L33" i="33"/>
  <c r="L43" i="4" s="1"/>
  <c r="H33" i="33"/>
  <c r="H43" i="4" s="1"/>
  <c r="D33" i="33"/>
  <c r="D43" i="4" s="1"/>
  <c r="V35" i="33"/>
  <c r="V45" i="4" s="1"/>
  <c r="U34" i="33"/>
  <c r="U44" i="4" s="1"/>
  <c r="L34" i="33"/>
  <c r="L44" i="4" s="1"/>
  <c r="H34" i="33"/>
  <c r="H44" i="4" s="1"/>
  <c r="D34" i="33"/>
  <c r="D44" i="4" s="1"/>
  <c r="G28" i="33"/>
  <c r="G38" i="4" s="1"/>
  <c r="C29" i="33"/>
  <c r="K29" i="33"/>
  <c r="T29" i="33"/>
  <c r="G30" i="33"/>
  <c r="G40" i="4" s="1"/>
  <c r="C31" i="33"/>
  <c r="C41" i="4" s="1"/>
  <c r="K31" i="33"/>
  <c r="K41" i="4" s="1"/>
  <c r="T31" i="33"/>
  <c r="T41" i="4" s="1"/>
  <c r="G32" i="33"/>
  <c r="G42" i="4" s="1"/>
  <c r="C33" i="33"/>
  <c r="C43" i="4" s="1"/>
  <c r="K34" i="33"/>
  <c r="K44" i="4" s="1"/>
  <c r="C35" i="33"/>
  <c r="C45" i="4" s="1"/>
  <c r="H38" i="4"/>
  <c r="B22" i="33"/>
  <c r="E22" i="33"/>
  <c r="I45" i="33"/>
  <c r="I52" i="33"/>
  <c r="I27" i="33"/>
  <c r="P46" i="33"/>
  <c r="P53" i="33" s="1"/>
  <c r="P38" i="4"/>
  <c r="P47" i="33"/>
  <c r="P48" i="33" s="1"/>
  <c r="P54" i="33" s="1"/>
  <c r="T38" i="4"/>
  <c r="B27" i="33"/>
  <c r="B52" i="33" s="1"/>
  <c r="Q47" i="33"/>
  <c r="Q48" i="33" s="1"/>
  <c r="Q54" i="33" s="1"/>
  <c r="Q38" i="4"/>
  <c r="D27" i="33"/>
  <c r="D52" i="33" s="1"/>
  <c r="I22" i="33"/>
  <c r="E27" i="33"/>
  <c r="E52" i="33" s="1"/>
  <c r="D45" i="33"/>
  <c r="P57" i="33"/>
  <c r="Q57" i="33"/>
  <c r="Q46" i="33"/>
  <c r="Q53" i="33" s="1"/>
  <c r="F22" i="33"/>
  <c r="F45" i="33"/>
  <c r="G22" i="33"/>
  <c r="G27" i="33"/>
  <c r="G52" i="33" s="1"/>
  <c r="C22" i="33"/>
  <c r="C27" i="33"/>
  <c r="C52" i="33" s="1"/>
  <c r="H27" i="33"/>
  <c r="H52" i="33" s="1"/>
  <c r="H45" i="33"/>
  <c r="G56" i="33"/>
  <c r="D56" i="33"/>
  <c r="H56" i="33"/>
  <c r="T56" i="33"/>
  <c r="L56" i="33"/>
  <c r="V56" i="33"/>
  <c r="K56" i="33"/>
  <c r="I56" i="33"/>
  <c r="E56" i="33"/>
  <c r="M56" i="33"/>
  <c r="J56" i="33"/>
  <c r="S56" i="33"/>
  <c r="F56" i="33"/>
  <c r="C56" i="33"/>
  <c r="R56" i="33"/>
  <c r="U56" i="33"/>
  <c r="O56" i="33"/>
  <c r="B56" i="33"/>
  <c r="K46" i="33" l="1"/>
  <c r="K53" i="33" s="1"/>
  <c r="U46" i="33"/>
  <c r="U53" i="33" s="1"/>
  <c r="C47" i="33"/>
  <c r="C48" i="33" s="1"/>
  <c r="C54" i="33" s="1"/>
  <c r="L46" i="33"/>
  <c r="L53" i="33" s="1"/>
  <c r="E46" i="33"/>
  <c r="E53" i="33" s="1"/>
  <c r="G46" i="33"/>
  <c r="G53" i="33" s="1"/>
  <c r="C46" i="33"/>
  <c r="C53" i="33" s="1"/>
  <c r="T47" i="33"/>
  <c r="T48" i="33" s="1"/>
  <c r="T54" i="33" s="1"/>
  <c r="D46" i="33"/>
  <c r="D53" i="33" s="1"/>
  <c r="F46" i="33"/>
  <c r="F53" i="33" s="1"/>
  <c r="V46" i="33"/>
  <c r="V53" i="33" s="1"/>
  <c r="L47" i="33"/>
  <c r="L48" i="33" s="1"/>
  <c r="L54" i="33" s="1"/>
  <c r="G47" i="33"/>
  <c r="G48" i="33" s="1"/>
  <c r="G54" i="33" s="1"/>
  <c r="M46" i="33"/>
  <c r="M53" i="33" s="1"/>
  <c r="J47" i="33"/>
  <c r="J48" i="33" s="1"/>
  <c r="J54" i="33" s="1"/>
  <c r="T46" i="33"/>
  <c r="T53" i="33" s="1"/>
  <c r="C57" i="33"/>
  <c r="M57" i="33"/>
  <c r="O57" i="33"/>
  <c r="P59" i="33" s="1"/>
  <c r="L57" i="33"/>
  <c r="K57" i="33"/>
  <c r="G57" i="33"/>
  <c r="R57" i="33"/>
  <c r="B57" i="33"/>
  <c r="S57" i="33"/>
  <c r="D57" i="33"/>
  <c r="I57" i="33"/>
  <c r="J57" i="33"/>
  <c r="U57" i="33"/>
  <c r="T57" i="33"/>
  <c r="E57" i="33"/>
  <c r="V57" i="33"/>
  <c r="F57" i="33"/>
  <c r="H57" i="33"/>
  <c r="C39" i="4"/>
  <c r="K39" i="4"/>
  <c r="V47" i="33"/>
  <c r="V48" i="33" s="1"/>
  <c r="V54" i="33" s="1"/>
  <c r="M47" i="33"/>
  <c r="M48" i="33" s="1"/>
  <c r="M54" i="33" s="1"/>
  <c r="E47" i="33"/>
  <c r="E48" i="33" s="1"/>
  <c r="E54" i="33" s="1"/>
  <c r="H47" i="33"/>
  <c r="H48" i="33" s="1"/>
  <c r="H54" i="33" s="1"/>
  <c r="O46" i="33"/>
  <c r="O53" i="33" s="1"/>
  <c r="O55" i="33" s="1"/>
  <c r="J46" i="33"/>
  <c r="J53" i="33" s="1"/>
  <c r="R46" i="33"/>
  <c r="R53" i="33" s="1"/>
  <c r="B46" i="33"/>
  <c r="B53" i="33" s="1"/>
  <c r="M55" i="33" s="1"/>
  <c r="H46" i="33"/>
  <c r="H53" i="33" s="1"/>
  <c r="S47" i="33"/>
  <c r="S48" i="33" s="1"/>
  <c r="S54" i="33" s="1"/>
  <c r="O47" i="33"/>
  <c r="O48" i="33" s="1"/>
  <c r="O54" i="33" s="1"/>
  <c r="K47" i="33"/>
  <c r="K48" i="33" s="1"/>
  <c r="K54" i="33" s="1"/>
  <c r="I46" i="33"/>
  <c r="I53" i="33" s="1"/>
  <c r="R47" i="33"/>
  <c r="R48" i="33" s="1"/>
  <c r="R54" i="33" s="1"/>
  <c r="I47" i="33"/>
  <c r="I48" i="33" s="1"/>
  <c r="I54" i="33" s="1"/>
  <c r="B47" i="33"/>
  <c r="B48" i="33" s="1"/>
  <c r="B54" i="33" s="1"/>
  <c r="U47" i="33"/>
  <c r="U48" i="33" s="1"/>
  <c r="U54" i="33" s="1"/>
  <c r="D47" i="33"/>
  <c r="D48" i="33" s="1"/>
  <c r="D54" i="33" s="1"/>
  <c r="S46" i="33"/>
  <c r="S53" i="33" s="1"/>
  <c r="F47" i="33"/>
  <c r="F48" i="33" s="1"/>
  <c r="F54" i="33" s="1"/>
  <c r="U38" i="4"/>
  <c r="T39" i="4"/>
  <c r="H39" i="4"/>
  <c r="V55" i="33"/>
  <c r="R59" i="33" l="1"/>
  <c r="R60" i="33" s="1"/>
  <c r="U59" i="33"/>
  <c r="U60" i="33" s="1"/>
  <c r="S59" i="33"/>
  <c r="S60" i="33" s="1"/>
  <c r="F59" i="33"/>
  <c r="F60" i="33" s="1"/>
  <c r="F61" i="33" s="1"/>
  <c r="Q55" i="33"/>
  <c r="P55" i="33"/>
  <c r="S55" i="33"/>
  <c r="R55" i="33"/>
  <c r="U55" i="33"/>
  <c r="B64" i="33"/>
  <c r="T59" i="33"/>
  <c r="T60" i="33" s="1"/>
  <c r="T55" i="33"/>
  <c r="E59" i="33"/>
  <c r="E60" i="33" s="1"/>
  <c r="E61" i="33" s="1"/>
  <c r="H59" i="33"/>
  <c r="H60" i="33" s="1"/>
  <c r="H61" i="33" s="1"/>
  <c r="J59" i="33"/>
  <c r="J60" i="33" s="1"/>
  <c r="J61" i="33" s="1"/>
  <c r="B65" i="33"/>
  <c r="D59" i="33"/>
  <c r="D60" i="33" s="1"/>
  <c r="V59" i="33"/>
  <c r="V60" i="33" s="1"/>
  <c r="C59" i="33"/>
  <c r="C60" i="33" s="1"/>
  <c r="G59" i="33"/>
  <c r="G60" i="33" s="1"/>
  <c r="I59" i="33"/>
  <c r="I60" i="33" s="1"/>
  <c r="L59" i="33"/>
  <c r="L60" i="33" s="1"/>
  <c r="L61" i="33" s="1"/>
  <c r="O59" i="33"/>
  <c r="O60" i="33" s="1"/>
  <c r="Q59" i="33"/>
  <c r="Q60" i="33" s="1"/>
  <c r="K59" i="33"/>
  <c r="K60" i="33" s="1"/>
  <c r="K61" i="33" s="1"/>
  <c r="M59" i="33"/>
  <c r="M60" i="33" s="1"/>
  <c r="M61" i="33" s="1"/>
  <c r="D55" i="33"/>
  <c r="B55" i="33"/>
  <c r="K55" i="33"/>
  <c r="L55" i="33"/>
  <c r="G55" i="33"/>
  <c r="F55" i="33"/>
  <c r="C55" i="33"/>
  <c r="J55" i="33"/>
  <c r="H55" i="33"/>
  <c r="I55" i="33"/>
  <c r="E55" i="33"/>
  <c r="P60" i="33"/>
  <c r="V61" i="33" l="1"/>
  <c r="U61" i="33"/>
  <c r="T61" i="33"/>
  <c r="S61" i="33"/>
  <c r="R61" i="33"/>
  <c r="I61" i="33"/>
  <c r="C61" i="33"/>
  <c r="Q61" i="33"/>
  <c r="P61" i="33"/>
  <c r="O61" i="33"/>
  <c r="D61" i="33"/>
  <c r="G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V28" i="23"/>
  <c r="R29" i="23"/>
  <c r="R23" i="4" s="1"/>
  <c r="T30" i="23"/>
  <c r="T24" i="4" s="1"/>
  <c r="U30" i="23"/>
  <c r="U24" i="4" s="1"/>
  <c r="Q32" i="23"/>
  <c r="Q26" i="4" s="1"/>
  <c r="R32" i="23"/>
  <c r="R26" i="4" s="1"/>
  <c r="T33" i="23"/>
  <c r="U33" i="23"/>
  <c r="U27" i="4" s="1"/>
  <c r="P35" i="23"/>
  <c r="P29" i="4" s="1"/>
  <c r="R35" i="23"/>
  <c r="R29" i="4" s="1"/>
  <c r="V35" i="23"/>
  <c r="V29" i="4" s="1"/>
  <c r="P36" i="23"/>
  <c r="P30" i="4" s="1"/>
  <c r="Q36" i="23"/>
  <c r="Q30" i="4" s="1"/>
  <c r="R36" i="23"/>
  <c r="R30" i="4" s="1"/>
  <c r="S36" i="23"/>
  <c r="S30" i="4" s="1"/>
  <c r="T36" i="23"/>
  <c r="T30" i="4" s="1"/>
  <c r="U36" i="23"/>
  <c r="U30" i="4" s="1"/>
  <c r="V36" i="23"/>
  <c r="V30" i="4" s="1"/>
  <c r="P37" i="23"/>
  <c r="P31" i="4" s="1"/>
  <c r="Q37" i="23"/>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V33" i="4" s="1"/>
  <c r="P40" i="23"/>
  <c r="P34" i="4" s="1"/>
  <c r="Q40" i="23"/>
  <c r="Q34" i="4" s="1"/>
  <c r="R40" i="23"/>
  <c r="R34" i="4" s="1"/>
  <c r="S40" i="23"/>
  <c r="S34" i="4" s="1"/>
  <c r="T40" i="23"/>
  <c r="T34" i="4" s="1"/>
  <c r="U40" i="23"/>
  <c r="U34" i="4" s="1"/>
  <c r="V40" i="23"/>
  <c r="V34" i="4" s="1"/>
  <c r="P41" i="23"/>
  <c r="P35" i="4" s="1"/>
  <c r="Q41" i="23"/>
  <c r="Q35" i="4" s="1"/>
  <c r="R41" i="23"/>
  <c r="R35" i="4" s="1"/>
  <c r="S41" i="23"/>
  <c r="S35" i="4" s="1"/>
  <c r="T41" i="23"/>
  <c r="T35" i="4" s="1"/>
  <c r="U41" i="23"/>
  <c r="U35" i="4" s="1"/>
  <c r="V41" i="23"/>
  <c r="V35" i="4" s="1"/>
  <c r="P42" i="23"/>
  <c r="P36" i="4" s="1"/>
  <c r="Q42" i="23"/>
  <c r="Q36" i="4" s="1"/>
  <c r="R42" i="23"/>
  <c r="R36" i="4" s="1"/>
  <c r="S42" i="23"/>
  <c r="T42" i="23"/>
  <c r="T36" i="4" s="1"/>
  <c r="U42" i="23"/>
  <c r="U36" i="4" s="1"/>
  <c r="V42" i="23"/>
  <c r="V36" i="4" s="1"/>
  <c r="P43" i="23"/>
  <c r="Q43" i="23"/>
  <c r="Q37" i="4" s="1"/>
  <c r="R43" i="23"/>
  <c r="S43" i="23"/>
  <c r="T43" i="23"/>
  <c r="U43" i="23"/>
  <c r="U37" i="4" s="1"/>
  <c r="V43" i="23"/>
  <c r="M28" i="23"/>
  <c r="K29" i="23"/>
  <c r="K23" i="4" s="1"/>
  <c r="L31" i="23"/>
  <c r="L25" i="4" s="1"/>
  <c r="M31" i="23"/>
  <c r="M25" i="4" s="1"/>
  <c r="K34" i="23"/>
  <c r="K28" i="4" s="1"/>
  <c r="L34" i="23"/>
  <c r="L28" i="4" s="1"/>
  <c r="K35" i="23"/>
  <c r="K29"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V33" i="1"/>
  <c r="V11"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S36" i="4"/>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Q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C28" i="23"/>
  <c r="J29" i="23"/>
  <c r="J23" i="4" s="1"/>
  <c r="J40" i="23"/>
  <c r="J34" i="4" s="1"/>
  <c r="J36" i="23"/>
  <c r="J30" i="4" s="1"/>
  <c r="G35" i="23"/>
  <c r="G29" i="4" s="1"/>
  <c r="H34" i="23"/>
  <c r="H28" i="4" s="1"/>
  <c r="I33" i="23"/>
  <c r="I27" i="4" s="1"/>
  <c r="J32" i="23"/>
  <c r="J26" i="4" s="1"/>
  <c r="G31" i="23"/>
  <c r="G25" i="4" s="1"/>
  <c r="H30" i="23"/>
  <c r="H24" i="4" s="1"/>
  <c r="I29" i="23"/>
  <c r="I23" i="4" s="1"/>
  <c r="E29" i="23"/>
  <c r="E23" i="4" s="1"/>
  <c r="J28" i="23"/>
  <c r="F28" i="23"/>
  <c r="J42" i="23"/>
  <c r="J36" i="4" s="1"/>
  <c r="J38" i="23"/>
  <c r="J32" i="4" s="1"/>
  <c r="J34" i="23"/>
  <c r="J28" i="4" s="1"/>
  <c r="F34" i="23"/>
  <c r="F28" i="4" s="1"/>
  <c r="H32" i="23"/>
  <c r="H26" i="4" s="1"/>
  <c r="I31" i="23"/>
  <c r="I25" i="4" s="1"/>
  <c r="E31" i="23"/>
  <c r="E25" i="4" s="1"/>
  <c r="J30" i="23"/>
  <c r="J24" i="4" s="1"/>
  <c r="F30" i="23"/>
  <c r="F24" i="4" s="1"/>
  <c r="D28" i="23"/>
  <c r="J41" i="23"/>
  <c r="J35" i="4" s="1"/>
  <c r="J37" i="23"/>
  <c r="J31" i="4" s="1"/>
  <c r="H35" i="23"/>
  <c r="H29" i="4" s="1"/>
  <c r="I34" i="23"/>
  <c r="I28" i="4" s="1"/>
  <c r="E34" i="23"/>
  <c r="E28" i="4" s="1"/>
  <c r="J43" i="23"/>
  <c r="J39" i="23"/>
  <c r="J33" i="4" s="1"/>
  <c r="J35" i="23"/>
  <c r="J29" i="4" s="1"/>
  <c r="G34" i="23"/>
  <c r="G28" i="4" s="1"/>
  <c r="H33" i="23"/>
  <c r="H27" i="4" s="1"/>
  <c r="I32" i="23"/>
  <c r="I26" i="4" s="1"/>
  <c r="J31" i="23"/>
  <c r="J25" i="4" s="1"/>
  <c r="G30" i="23"/>
  <c r="G24" i="4" s="1"/>
  <c r="D29" i="23"/>
  <c r="D23" i="4" s="1"/>
  <c r="I28" i="23"/>
  <c r="E28" i="23"/>
  <c r="I35" i="23"/>
  <c r="I29" i="4" s="1"/>
  <c r="E35" i="23"/>
  <c r="E29" i="4" s="1"/>
  <c r="D32" i="23"/>
  <c r="D26" i="4" s="1"/>
  <c r="H28" i="23"/>
  <c r="J33" i="23"/>
  <c r="J27" i="4" s="1"/>
  <c r="G32" i="23"/>
  <c r="G26"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S28" i="1" s="1"/>
  <c r="H27" i="1"/>
  <c r="H52" i="1" s="1"/>
  <c r="G27" i="1"/>
  <c r="G52" i="1" s="1"/>
  <c r="F27" i="1"/>
  <c r="F52" i="1" s="1"/>
  <c r="E4" i="4"/>
  <c r="D22" i="1"/>
  <c r="C45" i="1"/>
  <c r="H30" i="1"/>
  <c r="H8" i="4" s="1"/>
  <c r="F32" i="1"/>
  <c r="F10" i="4" s="1"/>
  <c r="C33" i="1"/>
  <c r="C11" i="4" s="1"/>
  <c r="E35" i="1"/>
  <c r="E13" i="4" s="1"/>
  <c r="H31" i="1"/>
  <c r="E32" i="1"/>
  <c r="E10" i="4" s="1"/>
  <c r="I30" i="1"/>
  <c r="I8" i="4" s="1"/>
  <c r="H33" i="1"/>
  <c r="H11" i="4" s="1"/>
  <c r="I34" i="1"/>
  <c r="I12" i="4" s="1"/>
  <c r="F35" i="1"/>
  <c r="F13" i="4" s="1"/>
  <c r="I29" i="1"/>
  <c r="F30" i="1"/>
  <c r="F34" i="1"/>
  <c r="F12" i="4" s="1"/>
  <c r="C35" i="1"/>
  <c r="C13" i="4" s="1"/>
  <c r="F29" i="1"/>
  <c r="F7" i="4" s="1"/>
  <c r="G30" i="1"/>
  <c r="G8" i="4" s="1"/>
  <c r="F33" i="1"/>
  <c r="F11" i="4" s="1"/>
  <c r="O39" i="1"/>
  <c r="O17" i="4" s="1"/>
  <c r="P30" i="1"/>
  <c r="P8" i="4" s="1"/>
  <c r="P33" i="1"/>
  <c r="P11" i="4" s="1"/>
  <c r="B33" i="1"/>
  <c r="B11" i="4" s="1"/>
  <c r="Q28" i="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K56" i="23"/>
  <c r="S56" i="23"/>
  <c r="R56" i="23"/>
  <c r="I56" i="23"/>
  <c r="L56" i="23"/>
  <c r="T56" i="23"/>
  <c r="M56" i="23"/>
  <c r="V56" i="23"/>
  <c r="J56" i="23"/>
  <c r="U56" i="23"/>
  <c r="V31" i="1" l="1"/>
  <c r="V9" i="4" s="1"/>
  <c r="M33" i="23"/>
  <c r="M27" i="4" s="1"/>
  <c r="K31" i="23"/>
  <c r="K25" i="4" s="1"/>
  <c r="L28" i="23"/>
  <c r="V34" i="23"/>
  <c r="V28" i="4" s="1"/>
  <c r="S33" i="23"/>
  <c r="S27" i="4" s="1"/>
  <c r="V31" i="23"/>
  <c r="V25" i="4" s="1"/>
  <c r="S30" i="23"/>
  <c r="S24" i="4" s="1"/>
  <c r="U28" i="23"/>
  <c r="U22" i="4" s="1"/>
  <c r="V29" i="1"/>
  <c r="V7" i="4" s="1"/>
  <c r="L33" i="23"/>
  <c r="L27" i="4" s="1"/>
  <c r="M30" i="23"/>
  <c r="M24" i="4" s="1"/>
  <c r="K28" i="23"/>
  <c r="K22" i="4" s="1"/>
  <c r="U34" i="23"/>
  <c r="U28" i="4" s="1"/>
  <c r="R33" i="23"/>
  <c r="R27" i="4" s="1"/>
  <c r="U31" i="23"/>
  <c r="U25" i="4" s="1"/>
  <c r="R30" i="23"/>
  <c r="R24" i="4" s="1"/>
  <c r="T28" i="23"/>
  <c r="T22" i="4" s="1"/>
  <c r="M35" i="23"/>
  <c r="M29" i="4" s="1"/>
  <c r="K33" i="23"/>
  <c r="K27" i="4" s="1"/>
  <c r="L30" i="23"/>
  <c r="L24" i="4" s="1"/>
  <c r="T34" i="23"/>
  <c r="T28" i="4" s="1"/>
  <c r="V32" i="23"/>
  <c r="V26" i="4" s="1"/>
  <c r="T31" i="23"/>
  <c r="T25" i="4" s="1"/>
  <c r="V29" i="23"/>
  <c r="V23" i="4" s="1"/>
  <c r="S28" i="23"/>
  <c r="S22" i="4" s="1"/>
  <c r="O42" i="1"/>
  <c r="O20" i="4" s="1"/>
  <c r="I33" i="1"/>
  <c r="I11" i="4" s="1"/>
  <c r="E30" i="1"/>
  <c r="E8" i="4" s="1"/>
  <c r="L35" i="23"/>
  <c r="L29" i="4" s="1"/>
  <c r="M32" i="23"/>
  <c r="M26" i="4" s="1"/>
  <c r="K30" i="23"/>
  <c r="K24" i="4" s="1"/>
  <c r="U35" i="23"/>
  <c r="S34" i="23"/>
  <c r="S28" i="4" s="1"/>
  <c r="U32" i="23"/>
  <c r="U26" i="4" s="1"/>
  <c r="S31" i="23"/>
  <c r="S25" i="4" s="1"/>
  <c r="U29" i="23"/>
  <c r="U23" i="4" s="1"/>
  <c r="R28" i="23"/>
  <c r="O43" i="1"/>
  <c r="H32" i="1"/>
  <c r="H10" i="4" s="1"/>
  <c r="H35" i="1"/>
  <c r="H13" i="4" s="1"/>
  <c r="L32" i="23"/>
  <c r="L26" i="4" s="1"/>
  <c r="M29" i="23"/>
  <c r="M23" i="4" s="1"/>
  <c r="T35" i="23"/>
  <c r="T29" i="4" s="1"/>
  <c r="R34" i="23"/>
  <c r="R28" i="4" s="1"/>
  <c r="T32" i="23"/>
  <c r="T26" i="4" s="1"/>
  <c r="R31" i="23"/>
  <c r="R25" i="4" s="1"/>
  <c r="T29" i="23"/>
  <c r="T23" i="4" s="1"/>
  <c r="J35" i="1"/>
  <c r="J13" i="4" s="1"/>
  <c r="M34" i="23"/>
  <c r="M28" i="4" s="1"/>
  <c r="K32" i="23"/>
  <c r="K26" i="4" s="1"/>
  <c r="L29" i="23"/>
  <c r="L23" i="4" s="1"/>
  <c r="S35" i="23"/>
  <c r="S29" i="4" s="1"/>
  <c r="V33" i="23"/>
  <c r="V27" i="4" s="1"/>
  <c r="S32" i="23"/>
  <c r="S26" i="4" s="1"/>
  <c r="V30" i="23"/>
  <c r="V24" i="4" s="1"/>
  <c r="S29" i="23"/>
  <c r="S23" i="4" s="1"/>
  <c r="I36" i="1"/>
  <c r="I14" i="4" s="1"/>
  <c r="J34" i="1"/>
  <c r="J12" i="4" s="1"/>
  <c r="U35" i="1"/>
  <c r="U13" i="4" s="1"/>
  <c r="U33" i="1"/>
  <c r="U11" i="4" s="1"/>
  <c r="U31" i="1"/>
  <c r="U9" i="4" s="1"/>
  <c r="U29" i="1"/>
  <c r="U7" i="4" s="1"/>
  <c r="J31" i="1"/>
  <c r="J9" i="4" s="1"/>
  <c r="V34" i="1"/>
  <c r="V12" i="4" s="1"/>
  <c r="V32" i="1"/>
  <c r="V10" i="4" s="1"/>
  <c r="V30" i="1"/>
  <c r="V8" i="4" s="1"/>
  <c r="V28" i="1"/>
  <c r="J30" i="1"/>
  <c r="J8" i="4" s="1"/>
  <c r="U34" i="1"/>
  <c r="U12" i="4" s="1"/>
  <c r="U32" i="1"/>
  <c r="U10" i="4" s="1"/>
  <c r="U30" i="1"/>
  <c r="U8" i="4" s="1"/>
  <c r="U28" i="1"/>
  <c r="U6" i="4" s="1"/>
  <c r="R33" i="1"/>
  <c r="R11" i="4" s="1"/>
  <c r="J33" i="1"/>
  <c r="J11" i="4" s="1"/>
  <c r="J29" i="1"/>
  <c r="J7" i="4" s="1"/>
  <c r="T35" i="1"/>
  <c r="T13" i="4" s="1"/>
  <c r="T34" i="1"/>
  <c r="T12" i="4" s="1"/>
  <c r="T33" i="1"/>
  <c r="T11" i="4" s="1"/>
  <c r="T32" i="1"/>
  <c r="T10" i="4" s="1"/>
  <c r="T31" i="1"/>
  <c r="T9" i="4" s="1"/>
  <c r="T30" i="1"/>
  <c r="T8" i="4" s="1"/>
  <c r="T29" i="1"/>
  <c r="T7" i="4" s="1"/>
  <c r="T28" i="1"/>
  <c r="O32" i="1"/>
  <c r="O10" i="4" s="1"/>
  <c r="G34" i="1"/>
  <c r="G12" i="4" s="1"/>
  <c r="G35" i="1"/>
  <c r="G13" i="4" s="1"/>
  <c r="E33" i="1"/>
  <c r="E11" i="4" s="1"/>
  <c r="E29" i="1"/>
  <c r="E7" i="4" s="1"/>
  <c r="D33" i="1"/>
  <c r="D11" i="4" s="1"/>
  <c r="D35" i="1"/>
  <c r="D13" i="4" s="1"/>
  <c r="H34" i="1"/>
  <c r="H12" i="4" s="1"/>
  <c r="G29" i="1"/>
  <c r="G7" i="4" s="1"/>
  <c r="J32" i="1"/>
  <c r="J28" i="1"/>
  <c r="S35" i="1"/>
  <c r="S13" i="4" s="1"/>
  <c r="S34" i="1"/>
  <c r="S12" i="4" s="1"/>
  <c r="S33" i="1"/>
  <c r="S11" i="4" s="1"/>
  <c r="S32" i="1"/>
  <c r="S10" i="4" s="1"/>
  <c r="S31" i="1"/>
  <c r="S9" i="4" s="1"/>
  <c r="S30" i="1"/>
  <c r="S8" i="4" s="1"/>
  <c r="S29" i="1"/>
  <c r="C29" i="1"/>
  <c r="C7" i="4" s="1"/>
  <c r="P29" i="1"/>
  <c r="Q35" i="1"/>
  <c r="Q13" i="4" s="1"/>
  <c r="O41" i="1"/>
  <c r="O19" i="4" s="1"/>
  <c r="P28" i="1"/>
  <c r="Q34" i="1"/>
  <c r="Q12" i="4" s="1"/>
  <c r="Q33" i="1"/>
  <c r="Q11" i="4" s="1"/>
  <c r="P34" i="1"/>
  <c r="P12" i="4" s="1"/>
  <c r="O40" i="1"/>
  <c r="O18" i="4" s="1"/>
  <c r="Q31" i="1"/>
  <c r="Q9" i="4" s="1"/>
  <c r="O40" i="23"/>
  <c r="O34" i="4" s="1"/>
  <c r="O33" i="23"/>
  <c r="O27" i="4" s="1"/>
  <c r="P31" i="23"/>
  <c r="P25" i="4" s="1"/>
  <c r="Q28" i="23"/>
  <c r="Q22" i="4" s="1"/>
  <c r="H31" i="23"/>
  <c r="H25" i="4" s="1"/>
  <c r="D35" i="23"/>
  <c r="D29" i="4" s="1"/>
  <c r="G33" i="23"/>
  <c r="G27" i="4" s="1"/>
  <c r="C30" i="23"/>
  <c r="C24" i="4" s="1"/>
  <c r="E32" i="23"/>
  <c r="E26" i="4" s="1"/>
  <c r="C34" i="23"/>
  <c r="C28" i="4" s="1"/>
  <c r="C33" i="23"/>
  <c r="C27" i="4" s="1"/>
  <c r="C31" i="23"/>
  <c r="C25" i="4" s="1"/>
  <c r="E33" i="23"/>
  <c r="E27" i="4" s="1"/>
  <c r="C35" i="23"/>
  <c r="C29" i="4" s="1"/>
  <c r="E30" i="23"/>
  <c r="O43" i="23"/>
  <c r="O37" i="4" s="1"/>
  <c r="O39" i="23"/>
  <c r="O33" i="4" s="1"/>
  <c r="O29" i="23"/>
  <c r="O23" i="4" s="1"/>
  <c r="Q33" i="23"/>
  <c r="Q27" i="4" s="1"/>
  <c r="P32" i="23"/>
  <c r="P26" i="4" s="1"/>
  <c r="Q29" i="23"/>
  <c r="Q23" i="4" s="1"/>
  <c r="P28" i="23"/>
  <c r="O42" i="23"/>
  <c r="O36" i="4" s="1"/>
  <c r="O36" i="23"/>
  <c r="O30" i="4" s="1"/>
  <c r="Q34" i="23"/>
  <c r="Q28" i="4" s="1"/>
  <c r="P33" i="23"/>
  <c r="P27" i="4" s="1"/>
  <c r="Q30" i="23"/>
  <c r="Q24" i="4" s="1"/>
  <c r="P29" i="23"/>
  <c r="P23" i="4" s="1"/>
  <c r="F33" i="23"/>
  <c r="F27" i="4" s="1"/>
  <c r="G29" i="23"/>
  <c r="H29" i="23"/>
  <c r="F31" i="23"/>
  <c r="D33" i="23"/>
  <c r="D27" i="4" s="1"/>
  <c r="F35" i="23"/>
  <c r="F29" i="4" s="1"/>
  <c r="C32" i="23"/>
  <c r="C26" i="4" s="1"/>
  <c r="C29" i="23"/>
  <c r="D30" i="23"/>
  <c r="F32" i="23"/>
  <c r="F26" i="4" s="1"/>
  <c r="D34" i="23"/>
  <c r="D28" i="4" s="1"/>
  <c r="D31" i="23"/>
  <c r="D25" i="4" s="1"/>
  <c r="O41" i="23"/>
  <c r="O35" i="4" s="1"/>
  <c r="O35" i="23"/>
  <c r="O29" i="4" s="1"/>
  <c r="Q35" i="23"/>
  <c r="Q29" i="4" s="1"/>
  <c r="P34" i="23"/>
  <c r="P28" i="4" s="1"/>
  <c r="Q31" i="23"/>
  <c r="Q25" i="4" s="1"/>
  <c r="P30" i="23"/>
  <c r="P24" i="4" s="1"/>
  <c r="M34" i="1"/>
  <c r="M12" i="4" s="1"/>
  <c r="L33" i="1"/>
  <c r="L11" i="4" s="1"/>
  <c r="K32" i="1"/>
  <c r="K10" i="4" s="1"/>
  <c r="M30" i="1"/>
  <c r="M8" i="4" s="1"/>
  <c r="L29" i="1"/>
  <c r="L7" i="4" s="1"/>
  <c r="K28" i="1"/>
  <c r="K6" i="4" s="1"/>
  <c r="M35" i="1"/>
  <c r="M13" i="4" s="1"/>
  <c r="L34" i="1"/>
  <c r="L12" i="4" s="1"/>
  <c r="K33" i="1"/>
  <c r="K11" i="4" s="1"/>
  <c r="M31" i="1"/>
  <c r="M9" i="4" s="1"/>
  <c r="L30" i="1"/>
  <c r="L8" i="4" s="1"/>
  <c r="K29" i="1"/>
  <c r="K7" i="4" s="1"/>
  <c r="L35" i="1"/>
  <c r="L13" i="4" s="1"/>
  <c r="K34" i="1"/>
  <c r="K12" i="4" s="1"/>
  <c r="M32" i="1"/>
  <c r="M10" i="4" s="1"/>
  <c r="L31" i="1"/>
  <c r="L9" i="4" s="1"/>
  <c r="K30" i="1"/>
  <c r="K8" i="4" s="1"/>
  <c r="M28" i="1"/>
  <c r="M6" i="4" s="1"/>
  <c r="K35" i="1"/>
  <c r="K13" i="4" s="1"/>
  <c r="M33" i="1"/>
  <c r="M11" i="4" s="1"/>
  <c r="L32" i="1"/>
  <c r="L10" i="4" s="1"/>
  <c r="K31" i="1"/>
  <c r="K9" i="4" s="1"/>
  <c r="M29" i="1"/>
  <c r="M7" i="4" s="1"/>
  <c r="L28" i="1"/>
  <c r="L6" i="4" s="1"/>
  <c r="O9" i="12"/>
  <c r="O10" i="12" s="1"/>
  <c r="E22" i="4"/>
  <c r="F22" i="4"/>
  <c r="M22" i="4"/>
  <c r="P6" i="4"/>
  <c r="Q6" i="4"/>
  <c r="H22" i="4"/>
  <c r="I22" i="4"/>
  <c r="D22" i="4"/>
  <c r="J22" i="4"/>
  <c r="C22" i="4"/>
  <c r="J6" i="4"/>
  <c r="S6" i="4"/>
  <c r="L22" i="4"/>
  <c r="G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M46" i="23"/>
  <c r="M53" i="23" s="1"/>
  <c r="Q32" i="1"/>
  <c r="P32" i="1"/>
  <c r="P10" i="4" s="1"/>
  <c r="D4" i="4"/>
  <c r="O29" i="1"/>
  <c r="O7" i="4" s="1"/>
  <c r="B27" i="23"/>
  <c r="B52" i="23" s="1"/>
  <c r="K45" i="23"/>
  <c r="E27" i="23"/>
  <c r="E52" i="23" s="1"/>
  <c r="Q30" i="1"/>
  <c r="Q8" i="4" s="1"/>
  <c r="B29" i="1"/>
  <c r="B7" i="4" s="1"/>
  <c r="P35" i="1"/>
  <c r="P13" i="4" s="1"/>
  <c r="P31" i="1"/>
  <c r="P9" i="4" s="1"/>
  <c r="H22" i="23"/>
  <c r="V47" i="23"/>
  <c r="V48" i="23" s="1"/>
  <c r="V54" i="23" s="1"/>
  <c r="R47" i="23"/>
  <c r="R48" i="23" s="1"/>
  <c r="R54" i="23" s="1"/>
  <c r="M47" i="23"/>
  <c r="M48" i="23" s="1"/>
  <c r="M54" i="23" s="1"/>
  <c r="L46" i="23"/>
  <c r="L53" i="23" s="1"/>
  <c r="P37" i="1"/>
  <c r="F22" i="23"/>
  <c r="L47" i="23"/>
  <c r="L48" i="23" s="1"/>
  <c r="L54" i="23" s="1"/>
  <c r="O36" i="1"/>
  <c r="H45" i="23"/>
  <c r="Q47" i="23"/>
  <c r="Q48" i="23" s="1"/>
  <c r="Q54" i="23" s="1"/>
  <c r="R31" i="1"/>
  <c r="R9" i="4" s="1"/>
  <c r="R22" i="4"/>
  <c r="V22" i="4"/>
  <c r="U29" i="4"/>
  <c r="T27" i="4"/>
  <c r="U57" i="23"/>
  <c r="J57" i="23"/>
  <c r="M57" i="23"/>
  <c r="T57" i="23"/>
  <c r="I57" i="23"/>
  <c r="L57" i="23"/>
  <c r="S57" i="23"/>
  <c r="K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O28" i="1"/>
  <c r="C30" i="1"/>
  <c r="C8" i="4" s="1"/>
  <c r="C31" i="1"/>
  <c r="C9" i="4" s="1"/>
  <c r="D29" i="1"/>
  <c r="D7" i="4" s="1"/>
  <c r="D30" i="1"/>
  <c r="V6" i="4"/>
  <c r="G21" i="4"/>
  <c r="I21" i="4"/>
  <c r="F21" i="4"/>
  <c r="H21" i="4"/>
  <c r="E21" i="4"/>
  <c r="L52" i="23"/>
  <c r="D17" i="4"/>
  <c r="F8" i="4"/>
  <c r="H9" i="4"/>
  <c r="J10" i="4"/>
  <c r="C4" i="4"/>
  <c r="J47" i="23"/>
  <c r="J48" i="23" s="1"/>
  <c r="J54" i="23" s="1"/>
  <c r="I46" i="23"/>
  <c r="I53" i="23" s="1"/>
  <c r="A47" i="22"/>
  <c r="J46" i="23"/>
  <c r="J53" i="23" s="1"/>
  <c r="I47" i="23"/>
  <c r="I48" i="23" s="1"/>
  <c r="I54" i="23" s="1"/>
  <c r="G27" i="23"/>
  <c r="G52" i="23" s="1"/>
  <c r="A50" i="22"/>
  <c r="H50" i="22" s="1"/>
  <c r="K27" i="23"/>
  <c r="L22" i="1"/>
  <c r="I7" i="4"/>
  <c r="D27" i="1"/>
  <c r="D52" i="1" s="1"/>
  <c r="D45" i="1"/>
  <c r="D22" i="23"/>
  <c r="D45" i="23"/>
  <c r="D27" i="23"/>
  <c r="D52" i="23" s="1"/>
  <c r="S46" i="23"/>
  <c r="S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R56" i="1"/>
  <c r="O56" i="1"/>
  <c r="H56" i="23"/>
  <c r="Q56" i="1"/>
  <c r="U56" i="1"/>
  <c r="F56" i="23"/>
  <c r="G56" i="1"/>
  <c r="P56" i="23"/>
  <c r="L56" i="1"/>
  <c r="M56" i="1"/>
  <c r="H56" i="1"/>
  <c r="M78" i="4"/>
  <c r="E56" i="23"/>
  <c r="I56" i="1"/>
  <c r="J78" i="4"/>
  <c r="Q56" i="23"/>
  <c r="J56" i="1"/>
  <c r="B56" i="23"/>
  <c r="G56" i="23"/>
  <c r="V78" i="4"/>
  <c r="K78" i="4"/>
  <c r="C56" i="23"/>
  <c r="F56" i="1"/>
  <c r="O56" i="23"/>
  <c r="L78" i="4"/>
  <c r="C56" i="1"/>
  <c r="K56" i="1"/>
  <c r="D56" i="23"/>
  <c r="U78" i="4"/>
  <c r="E56" i="1"/>
  <c r="T56" i="1"/>
  <c r="P56" i="1"/>
  <c r="B56" i="1"/>
  <c r="D56" i="1"/>
  <c r="V56" i="1"/>
  <c r="S56" i="1"/>
  <c r="K46" i="23" l="1"/>
  <c r="K53" i="23" s="1"/>
  <c r="U46" i="1"/>
  <c r="U53" i="1" s="1"/>
  <c r="T46" i="23"/>
  <c r="T53" i="23" s="1"/>
  <c r="U46" i="23"/>
  <c r="U53" i="23" s="1"/>
  <c r="V46" i="23"/>
  <c r="V53" i="23" s="1"/>
  <c r="U47" i="23"/>
  <c r="U48" i="23" s="1"/>
  <c r="U54" i="23" s="1"/>
  <c r="T47" i="23"/>
  <c r="T48" i="23" s="1"/>
  <c r="T54" i="23" s="1"/>
  <c r="K47" i="23"/>
  <c r="K48" i="23" s="1"/>
  <c r="K54" i="23" s="1"/>
  <c r="S47" i="23"/>
  <c r="S48" i="23" s="1"/>
  <c r="S54" i="23" s="1"/>
  <c r="V57" i="1"/>
  <c r="U57" i="1"/>
  <c r="V46" i="1"/>
  <c r="V53" i="1" s="1"/>
  <c r="U47" i="1"/>
  <c r="U48" i="1" s="1"/>
  <c r="U54" i="1" s="1"/>
  <c r="T46" i="1"/>
  <c r="T53" i="1" s="1"/>
  <c r="V47" i="1"/>
  <c r="V48" i="1" s="1"/>
  <c r="V54" i="1" s="1"/>
  <c r="T57" i="1"/>
  <c r="J57" i="1"/>
  <c r="S57" i="1"/>
  <c r="S47" i="1"/>
  <c r="S48" i="1" s="1"/>
  <c r="S54" i="1" s="1"/>
  <c r="J47" i="1"/>
  <c r="J48" i="1" s="1"/>
  <c r="J54" i="1" s="1"/>
  <c r="J46" i="1"/>
  <c r="J53" i="1" s="1"/>
  <c r="S46" i="1"/>
  <c r="S53" i="1" s="1"/>
  <c r="T47" i="1"/>
  <c r="T48" i="1" s="1"/>
  <c r="T54" i="1" s="1"/>
  <c r="T6" i="4"/>
  <c r="T56" i="4" s="1"/>
  <c r="T75" i="4" s="1"/>
  <c r="S7" i="4"/>
  <c r="S63" i="4" s="1"/>
  <c r="S64" i="4" s="1"/>
  <c r="G47" i="23"/>
  <c r="G48" i="23" s="1"/>
  <c r="G54" i="23" s="1"/>
  <c r="Q46" i="23"/>
  <c r="Q53" i="23" s="1"/>
  <c r="P47" i="23"/>
  <c r="P48" i="23" s="1"/>
  <c r="P54" i="23" s="1"/>
  <c r="K47" i="1"/>
  <c r="K48" i="1" s="1"/>
  <c r="K54" i="1" s="1"/>
  <c r="M47" i="1"/>
  <c r="M48" i="1" s="1"/>
  <c r="M54" i="1" s="1"/>
  <c r="M46" i="1"/>
  <c r="M53" i="1" s="1"/>
  <c r="D47" i="23"/>
  <c r="D48" i="23" s="1"/>
  <c r="D54" i="23" s="1"/>
  <c r="C57" i="23"/>
  <c r="F57" i="23"/>
  <c r="Q57" i="23"/>
  <c r="G57" i="23"/>
  <c r="P57" i="23"/>
  <c r="D57" i="23"/>
  <c r="H57" i="23"/>
  <c r="E57" i="23"/>
  <c r="F46" i="23"/>
  <c r="F53" i="23" s="1"/>
  <c r="C47" i="23"/>
  <c r="C48" i="23" s="1"/>
  <c r="C54" i="23" s="1"/>
  <c r="H46" i="23"/>
  <c r="H53" i="23" s="1"/>
  <c r="H47" i="23"/>
  <c r="H48" i="23" s="1"/>
  <c r="H54" i="23" s="1"/>
  <c r="E46" i="23"/>
  <c r="E53" i="23" s="1"/>
  <c r="C23" i="4"/>
  <c r="F25" i="4"/>
  <c r="G23" i="4"/>
  <c r="F47" i="23"/>
  <c r="F48" i="23" s="1"/>
  <c r="F54" i="23" s="1"/>
  <c r="D46" i="23"/>
  <c r="D53" i="23" s="1"/>
  <c r="D24" i="4"/>
  <c r="C46" i="23"/>
  <c r="C53" i="23" s="1"/>
  <c r="E47" i="23"/>
  <c r="E48" i="23" s="1"/>
  <c r="E54" i="23" s="1"/>
  <c r="G46" i="23"/>
  <c r="G53" i="23" s="1"/>
  <c r="P46" i="23"/>
  <c r="P53" i="23" s="1"/>
  <c r="P22" i="4"/>
  <c r="H23" i="4"/>
  <c r="E24" i="4"/>
  <c r="L57" i="1"/>
  <c r="M57" i="1"/>
  <c r="K57" i="1"/>
  <c r="K46" i="1"/>
  <c r="K53" i="1" s="1"/>
  <c r="L47" i="1"/>
  <c r="L48" i="1" s="1"/>
  <c r="L54" i="1" s="1"/>
  <c r="L46" i="1"/>
  <c r="L53" i="1" s="1"/>
  <c r="F46" i="1"/>
  <c r="F53" i="1" s="1"/>
  <c r="L63" i="4"/>
  <c r="L64" i="4" s="1"/>
  <c r="M63" i="4"/>
  <c r="M64" i="4" s="1"/>
  <c r="P47" i="1"/>
  <c r="P48" i="1" s="1"/>
  <c r="P54" i="1" s="1"/>
  <c r="D6" i="4"/>
  <c r="R6" i="4"/>
  <c r="C6" i="4"/>
  <c r="B22" i="4"/>
  <c r="I6" i="4"/>
  <c r="P7" i="4"/>
  <c r="E6" i="4"/>
  <c r="H6" i="4"/>
  <c r="F6" i="4"/>
  <c r="O6" i="4"/>
  <c r="B6" i="4"/>
  <c r="G6" i="4"/>
  <c r="Q7" i="4"/>
  <c r="K63" i="4"/>
  <c r="K64" i="4" s="1"/>
  <c r="U63" i="4"/>
  <c r="U64" i="4" s="1"/>
  <c r="J63" i="4"/>
  <c r="J64" i="4" s="1"/>
  <c r="V63" i="4"/>
  <c r="V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L56" i="4"/>
  <c r="L75" i="4" s="1"/>
  <c r="K57" i="4"/>
  <c r="K58" i="4" s="1"/>
  <c r="K76" i="4" s="1"/>
  <c r="J56" i="4"/>
  <c r="J75" i="4" s="1"/>
  <c r="O55" i="4"/>
  <c r="O62" i="4"/>
  <c r="F55" i="4"/>
  <c r="F62" i="4"/>
  <c r="M55" i="4"/>
  <c r="M62" i="4"/>
  <c r="J55" i="4"/>
  <c r="J62" i="4"/>
  <c r="L57" i="4"/>
  <c r="L58" i="4" s="1"/>
  <c r="L76" i="4" s="1"/>
  <c r="K56" i="4"/>
  <c r="K75" i="4" s="1"/>
  <c r="J57" i="4"/>
  <c r="J58" i="4" s="1"/>
  <c r="J76" i="4" s="1"/>
  <c r="P55" i="4"/>
  <c r="P62" i="4"/>
  <c r="G55" i="4"/>
  <c r="G62" i="4"/>
  <c r="H74" i="4"/>
  <c r="H62" i="4"/>
  <c r="U22" i="33"/>
  <c r="U45" i="33"/>
  <c r="U27" i="33"/>
  <c r="U52" i="33" s="1"/>
  <c r="R45" i="33"/>
  <c r="R27" i="33"/>
  <c r="R52" i="33" s="1"/>
  <c r="R22" i="33"/>
  <c r="U56" i="4"/>
  <c r="U75" i="4" s="1"/>
  <c r="M56" i="4"/>
  <c r="M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K79" i="4"/>
  <c r="B10" i="4"/>
  <c r="A32" i="22"/>
  <c r="H32" i="22" s="1"/>
  <c r="D13" i="28"/>
  <c r="D9" i="28"/>
  <c r="D5" i="28"/>
  <c r="D14" i="28"/>
  <c r="D10" i="28"/>
  <c r="D6" i="28"/>
  <c r="D15" i="28"/>
  <c r="D11" i="28"/>
  <c r="D7" i="28"/>
  <c r="D3" i="28"/>
  <c r="D12" i="28"/>
  <c r="D8" i="28"/>
  <c r="D4" i="28"/>
  <c r="L79" i="4"/>
  <c r="V79" i="4"/>
  <c r="M79" i="4"/>
  <c r="J79" i="4"/>
  <c r="U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D78" i="4"/>
  <c r="C78" i="4"/>
  <c r="I78" i="4"/>
  <c r="S78" i="4"/>
  <c r="Q78" i="4"/>
  <c r="P78" i="4"/>
  <c r="F78" i="4"/>
  <c r="R78" i="4"/>
  <c r="T78" i="4"/>
  <c r="O78" i="4"/>
  <c r="H78" i="4"/>
  <c r="G78" i="4"/>
  <c r="E78" i="4"/>
  <c r="B78" i="4"/>
  <c r="T57" i="4" l="1"/>
  <c r="T58" i="4" s="1"/>
  <c r="T76" i="4" s="1"/>
  <c r="T63" i="4"/>
  <c r="T64" i="4" s="1"/>
  <c r="S56" i="4"/>
  <c r="S75" i="4" s="1"/>
  <c r="S79" i="4"/>
  <c r="T79" i="4"/>
  <c r="F55" i="23"/>
  <c r="C55" i="23"/>
  <c r="C63" i="4"/>
  <c r="C64" i="4" s="1"/>
  <c r="R63" i="4"/>
  <c r="R64" i="4" s="1"/>
  <c r="I57" i="4"/>
  <c r="I58" i="4" s="1"/>
  <c r="I76" i="4" s="1"/>
  <c r="I4" i="12" s="1"/>
  <c r="H56" i="4"/>
  <c r="H75" i="4" s="1"/>
  <c r="G55" i="1"/>
  <c r="V4" i="4"/>
  <c r="V55" i="4" s="1"/>
  <c r="I63" i="4"/>
  <c r="I64" i="4" s="1"/>
  <c r="F63" i="4"/>
  <c r="F64"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C56" i="4"/>
  <c r="C75" i="4" s="1"/>
  <c r="R2" i="12"/>
  <c r="R4" i="12" s="1"/>
  <c r="P56" i="4"/>
  <c r="R57" i="4"/>
  <c r="R58" i="4" s="1"/>
  <c r="R76" i="4" s="1"/>
  <c r="Q57" i="4"/>
  <c r="Q58" i="4" s="1"/>
  <c r="Q76" i="4" s="1"/>
  <c r="Q79" i="4"/>
  <c r="P79" i="4"/>
  <c r="R79" i="4"/>
  <c r="U4" i="4"/>
  <c r="F2" i="27"/>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J3" i="12"/>
  <c r="T27" i="1"/>
  <c r="T52" i="1" s="1"/>
  <c r="T45" i="1"/>
  <c r="T4" i="4"/>
  <c r="T62" i="4" s="1"/>
  <c r="T22" i="1"/>
  <c r="J60" i="23"/>
  <c r="R60" i="23"/>
  <c r="H3" i="12" l="1"/>
  <c r="T77" i="4"/>
  <c r="O94" i="4"/>
  <c r="H4" i="12"/>
  <c r="F4" i="27"/>
  <c r="G4" i="12"/>
  <c r="I3" i="12"/>
  <c r="F3" i="12"/>
  <c r="G3" i="12"/>
  <c r="V62" i="4"/>
  <c r="V74" i="4"/>
  <c r="Z2" i="12" s="1"/>
  <c r="AA2" i="12"/>
  <c r="P75" i="4"/>
  <c r="O81" i="4"/>
  <c r="O82" i="4" s="1"/>
  <c r="AE2" i="12"/>
  <c r="U74" i="4"/>
  <c r="Y2" i="12" s="1"/>
  <c r="U62" i="4"/>
  <c r="B6" i="12"/>
  <c r="B6" i="27"/>
  <c r="R61" i="23"/>
  <c r="U55" i="4"/>
  <c r="F3" i="27"/>
  <c r="V77" i="4"/>
  <c r="U77" i="4"/>
  <c r="O77" i="4"/>
  <c r="S77" i="4"/>
  <c r="Q77" i="4"/>
  <c r="R77" i="4"/>
  <c r="P81" i="4"/>
  <c r="P82" i="4" s="1"/>
  <c r="Q81" i="4"/>
  <c r="Q82" i="4" s="1"/>
  <c r="B86" i="4"/>
  <c r="B87" i="4"/>
  <c r="B75" i="4"/>
  <c r="I94" i="4" s="1"/>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B5" i="27" l="1"/>
  <c r="P94" i="4"/>
  <c r="F94" i="4"/>
  <c r="Q94" i="4"/>
  <c r="C94" i="4"/>
  <c r="G94" i="4"/>
  <c r="N94" i="4"/>
  <c r="B94" i="4"/>
  <c r="T94" i="4"/>
  <c r="L94" i="4"/>
  <c r="V94" i="4"/>
  <c r="U94" i="4"/>
  <c r="J94" i="4"/>
  <c r="K94" i="4"/>
  <c r="M94" i="4"/>
  <c r="S94" i="4"/>
  <c r="H94" i="4"/>
  <c r="R94" i="4"/>
  <c r="E94" i="4"/>
  <c r="D94" i="4"/>
  <c r="B5" i="12"/>
  <c r="P77" i="4"/>
  <c r="AB4" i="12"/>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U8" i="12"/>
  <c r="U9" i="12" s="1"/>
  <c r="U10" i="12" s="1"/>
  <c r="AJ8" i="12"/>
  <c r="AJ9" i="12" s="1"/>
  <c r="AJ10" i="12" s="1"/>
  <c r="AB8" i="12"/>
  <c r="Z8" i="12"/>
  <c r="AC8" i="12"/>
  <c r="AC9" i="12" s="1"/>
  <c r="AC10" i="12" s="1"/>
  <c r="V8" i="12"/>
  <c r="V9" i="12" s="1"/>
  <c r="V10" i="12" s="1"/>
  <c r="X8" i="12"/>
  <c r="AH8" i="12"/>
  <c r="AD8" i="12"/>
  <c r="AD9" i="12" s="1"/>
  <c r="AD10" i="12" s="1"/>
  <c r="AI8" i="12"/>
  <c r="AI9" i="12" s="1"/>
  <c r="AI10" i="12" s="1"/>
  <c r="W8" i="12"/>
  <c r="Y8" i="12"/>
  <c r="AE8" i="12"/>
  <c r="AE9" i="12" s="1"/>
  <c r="AE10" i="12" s="1"/>
  <c r="AA8" i="12"/>
  <c r="AA9" i="12" s="1"/>
  <c r="AA10" i="12" s="1"/>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F9" i="12"/>
  <c r="AF10" i="12" s="1"/>
  <c r="W9" i="12"/>
  <c r="W10" i="12" s="1"/>
  <c r="X9" i="12"/>
  <c r="X10" i="12" s="1"/>
  <c r="AB9" i="12"/>
  <c r="AB10" i="12"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K12" i="22" s="1"/>
  <c r="M12" i="22" s="1"/>
  <c r="F16" i="22"/>
  <c r="G16" i="22" s="1"/>
  <c r="F22" i="22"/>
  <c r="I22" i="22" s="1"/>
  <c r="J5" i="12"/>
  <c r="F15" i="22"/>
  <c r="K15" i="22" s="1"/>
  <c r="M15" i="22" s="1"/>
  <c r="L5" i="12"/>
  <c r="F21" i="22"/>
  <c r="G21" i="22" s="1"/>
  <c r="F5" i="12"/>
  <c r="F24" i="22"/>
  <c r="K24" i="22" s="1"/>
  <c r="M24" i="22" s="1"/>
  <c r="F10" i="22"/>
  <c r="F11" i="22"/>
  <c r="F13" i="22"/>
  <c r="I13" i="22" s="1"/>
  <c r="F14" i="22"/>
  <c r="K14" i="22" s="1"/>
  <c r="M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I14" i="22"/>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12" i="22" l="1"/>
  <c r="G12" i="22"/>
  <c r="G13" i="22"/>
  <c r="G24" i="22"/>
  <c r="K25" i="22"/>
  <c r="M25" i="22" s="1"/>
  <c r="G14" i="22"/>
  <c r="I24" i="22"/>
  <c r="I36" i="22"/>
  <c r="I15" i="22"/>
  <c r="G15" i="22"/>
  <c r="I34" i="22"/>
  <c r="K34" i="22" s="1"/>
  <c r="N34" i="22" s="1"/>
  <c r="I25" i="22"/>
  <c r="I32" i="22"/>
  <c r="K32" i="22" s="1"/>
  <c r="N32" i="22" s="1"/>
  <c r="I7" i="22"/>
  <c r="G3" i="28" s="1"/>
  <c r="I33" i="22"/>
  <c r="I9" i="22"/>
  <c r="K26" i="22"/>
  <c r="M26" i="22" s="1"/>
  <c r="I35" i="22"/>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K9" i="22"/>
  <c r="M9" i="22" s="1"/>
  <c r="I16" i="22"/>
  <c r="G20" i="22"/>
  <c r="K23" i="22"/>
  <c r="M23" i="22" s="1"/>
  <c r="I21" i="22"/>
  <c r="K22" i="22"/>
  <c r="M22" i="22" s="1"/>
  <c r="I8" i="22"/>
  <c r="K8" i="22" s="1"/>
  <c r="M8" i="22" s="1"/>
  <c r="I23" i="22"/>
  <c r="K20" i="22"/>
  <c r="M20" i="22" s="1"/>
  <c r="H3" i="28"/>
  <c r="N15" i="22"/>
  <c r="N12" i="22"/>
  <c r="N24" i="22"/>
  <c r="N25" i="22"/>
  <c r="N17" i="22"/>
  <c r="N14" i="22"/>
  <c r="L2" i="28"/>
  <c r="K3" i="28"/>
  <c r="K2" i="28"/>
  <c r="G2" i="28"/>
  <c r="G13" i="28"/>
  <c r="G14" i="28"/>
  <c r="G4" i="28"/>
  <c r="G8" i="28"/>
  <c r="G11" i="28"/>
  <c r="G12" i="28"/>
  <c r="G9" i="28"/>
  <c r="G6" i="28"/>
  <c r="G15" i="28"/>
  <c r="G7" i="28"/>
  <c r="G5" i="28"/>
  <c r="G10" i="28"/>
  <c r="H6" i="28"/>
  <c r="H15" i="28"/>
  <c r="H12" i="28"/>
  <c r="H9" i="28"/>
  <c r="H14" i="28"/>
  <c r="H10" i="28"/>
  <c r="H13" i="28"/>
  <c r="H11" i="28"/>
  <c r="H8" i="28"/>
  <c r="H5" i="28"/>
  <c r="H4" i="28"/>
  <c r="H7" i="28"/>
  <c r="H2" i="28"/>
  <c r="K7" i="22" l="1"/>
  <c r="M7" i="22" s="1"/>
  <c r="M32" i="22"/>
  <c r="M34" i="22"/>
  <c r="K36" i="22"/>
  <c r="N36" i="22" s="1"/>
  <c r="N20" i="22"/>
  <c r="N26" i="22"/>
  <c r="M10" i="22"/>
  <c r="N10" i="22"/>
  <c r="K33" i="22"/>
  <c r="N33" i="22" s="1"/>
  <c r="K35" i="22"/>
  <c r="N35" i="22" s="1"/>
  <c r="N18" i="22"/>
  <c r="N13" i="22"/>
  <c r="N19" i="22"/>
  <c r="N16" i="22"/>
  <c r="N8" i="22"/>
  <c r="N21" i="22"/>
  <c r="N11" i="22"/>
  <c r="N9" i="22"/>
  <c r="N23" i="22"/>
  <c r="N22" i="22"/>
  <c r="M36" i="22" l="1"/>
  <c r="M35" i="22"/>
  <c r="N7" i="22"/>
  <c r="M33"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<sst xmlns="http://schemas.openxmlformats.org/spreadsheetml/2006/main" count="491" uniqueCount="175">
  <si>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</si>
  <si>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</si>
  <si>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</si>
  <si>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</si>
  <si>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</si>
  <si>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</si>
  <si>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</si>
  <si>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</si>
  <si>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</si>
  <si>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</si>
  <si>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</si>
  <si>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</si>
  <si>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</si>
  <si>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</si>
  <si>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</si>
  <si>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</si>
  <si>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</si>
  <si>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</si>
  <si>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</si>
  <si>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</si>
  <si>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</si>
  <si>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</si>
  <si>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</si>
  <si>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</si>
  <si>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</si>
  <si>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</si>
  <si>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</si>
  <si>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</si>
  <si>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</si>
  <si>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</si>
  <si>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</si>
  <si>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</si>
  <si>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</si>
  <si>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</si>
  <si>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</si>
  <si>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</si>
  <si>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</si>
  <si>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</si>
  <si>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</si>
  <si>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</si>
  <si>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</si>
  <si>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</si>
  <si>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</si>
  <si>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</si>
  <si>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</si>
  <si>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</si>
  <si>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</si>
  <si>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</si>
  <si>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</si>
  <si>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</si>
  <si>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</si>
  <si>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</si>
  <si>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</si>
  <si>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</si>
  <si>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</si>
  <si>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</si>
  <si>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</si>
  <si>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</si>
  <si>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</si>
  <si>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</si>
  <si>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</si>
  <si>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</si>
  <si>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</si>
  <si>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</si>
  <si>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</si>
  <si>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</si>
  <si>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</si>
  <si>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</si>
  <si>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</si>
  <si>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</si>
  <si>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</si>
  <si>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</si>
  <si>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</si>
  <si>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</si>
  <si>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</si>
  <si>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</si>
  <si>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</si>
  <si>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</si>
  <si>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</si>
  <si>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</si>
  <si>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</si>
  <si>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</si>
  <si>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</si>
  <si>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</si>
  <si>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</si>
  <si>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</si>
  <si>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</si>
  <si>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</si>
  <si>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</si>
  <si>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</si>
  <si>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</si>
  <si>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</si>
  <si>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</si>
  <si>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</si>
  <si>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</si>
  <si>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</si>
  <si>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</si>
  <si>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</si>
  <si>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</si>
  <si>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</si>
  <si>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</si>
  <si>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</si>
  <si>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</si>
  <si>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</si>
  <si>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</si>
  <si>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</si>
  <si>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</si>
  <si>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</si>
  <si>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</si>
  <si>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</si>
  <si>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</si>
  <si>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</si>
  <si>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</si>
  <si>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</si>
  <si>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</si>
  <si>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</si>
  <si>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</si>
  <si>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</si>
  <si>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</si>
  <si>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</si>
  <si>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</si>
  <si>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</si>
  <si>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</si>
  <si>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</si>
  <si>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</si>
  <si>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</si>
  <si>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</si>
  <si>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</si>
  <si>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</si>
  <si>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</si>
  <si>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</si>
  <si>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</si>
  <si>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</si>
  <si>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</si>
  <si>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</si>
  <si>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</si>
  <si>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</si>
  <si>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</si>
  <si>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</si>
  <si>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</si>
  <si>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</si>
  <si>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</si>
  <si>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</si>
  <si>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</si>
  <si>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</si>
  <si>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</si>
  <si>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</si>
  <si>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</si>
  <si>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</si>
  <si>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</si>
  <si>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</si>
  <si>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</si>
  <si>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</si>
  <si>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</si>
  <si>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</si>
  <si>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</si>
  <si>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</si>
  <si>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</si>
  <si>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</si>
  <si>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</si>
  <si>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</si>
  <si>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</si>
  <si>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</si>
  <si>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</si>
  <si>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#VALEUR!</t>
  </si>
  <si>
    <t>n'utilisez pas cette ligne SVP</t>
  </si>
  <si>
    <t>mg/L</t>
  </si>
  <si>
    <t>Test</t>
  </si>
  <si>
    <t>Atenolol</t>
  </si>
  <si>
    <t>ns</t>
  </si>
  <si>
    <t>&gt;0,99</t>
  </si>
  <si>
    <t>**</t>
  </si>
  <si>
    <t>***</t>
  </si>
  <si>
    <t>&lt;0,001</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</si>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</sst>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2">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0" fillId="2" borderId="0" xfId="0" applyFill="1"/>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0.28590485505057434</c:v>
                  </c:pt>
                  <c:pt idx="2">
                    <c:v>1.0473396277860829</c:v>
                  </c:pt>
                  <c:pt idx="3">
                    <c:v>1.5773274607773415E-2</c:v>
                  </c:pt>
                  <c:pt idx="4">
                    <c:v>0.31678900254952674</c:v>
                  </c:pt>
                  <c:pt idx="5">
                    <c:v>0.32181952376009898</c:v>
                  </c:pt>
                  <c:pt idx="6">
                    <c:v>0.15439798548418199</c:v>
                  </c:pt>
                  <c:pt idx="7">
                    <c:v>0.2084010453103077</c:v>
                  </c:pt>
                  <c:pt idx="8">
                    <c:v>0.42321432640981044</c:v>
                  </c:pt>
                </c:numCache>
              </c:numRef>
            </c:plus>
            <c:minus>
              <c:numRef>
                <c:f>'R1'!$N$48:$V$48</c:f>
                <c:numCache>
                  <c:formatCode>General</c:formatCode>
                  <c:ptCount val="9"/>
                  <c:pt idx="0">
                    <c:v>0</c:v>
                  </c:pt>
                  <c:pt idx="1">
                    <c:v>0.28590485505057434</c:v>
                  </c:pt>
                  <c:pt idx="2">
                    <c:v>1.0473396277860829</c:v>
                  </c:pt>
                  <c:pt idx="3">
                    <c:v>1.5773274607773415E-2</c:v>
                  </c:pt>
                  <c:pt idx="4">
                    <c:v>0.31678900254952674</c:v>
                  </c:pt>
                  <c:pt idx="5">
                    <c:v>0.32181952376009898</c:v>
                  </c:pt>
                  <c:pt idx="6">
                    <c:v>0.15439798548418199</c:v>
                  </c:pt>
                  <c:pt idx="7">
                    <c:v>0.2084010453103077</c:v>
                  </c:pt>
                  <c:pt idx="8">
                    <c:v>0.42321432640981044</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FAD-10µg/L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'R1'!$B$53:$V$53</c:f>
              <c:numCache>
                <c:formatCode>0.0000</c:formatCode>
                <c:ptCount val="21"/>
                <c:pt idx="0">
                  <c:v>8.4261157656589421E-3</c:v>
                </c:pt>
                <c:pt idx="1">
                  <c:v>4.2262460463026605E-2</c:v>
                </c:pt>
                <c:pt idx="2">
                  <c:v>1.5811787496460311E-2</c:v>
                </c:pt>
                <c:pt idx="3">
                  <c:v>0.61697340653864741</c:v>
                </c:pt>
                <c:pt idx="4">
                  <c:v>1.3215852612767303</c:v>
                </c:pt>
                <c:pt idx="5">
                  <c:v>2.7347250948337019</c:v>
                </c:pt>
                <c:pt idx="6">
                  <c:v>6.218990154905887</c:v>
                </c:pt>
                <c:pt idx="7">
                  <c:v>1.8441637595894081E-2</c:v>
                </c:pt>
                <c:pt idx="8">
                  <c:v>1.9792351465557176E-2</c:v>
                </c:pt>
                <c:pt idx="9">
                  <c:v>2.6005797588707413E-2</c:v>
                </c:pt>
                <c:pt idx="10">
                  <c:v>1.7431890340120534E-2</c:v>
                </c:pt>
                <c:pt idx="11">
                  <c:v>7.8518603015266444E-3</c:v>
                </c:pt>
                <c:pt idx="13">
                  <c:v>0.99999999999999989</c:v>
                </c:pt>
                <c:pt idx="14">
                  <c:v>6.0954670941312674</c:v>
                </c:pt>
                <c:pt idx="15">
                  <c:v>2.5406826825805175E-2</c:v>
                </c:pt>
                <c:pt idx="16">
                  <c:v>0.80985490018321349</c:v>
                </c:pt>
                <c:pt idx="17">
                  <c:v>0.9642935977369993</c:v>
                </c:pt>
                <c:pt idx="18">
                  <c:v>0.63783532006311905</c:v>
                </c:pt>
                <c:pt idx="19">
                  <c:v>1.0902183451556513</c:v>
                </c:pt>
                <c:pt idx="20">
                  <c:v>1.4098416920073527</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4.5628739940703981E-2</c:v>
                  </c:pt>
                  <c:pt idx="1">
                    <c:v>2.5682731881124576E-2</c:v>
                  </c:pt>
                  <c:pt idx="2">
                    <c:v>2.805932709562475E-2</c:v>
                  </c:pt>
                  <c:pt idx="3">
                    <c:v>0.5940023177384004</c:v>
                  </c:pt>
                  <c:pt idx="4">
                    <c:v>1.2216850726422264</c:v>
                  </c:pt>
                  <c:pt idx="5">
                    <c:v>0.87912435230617247</c:v>
                  </c:pt>
                  <c:pt idx="6">
                    <c:v>1.7675043617146273</c:v>
                  </c:pt>
                  <c:pt idx="7">
                    <c:v>0.10304410173051465</c:v>
                  </c:pt>
                  <c:pt idx="8">
                    <c:v>7.3404014182566937E-2</c:v>
                  </c:pt>
                  <c:pt idx="9">
                    <c:v>1.9617992167052119E-2</c:v>
                  </c:pt>
                  <c:pt idx="10">
                    <c:v>3.0690268472823395E-2</c:v>
                  </c:pt>
                  <c:pt idx="11">
                    <c:v>7.09010547091289E-2</c:v>
                  </c:pt>
                  <c:pt idx="13">
                    <c:v>0.51853214678322934</c:v>
                  </c:pt>
                  <c:pt idx="14">
                    <c:v>0.64869316663999865</c:v>
                  </c:pt>
                  <c:pt idx="15">
                    <c:v>7.2167103777912439E-2</c:v>
                  </c:pt>
                  <c:pt idx="16">
                    <c:v>0.11728390004552786</c:v>
                  </c:pt>
                  <c:pt idx="17">
                    <c:v>0.54787474432596273</c:v>
                  </c:pt>
                  <c:pt idx="18">
                    <c:v>0.4898273959795314</c:v>
                  </c:pt>
                  <c:pt idx="19">
                    <c:v>0.14496517063381462</c:v>
                  </c:pt>
                  <c:pt idx="20">
                    <c:v>0.23776247357773561</c:v>
                  </c:pt>
                </c:numCache>
              </c:numRef>
            </c:plus>
            <c:minus>
              <c:numRef>
                <c:f>'R1'!$N$48:$V$48</c:f>
                <c:numCache>
                  <c:formatCode>General</c:formatCode>
                  <c:ptCount val="9"/>
                  <c:pt idx="0">
                    <c:v>0</c:v>
                  </c:pt>
                  <c:pt idx="1">
                    <c:v>0.28590485505057434</c:v>
                  </c:pt>
                  <c:pt idx="2">
                    <c:v>1.0473396277860829</c:v>
                  </c:pt>
                  <c:pt idx="3">
                    <c:v>1.5773274607773415E-2</c:v>
                  </c:pt>
                  <c:pt idx="4">
                    <c:v>0.31678900254952674</c:v>
                  </c:pt>
                  <c:pt idx="5">
                    <c:v>0.32181952376009898</c:v>
                  </c:pt>
                  <c:pt idx="6">
                    <c:v>0.15439798548418199</c:v>
                  </c:pt>
                  <c:pt idx="7">
                    <c:v>0.2084010453103077</c:v>
                  </c:pt>
                  <c:pt idx="8">
                    <c:v>0.42321432640981044</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FAD-10µg/L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'R2'!$B$53:$V$53</c:f>
              <c:numCache>
                <c:formatCode>0.0000</c:formatCode>
                <c:ptCount val="21"/>
                <c:pt idx="0">
                  <c:v>0.15356910076683486</c:v>
                </c:pt>
                <c:pt idx="1">
                  <c:v>9.0337552348824054E-2</c:v>
                </c:pt>
                <c:pt idx="2">
                  <c:v>0.11864026036586971</c:v>
                </c:pt>
                <c:pt idx="3">
                  <c:v>2.5302354268236407</c:v>
                </c:pt>
                <c:pt idx="4">
                  <c:v>5.5341889740200827</c:v>
                </c:pt>
                <c:pt idx="5">
                  <c:v>7.3898137869139919</c:v>
                </c:pt>
                <c:pt idx="6">
                  <c:v>15.342331815106757</c:v>
                </c:pt>
                <c:pt idx="7">
                  <c:v>0.20999435481034054</c:v>
                </c:pt>
                <c:pt idx="8">
                  <c:v>0.16069175549444784</c:v>
                </c:pt>
                <c:pt idx="9">
                  <c:v>0.10164864858735964</c:v>
                </c:pt>
                <c:pt idx="10">
                  <c:v>0.12816327448759554</c:v>
                </c:pt>
                <c:pt idx="11">
                  <c:v>0.1495834070191317</c:v>
                </c:pt>
                <c:pt idx="13">
                  <c:v>1</c:v>
                </c:pt>
                <c:pt idx="14">
                  <c:v>8.3414430045577568</c:v>
                </c:pt>
                <c:pt idx="15">
                  <c:v>0.28409255430832786</c:v>
                </c:pt>
                <c:pt idx="16">
                  <c:v>0.42320862944255572</c:v>
                </c:pt>
                <c:pt idx="17">
                  <c:v>1.2407212728885639</c:v>
                </c:pt>
                <c:pt idx="18">
                  <c:v>0.84520079509668589</c:v>
                </c:pt>
                <c:pt idx="19">
                  <c:v>0.42526712547692358</c:v>
                </c:pt>
                <c:pt idx="20">
                  <c:v>0.37817508301781333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6.4995292314682485E-2</c:v>
                  </c:pt>
                  <c:pt idx="1">
                    <c:v>0.20867701236095745</c:v>
                  </c:pt>
                  <c:pt idx="2">
                    <c:v>0.12536691422155172</c:v>
                  </c:pt>
                  <c:pt idx="3">
                    <c:v>0.86098798706557078</c:v>
                  </c:pt>
                  <c:pt idx="4">
                    <c:v>1.3851653486909996</c:v>
                  </c:pt>
                  <c:pt idx="5">
                    <c:v>1.2648092553446288</c:v>
                  </c:pt>
                  <c:pt idx="6">
                    <c:v>2.1145013887247552</c:v>
                  </c:pt>
                  <c:pt idx="7">
                    <c:v>7.6332413520954726E-2</c:v>
                  </c:pt>
                  <c:pt idx="8">
                    <c:v>9.6406479699444145E-2</c:v>
                  </c:pt>
                  <c:pt idx="9">
                    <c:v>0.10491904057044336</c:v>
                  </c:pt>
                  <c:pt idx="10">
                    <c:v>8.5421782037634758E-2</c:v>
                  </c:pt>
                  <c:pt idx="11">
                    <c:v>8.2806685049195236E-2</c:v>
                  </c:pt>
                  <c:pt idx="13">
                    <c:v>0.33236508417828409</c:v>
                  </c:pt>
                  <c:pt idx="14">
                    <c:v>1.3616926254895017</c:v>
                  </c:pt>
                  <c:pt idx="15">
                    <c:v>8.5224183384975907E-2</c:v>
                  </c:pt>
                  <c:pt idx="16">
                    <c:v>0.36754026945234453</c:v>
                  </c:pt>
                  <c:pt idx="17">
                    <c:v>0.45010590757897817</c:v>
                  </c:pt>
                  <c:pt idx="18">
                    <c:v>0.19695805407520131</c:v>
                  </c:pt>
                  <c:pt idx="19">
                    <c:v>0.37224608548619004</c:v>
                  </c:pt>
                  <c:pt idx="20">
                    <c:v>0.47963262893441516</c:v>
                  </c:pt>
                </c:numCache>
              </c:numRef>
            </c:plus>
            <c:minus>
              <c:numRef>
                <c:f>'R1'!$N$48:$V$48</c:f>
                <c:numCache>
                  <c:formatCode>General</c:formatCode>
                  <c:ptCount val="9"/>
                  <c:pt idx="0">
                    <c:v>0</c:v>
                  </c:pt>
                  <c:pt idx="1">
                    <c:v>0.28590485505057434</c:v>
                  </c:pt>
                  <c:pt idx="2">
                    <c:v>1.0473396277860829</c:v>
                  </c:pt>
                  <c:pt idx="3">
                    <c:v>1.5773274607773415E-2</c:v>
                  </c:pt>
                  <c:pt idx="4">
                    <c:v>0.31678900254952674</c:v>
                  </c:pt>
                  <c:pt idx="5">
                    <c:v>0.32181952376009898</c:v>
                  </c:pt>
                  <c:pt idx="6">
                    <c:v>0.15439798548418199</c:v>
                  </c:pt>
                  <c:pt idx="7">
                    <c:v>0.2084010453103077</c:v>
                  </c:pt>
                  <c:pt idx="8">
                    <c:v>0.42321432640981044</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FAD-10µg/L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'R3'!$B$53:$V$53</c:f>
              <c:numCache>
                <c:formatCode>0.0000</c:formatCode>
                <c:ptCount val="21"/>
                <c:pt idx="0">
                  <c:v>0.25491650849424052</c:v>
                </c:pt>
                <c:pt idx="1">
                  <c:v>0.49008297893101854</c:v>
                </c:pt>
                <c:pt idx="2">
                  <c:v>0.44359690135126695</c:v>
                </c:pt>
                <c:pt idx="3">
                  <c:v>3.7762959877165407</c:v>
                </c:pt>
                <c:pt idx="4">
                  <c:v>9.7714621831347142</c:v>
                </c:pt>
                <c:pt idx="5">
                  <c:v>12.627117345767232</c:v>
                </c:pt>
                <c:pt idx="6">
                  <c:v>18.111757159981583</c:v>
                </c:pt>
                <c:pt idx="7">
                  <c:v>0.23510459125051225</c:v>
                </c:pt>
                <c:pt idx="8">
                  <c:v>0.28435319546497845</c:v>
                </c:pt>
                <c:pt idx="9">
                  <c:v>0.40122993256667194</c:v>
                </c:pt>
                <c:pt idx="10">
                  <c:v>0.36994586100083682</c:v>
                </c:pt>
                <c:pt idx="11">
                  <c:v>0.5204043090831858</c:v>
                </c:pt>
                <c:pt idx="13">
                  <c:v>0.99999999999999989</c:v>
                </c:pt>
                <c:pt idx="14">
                  <c:v>8.9069757499700088</c:v>
                </c:pt>
                <c:pt idx="15">
                  <c:v>0.28475245095536161</c:v>
                </c:pt>
                <c:pt idx="16">
                  <c:v>0.87490664132029372</c:v>
                </c:pt>
                <c:pt idx="17">
                  <c:v>1.1014997593146465</c:v>
                </c:pt>
                <c:pt idx="18">
                  <c:v>0.74748593769048011</c:v>
                </c:pt>
                <c:pt idx="19">
                  <c:v>0.86187023053170175</c:v>
                </c:pt>
                <c:pt idx="20">
                  <c:v>0.81308862906486523</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914F3111-374B-4CEC-9199-342FEAC6321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5990EF89-A4E8-410C-A2BC-00884E1E1F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7BC4954D-1B4E-4F7F-9302-FEAC8E50B8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394F31BD-71BC-4FBE-86C3-6837848CAD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C58EC839-915B-4258-A359-EB07708C7C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0B1FFEA9-CDB2-4462-8AD0-98C3C4E51A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9E82AB12-3F54-4C6F-B0F1-A4FD009931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B3F8FD0A-838E-4580-B8C9-BF190E9854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8182F0F0-0E68-4C83-8618-8AFAD16447E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F1B0258D-E0F1-4A29-89A2-183EE21646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582BCE7D-0652-40CE-BA0E-4754BBA26DC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F905EE96-B570-40BA-83A1-5BA12C3EF6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A7E7BA1-1521-4C4C-8C18-048E204E5B5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75FC6B87-B4A7-4C27-BD4F-90A1155C05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9C013891-2A6F-4BCF-92C2-7730D01C30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AC283185-C25B-4C28-AA4D-F808C6702A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9FEC303B-2C92-4B20-AF9B-2B6A5BCC693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B3E00F5D-D5D2-41F2-BB1D-32883BDA73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13C2A659-8F0F-4BBE-A67C-B1E1AFBEB2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311437AE-A903-459B-A78F-D14D68E6DF3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3.2945054389149714E-2</c:v>
                  </c:pt>
                  <c:pt idx="1">
                    <c:v>7.9279163714352438E-2</c:v>
                  </c:pt>
                  <c:pt idx="2">
                    <c:v>5.8079283138124542E-2</c:v>
                  </c:pt>
                  <c:pt idx="3">
                    <c:v>0.44983416052630792</c:v>
                  </c:pt>
                  <c:pt idx="4">
                    <c:v>0.95470105144576511</c:v>
                  </c:pt>
                  <c:pt idx="5">
                    <c:v>0.99842923928452665</c:v>
                  </c:pt>
                  <c:pt idx="6">
                    <c:v>1.385400957515605</c:v>
                  </c:pt>
                  <c:pt idx="7">
                    <c:v>4.4110130595825928E-2</c:v>
                  </c:pt>
                  <c:pt idx="8">
                    <c:v>4.473847162702535E-2</c:v>
                  </c:pt>
                  <c:pt idx="9">
                    <c:v>4.9934752905447244E-2</c:v>
                  </c:pt>
                  <c:pt idx="10">
                    <c:v>4.2253926749444143E-2</c:v>
                  </c:pt>
                  <c:pt idx="11">
                    <c:v>5.6894535394973064E-2</c:v>
                  </c:pt>
                  <c:pt idx="13">
                    <c:v>0.22147564165810035</c:v>
                  </c:pt>
                  <c:pt idx="14">
                    <c:v>0.65636581527841154</c:v>
                  </c:pt>
                  <c:pt idx="15">
                    <c:v>4.3571095530593518E-2</c:v>
                  </c:pt>
                  <c:pt idx="16">
                    <c:v>0.16434451114288828</c:v>
                  </c:pt>
                  <c:pt idx="17">
                    <c:v>0.24912937947172895</c:v>
                  </c:pt>
                  <c:pt idx="18">
                    <c:v>0.17608704203524767</c:v>
                  </c:pt>
                  <c:pt idx="19">
                    <c:v>0.15461029696092285</c:v>
                  </c:pt>
                  <c:pt idx="20">
                    <c:v>0.24075815625229607</c:v>
                  </c:pt>
                </c:numCache>
              </c:numRef>
            </c:plus>
            <c:minus>
              <c:numRef>
                <c:f>'pooled normalised values'!$B$76:$V$76</c:f>
                <c:numCache>
                  <c:formatCode>General</c:formatCode>
                  <c:ptCount val="21"/>
                  <c:pt idx="0">
                    <c:v>3.2945054389149714E-2</c:v>
                  </c:pt>
                  <c:pt idx="1">
                    <c:v>7.9279163714352438E-2</c:v>
                  </c:pt>
                  <c:pt idx="2">
                    <c:v>5.8079283138124542E-2</c:v>
                  </c:pt>
                  <c:pt idx="3">
                    <c:v>0.44983416052630792</c:v>
                  </c:pt>
                  <c:pt idx="4">
                    <c:v>0.95470105144576511</c:v>
                  </c:pt>
                  <c:pt idx="5">
                    <c:v>0.99842923928452665</c:v>
                  </c:pt>
                  <c:pt idx="6">
                    <c:v>1.385400957515605</c:v>
                  </c:pt>
                  <c:pt idx="7">
                    <c:v>4.4110130595825928E-2</c:v>
                  </c:pt>
                  <c:pt idx="8">
                    <c:v>4.473847162702535E-2</c:v>
                  </c:pt>
                  <c:pt idx="9">
                    <c:v>4.9934752905447244E-2</c:v>
                  </c:pt>
                  <c:pt idx="10">
                    <c:v>4.2253926749444143E-2</c:v>
                  </c:pt>
                  <c:pt idx="11">
                    <c:v>5.6894535394973064E-2</c:v>
                  </c:pt>
                  <c:pt idx="13">
                    <c:v>0.22147564165810035</c:v>
                  </c:pt>
                  <c:pt idx="14">
                    <c:v>0.65636581527841154</c:v>
                  </c:pt>
                  <c:pt idx="15">
                    <c:v>4.3571095530593518E-2</c:v>
                  </c:pt>
                  <c:pt idx="16">
                    <c:v>0.16434451114288828</c:v>
                  </c:pt>
                  <c:pt idx="17">
                    <c:v>0.24912937947172895</c:v>
                  </c:pt>
                  <c:pt idx="18">
                    <c:v>0.17608704203524767</c:v>
                  </c:pt>
                  <c:pt idx="19">
                    <c:v>0.15461029696092285</c:v>
                  </c:pt>
                  <c:pt idx="20">
                    <c:v>0.24075815625229607</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Atenolol-0.01mg/L</c:v>
                </c:pt>
                <c:pt idx="8">
                  <c:v>Atenolol-0.1mg/L</c:v>
                </c:pt>
                <c:pt idx="9">
                  <c:v>Atenolol-1mg/L</c:v>
                </c:pt>
                <c:pt idx="10">
                  <c:v>Atenolol-10mg/L</c:v>
                </c:pt>
                <c:pt idx="11">
                  <c:v>Atenolol-100mg/L</c:v>
                </c:pt>
                <c:pt idx="13">
                  <c:v>Testo -30µg/L</c:v>
                </c:pt>
                <c:pt idx="14">
                  <c:v>Testo 30µg/L + EE2 -64ng/L</c:v>
                </c:pt>
                <c:pt idx="15">
                  <c:v>Testo 30µg/L + FAD-10µg/L</c:v>
                </c:pt>
                <c:pt idx="16">
                  <c:v>Atenolol-0.01mg/L + Testostérone</c:v>
                </c:pt>
                <c:pt idx="17">
                  <c:v>Atenolol-0.1mg/L + Testostérone</c:v>
                </c:pt>
                <c:pt idx="18">
                  <c:v>Atenolol-1mg/L + Testostérone</c:v>
                </c:pt>
                <c:pt idx="19">
                  <c:v>Atenolol-10mg/L + Testostérone</c:v>
                </c:pt>
                <c:pt idx="20">
                  <c:v>Atenolol-100mg/L + Testostérone</c:v>
                </c:pt>
              </c:strCache>
            </c:strRef>
          </c:cat>
          <c:val>
            <c:numRef>
              <c:f>'pooled normalised values'!$B$75:$V$75</c:f>
              <c:numCache>
                <c:formatCode>0.0000</c:formatCode>
                <c:ptCount val="21"/>
                <c:pt idx="0">
                  <c:v>0.13897057500891144</c:v>
                </c:pt>
                <c:pt idx="1">
                  <c:v>0.20756099724762309</c:v>
                </c:pt>
                <c:pt idx="2">
                  <c:v>0.19590223188447417</c:v>
                </c:pt>
                <c:pt idx="3">
                  <c:v>2.2439888078658301</c:v>
                </c:pt>
                <c:pt idx="4">
                  <c:v>5.5424121394771744</c:v>
                </c:pt>
                <c:pt idx="5">
                  <c:v>7.5838854091716401</c:v>
                </c:pt>
                <c:pt idx="6">
                  <c:v>13.224359709998078</c:v>
                </c:pt>
                <c:pt idx="7">
                  <c:v>0.14907065227399474</c:v>
                </c:pt>
                <c:pt idx="8">
                  <c:v>0.15494576747499447</c:v>
                </c:pt>
                <c:pt idx="9">
                  <c:v>0.1795402774501979</c:v>
                </c:pt>
                <c:pt idx="10">
                  <c:v>0.17184700860951763</c:v>
                </c:pt>
                <c:pt idx="11">
                  <c:v>0.22594652546794802</c:v>
                </c:pt>
                <c:pt idx="13">
                  <c:v>1.0000000000000002</c:v>
                </c:pt>
                <c:pt idx="14">
                  <c:v>7.7569410341180216</c:v>
                </c:pt>
                <c:pt idx="15">
                  <c:v>0.19431574807654764</c:v>
                </c:pt>
                <c:pt idx="16">
                  <c:v>0.7026567236486877</c:v>
                </c:pt>
                <c:pt idx="17">
                  <c:v>1.1021715433134032</c:v>
                </c:pt>
                <c:pt idx="18">
                  <c:v>0.7435073509500949</c:v>
                </c:pt>
                <c:pt idx="19">
                  <c:v>0.79245190038809221</c:v>
                </c:pt>
                <c:pt idx="20">
                  <c:v>0.88828991955228009</c:v>
                </c:pt>
              </c:numCache>
            </c:numRef>
          </c:val>
          <c:extLst>
            <c:ext xmlns:c15="http://schemas.microsoft.com/office/drawing/2012/chart" uri="{02D57815-91ED-43cb-92C2-25804820EDAC}">
              <c15:datalabelsRange>
                <c15:f>'pooled normalised values'!$B$83:$V$83</c15:f>
                <c15:dlblRangeCache>
                  <c:ptCount val="21"/>
                  <c:pt idx="1">
                    <c:v>ns</c:v>
                  </c:pt>
                  <c:pt idx="2">
                    <c:v>ns</c:v>
                  </c:pt>
                  <c:pt idx="3">
                    <c:v>**</c:v>
                  </c:pt>
                  <c:pt idx="4">
                    <c:v>***</c:v>
                  </c:pt>
                  <c:pt idx="5">
                    <c:v>***</c:v>
                  </c:pt>
                  <c:pt idx="6">
                    <c:v>***</c:v>
                  </c:pt>
                  <c:pt idx="7">
                    <c:v>ns</c:v>
                  </c:pt>
                  <c:pt idx="8">
                    <c:v>ns</c:v>
                  </c:pt>
                  <c:pt idx="9">
                    <c:v>ns</c:v>
                  </c:pt>
                  <c:pt idx="10">
                    <c:v>ns</c:v>
                  </c:pt>
                  <c:pt idx="11">
                    <c:v>ns</c:v>
                  </c:pt>
                  <c:pt idx="13">
                    <c:v>#NAME?</c:v>
                  </c:pt>
                  <c:pt idx="14">
                    <c:v>#NAME?</c:v>
                  </c:pt>
                  <c:pt idx="15">
                    <c:v>#NAME?</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Atenolol-0.01mg/L : 0%</c:v>
                  </c:pt>
                  <c:pt idx="1">
                    <c:v>Atenolol-0.1mg/L : 0%</c:v>
                  </c:pt>
                  <c:pt idx="2">
                    <c:v>Atenolol-1mg/L : 0%</c:v>
                  </c:pt>
                  <c:pt idx="3">
                    <c:v>Atenolol-10mg/L : 0%</c:v>
                  </c:pt>
                  <c:pt idx="4">
                    <c:v>Atenolol-100mg/L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853493DC-DA42-4FB6-A972-A572DBED9F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36238FF0-48F5-47BB-817E-D4B0FE3230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93DFCBBB-02E0-4D78-A706-C75B55C3DE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B8E98BA8-C7D0-4B06-B886-0060C49286D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17FC5D29-D06D-4868-8438-FCFA9B9164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B7662F64-F552-45E0-86DF-ECAAD91786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533E94B0-6493-411B-B581-C02569D3E3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656AC0AA-653D-4639-968F-49444174986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43CFAC34-3694-405A-98D2-2224616857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2BB1DF2F-0583-49A9-A74E-991FA65CB67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E0FCF82B-53C5-4E5E-B63A-71C58A3344F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AA64775E-1BFB-4F95-A30C-9051C29E60B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1B01F41D-D4EE-4E98-AC32-07FB74BCBA2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C3880E39-914A-41ED-A6E9-F49AA6DAC7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4.473847162702535E-2</c:v>
                  </c:pt>
                  <c:pt idx="2">
                    <c:v>4.9934752905447244E-2</c:v>
                  </c:pt>
                  <c:pt idx="3">
                    <c:v>4.2253926749444143E-2</c:v>
                  </c:pt>
                  <c:pt idx="4">
                    <c:v>5.6894535394973064E-2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4.473847162702535E-2</c:v>
                  </c:pt>
                  <c:pt idx="2">
                    <c:v>4.9934752905447244E-2</c:v>
                  </c:pt>
                  <c:pt idx="3">
                    <c:v>4.2253926749444143E-2</c:v>
                  </c:pt>
                  <c:pt idx="4">
                    <c:v>5.6894535394973064E-2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0.15494576747499447</c:v>
                </c:pt>
                <c:pt idx="2">
                  <c:v>0.1795402774501979</c:v>
                </c:pt>
                <c:pt idx="3">
                  <c:v>0.17184700860951763</c:v>
                </c:pt>
                <c:pt idx="4">
                  <c:v>0.22594652546794802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0.13897057500891144</c:v>
                </c:pt>
                <c:pt idx="1">
                  <c:v>0.13897057500891144</c:v>
                </c:pt>
                <c:pt idx="2">
                  <c:v>0.13897057500891144</c:v>
                </c:pt>
                <c:pt idx="3">
                  <c:v>0.13897057500891144</c:v>
                </c:pt>
                <c:pt idx="4">
                  <c:v>0.13897057500891144</c:v>
                </c:pt>
                <c:pt idx="5">
                  <c:v>0.13897057500891144</c:v>
                </c:pt>
                <c:pt idx="6">
                  <c:v>0.13897057500891144</c:v>
                </c:pt>
                <c:pt idx="7">
                  <c:v>0.13897057500891144</c:v>
                </c:pt>
                <c:pt idx="8">
                  <c:v>0.13897057500891144</c:v>
                </c:pt>
                <c:pt idx="9">
                  <c:v>0.13897057500891144</c:v>
                </c:pt>
                <c:pt idx="10">
                  <c:v>0.13897057500891144</c:v>
                </c:pt>
                <c:pt idx="11">
                  <c:v>0.13897057500891144</c:v>
                </c:pt>
                <c:pt idx="12">
                  <c:v>0.13897057500891144</c:v>
                </c:pt>
                <c:pt idx="13">
                  <c:v>0.13897057500891144</c:v>
                </c:pt>
                <c:pt idx="14">
                  <c:v>0.13897057500891144</c:v>
                </c:pt>
                <c:pt idx="15">
                  <c:v>0.13897057500891144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0.19431574807654764</c:v>
                </c:pt>
                <c:pt idx="1">
                  <c:v>0.19431574807654764</c:v>
                </c:pt>
                <c:pt idx="2">
                  <c:v>0.19431574807654764</c:v>
                </c:pt>
                <c:pt idx="3">
                  <c:v>0.19431574807654764</c:v>
                </c:pt>
                <c:pt idx="4">
                  <c:v>0.19431574807654764</c:v>
                </c:pt>
                <c:pt idx="5">
                  <c:v>0.19431574807654764</c:v>
                </c:pt>
                <c:pt idx="6">
                  <c:v>0.19431574807654764</c:v>
                </c:pt>
                <c:pt idx="7">
                  <c:v>0.19431574807654764</c:v>
                </c:pt>
                <c:pt idx="8">
                  <c:v>0.19431574807654764</c:v>
                </c:pt>
                <c:pt idx="9">
                  <c:v>0.19431574807654764</c:v>
                </c:pt>
                <c:pt idx="10">
                  <c:v>0.19431574807654764</c:v>
                </c:pt>
                <c:pt idx="11">
                  <c:v>0.19431574807654764</c:v>
                </c:pt>
                <c:pt idx="12">
                  <c:v>0.19431574807654764</c:v>
                </c:pt>
                <c:pt idx="13">
                  <c:v>0.19431574807654764</c:v>
                </c:pt>
                <c:pt idx="14">
                  <c:v>0.19431574807654764</c:v>
                </c:pt>
                <c:pt idx="15">
                  <c:v>0.19431574807654764</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7.5626252860414738</c:v>
                </c:pt>
                <c:pt idx="1">
                  <c:v>7.5626252860414738</c:v>
                </c:pt>
                <c:pt idx="2">
                  <c:v>7.5626252860414738</c:v>
                </c:pt>
                <c:pt idx="3">
                  <c:v>7.5626252860414738</c:v>
                </c:pt>
                <c:pt idx="4">
                  <c:v>7.5626252860414738</c:v>
                </c:pt>
                <c:pt idx="5">
                  <c:v>7.5626252860414738</c:v>
                </c:pt>
                <c:pt idx="6">
                  <c:v>7.5626252860414738</c:v>
                </c:pt>
                <c:pt idx="7">
                  <c:v>7.5626252860414738</c:v>
                </c:pt>
                <c:pt idx="8">
                  <c:v>7.5626252860414738</c:v>
                </c:pt>
                <c:pt idx="9">
                  <c:v>7.5626252860414738</c:v>
                </c:pt>
                <c:pt idx="10">
                  <c:v>7.5626252860414738</c:v>
                </c:pt>
                <c:pt idx="11">
                  <c:v>7.5626252860414738</c:v>
                </c:pt>
                <c:pt idx="12">
                  <c:v>7.5626252860414738</c:v>
                </c:pt>
                <c:pt idx="13">
                  <c:v>7.5626252860414738</c:v>
                </c:pt>
                <c:pt idx="14">
                  <c:v>7.5626252860414738</c:v>
                </c:pt>
                <c:pt idx="15">
                  <c:v>7.5626252860414738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-5.0626252860414738</c:v>
                </c:pt>
                <c:pt idx="1">
                  <c:v>-5.0626252860414738</c:v>
                </c:pt>
                <c:pt idx="2">
                  <c:v>-5.0626252860414738</c:v>
                </c:pt>
                <c:pt idx="3">
                  <c:v>-5.0626252860414738</c:v>
                </c:pt>
                <c:pt idx="4">
                  <c:v>-5.0626252860414738</c:v>
                </c:pt>
                <c:pt idx="5">
                  <c:v>-5.0626252860414738</c:v>
                </c:pt>
                <c:pt idx="6">
                  <c:v>-5.0626252860414738</c:v>
                </c:pt>
                <c:pt idx="7">
                  <c:v>-5.0626252860414738</c:v>
                </c:pt>
                <c:pt idx="8">
                  <c:v>-5.0626252860414738</c:v>
                </c:pt>
                <c:pt idx="9">
                  <c:v>-5.0626252860414738</c:v>
                </c:pt>
                <c:pt idx="10">
                  <c:v>-5.0626252860414738</c:v>
                </c:pt>
                <c:pt idx="11">
                  <c:v>-5.0626252860414738</c:v>
                </c:pt>
                <c:pt idx="12">
                  <c:v>-5.0626252860414738</c:v>
                </c:pt>
                <c:pt idx="13">
                  <c:v>-5.0626252860414738</c:v>
                </c:pt>
                <c:pt idx="14">
                  <c:v>-5.0626252860414738</c:v>
                </c:pt>
                <c:pt idx="15">
                  <c:v>-5.0626252860414738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0A5D44E0-9952-48A3-8865-899AA6EBA3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A4E077D1-0A03-44F2-9F8D-872DCFF79F5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9BC39C10-CDDE-434C-9C06-DF90C1050B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77F64399-7C8B-4E15-B1D8-3617CE08F7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1DF71451-42D4-47E0-9967-DC2B69DE26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731056C5-B291-4140-81BC-75E5281A1A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A7F0905D-3634-4BDC-8D64-CE8063468F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40E5F9A5-590D-46AB-A958-CC865971467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1800369F-926A-439E-B9F7-786CF8C282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592F3973-5333-4590-9722-1C8A6C8DD30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ABA85218-F063-4D3B-BE4F-F19319240C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2A477736-692F-45E7-BF10-44D6C9BCF1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0F2FCE64-1D24-4735-A6E7-23509C4763E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29015937-F5A8-499F-BE87-4BCF43C3CD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0.16434451114288828</c:v>
                  </c:pt>
                  <c:pt idx="2">
                    <c:v>0.24912937947172895</c:v>
                  </c:pt>
                  <c:pt idx="3">
                    <c:v>0.17608704203524767</c:v>
                  </c:pt>
                  <c:pt idx="4">
                    <c:v>0.15461029696092285</c:v>
                  </c:pt>
                  <c:pt idx="5">
                    <c:v>0.24075815625229607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0.16434451114288828</c:v>
                  </c:pt>
                  <c:pt idx="2">
                    <c:v>0.24912937947172895</c:v>
                  </c:pt>
                  <c:pt idx="3">
                    <c:v>0.17608704203524767</c:v>
                  </c:pt>
                  <c:pt idx="4">
                    <c:v>0.15461029696092285</c:v>
                  </c:pt>
                  <c:pt idx="5">
                    <c:v>0.24075815625229607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0.7026567236486877</c:v>
                </c:pt>
                <c:pt idx="2">
                  <c:v>1.1021715433134032</c:v>
                </c:pt>
                <c:pt idx="3">
                  <c:v>0.7435073509500949</c:v>
                </c:pt>
                <c:pt idx="4">
                  <c:v>0.79245190038809221</c:v>
                </c:pt>
                <c:pt idx="5">
                  <c:v>0.88828991955228009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75CF0AEC-A3CA-4B1D-9848-AD831E959DA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270F5294-D5EF-4EEB-A03A-470937267E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96A79303-F7AD-40CF-B38A-3E59F274FB2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0D94229E-ABD3-492E-8D1F-37A01538C7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30E79D64-37F0-49AE-86FC-4B2FFF2FFA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ADDD6465-0126-4493-8690-782E122E38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8E887444-3C90-4D73-BD7A-0421A26EB3D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DD7A9ECD-C33A-4ED8-B4E2-CC3C4AF092B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5DE7A2C0-77D3-41A1-B8B9-B991BA7CA0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B8B49F02-C193-4833-BAA5-C3BA4022F06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782B2490-99B3-4D0F-A746-663E59E13B1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E2801CBD-F2EB-4E25-9132-794D8BA422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77677AAD-E128-4976-BA09-5374956D6E3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AF00F24D-2D2C-43FC-A90A-D736D22BB3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4.473847162702535E-2</c:v>
                  </c:pt>
                  <c:pt idx="2">
                    <c:v>4.9934752905447244E-2</c:v>
                  </c:pt>
                  <c:pt idx="3">
                    <c:v>4.2253926749444143E-2</c:v>
                  </c:pt>
                  <c:pt idx="4">
                    <c:v>5.6894535394973064E-2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4.473847162702535E-2</c:v>
                  </c:pt>
                  <c:pt idx="2">
                    <c:v>4.9934752905447244E-2</c:v>
                  </c:pt>
                  <c:pt idx="3">
                    <c:v>4.2253926749444143E-2</c:v>
                  </c:pt>
                  <c:pt idx="4">
                    <c:v>5.6894535394973064E-2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Atenolol-0.1mg/L</c:v>
                </c:pt>
                <c:pt idx="2">
                  <c:v>Atenolol-1mg/L</c:v>
                </c:pt>
                <c:pt idx="3">
                  <c:v>Atenolol-10mg/L</c:v>
                </c:pt>
                <c:pt idx="4">
                  <c:v>Atenolol-100mg/L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0.15494576747499447</c:v>
                </c:pt>
                <c:pt idx="2">
                  <c:v>0.1795402774501979</c:v>
                </c:pt>
                <c:pt idx="3">
                  <c:v>0.17184700860951763</c:v>
                </c:pt>
                <c:pt idx="4">
                  <c:v>0.22594652546794802</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0.13897057500891144</c:v>
                </c:pt>
                <c:pt idx="1">
                  <c:v>0.13897057500891144</c:v>
                </c:pt>
                <c:pt idx="2">
                  <c:v>0.13897057500891144</c:v>
                </c:pt>
                <c:pt idx="3">
                  <c:v>0.13897057500891144</c:v>
                </c:pt>
                <c:pt idx="4">
                  <c:v>0.13897057500891144</c:v>
                </c:pt>
                <c:pt idx="5">
                  <c:v>0.13897057500891144</c:v>
                </c:pt>
                <c:pt idx="6">
                  <c:v>0.13897057500891144</c:v>
                </c:pt>
                <c:pt idx="7">
                  <c:v>0.13897057500891144</c:v>
                </c:pt>
                <c:pt idx="8">
                  <c:v>0.13897057500891144</c:v>
                </c:pt>
                <c:pt idx="9">
                  <c:v>0.13897057500891144</c:v>
                </c:pt>
                <c:pt idx="10">
                  <c:v>0.13897057500891144</c:v>
                </c:pt>
                <c:pt idx="11">
                  <c:v>0.13897057500891144</c:v>
                </c:pt>
                <c:pt idx="12">
                  <c:v>0.13897057500891144</c:v>
                </c:pt>
                <c:pt idx="13">
                  <c:v>0.13897057500891144</c:v>
                </c:pt>
                <c:pt idx="14">
                  <c:v>0.13897057500891144</c:v>
                </c:pt>
                <c:pt idx="15">
                  <c:v>0.13897057500891144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0.19431574807654764</c:v>
                </c:pt>
                <c:pt idx="1">
                  <c:v>0.19431574807654764</c:v>
                </c:pt>
                <c:pt idx="2">
                  <c:v>0.19431574807654764</c:v>
                </c:pt>
                <c:pt idx="3">
                  <c:v>0.19431574807654764</c:v>
                </c:pt>
                <c:pt idx="4">
                  <c:v>0.19431574807654764</c:v>
                </c:pt>
                <c:pt idx="5">
                  <c:v>0.19431574807654764</c:v>
                </c:pt>
                <c:pt idx="6">
                  <c:v>0.19431574807654764</c:v>
                </c:pt>
                <c:pt idx="7">
                  <c:v>0.19431574807654764</c:v>
                </c:pt>
                <c:pt idx="8">
                  <c:v>0.19431574807654764</c:v>
                </c:pt>
                <c:pt idx="9">
                  <c:v>0.19431574807654764</c:v>
                </c:pt>
                <c:pt idx="10">
                  <c:v>0.19431574807654764</c:v>
                </c:pt>
                <c:pt idx="11">
                  <c:v>0.19431574807654764</c:v>
                </c:pt>
                <c:pt idx="12">
                  <c:v>0.19431574807654764</c:v>
                </c:pt>
                <c:pt idx="13">
                  <c:v>0.19431574807654764</c:v>
                </c:pt>
                <c:pt idx="14">
                  <c:v>0.19431574807654764</c:v>
                </c:pt>
                <c:pt idx="15">
                  <c:v>0.19431574807654764</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7.5626252860414738</c:v>
                </c:pt>
                <c:pt idx="1">
                  <c:v>7.5626252860414738</c:v>
                </c:pt>
                <c:pt idx="2">
                  <c:v>7.5626252860414738</c:v>
                </c:pt>
                <c:pt idx="3">
                  <c:v>7.5626252860414738</c:v>
                </c:pt>
                <c:pt idx="4">
                  <c:v>7.5626252860414738</c:v>
                </c:pt>
                <c:pt idx="5">
                  <c:v>7.5626252860414738</c:v>
                </c:pt>
                <c:pt idx="6">
                  <c:v>7.5626252860414738</c:v>
                </c:pt>
                <c:pt idx="7">
                  <c:v>7.5626252860414738</c:v>
                </c:pt>
                <c:pt idx="8">
                  <c:v>7.5626252860414738</c:v>
                </c:pt>
                <c:pt idx="9">
                  <c:v>7.5626252860414738</c:v>
                </c:pt>
                <c:pt idx="10">
                  <c:v>7.5626252860414738</c:v>
                </c:pt>
                <c:pt idx="11">
                  <c:v>7.5626252860414738</c:v>
                </c:pt>
                <c:pt idx="12">
                  <c:v>7.5626252860414738</c:v>
                </c:pt>
                <c:pt idx="13">
                  <c:v>7.5626252860414738</c:v>
                </c:pt>
                <c:pt idx="14">
                  <c:v>7.5626252860414738</c:v>
                </c:pt>
                <c:pt idx="15">
                  <c:v>7.5626252860414738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-5.0626252860414738</c:v>
                </c:pt>
                <c:pt idx="1">
                  <c:v>-5.0626252860414738</c:v>
                </c:pt>
                <c:pt idx="2">
                  <c:v>-5.0626252860414738</c:v>
                </c:pt>
                <c:pt idx="3">
                  <c:v>-5.0626252860414738</c:v>
                </c:pt>
                <c:pt idx="4">
                  <c:v>-5.0626252860414738</c:v>
                </c:pt>
                <c:pt idx="5">
                  <c:v>-5.0626252860414738</c:v>
                </c:pt>
                <c:pt idx="6">
                  <c:v>-5.0626252860414738</c:v>
                </c:pt>
                <c:pt idx="7">
                  <c:v>-5.0626252860414738</c:v>
                </c:pt>
                <c:pt idx="8">
                  <c:v>-5.0626252860414738</c:v>
                </c:pt>
                <c:pt idx="9">
                  <c:v>-5.0626252860414738</c:v>
                </c:pt>
                <c:pt idx="10">
                  <c:v>-5.0626252860414738</c:v>
                </c:pt>
                <c:pt idx="11">
                  <c:v>-5.0626252860414738</c:v>
                </c:pt>
                <c:pt idx="12">
                  <c:v>-5.0626252860414738</c:v>
                </c:pt>
                <c:pt idx="13">
                  <c:v>-5.0626252860414738</c:v>
                </c:pt>
                <c:pt idx="14">
                  <c:v>-5.0626252860414738</c:v>
                </c:pt>
                <c:pt idx="15">
                  <c:v>-5.0626252860414738</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235805A-088C-4F0B-BDEB-9F8105FB04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487F0B7E-2C2E-4E6B-8E98-08801C3347E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55144B57-B927-42A2-A0E2-DE1A17805C4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C4CA3F19-E660-4876-9E14-4383041A26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54335BB8-5BB3-4B4D-9338-1108306541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451618D8-6C83-4F61-96F9-10EEEF3986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ABBE7EBF-3CB0-4B54-B6C5-CC672C1502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7522C9D2-70F2-4BB6-BC4A-ADEC03D4D0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3B2D3B6A-E226-42C2-88DC-73A2D3446B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BFE45529-5061-49D2-A4E7-FB9BE23546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1087731B-D761-4F53-A136-D65018E3FE6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E7F0E42B-30AC-47AA-9F2F-3ECF0A2A7B7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5EC034A0-75AF-4C52-8685-0C197D9973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1613836E-45BD-407B-81B3-5B9B6CAB56A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0.16434451114288828</c:v>
                  </c:pt>
                  <c:pt idx="2">
                    <c:v>0.24912937947172895</c:v>
                  </c:pt>
                  <c:pt idx="3">
                    <c:v>0.17608704203524767</c:v>
                  </c:pt>
                  <c:pt idx="4">
                    <c:v>0.15461029696092285</c:v>
                  </c:pt>
                  <c:pt idx="5">
                    <c:v>0.24075815625229607</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0.16434451114288828</c:v>
                  </c:pt>
                  <c:pt idx="2">
                    <c:v>0.24912937947172895</c:v>
                  </c:pt>
                  <c:pt idx="3">
                    <c:v>0.17608704203524767</c:v>
                  </c:pt>
                  <c:pt idx="4">
                    <c:v>0.15461029696092285</c:v>
                  </c:pt>
                  <c:pt idx="5">
                    <c:v>0.24075815625229607</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0.7026567236486877</c:v>
                </c:pt>
                <c:pt idx="2">
                  <c:v>1.1021715433134032</c:v>
                </c:pt>
                <c:pt idx="3">
                  <c:v>0.7435073509500949</c:v>
                </c:pt>
                <c:pt idx="4">
                  <c:v>0.79245190038809221</c:v>
                </c:pt>
                <c:pt idx="5">
                  <c:v>0.88828991955228009</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Atenolol-0.01mg/L + Testostérone</c:v>
                </c:pt>
                <c:pt idx="2">
                  <c:v>Atenolol-0.1mg/L + Testostérone</c:v>
                </c:pt>
                <c:pt idx="3">
                  <c:v>Atenolol-1mg/L + Testostérone</c:v>
                </c:pt>
                <c:pt idx="4">
                  <c:v>Atenolol-10mg/L + Testostérone</c:v>
                </c:pt>
                <c:pt idx="5">
                  <c:v>Atenolol-100mg/L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Atenolol-0.1mg/L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C09119D6-3EA1-48C8-93AA-8384646183E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22C186EA-0A14-443B-AB50-816D87F215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4.473847162702535E-2</c:v>
                  </c:pt>
                </c:numCache>
              </c:numRef>
            </c:plus>
            <c:minus>
              <c:numRef>
                <c:f>'Graph format rapport CHG 1éch'!$E$4:$G$4</c:f>
                <c:numCache>
                  <c:formatCode>General</c:formatCode>
                  <c:ptCount val="3"/>
                  <c:pt idx="1">
                    <c:v>4.473847162702535E-2</c:v>
                  </c:pt>
                </c:numCache>
              </c:numRef>
            </c:minus>
          </c:errBars>
          <c:cat>
            <c:strRef>
              <c:f>'Graph format rapport CHG 1éch'!$E$2:$G$2</c:f>
              <c:strCache>
                <c:ptCount val="2"/>
                <c:pt idx="1">
                  <c:v>Atenolol-0.1mg/L</c:v>
                </c:pt>
              </c:strCache>
            </c:strRef>
          </c:cat>
          <c:val>
            <c:numRef>
              <c:f>'Graph format rapport CHG 1éch'!$E$3:$G$3</c:f>
              <c:numCache>
                <c:formatCode>General</c:formatCode>
                <c:ptCount val="3"/>
                <c:pt idx="1">
                  <c:v>0.15494576747499447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0.13897057500891144</c:v>
                </c:pt>
                <c:pt idx="1">
                  <c:v>0.13897057500891144</c:v>
                </c:pt>
                <c:pt idx="2">
                  <c:v>0.13897057500891144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1éch'!$H$8:$J$8</c:f>
              <c:numCache>
                <c:formatCode>General</c:formatCode>
                <c:ptCount val="3"/>
                <c:pt idx="0">
                  <c:v>0.19431574807654764</c:v>
                </c:pt>
                <c:pt idx="1">
                  <c:v>0.19431574807654764</c:v>
                </c:pt>
                <c:pt idx="2">
                  <c:v>0.19431574807654764</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Atenolol-0.01mg/L + Testostérone</c:v>
                </c:pt>
              </c:strCache>
            </c:strRef>
          </c:cat>
          <c:val>
            <c:numRef>
              <c:f>'Graph format rapport CHG 1éch'!$H$9:$J$9</c:f>
              <c:numCache>
                <c:formatCode>General</c:formatCode>
                <c:ptCount val="3"/>
                <c:pt idx="0">
                  <c:v>7.5626252860414738</c:v>
                </c:pt>
                <c:pt idx="1">
                  <c:v>7.5626252860414738</c:v>
                </c:pt>
                <c:pt idx="2">
                  <c:v>7.5626252860414738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1éch'!$H$10:$J$10</c:f>
              <c:numCache>
                <c:formatCode>General</c:formatCode>
                <c:ptCount val="3"/>
                <c:pt idx="0">
                  <c:v>-5.0626252860414738</c:v>
                </c:pt>
                <c:pt idx="1">
                  <c:v>-5.0626252860414738</c:v>
                </c:pt>
                <c:pt idx="2">
                  <c:v>-5.0626252860414738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1DF09089-2DA6-49BB-A1D3-097D809F2CA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29503E10-ACD7-4E91-A2ED-46426ADBD77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0.16434451114288828</c:v>
                  </c:pt>
                </c:numCache>
              </c:numRef>
            </c:plus>
            <c:minus>
              <c:numRef>
                <c:f>'Graph format rapport CHG 1éch'!$H$4:$J$4</c:f>
                <c:numCache>
                  <c:formatCode>General</c:formatCode>
                  <c:ptCount val="3"/>
                  <c:pt idx="1">
                    <c:v>0.16434451114288828</c:v>
                  </c:pt>
                </c:numCache>
              </c:numRef>
            </c:minus>
          </c:errBars>
          <c:cat>
            <c:strRef>
              <c:f>'Graph format rapport CHG 1éch'!$H$2:$J$2</c:f>
              <c:strCache>
                <c:ptCount val="2"/>
                <c:pt idx="1">
                  <c:v>Atenolol-0.01mg/L + Testostérone</c:v>
                </c:pt>
              </c:strCache>
            </c:strRef>
          </c:cat>
          <c:val>
            <c:numRef>
              <c:f>'Graph format rapport CHG 1éch'!$H$3:$J$3</c:f>
              <c:numCache>
                <c:formatCode>General</c:formatCode>
                <c:ptCount val="3"/>
                <c:pt idx="1">
                  <c:v>0.7026567236486877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Atenolol-0.01mg/L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Atenolol-0.1mg/L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Atenolol-0.1mg/L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ADBCB77-CE98-47DC-9258-962C1EA820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D6E68311-B2D0-41C3-849C-0EAE2DEC2A7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4.473847162702535E-2</c:v>
                  </c:pt>
                </c:numCache>
              </c:numRef>
            </c:plus>
            <c:minus>
              <c:numRef>
                <c:f>'Graph format rapport CHG 1éch'!$E$4:$G$4</c:f>
                <c:numCache>
                  <c:formatCode>General</c:formatCode>
                  <c:ptCount val="3"/>
                  <c:pt idx="1">
                    <c:v>4.473847162702535E-2</c:v>
                  </c:pt>
                </c:numCache>
              </c:numRef>
            </c:minus>
          </c:errBars>
          <c:cat>
            <c:strRef>
              <c:f>'Graph format rapport CHG 1éch'!$E$2:$G$2</c:f>
              <c:strCache>
                <c:ptCount val="2"/>
                <c:pt idx="1">
                  <c:v>Atenolol-0.1mg/L</c:v>
                </c:pt>
              </c:strCache>
            </c:strRef>
          </c:cat>
          <c:val>
            <c:numRef>
              <c:f>'Graph format rapport CHG 1éch'!$E$3:$G$3</c:f>
              <c:numCache>
                <c:formatCode>General</c:formatCode>
                <c:ptCount val="3"/>
                <c:pt idx="1">
                  <c:v>0.15494576747499447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0.13897057500891144</c:v>
                </c:pt>
                <c:pt idx="1">
                  <c:v>0.13897057500891144</c:v>
                </c:pt>
                <c:pt idx="2">
                  <c:v>0.13897057500891144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1éch'!$H$8:$J$8</c:f>
              <c:numCache>
                <c:formatCode>General</c:formatCode>
                <c:ptCount val="3"/>
                <c:pt idx="0">
                  <c:v>0.19431574807654764</c:v>
                </c:pt>
                <c:pt idx="1">
                  <c:v>0.19431574807654764</c:v>
                </c:pt>
                <c:pt idx="2">
                  <c:v>0.19431574807654764</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Atenolol-0.01mg/L + Testostérone</c:v>
                </c:pt>
              </c:strCache>
            </c:strRef>
          </c:cat>
          <c:val>
            <c:numRef>
              <c:f>'Graph format rapport CHG 1éch'!$H$9:$J$9</c:f>
              <c:numCache>
                <c:formatCode>General</c:formatCode>
                <c:ptCount val="3"/>
                <c:pt idx="0">
                  <c:v>7.5626252860414738</c:v>
                </c:pt>
                <c:pt idx="1">
                  <c:v>7.5626252860414738</c:v>
                </c:pt>
                <c:pt idx="2">
                  <c:v>7.5626252860414738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Atenolol-0.01mg/L + Testostérone</c:v>
                </c:pt>
              </c:strCache>
            </c:strRef>
          </c:cat>
          <c:val>
            <c:numRef>
              <c:f>'Graph format rapport CHG 1éch'!$H$10:$J$10</c:f>
              <c:numCache>
                <c:formatCode>General</c:formatCode>
                <c:ptCount val="3"/>
                <c:pt idx="0">
                  <c:v>-5.0626252860414738</c:v>
                </c:pt>
                <c:pt idx="1">
                  <c:v>-5.0626252860414738</c:v>
                </c:pt>
                <c:pt idx="2">
                  <c:v>-5.0626252860414738</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2D42FE07-3660-4938-BDF8-80265338C5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4872BA69-8A2F-431C-A526-239811E88F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0.16434451114288828</c:v>
                  </c:pt>
                </c:numCache>
              </c:numRef>
            </c:plus>
            <c:minus>
              <c:numRef>
                <c:f>'Graph format rapport CHG 1éch'!$H$4:$J$4</c:f>
                <c:numCache>
                  <c:formatCode>General</c:formatCode>
                  <c:ptCount val="3"/>
                  <c:pt idx="1">
                    <c:v>0.16434451114288828</c:v>
                  </c:pt>
                </c:numCache>
              </c:numRef>
            </c:minus>
          </c:errBars>
          <c:cat>
            <c:strRef>
              <c:f>'Graph format rapport CHG 1éch'!$H$2:$J$2</c:f>
              <c:strCache>
                <c:ptCount val="2"/>
                <c:pt idx="1">
                  <c:v>Atenolol-0.01mg/L + Testostérone</c:v>
                </c:pt>
              </c:strCache>
            </c:strRef>
          </c:cat>
          <c:val>
            <c:numRef>
              <c:f>'Graph format rapport CHG 1éch'!$H$3:$J$3</c:f>
              <c:numCache>
                <c:formatCode>General</c:formatCode>
                <c:ptCount val="3"/>
                <c:pt idx="1">
                  <c:v>0.7026567236486877</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Atenolol-0.01mg/L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013892" createdVersion="6" refreshedVersion="8" minRefreshableVersion="3" recordCount="52" xr:uid="{8DEF666A-6C7D-4C16-AD6D-82242760D5D9}">
  <cacheSource type="worksheet">
    <worksheetSource name="liste_groupe"/>
  </cacheSource>
  <cacheFields count="6">
    <cacheField name="Nom sur le graphique" numFmtId="0">
      <sharedItems count="14">
        <s v="Témoin solvant"/>
        <s v="EE2-22,5ng/L"/>
        <s v="EE2-33,8ng/L"/>
        <s v="EE2-50,6ng/L"/>
        <s v="EE2-76ng/L"/>
        <s v="EE2-114ng/L"/>
        <s v="EE2-170,9ng/L"/>
        <s v="EE2-488ng/L"/>
        <s v=" "/>
        <s v="Testo -30µg/L"/>
        <s v="Testo 30µg/L + EE2 -64ng/L"/>
        <s v="Testo 30µg/L + FAD-10µg/L"/>
        <s v="0-00 + Testostérone"/>
        <s v="Testo 30µg/L + FAD-10mg/L" u="1"/>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361108" createdVersion="5" refreshedVersion="8" minRefreshableVersion="3" recordCount="1710" xr:uid="{00000000-000A-0000-FFFF-FFFF14000000}">
  <cacheSource type="worksheet">
    <worksheetSource name="Tableau467"/>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592592" createdVersion="5" refreshedVersion="8" minRefreshableVersion="3" recordCount="1530" xr:uid="{00000000-000A-0000-FFFF-FFFF10000000}">
  <cacheSource type="worksheet">
    <worksheetSource name="Tableau46"/>
  </cacheSource>
  <cacheFields count="9">
    <cacheField name="Nom groupe" numFmtId="0">
      <sharedItems count="1">
        <s v=""/>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41.420742708331" createdVersion="5" refreshedVersion="8" minRefreshableVersion="3" recordCount="1556" xr:uid="{00000000-000A-0000-FFFF-FFFF0C000000}">
  <cacheSource type="worksheet">
    <worksheetSource name="Tableau4"/>
  </cacheSource>
  <cacheFields count="9">
    <cacheField name="Nom groupe" numFmtId="0">
      <sharedItems containsBlank="1" count="2">
        <s v=""/>
        <m u="1"/>
      </sharedItems>
    </cacheField>
    <cacheField name="N° de valeur" numFmtId="0">
      <sharedItems count="1">
        <e v="#VALUE!"/>
      </sharedItems>
    </cacheField>
    <cacheField name="file name" numFmtId="0">
      <sharedItems containsNonDate="0" containsString="0" containsBlank="1"/>
    </cacheField>
    <cacheField name=" total area " numFmtId="0">
      <sharedItems containsNonDate="0" containsString="0" containsBlank="1"/>
    </cacheField>
    <cacheField name=" mean intensity " numFmtId="0">
      <sharedItems containsNonDate="0" containsString="0" containsBlank="1"/>
    </cacheField>
    <cacheField name=" " numFmtId="0">
      <sharedItems containsNonDate="0" containsString="0" containsBlank="1" count="1">
        <m/>
      </sharedItems>
    </cacheField>
    <cacheField name=" total fluorescence" numFmtId="0">
      <sharedItems containsNonDate="0" containsString="0" containsBlank="1"/>
    </cacheField>
    <cacheField name="         " numFmtId="0">
      <sharedItems containsNonDate="0" containsString="0" containsBlank="1"/>
    </cacheField>
    <cacheField name="nbre de larv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µ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r>
    <x v="0"/>
    <x v="0"/>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3"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3">
        <item m="1" x="1"/>
        <item x="0"/>
        <item t="default"/>
      </items>
    </pivotField>
    <pivotField axis="axisRow" subtotalTop="0" showAll="0" sortType="ascending">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v="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2"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1"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K3:L5" firstHeaderRow="1" firstDataRow="2" firstDataCol="1" rowPageCount="1" colPageCount="1"/>
  <pivotFields count="9">
    <pivotField axis="axisCol" subtotalTop="0" showAll="0">
      <items count="2">
        <item x="0"/>
        <item t="default"/>
      </items>
    </pivotField>
    <pivotField axis="axisRow" subtotalTop="0" showAll="0">
      <items count="2">
        <item x="0"/>
        <item t="default"/>
      </items>
    </pivotField>
    <pivotField subtotalTop="0" showAll="0"/>
    <pivotField subtotalTop="0" showAll="0"/>
    <pivotField subtotalTop="0" showAll="0"/>
    <pivotField axis="axisPage" subtotalTop="0" showAll="0">
      <items count="2">
        <item x="0"/>
        <item t="default"/>
      </items>
    </pivotField>
    <pivotField dataField="1" subtotalTop="0" showAll="0"/>
    <pivotField subtotalTop="0" showAll="0"/>
    <pivotField subtotalTop="0" showAll="0"/>
  </pivotFields>
  <rowFields count="1">
    <field x="1"/>
  </rowFields>
  <rowItems count="1">
    <i>
      <x/>
    </i>
  </rowItems>
  <colFields count="1">
    <field x="0"/>
  </colFields>
  <colItems count="1">
    <i>
      <x/>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0" applyNumberFormats="0" applyBorderFormats="0" applyFontFormats="0" applyPatternFormats="0" applyAlignmentFormats="0" applyWidthHeightFormats="1" dataCaption="Valeurs" updatedVersion="8"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4">
        <item x="12"/>
        <item x="8"/>
        <item x="1"/>
        <item x="2"/>
        <item x="3"/>
        <item x="4"/>
        <item x="5"/>
        <item x="6"/>
        <item x="7"/>
        <item x="10"/>
        <item m="1" x="13"/>
        <item x="9"/>
        <item x="0"/>
        <item x="11"/>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34" zoomScale="55" zoomScaleNormal="55" workbookViewId="0">
      <selection activeCell="C15" sqref="C15:E19"/>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60"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5" t="s">
        <v>36</v>
      </c>
      <c r="B1" s="196"/>
      <c r="C1" s="196"/>
      <c r="D1" s="196"/>
      <c r="E1" s="196"/>
      <c r="F1" s="196"/>
      <c r="G1" s="196"/>
      <c r="H1" s="196"/>
      <c r="I1" s="197"/>
    </row>
    <row r="2" spans="1:9" ht="21" x14ac:dyDescent="0.4">
      <c r="A2" s="188" t="s">
        <v>17</v>
      </c>
      <c r="B2" s="42" t="s">
        <v>115</v>
      </c>
      <c r="C2" s="198"/>
      <c r="D2" s="199"/>
      <c r="E2" s="42" t="s">
        <v>21</v>
      </c>
      <c r="F2" s="210"/>
      <c r="G2" s="211"/>
      <c r="H2" s="211"/>
      <c r="I2" s="212"/>
    </row>
    <row r="3" spans="1:9" ht="21" x14ac:dyDescent="0.4">
      <c r="A3" s="189" t="s">
        <v>18</v>
      </c>
      <c r="B3" s="43" t="s">
        <v>115</v>
      </c>
      <c r="C3" s="200"/>
      <c r="D3" s="201"/>
      <c r="E3" s="43" t="s">
        <v>21</v>
      </c>
      <c r="F3" s="207"/>
      <c r="G3" s="208"/>
      <c r="H3" s="208"/>
      <c r="I3" s="209"/>
    </row>
    <row r="4" spans="1:9" ht="21.6" thickBot="1" x14ac:dyDescent="0.45">
      <c r="A4" s="190" t="s">
        <v>22</v>
      </c>
      <c r="B4" s="178" t="s">
        <v>115</v>
      </c>
      <c r="C4" s="202"/>
      <c r="D4" s="203"/>
      <c r="E4" s="178" t="s">
        <v>21</v>
      </c>
      <c r="F4" s="204"/>
      <c r="G4" s="205"/>
      <c r="H4" s="205"/>
      <c r="I4" s="206"/>
    </row>
    <row r="5" spans="1:9" s="1" customFormat="1" ht="65.25" customHeight="1" thickBot="1" x14ac:dyDescent="0.35">
      <c r="A5" s="195" t="s">
        <v>37</v>
      </c>
      <c r="B5" s="196"/>
      <c r="C5" s="196"/>
      <c r="D5" s="196"/>
      <c r="E5" s="196"/>
      <c r="F5" s="196"/>
      <c r="G5" s="196"/>
      <c r="H5" s="196"/>
      <c r="I5" s="197"/>
    </row>
    <row r="6" spans="1:9" s="109" customFormat="1" ht="39" customHeight="1" x14ac:dyDescent="0.4">
      <c r="A6" s="75" t="s">
        <v>35</v>
      </c>
      <c r="B6" s="100" t="s">
        <v>7</v>
      </c>
      <c r="C6" s="64" t="s">
        <v>19</v>
      </c>
      <c r="D6" s="64" t="s">
        <v>75</v>
      </c>
      <c r="E6" s="157" t="s">
        <v>51</v>
      </c>
      <c r="F6" s="108" t="s">
        <v>78</v>
      </c>
    </row>
    <row r="7" spans="1:9" s="166" customFormat="1" ht="39" customHeight="1" x14ac:dyDescent="0.4">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0"/>
    </row>
    <row r="8" spans="1:9" s="166" customFormat="1" ht="39" customHeight="1" x14ac:dyDescent="0.4">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2" t="s">
        <v>123</v>
      </c>
      <c r="C8" s="163">
        <v>22.5</v>
      </c>
      <c r="D8" s="164" t="s">
        <v>124</v>
      </c>
      <c r="E8" s="165" t="s">
        <v>126</v>
      </c>
      <c r="F8" s="110"/>
    </row>
    <row r="9" spans="1:9" s="166" customFormat="1" ht="39" customHeight="1" x14ac:dyDescent="0.4">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2" t="s">
        <v>123</v>
      </c>
      <c r="C9" s="163">
        <v>33.799999999999997</v>
      </c>
      <c r="D9" s="164" t="s">
        <v>124</v>
      </c>
      <c r="E9" s="165" t="s">
        <v>126</v>
      </c>
      <c r="F9" s="110"/>
    </row>
    <row r="10" spans="1:9" s="166" customFormat="1" ht="39" customHeight="1" x14ac:dyDescent="0.4">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2" t="s">
        <v>123</v>
      </c>
      <c r="C10" s="163">
        <v>50.6</v>
      </c>
      <c r="D10" s="164" t="s">
        <v>124</v>
      </c>
      <c r="E10" s="165" t="s">
        <v>126</v>
      </c>
      <c r="F10" s="110"/>
    </row>
    <row r="11" spans="1:9" s="166" customFormat="1" ht="39" customHeight="1" x14ac:dyDescent="0.4">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2" t="s">
        <v>123</v>
      </c>
      <c r="C11" s="163">
        <v>76</v>
      </c>
      <c r="D11" s="164" t="s">
        <v>124</v>
      </c>
      <c r="E11" s="165" t="s">
        <v>126</v>
      </c>
      <c r="F11" s="110"/>
    </row>
    <row r="12" spans="1:9" s="166" customFormat="1" ht="39" customHeight="1" x14ac:dyDescent="0.4">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2" t="s">
        <v>123</v>
      </c>
      <c r="C12" s="163">
        <v>114</v>
      </c>
      <c r="D12" s="164" t="s">
        <v>124</v>
      </c>
      <c r="E12" s="165" t="s">
        <v>126</v>
      </c>
      <c r="F12" s="110"/>
    </row>
    <row r="13" spans="1:9" s="166" customFormat="1" ht="39" customHeight="1" x14ac:dyDescent="0.4">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2" t="s">
        <v>123</v>
      </c>
      <c r="C13" s="163">
        <v>170.9</v>
      </c>
      <c r="D13" s="164" t="s">
        <v>124</v>
      </c>
      <c r="E13" s="165" t="s">
        <v>126</v>
      </c>
      <c r="F13" s="110"/>
    </row>
    <row r="14" spans="1:9" s="166" customFormat="1" ht="39" customHeight="1" x14ac:dyDescent="0.4">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2" t="s">
        <v>123</v>
      </c>
      <c r="C14" s="163">
        <v>488</v>
      </c>
      <c r="D14" s="164" t="s">
        <v>124</v>
      </c>
      <c r="E14" s="165" t="s">
        <v>126</v>
      </c>
      <c r="F14" s="110"/>
    </row>
    <row r="15" spans="1:9" s="166" customFormat="1" ht="39" customHeight="1" x14ac:dyDescent="0.4">
      <c r="A15"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Atenolol-0.01mg/L</v>
      </c>
      <c r="B15" s="162" t="s">
        <v>167</v>
      </c>
      <c r="C15" s="163">
        <v>0.01</v>
      </c>
      <c r="D15" s="164" t="s">
        <v>166</v>
      </c>
      <c r="E15" s="165" t="s">
        <v>168</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Atenolol-0.1mg/L</v>
      </c>
      <c r="B16" s="162" t="s">
        <v>167</v>
      </c>
      <c r="C16" s="105">
        <v>0.1</v>
      </c>
      <c r="D16" s="164" t="s">
        <v>166</v>
      </c>
      <c r="E16" s="165" t="s">
        <v>168</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Atenolol-1mg/L</v>
      </c>
      <c r="B17" s="162" t="s">
        <v>167</v>
      </c>
      <c r="C17" s="105">
        <v>1</v>
      </c>
      <c r="D17" s="164" t="s">
        <v>166</v>
      </c>
      <c r="E17" s="165" t="s">
        <v>168</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Atenolol-10mg/L</v>
      </c>
      <c r="B18" s="162" t="s">
        <v>167</v>
      </c>
      <c r="C18" s="105">
        <v>10</v>
      </c>
      <c r="D18" s="164" t="s">
        <v>166</v>
      </c>
      <c r="E18" s="165" t="s">
        <v>168</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Atenolol-100mg/L</v>
      </c>
      <c r="B19" s="162" t="s">
        <v>167</v>
      </c>
      <c r="C19" s="105">
        <v>100</v>
      </c>
      <c r="D19" s="164" t="s">
        <v>166</v>
      </c>
      <c r="E19" s="165" t="s">
        <v>168</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7"/>
      <c r="C35" s="168"/>
      <c r="D35" s="115"/>
      <c r="E35" s="167"/>
      <c r="F35" s="110"/>
    </row>
    <row r="36" spans="1:6" s="111" customFormat="1" ht="39" customHeight="1" x14ac:dyDescent="0.3">
      <c r="A36"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8" t="s">
        <v>20</v>
      </c>
      <c r="F36" s="170"/>
    </row>
    <row r="37" spans="1:6" s="111" customFormat="1" ht="39" customHeight="1" thickBot="1" x14ac:dyDescent="0.35">
      <c r="A37"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9" t="s">
        <v>128</v>
      </c>
      <c r="F37" s="172"/>
    </row>
    <row r="38" spans="1:6" s="111" customFormat="1" ht="39" customHeight="1" thickBot="1" x14ac:dyDescent="0.35">
      <c r="A38"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4" t="s">
        <v>123</v>
      </c>
      <c r="C38" s="175">
        <v>10</v>
      </c>
      <c r="D38" s="116" t="s">
        <v>127</v>
      </c>
      <c r="E38" s="176" t="s">
        <v>129</v>
      </c>
      <c r="F38" s="177"/>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Atenolol-0.01mg/L + Testostérone</v>
      </c>
      <c r="B39" s="191" t="str">
        <f>B15</f>
        <v>Test</v>
      </c>
      <c r="C39" s="191">
        <f t="shared" ref="C39:E39" si="0">C15</f>
        <v>0.01</v>
      </c>
      <c r="D39" s="191" t="str">
        <f t="shared" si="0"/>
        <v>mg/L</v>
      </c>
      <c r="E39" s="191" t="str">
        <f t="shared" si="0"/>
        <v>Atenolol</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Atenolol-0.1mg/L + Testostérone</v>
      </c>
      <c r="B40" s="193" t="str">
        <f t="shared" ref="B40:E40" si="1">B16</f>
        <v>Test</v>
      </c>
      <c r="C40" s="193">
        <f t="shared" si="1"/>
        <v>0.1</v>
      </c>
      <c r="D40" s="193" t="str">
        <f t="shared" si="1"/>
        <v>mg/L</v>
      </c>
      <c r="E40" s="193" t="str">
        <f t="shared" si="1"/>
        <v>Atenolol</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Atenolol-1mg/L + Testostérone</v>
      </c>
      <c r="B41" s="193" t="str">
        <f t="shared" ref="B41:E41" si="2">B17</f>
        <v>Test</v>
      </c>
      <c r="C41" s="193">
        <f t="shared" si="2"/>
        <v>1</v>
      </c>
      <c r="D41" s="193" t="str">
        <f t="shared" si="2"/>
        <v>mg/L</v>
      </c>
      <c r="E41" s="193" t="str">
        <f t="shared" si="2"/>
        <v>Atenolol</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Atenolol-10mg/L + Testostérone</v>
      </c>
      <c r="B42" s="193" t="str">
        <f t="shared" ref="B42:E42" si="3">B18</f>
        <v>Test</v>
      </c>
      <c r="C42" s="193">
        <f t="shared" si="3"/>
        <v>10</v>
      </c>
      <c r="D42" s="193" t="str">
        <f t="shared" si="3"/>
        <v>mg/L</v>
      </c>
      <c r="E42" s="193" t="str">
        <f t="shared" si="3"/>
        <v>Atenolol</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Atenolol-100mg/L + Testostérone</v>
      </c>
      <c r="B43" s="193" t="str">
        <f t="shared" ref="B43:E43" si="4">B19</f>
        <v>Test</v>
      </c>
      <c r="C43" s="193">
        <f t="shared" si="4"/>
        <v>100</v>
      </c>
      <c r="D43" s="193" t="str">
        <f t="shared" si="4"/>
        <v>mg/L</v>
      </c>
      <c r="E43" s="193" t="str">
        <f t="shared" si="4"/>
        <v>Atenolol</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3">
        <f t="shared" ref="B44:E44" si="5">B20</f>
        <v>0</v>
      </c>
      <c r="C44" s="193">
        <f t="shared" si="5"/>
        <v>0</v>
      </c>
      <c r="D44" s="193">
        <f t="shared" si="5"/>
        <v>0</v>
      </c>
      <c r="E44" s="193">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3">
        <f t="shared" ref="B45:E45" si="6">B21</f>
        <v>0</v>
      </c>
      <c r="C45" s="193">
        <f t="shared" si="6"/>
        <v>0</v>
      </c>
      <c r="D45" s="193">
        <f t="shared" si="6"/>
        <v>0</v>
      </c>
      <c r="E45" s="193">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3">
        <f t="shared" ref="B46:E46" si="7">B22</f>
        <v>0</v>
      </c>
      <c r="C46" s="193">
        <f t="shared" si="7"/>
        <v>0</v>
      </c>
      <c r="D46" s="193">
        <f t="shared" si="7"/>
        <v>0</v>
      </c>
      <c r="E46" s="193">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3">
        <f t="shared" ref="B47:E47" si="8">B23</f>
        <v>0</v>
      </c>
      <c r="C47" s="193">
        <f t="shared" si="8"/>
        <v>0</v>
      </c>
      <c r="D47" s="193">
        <f t="shared" si="8"/>
        <v>0</v>
      </c>
      <c r="E47" s="193">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3">
        <f t="shared" ref="B48:E48" si="9">B24</f>
        <v>0</v>
      </c>
      <c r="C48" s="193">
        <f t="shared" si="9"/>
        <v>0</v>
      </c>
      <c r="D48" s="193">
        <f t="shared" si="9"/>
        <v>0</v>
      </c>
      <c r="E48" s="193">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3">
        <f t="shared" ref="B49:E49" si="10">B25</f>
        <v>0</v>
      </c>
      <c r="C49" s="193">
        <f t="shared" si="10"/>
        <v>0</v>
      </c>
      <c r="D49" s="193">
        <f t="shared" si="10"/>
        <v>0</v>
      </c>
      <c r="E49" s="193">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3">
        <f t="shared" ref="B50:E50" si="11">B26</f>
        <v>0</v>
      </c>
      <c r="C50" s="193">
        <f t="shared" si="11"/>
        <v>0</v>
      </c>
      <c r="D50" s="193">
        <f t="shared" si="11"/>
        <v>0</v>
      </c>
      <c r="E50" s="193">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3">
        <f t="shared" ref="B51:E51" si="12">B27</f>
        <v>0</v>
      </c>
      <c r="C51" s="193">
        <f t="shared" si="12"/>
        <v>0</v>
      </c>
      <c r="D51" s="193">
        <f t="shared" si="12"/>
        <v>0</v>
      </c>
      <c r="E51" s="193">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3">
        <f t="shared" ref="B52:E52" si="13">B28</f>
        <v>0</v>
      </c>
      <c r="C52" s="193">
        <f t="shared" si="13"/>
        <v>0</v>
      </c>
      <c r="D52" s="193">
        <f t="shared" si="13"/>
        <v>0</v>
      </c>
      <c r="E52" s="193">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3">
        <f t="shared" ref="B53:E53" si="14">B29</f>
        <v>0</v>
      </c>
      <c r="C53" s="193">
        <f t="shared" si="14"/>
        <v>0</v>
      </c>
      <c r="D53" s="193">
        <f t="shared" si="14"/>
        <v>0</v>
      </c>
      <c r="E53" s="193">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3">
        <f t="shared" ref="B54:E54" si="15">B30</f>
        <v>0</v>
      </c>
      <c r="C54" s="193">
        <f t="shared" si="15"/>
        <v>0</v>
      </c>
      <c r="D54" s="193">
        <f t="shared" si="15"/>
        <v>0</v>
      </c>
      <c r="E54" s="193">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3">
        <f t="shared" ref="B55:E55" si="16">B31</f>
        <v>0</v>
      </c>
      <c r="C55" s="193">
        <f t="shared" si="16"/>
        <v>0</v>
      </c>
      <c r="D55" s="193">
        <f t="shared" si="16"/>
        <v>0</v>
      </c>
      <c r="E55" s="193">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3">
        <f t="shared" ref="B56:E56" si="17">B32</f>
        <v>0</v>
      </c>
      <c r="C56" s="193">
        <f t="shared" si="17"/>
        <v>0</v>
      </c>
      <c r="D56" s="193">
        <f t="shared" si="17"/>
        <v>0</v>
      </c>
      <c r="E56" s="193">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8">B33</f>
        <v>0</v>
      </c>
      <c r="C57" s="193">
        <f t="shared" si="18"/>
        <v>0</v>
      </c>
      <c r="D57" s="193">
        <f t="shared" si="18"/>
        <v>0</v>
      </c>
      <c r="E57" s="193">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2">
        <f t="shared" ref="B58:E58" si="19">B34</f>
        <v>0</v>
      </c>
      <c r="C58" s="192">
        <f t="shared" si="19"/>
        <v>0</v>
      </c>
      <c r="D58" s="192">
        <f t="shared" si="19"/>
        <v>0</v>
      </c>
      <c r="E58" s="192">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A1536" zoomScale="70" zoomScaleNormal="70" workbookViewId="0">
      <selection activeCell="A2" sqref="A2:A1557"/>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 spans="1:144" x14ac:dyDescent="0.3">
      <c r="A12" s="1" t="str">
        <f t="shared" si="0"/>
        <v/>
      </c>
      <c r="B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 spans="1:144" x14ac:dyDescent="0.3">
      <c r="A13" s="1" t="str">
        <f t="shared" si="0"/>
        <v/>
      </c>
      <c r="B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 spans="1:144" x14ac:dyDescent="0.3">
      <c r="A14" s="1" t="str">
        <f t="shared" si="0"/>
        <v/>
      </c>
      <c r="B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 spans="1:144" x14ac:dyDescent="0.3">
      <c r="A15" s="1" t="str">
        <f t="shared" si="0"/>
        <v/>
      </c>
      <c r="B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 spans="1:144" x14ac:dyDescent="0.3">
      <c r="A16" s="1" t="str">
        <f t="shared" si="0"/>
        <v/>
      </c>
      <c r="B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6"/>
      <c r="N16"/>
      <c r="O16"/>
      <c r="P16"/>
      <c r="Q16"/>
      <c r="R16"/>
      <c r="S16"/>
      <c r="T16"/>
      <c r="U16"/>
      <c r="V16"/>
      <c r="W16"/>
      <c r="X16"/>
      <c r="Y16"/>
      <c r="Z16"/>
      <c r="AA16"/>
      <c r="AB16"/>
      <c r="AC16"/>
      <c r="AD16"/>
      <c r="AE16"/>
      <c r="AF16"/>
      <c r="AG16"/>
      <c r="AH16"/>
    </row>
    <row r="17" spans="1:34" x14ac:dyDescent="0.3">
      <c r="A17" s="1" t="str">
        <f t="shared" si="0"/>
        <v/>
      </c>
      <c r="B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7"/>
      <c r="N17"/>
      <c r="O17"/>
      <c r="P17"/>
      <c r="Q17"/>
      <c r="R17"/>
      <c r="S17"/>
      <c r="T17"/>
      <c r="U17"/>
      <c r="V17"/>
      <c r="W17"/>
      <c r="X17"/>
      <c r="Y17"/>
      <c r="Z17"/>
      <c r="AA17"/>
      <c r="AB17"/>
      <c r="AC17"/>
      <c r="AD17"/>
      <c r="AE17"/>
      <c r="AF17"/>
      <c r="AG17"/>
      <c r="AH17"/>
    </row>
    <row r="18" spans="1:34" x14ac:dyDescent="0.3">
      <c r="A18" s="1" t="str">
        <f t="shared" si="0"/>
        <v/>
      </c>
      <c r="B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M18"/>
      <c r="N18"/>
      <c r="O18"/>
      <c r="P18"/>
      <c r="Q18"/>
      <c r="R18"/>
      <c r="S18"/>
      <c r="T18"/>
      <c r="U18"/>
      <c r="V18"/>
      <c r="W18"/>
      <c r="X18"/>
      <c r="Y18"/>
      <c r="Z18"/>
      <c r="AA18"/>
      <c r="AB18"/>
      <c r="AC18"/>
      <c r="AD18"/>
      <c r="AE18"/>
      <c r="AF18"/>
      <c r="AG18"/>
      <c r="AH18"/>
    </row>
    <row r="19" spans="1:34" x14ac:dyDescent="0.3">
      <c r="A19" s="1" t="str">
        <f t="shared" si="0"/>
        <v/>
      </c>
      <c r="B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19"/>
      <c r="L19"/>
      <c r="M19"/>
      <c r="N19"/>
      <c r="O19"/>
      <c r="P19"/>
      <c r="Q19"/>
      <c r="R19"/>
      <c r="S19"/>
      <c r="T19"/>
      <c r="U19"/>
      <c r="V19"/>
      <c r="W19"/>
      <c r="X19"/>
      <c r="Y19"/>
      <c r="Z19"/>
      <c r="AA19"/>
      <c r="AB19"/>
      <c r="AC19"/>
      <c r="AD19"/>
      <c r="AE19"/>
      <c r="AF19"/>
      <c r="AG19"/>
      <c r="AH19"/>
    </row>
    <row r="20" spans="1:34" x14ac:dyDescent="0.3">
      <c r="A20" s="1" t="str">
        <f t="shared" si="0"/>
        <v/>
      </c>
      <c r="B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0"/>
      <c r="L20"/>
      <c r="M20"/>
      <c r="N20"/>
      <c r="O20"/>
      <c r="P20"/>
      <c r="Q20"/>
      <c r="R20"/>
      <c r="S20"/>
      <c r="T20"/>
      <c r="U20"/>
      <c r="V20"/>
      <c r="W20"/>
      <c r="X20"/>
      <c r="Y20"/>
      <c r="Z20"/>
      <c r="AA20"/>
      <c r="AB20"/>
      <c r="AC20"/>
      <c r="AD20"/>
      <c r="AE20"/>
      <c r="AF20"/>
      <c r="AG20"/>
      <c r="AH20"/>
    </row>
    <row r="21" spans="1:34" x14ac:dyDescent="0.3">
      <c r="A21" s="1" t="str">
        <f t="shared" si="0"/>
        <v/>
      </c>
      <c r="B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1"/>
      <c r="L21"/>
      <c r="M21"/>
      <c r="N21"/>
      <c r="O21"/>
      <c r="P21"/>
      <c r="Q21"/>
      <c r="R21"/>
      <c r="S21"/>
      <c r="T21"/>
      <c r="U21"/>
      <c r="V21"/>
      <c r="W21"/>
      <c r="X21"/>
      <c r="Y21"/>
      <c r="Z21"/>
      <c r="AA21"/>
      <c r="AB21"/>
      <c r="AC21"/>
      <c r="AD21"/>
      <c r="AE21"/>
      <c r="AF21"/>
      <c r="AG21"/>
      <c r="AH21"/>
    </row>
    <row r="22" spans="1:34" x14ac:dyDescent="0.3">
      <c r="A22" s="1" t="str">
        <f t="shared" si="0"/>
        <v/>
      </c>
      <c r="B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2"/>
      <c r="L22"/>
      <c r="M22"/>
      <c r="N22"/>
      <c r="O22"/>
      <c r="P22"/>
      <c r="Q22"/>
      <c r="R22"/>
      <c r="S22"/>
      <c r="T22"/>
      <c r="U22"/>
      <c r="V22"/>
      <c r="W22"/>
      <c r="X22"/>
      <c r="Y22"/>
      <c r="Z22"/>
      <c r="AA22"/>
      <c r="AB22"/>
      <c r="AC22"/>
      <c r="AD22"/>
      <c r="AE22"/>
      <c r="AF22"/>
      <c r="AG22"/>
      <c r="AH22"/>
    </row>
    <row r="23" spans="1:34" x14ac:dyDescent="0.3">
      <c r="A23" s="1" t="str">
        <f t="shared" si="0"/>
        <v/>
      </c>
      <c r="B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3"/>
      <c r="L23"/>
      <c r="M23"/>
      <c r="N23"/>
      <c r="O23"/>
      <c r="P23"/>
      <c r="Q23"/>
      <c r="R23"/>
      <c r="S23"/>
      <c r="T23"/>
      <c r="U23"/>
      <c r="V23"/>
      <c r="W23"/>
      <c r="X23"/>
      <c r="Y23"/>
      <c r="Z23"/>
      <c r="AA23"/>
      <c r="AB23"/>
      <c r="AC23"/>
      <c r="AD23"/>
      <c r="AE23"/>
      <c r="AF23"/>
      <c r="AG23"/>
      <c r="AH23"/>
    </row>
    <row r="24" spans="1:34" x14ac:dyDescent="0.3">
      <c r="A24" s="1" t="str">
        <f t="shared" si="0"/>
        <v/>
      </c>
      <c r="B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4"/>
      <c r="L24"/>
      <c r="M24"/>
      <c r="N24"/>
      <c r="O24"/>
      <c r="P24"/>
      <c r="Q24"/>
      <c r="R24"/>
      <c r="S24"/>
      <c r="T24"/>
      <c r="U24"/>
      <c r="V24"/>
      <c r="W24"/>
      <c r="X24"/>
      <c r="Y24"/>
      <c r="Z24"/>
      <c r="AA24"/>
      <c r="AB24"/>
      <c r="AC24"/>
      <c r="AD24"/>
      <c r="AE24"/>
      <c r="AF24"/>
      <c r="AG24"/>
      <c r="AH24"/>
    </row>
    <row r="25" spans="1:34" x14ac:dyDescent="0.3">
      <c r="A25" s="1" t="str">
        <f t="shared" si="0"/>
        <v/>
      </c>
      <c r="B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7"/>
      <c r="L27"/>
      <c r="M27"/>
      <c r="N27"/>
      <c r="O27"/>
      <c r="P27"/>
      <c r="Q27"/>
      <c r="R27"/>
      <c r="S27"/>
      <c r="T27"/>
      <c r="U27"/>
      <c r="V27"/>
      <c r="W27"/>
      <c r="X27"/>
      <c r="Y27"/>
      <c r="Z27"/>
      <c r="AA27"/>
      <c r="AB27"/>
      <c r="AC27"/>
      <c r="AD27"/>
      <c r="AE27"/>
      <c r="AF27"/>
      <c r="AG27"/>
      <c r="AH27"/>
    </row>
    <row r="28" spans="1:34" x14ac:dyDescent="0.3">
      <c r="A28" s="1" t="str">
        <f t="shared" si="0"/>
        <v/>
      </c>
      <c r="B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4"/>
      <c r="L34"/>
      <c r="M34"/>
      <c r="N34"/>
      <c r="O34"/>
      <c r="P34"/>
      <c r="Q34"/>
      <c r="R34"/>
      <c r="S34"/>
      <c r="T34"/>
      <c r="U34"/>
      <c r="V34"/>
      <c r="W34"/>
      <c r="X34"/>
      <c r="Y34"/>
      <c r="Z34"/>
      <c r="AA34"/>
      <c r="AB34"/>
      <c r="AC34"/>
      <c r="AD34"/>
      <c r="AE34"/>
      <c r="AF34"/>
      <c r="AG34"/>
      <c r="AH34"/>
    </row>
    <row r="35" spans="1:34" x14ac:dyDescent="0.3">
      <c r="A35" s="1" t="str">
        <f t="shared" si="0"/>
        <v/>
      </c>
      <c r="B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5"/>
      <c r="L35"/>
      <c r="M35"/>
      <c r="N35"/>
      <c r="O35"/>
      <c r="P35"/>
      <c r="Q35"/>
      <c r="R35"/>
      <c r="S35"/>
      <c r="T35"/>
      <c r="U35"/>
      <c r="V35"/>
      <c r="W35"/>
      <c r="X35"/>
      <c r="Y35"/>
      <c r="Z35"/>
      <c r="AA35"/>
      <c r="AB35"/>
      <c r="AC35"/>
      <c r="AD35"/>
      <c r="AE35"/>
      <c r="AF35"/>
      <c r="AG35"/>
      <c r="AH35"/>
    </row>
    <row r="36" spans="1:34" x14ac:dyDescent="0.3">
      <c r="A36" s="1" t="str">
        <f t="shared" si="0"/>
        <v/>
      </c>
      <c r="B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6"/>
      <c r="L36"/>
      <c r="M36"/>
      <c r="N36"/>
      <c r="O36"/>
      <c r="P36"/>
      <c r="Q36"/>
      <c r="R36"/>
      <c r="S36"/>
      <c r="T36"/>
      <c r="U36"/>
      <c r="V36"/>
      <c r="W36"/>
      <c r="X36"/>
      <c r="Y36"/>
      <c r="Z36"/>
      <c r="AA36"/>
      <c r="AB36"/>
      <c r="AC36"/>
      <c r="AD36"/>
      <c r="AE36"/>
      <c r="AF36"/>
      <c r="AG36"/>
      <c r="AH36"/>
    </row>
    <row r="37" spans="1:34" x14ac:dyDescent="0.3">
      <c r="A37" s="1" t="str">
        <f t="shared" si="0"/>
        <v/>
      </c>
      <c r="B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7"/>
      <c r="L37"/>
      <c r="M37"/>
      <c r="N37"/>
      <c r="O37"/>
      <c r="P37"/>
      <c r="Q37"/>
      <c r="R37"/>
      <c r="S37"/>
      <c r="T37"/>
      <c r="U37"/>
      <c r="V37"/>
      <c r="W37"/>
      <c r="X37"/>
      <c r="Y37"/>
      <c r="Z37"/>
      <c r="AA37"/>
      <c r="AB37"/>
      <c r="AC37"/>
      <c r="AD37"/>
      <c r="AE37"/>
      <c r="AF37"/>
      <c r="AG37"/>
      <c r="AH37"/>
    </row>
    <row r="38" spans="1:34" x14ac:dyDescent="0.3">
      <c r="A38" s="1" t="str">
        <f t="shared" si="0"/>
        <v/>
      </c>
      <c r="B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K38"/>
      <c r="L38"/>
      <c r="M38"/>
      <c r="N38"/>
      <c r="O38"/>
      <c r="P38"/>
      <c r="Q38"/>
      <c r="R38"/>
      <c r="S38"/>
      <c r="T38"/>
      <c r="U38"/>
      <c r="V38"/>
      <c r="W38"/>
      <c r="X38"/>
      <c r="Y38"/>
      <c r="Z38"/>
      <c r="AA38"/>
      <c r="AB38"/>
      <c r="AC38"/>
      <c r="AD38"/>
      <c r="AE38"/>
      <c r="AF38"/>
      <c r="AG38"/>
      <c r="AH38"/>
    </row>
    <row r="39" spans="1:34" x14ac:dyDescent="0.3">
      <c r="A39" s="1" t="str">
        <f t="shared" si="0"/>
        <v/>
      </c>
      <c r="B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 spans="1:34" x14ac:dyDescent="0.3">
      <c r="A40" s="1" t="str">
        <f t="shared" si="0"/>
        <v/>
      </c>
      <c r="B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 spans="1:34" x14ac:dyDescent="0.3">
      <c r="A41" s="1" t="str">
        <f t="shared" si="0"/>
        <v/>
      </c>
      <c r="B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 spans="1:34" x14ac:dyDescent="0.3">
      <c r="A42" s="1" t="str">
        <f t="shared" si="0"/>
        <v/>
      </c>
      <c r="B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 spans="1:34" x14ac:dyDescent="0.3">
      <c r="A43" s="1" t="str">
        <f t="shared" si="0"/>
        <v/>
      </c>
      <c r="B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 spans="1:34" x14ac:dyDescent="0.3">
      <c r="A44" s="1" t="str">
        <f t="shared" si="0"/>
        <v/>
      </c>
      <c r="B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 spans="1:34" x14ac:dyDescent="0.3">
      <c r="A45" s="1" t="str">
        <f t="shared" si="0"/>
        <v/>
      </c>
      <c r="B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 spans="1:34" x14ac:dyDescent="0.3">
      <c r="A46" s="1" t="str">
        <f t="shared" si="0"/>
        <v/>
      </c>
      <c r="B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 spans="1:34" x14ac:dyDescent="0.3">
      <c r="A47" s="1" t="str">
        <f t="shared" si="0"/>
        <v/>
      </c>
      <c r="B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 spans="1:34" x14ac:dyDescent="0.3">
      <c r="A48" s="1" t="str">
        <f t="shared" si="0"/>
        <v/>
      </c>
      <c r="B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 spans="1:2" x14ac:dyDescent="0.3">
      <c r="A49" s="1" t="str">
        <f t="shared" si="0"/>
        <v/>
      </c>
      <c r="B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 spans="1:2" x14ac:dyDescent="0.3">
      <c r="A50" s="1" t="str">
        <f t="shared" si="0"/>
        <v/>
      </c>
      <c r="B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 spans="1:2" x14ac:dyDescent="0.3">
      <c r="A51" s="1" t="str">
        <f t="shared" si="0"/>
        <v/>
      </c>
      <c r="B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 spans="1:2" x14ac:dyDescent="0.3">
      <c r="A52" s="1" t="str">
        <f t="shared" si="0"/>
        <v/>
      </c>
      <c r="B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 spans="1:2" x14ac:dyDescent="0.3">
      <c r="A53" s="1" t="str">
        <f t="shared" si="0"/>
        <v/>
      </c>
      <c r="B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 spans="1:2" x14ac:dyDescent="0.3">
      <c r="A54" s="1" t="str">
        <f t="shared" si="0"/>
        <v/>
      </c>
      <c r="B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 spans="1:2" x14ac:dyDescent="0.3">
      <c r="A55" s="1" t="str">
        <f t="shared" si="0"/>
        <v/>
      </c>
      <c r="B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 spans="1:2" x14ac:dyDescent="0.3">
      <c r="A56" s="1" t="str">
        <f t="shared" si="0"/>
        <v/>
      </c>
      <c r="B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 spans="1:2" x14ac:dyDescent="0.3">
      <c r="A57" s="1" t="str">
        <f t="shared" si="0"/>
        <v/>
      </c>
      <c r="B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 spans="1:2" x14ac:dyDescent="0.3">
      <c r="A58" s="1" t="str">
        <f t="shared" si="0"/>
        <v/>
      </c>
      <c r="B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 spans="1:2"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 spans="1:2"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 spans="1:2" x14ac:dyDescent="0.3">
      <c r="A61" s="1" t="str">
        <f t="shared" si="0"/>
        <v/>
      </c>
      <c r="B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 spans="1:2"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 spans="1:2"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 spans="1:2"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 spans="1:2"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 spans="1:2"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 spans="1:2"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 spans="1:2" x14ac:dyDescent="0.3">
      <c r="A68" s="1" t="str">
        <f t="shared" si="1"/>
        <v/>
      </c>
      <c r="B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 spans="1:2" x14ac:dyDescent="0.3">
      <c r="A69" s="1" t="str">
        <f t="shared" si="1"/>
        <v/>
      </c>
      <c r="B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 spans="1:2" x14ac:dyDescent="0.3">
      <c r="A70" s="1" t="str">
        <f t="shared" si="1"/>
        <v/>
      </c>
      <c r="B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 spans="1:2" x14ac:dyDescent="0.3">
      <c r="A71" s="1" t="str">
        <f t="shared" si="1"/>
        <v/>
      </c>
      <c r="B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 spans="1:2" x14ac:dyDescent="0.3">
      <c r="A72" s="1" t="str">
        <f t="shared" si="1"/>
        <v/>
      </c>
      <c r="B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 spans="1:2" x14ac:dyDescent="0.3">
      <c r="A73" s="1" t="str">
        <f t="shared" si="1"/>
        <v/>
      </c>
      <c r="B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 spans="1:2" x14ac:dyDescent="0.3">
      <c r="A74" s="1" t="str">
        <f t="shared" si="1"/>
        <v/>
      </c>
      <c r="B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 spans="1:2" x14ac:dyDescent="0.3">
      <c r="A75" s="1" t="str">
        <f t="shared" si="1"/>
        <v/>
      </c>
      <c r="B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 spans="1:2" x14ac:dyDescent="0.3">
      <c r="A76" s="1" t="str">
        <f t="shared" si="1"/>
        <v/>
      </c>
      <c r="B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 spans="1:2" x14ac:dyDescent="0.3">
      <c r="A77" s="1" t="str">
        <f t="shared" si="1"/>
        <v/>
      </c>
      <c r="B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 spans="1:2" x14ac:dyDescent="0.3">
      <c r="A78" s="1" t="str">
        <f t="shared" si="1"/>
        <v/>
      </c>
      <c r="B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 spans="1:2" x14ac:dyDescent="0.3">
      <c r="A79" s="1" t="str">
        <f t="shared" si="1"/>
        <v/>
      </c>
      <c r="B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 spans="1:2" x14ac:dyDescent="0.3">
      <c r="A80" s="1" t="str">
        <f t="shared" si="1"/>
        <v/>
      </c>
      <c r="B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 spans="1:2" x14ac:dyDescent="0.3">
      <c r="A81" s="1" t="str">
        <f t="shared" si="1"/>
        <v/>
      </c>
      <c r="B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 spans="1:2" x14ac:dyDescent="0.3">
      <c r="A82" s="1" t="str">
        <f t="shared" si="1"/>
        <v/>
      </c>
      <c r="B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 spans="1:2" x14ac:dyDescent="0.3">
      <c r="A83" s="1" t="str">
        <f t="shared" si="1"/>
        <v/>
      </c>
      <c r="B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 spans="1:2" x14ac:dyDescent="0.3">
      <c r="A84" s="1" t="str">
        <f t="shared" si="1"/>
        <v/>
      </c>
      <c r="B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 spans="1:2" x14ac:dyDescent="0.3">
      <c r="A85" s="1" t="str">
        <f t="shared" si="1"/>
        <v/>
      </c>
      <c r="B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 spans="1:2" x14ac:dyDescent="0.3">
      <c r="A86" s="1" t="str">
        <f t="shared" si="1"/>
        <v/>
      </c>
      <c r="B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 spans="1:2" x14ac:dyDescent="0.3">
      <c r="A87" s="1" t="str">
        <f t="shared" si="1"/>
        <v/>
      </c>
      <c r="B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 spans="1:2" x14ac:dyDescent="0.3">
      <c r="A88" s="1" t="str">
        <f t="shared" si="1"/>
        <v/>
      </c>
      <c r="B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 spans="1:2" x14ac:dyDescent="0.3">
      <c r="A89" s="1" t="str">
        <f t="shared" si="1"/>
        <v/>
      </c>
      <c r="B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 spans="1:2" x14ac:dyDescent="0.3">
      <c r="A90" s="1" t="str">
        <f t="shared" si="1"/>
        <v/>
      </c>
      <c r="B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 spans="1:2" x14ac:dyDescent="0.3">
      <c r="A91" s="1" t="str">
        <f t="shared" si="1"/>
        <v/>
      </c>
      <c r="B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 spans="1:2"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 spans="1:2"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 spans="1:2" x14ac:dyDescent="0.3">
      <c r="A94" s="1" t="str">
        <f t="shared" si="1"/>
        <v/>
      </c>
      <c r="B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 spans="1:2"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 spans="1:2"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 spans="1:2"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 spans="1:2"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 spans="1:2"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 spans="1:2"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 spans="1:2" x14ac:dyDescent="0.3">
      <c r="A101" s="1" t="str">
        <f t="shared" si="1"/>
        <v/>
      </c>
      <c r="B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 spans="1:2" x14ac:dyDescent="0.3">
      <c r="A102" s="1" t="str">
        <f t="shared" si="1"/>
        <v/>
      </c>
      <c r="B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 spans="1:2" x14ac:dyDescent="0.3">
      <c r="A103" s="1" t="str">
        <f t="shared" si="1"/>
        <v/>
      </c>
      <c r="B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 spans="1:2" x14ac:dyDescent="0.3">
      <c r="A104" s="1" t="str">
        <f t="shared" si="1"/>
        <v/>
      </c>
      <c r="B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 spans="1:2" x14ac:dyDescent="0.3">
      <c r="A105" s="1" t="str">
        <f t="shared" si="1"/>
        <v/>
      </c>
      <c r="B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 spans="1:2" x14ac:dyDescent="0.3">
      <c r="A106" s="1" t="str">
        <f t="shared" si="1"/>
        <v/>
      </c>
      <c r="B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 spans="1:2" x14ac:dyDescent="0.3">
      <c r="A107" s="1" t="str">
        <f t="shared" si="1"/>
        <v/>
      </c>
      <c r="B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 spans="1:2" x14ac:dyDescent="0.3">
      <c r="A108" s="1" t="str">
        <f t="shared" si="1"/>
        <v/>
      </c>
      <c r="B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 spans="1:2" x14ac:dyDescent="0.3">
      <c r="A109" s="1" t="str">
        <f t="shared" si="1"/>
        <v/>
      </c>
      <c r="B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 spans="1:2" x14ac:dyDescent="0.3">
      <c r="A110" s="1" t="str">
        <f t="shared" si="1"/>
        <v/>
      </c>
      <c r="B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 spans="1:2" x14ac:dyDescent="0.3">
      <c r="A111" s="1" t="str">
        <f t="shared" si="1"/>
        <v/>
      </c>
      <c r="B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 spans="1:2" x14ac:dyDescent="0.3">
      <c r="A112" s="1" t="str">
        <f t="shared" si="1"/>
        <v/>
      </c>
      <c r="B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 spans="1:2" x14ac:dyDescent="0.3">
      <c r="A113" s="1" t="str">
        <f t="shared" si="1"/>
        <v/>
      </c>
      <c r="B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 spans="1:2" x14ac:dyDescent="0.3">
      <c r="A114" s="1" t="str">
        <f t="shared" si="1"/>
        <v/>
      </c>
      <c r="B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 spans="1:2" x14ac:dyDescent="0.3">
      <c r="A115" s="1" t="str">
        <f t="shared" si="1"/>
        <v/>
      </c>
      <c r="B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 spans="1:2" x14ac:dyDescent="0.3">
      <c r="A116" s="1" t="str">
        <f t="shared" si="1"/>
        <v/>
      </c>
      <c r="B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 spans="1:2" x14ac:dyDescent="0.3">
      <c r="A117" s="1" t="str">
        <f t="shared" si="1"/>
        <v/>
      </c>
      <c r="B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 spans="1:2" x14ac:dyDescent="0.3">
      <c r="A118" s="1" t="str">
        <f t="shared" si="1"/>
        <v/>
      </c>
      <c r="B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 spans="1:2" x14ac:dyDescent="0.3">
      <c r="A119" s="1" t="str">
        <f t="shared" si="1"/>
        <v/>
      </c>
      <c r="B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 spans="1:2" x14ac:dyDescent="0.3">
      <c r="A120" s="1" t="str">
        <f t="shared" si="1"/>
        <v/>
      </c>
      <c r="B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 spans="1:2" x14ac:dyDescent="0.3">
      <c r="A121" s="1" t="str">
        <f t="shared" si="1"/>
        <v/>
      </c>
      <c r="B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 spans="1:2" x14ac:dyDescent="0.3">
      <c r="A122" s="1" t="str">
        <f t="shared" si="1"/>
        <v/>
      </c>
      <c r="B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 spans="1:2" x14ac:dyDescent="0.3">
      <c r="A123" s="1" t="str">
        <f t="shared" si="1"/>
        <v/>
      </c>
      <c r="B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 spans="1:2" x14ac:dyDescent="0.3">
      <c r="A124" s="1" t="str">
        <f t="shared" si="1"/>
        <v/>
      </c>
      <c r="B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 spans="1:2"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 spans="1:2"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 spans="1:2" x14ac:dyDescent="0.3">
      <c r="A127" s="1" t="str">
        <f t="shared" si="1"/>
        <v/>
      </c>
      <c r="B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 spans="1:2"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 spans="1:2"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 spans="1:2"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 spans="1:2"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 spans="1:2"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 spans="1:2"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 spans="1:2" x14ac:dyDescent="0.3">
      <c r="A134" s="1" t="str">
        <f t="shared" si="2"/>
        <v/>
      </c>
      <c r="B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 spans="1:2" x14ac:dyDescent="0.3">
      <c r="A135" s="1" t="str">
        <f t="shared" si="2"/>
        <v/>
      </c>
      <c r="B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 spans="1:2" x14ac:dyDescent="0.3">
      <c r="A136" s="1" t="str">
        <f t="shared" si="2"/>
        <v/>
      </c>
      <c r="B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 spans="1:2" x14ac:dyDescent="0.3">
      <c r="A137" s="1" t="str">
        <f t="shared" si="2"/>
        <v/>
      </c>
      <c r="B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 spans="1:2" x14ac:dyDescent="0.3">
      <c r="A138" s="1" t="str">
        <f t="shared" si="2"/>
        <v/>
      </c>
      <c r="B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 spans="1:2" x14ac:dyDescent="0.3">
      <c r="A139" s="1" t="str">
        <f t="shared" si="2"/>
        <v/>
      </c>
      <c r="B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 spans="1:2" x14ac:dyDescent="0.3">
      <c r="A140" s="1" t="str">
        <f t="shared" si="2"/>
        <v/>
      </c>
      <c r="B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 spans="1:2" x14ac:dyDescent="0.3">
      <c r="A141" s="1" t="str">
        <f t="shared" si="2"/>
        <v/>
      </c>
      <c r="B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 spans="1:2" x14ac:dyDescent="0.3">
      <c r="A142" s="1" t="str">
        <f t="shared" si="2"/>
        <v/>
      </c>
      <c r="B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 spans="1:2" x14ac:dyDescent="0.3">
      <c r="A143" s="1" t="str">
        <f t="shared" si="2"/>
        <v/>
      </c>
      <c r="B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 spans="1:2" x14ac:dyDescent="0.3">
      <c r="A144" s="1" t="str">
        <f t="shared" si="2"/>
        <v/>
      </c>
      <c r="B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 spans="1:2" x14ac:dyDescent="0.3">
      <c r="A145" s="1" t="str">
        <f t="shared" si="2"/>
        <v/>
      </c>
      <c r="B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 spans="1:2" x14ac:dyDescent="0.3">
      <c r="A146" s="1" t="str">
        <f t="shared" si="2"/>
        <v/>
      </c>
      <c r="B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 spans="1:2" x14ac:dyDescent="0.3">
      <c r="A147" s="1" t="str">
        <f t="shared" si="2"/>
        <v/>
      </c>
      <c r="B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 spans="1:2" x14ac:dyDescent="0.3">
      <c r="A148" s="1" t="str">
        <f t="shared" si="2"/>
        <v/>
      </c>
      <c r="B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 spans="1:2" x14ac:dyDescent="0.3">
      <c r="A149" s="1" t="str">
        <f t="shared" si="2"/>
        <v/>
      </c>
      <c r="B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 spans="1:2" x14ac:dyDescent="0.3">
      <c r="A150" s="1" t="str">
        <f t="shared" si="2"/>
        <v/>
      </c>
      <c r="B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 spans="1:2" x14ac:dyDescent="0.3">
      <c r="A151" s="1" t="str">
        <f t="shared" si="2"/>
        <v/>
      </c>
      <c r="B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 spans="1:2" x14ac:dyDescent="0.3">
      <c r="A152" s="1" t="str">
        <f t="shared" si="2"/>
        <v/>
      </c>
      <c r="B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 spans="1:2" x14ac:dyDescent="0.3">
      <c r="A153" s="1" t="str">
        <f t="shared" si="2"/>
        <v/>
      </c>
      <c r="B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 spans="1:2" x14ac:dyDescent="0.3">
      <c r="A154" s="1" t="str">
        <f t="shared" si="2"/>
        <v/>
      </c>
      <c r="B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 spans="1:2" x14ac:dyDescent="0.3">
      <c r="A155" s="1" t="str">
        <f t="shared" si="2"/>
        <v/>
      </c>
      <c r="B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6" spans="1:2" x14ac:dyDescent="0.3">
      <c r="A156" s="1" t="str">
        <f t="shared" si="2"/>
        <v/>
      </c>
      <c r="B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7" spans="1:2" x14ac:dyDescent="0.3">
      <c r="A157" s="1" t="str">
        <f t="shared" si="2"/>
        <v/>
      </c>
      <c r="B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8" spans="1:2"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9" spans="1:2"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0" spans="1:2" x14ac:dyDescent="0.3">
      <c r="A160" s="1" t="str">
        <f t="shared" si="2"/>
        <v/>
      </c>
      <c r="B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1" spans="1:2"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2" spans="1:2"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3" spans="1:2"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4" spans="1:2"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5" spans="1:2"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6" spans="1:2"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7" spans="1:2" x14ac:dyDescent="0.3">
      <c r="A167" s="1" t="str">
        <f t="shared" si="2"/>
        <v/>
      </c>
      <c r="B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8" spans="1:2" x14ac:dyDescent="0.3">
      <c r="A168" s="1" t="str">
        <f t="shared" si="2"/>
        <v/>
      </c>
      <c r="B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69" spans="1:2" x14ac:dyDescent="0.3">
      <c r="A169" s="1" t="str">
        <f t="shared" si="2"/>
        <v/>
      </c>
      <c r="B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0" spans="1:2" x14ac:dyDescent="0.3">
      <c r="A170" s="1" t="str">
        <f t="shared" si="2"/>
        <v/>
      </c>
      <c r="B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1" spans="1:2" x14ac:dyDescent="0.3">
      <c r="A171" s="1" t="str">
        <f t="shared" si="2"/>
        <v/>
      </c>
      <c r="B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2" spans="1:2" x14ac:dyDescent="0.3">
      <c r="A172" s="1" t="str">
        <f t="shared" si="2"/>
        <v/>
      </c>
      <c r="B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3" spans="1:2" x14ac:dyDescent="0.3">
      <c r="A173" s="1" t="str">
        <f t="shared" si="2"/>
        <v/>
      </c>
      <c r="B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4" spans="1:2" x14ac:dyDescent="0.3">
      <c r="A174" s="1" t="str">
        <f t="shared" si="2"/>
        <v/>
      </c>
      <c r="B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5" spans="1:2" x14ac:dyDescent="0.3">
      <c r="A175" s="1" t="str">
        <f t="shared" si="2"/>
        <v/>
      </c>
      <c r="B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6" spans="1:2" x14ac:dyDescent="0.3">
      <c r="A176" s="1" t="str">
        <f t="shared" si="2"/>
        <v/>
      </c>
      <c r="B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7" spans="1:2" x14ac:dyDescent="0.3">
      <c r="A177" s="1" t="str">
        <f t="shared" si="2"/>
        <v/>
      </c>
      <c r="B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8" spans="1:2" x14ac:dyDescent="0.3">
      <c r="A178" s="1" t="str">
        <f t="shared" si="2"/>
        <v/>
      </c>
      <c r="B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79" spans="1:2" x14ac:dyDescent="0.3">
      <c r="A179" s="1" t="str">
        <f t="shared" si="2"/>
        <v/>
      </c>
      <c r="B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0" spans="1:2" x14ac:dyDescent="0.3">
      <c r="A180" s="1" t="str">
        <f t="shared" si="2"/>
        <v/>
      </c>
      <c r="B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1" spans="1:2" x14ac:dyDescent="0.3">
      <c r="A181" s="1" t="str">
        <f t="shared" si="2"/>
        <v/>
      </c>
      <c r="B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2" spans="1:2" x14ac:dyDescent="0.3">
      <c r="A182" s="1" t="str">
        <f t="shared" si="2"/>
        <v/>
      </c>
      <c r="B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3" spans="1:2" x14ac:dyDescent="0.3">
      <c r="A183" s="1" t="str">
        <f t="shared" si="2"/>
        <v/>
      </c>
      <c r="B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4" spans="1:2" x14ac:dyDescent="0.3">
      <c r="A184" s="1" t="str">
        <f t="shared" si="2"/>
        <v/>
      </c>
      <c r="B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5" spans="1:2" x14ac:dyDescent="0.3">
      <c r="A185" s="1" t="str">
        <f t="shared" si="2"/>
        <v/>
      </c>
      <c r="B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6" spans="1:2" x14ac:dyDescent="0.3">
      <c r="A186" s="1" t="str">
        <f t="shared" si="2"/>
        <v/>
      </c>
      <c r="B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7" spans="1:2" x14ac:dyDescent="0.3">
      <c r="A187" s="1" t="str">
        <f t="shared" si="2"/>
        <v/>
      </c>
      <c r="B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8" spans="1:2" x14ac:dyDescent="0.3">
      <c r="A188" s="1" t="str">
        <f t="shared" si="2"/>
        <v/>
      </c>
      <c r="B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89" spans="1:2" x14ac:dyDescent="0.3">
      <c r="A189" s="1" t="str">
        <f t="shared" si="2"/>
        <v/>
      </c>
      <c r="B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0" spans="1:2" x14ac:dyDescent="0.3">
      <c r="A190" s="1" t="str">
        <f t="shared" si="2"/>
        <v/>
      </c>
      <c r="B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1" spans="1:2"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2" spans="1:2"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3" spans="1:2" x14ac:dyDescent="0.3">
      <c r="A193" s="1" t="str">
        <f t="shared" si="2"/>
        <v/>
      </c>
      <c r="B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4" spans="1:2"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5" spans="1:2"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6" spans="1:2"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7" spans="1:2"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8" spans="1:2"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99" spans="1:2"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0" spans="1:2" x14ac:dyDescent="0.3">
      <c r="A200" s="1" t="str">
        <f t="shared" si="3"/>
        <v/>
      </c>
      <c r="B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1" spans="1:2" x14ac:dyDescent="0.3">
      <c r="A201" s="1" t="str">
        <f t="shared" si="3"/>
        <v/>
      </c>
      <c r="B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2" spans="1:2" x14ac:dyDescent="0.3">
      <c r="A202" s="1" t="str">
        <f t="shared" si="3"/>
        <v/>
      </c>
      <c r="B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3" spans="1:2" x14ac:dyDescent="0.3">
      <c r="A203" s="1" t="str">
        <f t="shared" si="3"/>
        <v/>
      </c>
      <c r="B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4" spans="1:2" x14ac:dyDescent="0.3">
      <c r="A204" s="1" t="str">
        <f t="shared" si="3"/>
        <v/>
      </c>
      <c r="B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5" spans="1:2" x14ac:dyDescent="0.3">
      <c r="A205" s="1" t="str">
        <f t="shared" si="3"/>
        <v/>
      </c>
      <c r="B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6" spans="1:2" x14ac:dyDescent="0.3">
      <c r="A206" s="1" t="str">
        <f t="shared" si="3"/>
        <v/>
      </c>
      <c r="B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7" spans="1:2" x14ac:dyDescent="0.3">
      <c r="A207" s="1" t="str">
        <f t="shared" si="3"/>
        <v/>
      </c>
      <c r="B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8" spans="1:2" x14ac:dyDescent="0.3">
      <c r="A208" s="1" t="str">
        <f t="shared" si="3"/>
        <v/>
      </c>
      <c r="B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09" spans="1:2" x14ac:dyDescent="0.3">
      <c r="A209" s="1" t="str">
        <f t="shared" si="3"/>
        <v/>
      </c>
      <c r="B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0" spans="1:2" x14ac:dyDescent="0.3">
      <c r="A210" s="1" t="str">
        <f t="shared" si="3"/>
        <v/>
      </c>
      <c r="B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1" spans="1:2" x14ac:dyDescent="0.3">
      <c r="A211" s="1" t="str">
        <f t="shared" si="3"/>
        <v/>
      </c>
      <c r="B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2" spans="1:2" x14ac:dyDescent="0.3">
      <c r="A212" s="1" t="str">
        <f t="shared" si="3"/>
        <v/>
      </c>
      <c r="B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3" spans="1:2" x14ac:dyDescent="0.3">
      <c r="A213" s="1" t="str">
        <f t="shared" si="3"/>
        <v/>
      </c>
      <c r="B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4" spans="1:2" x14ac:dyDescent="0.3">
      <c r="A214" s="1" t="str">
        <f t="shared" si="3"/>
        <v/>
      </c>
      <c r="B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5" spans="1:2" x14ac:dyDescent="0.3">
      <c r="A215" s="1" t="str">
        <f t="shared" si="3"/>
        <v/>
      </c>
      <c r="B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6" spans="1:2" x14ac:dyDescent="0.3">
      <c r="A216" s="1" t="str">
        <f t="shared" si="3"/>
        <v/>
      </c>
      <c r="B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7" spans="1:2" x14ac:dyDescent="0.3">
      <c r="A217" s="1" t="str">
        <f t="shared" si="3"/>
        <v/>
      </c>
      <c r="B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8" spans="1:2" x14ac:dyDescent="0.3">
      <c r="A218" s="1" t="str">
        <f t="shared" si="3"/>
        <v/>
      </c>
      <c r="B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19" spans="1:2" x14ac:dyDescent="0.3">
      <c r="A219" s="1" t="str">
        <f t="shared" si="3"/>
        <v/>
      </c>
      <c r="B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0" spans="1:2" x14ac:dyDescent="0.3">
      <c r="A220" s="1" t="str">
        <f t="shared" si="3"/>
        <v/>
      </c>
      <c r="B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1" spans="1:2" x14ac:dyDescent="0.3">
      <c r="A221" s="1" t="str">
        <f t="shared" si="3"/>
        <v/>
      </c>
      <c r="B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2" spans="1:2" x14ac:dyDescent="0.3">
      <c r="A222" s="1" t="str">
        <f t="shared" si="3"/>
        <v/>
      </c>
      <c r="B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3" spans="1:2" x14ac:dyDescent="0.3">
      <c r="A223" s="1" t="str">
        <f t="shared" si="3"/>
        <v/>
      </c>
      <c r="B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4" spans="1:2"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5" spans="1:2"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6" spans="1:2" x14ac:dyDescent="0.3">
      <c r="A226" s="1" t="str">
        <f t="shared" si="3"/>
        <v/>
      </c>
      <c r="B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7" spans="1:2"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8" spans="1:2"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29" spans="1:2"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0" spans="1:2"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1" spans="1:2"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2" spans="1:2"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3" spans="1:2" x14ac:dyDescent="0.3">
      <c r="A233" s="1" t="str">
        <f t="shared" si="3"/>
        <v/>
      </c>
      <c r="B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4" spans="1:2" x14ac:dyDescent="0.3">
      <c r="A234" s="1" t="str">
        <f t="shared" si="3"/>
        <v/>
      </c>
      <c r="B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5" spans="1:2" x14ac:dyDescent="0.3">
      <c r="A235" s="1" t="str">
        <f t="shared" si="3"/>
        <v/>
      </c>
      <c r="B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6" spans="1:2" x14ac:dyDescent="0.3">
      <c r="A236" s="1" t="str">
        <f t="shared" si="3"/>
        <v/>
      </c>
      <c r="B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7" spans="1:2" x14ac:dyDescent="0.3">
      <c r="A237" s="1" t="str">
        <f t="shared" si="3"/>
        <v/>
      </c>
      <c r="B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8" spans="1:2" x14ac:dyDescent="0.3">
      <c r="A238" s="1" t="str">
        <f t="shared" si="3"/>
        <v/>
      </c>
      <c r="B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39" spans="1:2" x14ac:dyDescent="0.3">
      <c r="A239" s="1" t="str">
        <f t="shared" si="3"/>
        <v/>
      </c>
      <c r="B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0" spans="1:2" x14ac:dyDescent="0.3">
      <c r="A240" s="1" t="str">
        <f t="shared" si="3"/>
        <v/>
      </c>
      <c r="B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1" spans="1:2" x14ac:dyDescent="0.3">
      <c r="A241" s="1" t="str">
        <f t="shared" si="3"/>
        <v/>
      </c>
      <c r="B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2" spans="1:2" x14ac:dyDescent="0.3">
      <c r="A242" s="1" t="str">
        <f t="shared" si="3"/>
        <v/>
      </c>
      <c r="B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3" spans="1:2" x14ac:dyDescent="0.3">
      <c r="A243" s="1" t="str">
        <f t="shared" si="3"/>
        <v/>
      </c>
      <c r="B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4" spans="1:2" x14ac:dyDescent="0.3">
      <c r="A244" s="1" t="str">
        <f t="shared" si="3"/>
        <v/>
      </c>
      <c r="B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5" spans="1:2" x14ac:dyDescent="0.3">
      <c r="A245" s="1" t="str">
        <f t="shared" si="3"/>
        <v/>
      </c>
      <c r="B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6" spans="1:2" x14ac:dyDescent="0.3">
      <c r="A246" s="1" t="str">
        <f t="shared" si="3"/>
        <v/>
      </c>
      <c r="B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7" spans="1:2" x14ac:dyDescent="0.3">
      <c r="A247" s="1" t="str">
        <f t="shared" si="3"/>
        <v/>
      </c>
      <c r="B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8" spans="1:2" x14ac:dyDescent="0.3">
      <c r="A248" s="1" t="str">
        <f t="shared" si="3"/>
        <v/>
      </c>
      <c r="B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49" spans="1:2" x14ac:dyDescent="0.3">
      <c r="A249" s="1" t="str">
        <f t="shared" si="3"/>
        <v/>
      </c>
      <c r="B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0" spans="1:2" x14ac:dyDescent="0.3">
      <c r="A250" s="1" t="str">
        <f t="shared" si="3"/>
        <v/>
      </c>
      <c r="B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1" spans="1:2" x14ac:dyDescent="0.3">
      <c r="A251" s="1" t="str">
        <f t="shared" si="3"/>
        <v/>
      </c>
      <c r="B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2" spans="1:2" x14ac:dyDescent="0.3">
      <c r="A252" s="1" t="str">
        <f t="shared" si="3"/>
        <v/>
      </c>
      <c r="B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3" spans="1:2" x14ac:dyDescent="0.3">
      <c r="A253" s="1" t="str">
        <f t="shared" si="3"/>
        <v/>
      </c>
      <c r="B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4" spans="1:2" x14ac:dyDescent="0.3">
      <c r="A254" s="1" t="str">
        <f t="shared" si="3"/>
        <v/>
      </c>
      <c r="B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5" spans="1:2" x14ac:dyDescent="0.3">
      <c r="A255" s="1" t="str">
        <f t="shared" si="3"/>
        <v/>
      </c>
      <c r="B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6" spans="1:2" x14ac:dyDescent="0.3">
      <c r="A256" s="1" t="str">
        <f t="shared" si="3"/>
        <v/>
      </c>
      <c r="B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7" spans="1:2"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8" spans="1:2"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59" spans="1:2" x14ac:dyDescent="0.3">
      <c r="A259" s="1" t="str">
        <f t="shared" si="4"/>
        <v/>
      </c>
      <c r="B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0" spans="1:2"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1" spans="1:2"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2" spans="1:2"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3" spans="1:2"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4" spans="1:2"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5" spans="1:2"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6" spans="1:2" x14ac:dyDescent="0.3">
      <c r="A266" s="1" t="str">
        <f t="shared" si="4"/>
        <v/>
      </c>
      <c r="B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7" spans="1:2" x14ac:dyDescent="0.3">
      <c r="A267" s="1" t="str">
        <f t="shared" si="4"/>
        <v/>
      </c>
      <c r="B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8" spans="1:2" x14ac:dyDescent="0.3">
      <c r="A268" s="1" t="str">
        <f t="shared" si="4"/>
        <v/>
      </c>
      <c r="B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69" spans="1:2" x14ac:dyDescent="0.3">
      <c r="A269" s="1" t="str">
        <f t="shared" si="4"/>
        <v/>
      </c>
      <c r="B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0" spans="1:2" x14ac:dyDescent="0.3">
      <c r="A270" s="1" t="str">
        <f t="shared" si="4"/>
        <v/>
      </c>
      <c r="B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1" spans="1:2" x14ac:dyDescent="0.3">
      <c r="A271" s="1" t="str">
        <f t="shared" si="4"/>
        <v/>
      </c>
      <c r="B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2" spans="1:2" x14ac:dyDescent="0.3">
      <c r="A272" s="1" t="str">
        <f t="shared" si="4"/>
        <v/>
      </c>
      <c r="B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3" spans="1:2" x14ac:dyDescent="0.3">
      <c r="A273" s="1" t="str">
        <f t="shared" si="4"/>
        <v/>
      </c>
      <c r="B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4" spans="1:2" x14ac:dyDescent="0.3">
      <c r="A274" s="1" t="str">
        <f t="shared" si="4"/>
        <v/>
      </c>
      <c r="B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5" spans="1:2" x14ac:dyDescent="0.3">
      <c r="A275" s="1" t="str">
        <f t="shared" si="4"/>
        <v/>
      </c>
      <c r="B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6" spans="1:2" x14ac:dyDescent="0.3">
      <c r="A276" s="1" t="str">
        <f t="shared" si="4"/>
        <v/>
      </c>
      <c r="B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7" spans="1:2" x14ac:dyDescent="0.3">
      <c r="A277" s="1" t="str">
        <f t="shared" si="4"/>
        <v/>
      </c>
      <c r="B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8" spans="1:2" x14ac:dyDescent="0.3">
      <c r="A278" s="1" t="str">
        <f t="shared" si="4"/>
        <v/>
      </c>
      <c r="B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79" spans="1:2" x14ac:dyDescent="0.3">
      <c r="A279" s="1" t="str">
        <f t="shared" si="4"/>
        <v/>
      </c>
      <c r="B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0" spans="1:2" x14ac:dyDescent="0.3">
      <c r="A280" s="1" t="str">
        <f t="shared" si="4"/>
        <v/>
      </c>
      <c r="B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1" spans="1:2" x14ac:dyDescent="0.3">
      <c r="A281" s="1" t="str">
        <f t="shared" si="4"/>
        <v/>
      </c>
      <c r="B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2" spans="1:2" x14ac:dyDescent="0.3">
      <c r="A282" s="1" t="str">
        <f t="shared" si="4"/>
        <v/>
      </c>
      <c r="B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3" spans="1:2" x14ac:dyDescent="0.3">
      <c r="A283" s="1" t="str">
        <f t="shared" si="4"/>
        <v/>
      </c>
      <c r="B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4" spans="1:2" x14ac:dyDescent="0.3">
      <c r="A284" s="1" t="str">
        <f t="shared" si="4"/>
        <v/>
      </c>
      <c r="B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5" spans="1:2" x14ac:dyDescent="0.3">
      <c r="A285" s="1" t="str">
        <f t="shared" si="4"/>
        <v/>
      </c>
      <c r="B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6" spans="1:2" x14ac:dyDescent="0.3">
      <c r="A286" s="1" t="str">
        <f t="shared" si="4"/>
        <v/>
      </c>
      <c r="B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7" spans="1:2" x14ac:dyDescent="0.3">
      <c r="A287" s="1" t="str">
        <f t="shared" si="4"/>
        <v/>
      </c>
      <c r="B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8" spans="1:2" x14ac:dyDescent="0.3">
      <c r="A288" s="1" t="str">
        <f t="shared" si="4"/>
        <v/>
      </c>
      <c r="B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89" spans="1:2" x14ac:dyDescent="0.3">
      <c r="A289" s="1" t="str">
        <f t="shared" si="4"/>
        <v/>
      </c>
      <c r="B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0" spans="1:2"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1" spans="1:2"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2" spans="1:2" x14ac:dyDescent="0.3">
      <c r="A292" s="1" t="str">
        <f t="shared" si="4"/>
        <v/>
      </c>
      <c r="B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3" spans="1:2"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4" spans="1:2"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5" spans="1:2"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6" spans="1:2"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7" spans="1:2"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8" spans="1:2"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299" spans="1:2" x14ac:dyDescent="0.3">
      <c r="A299" s="1" t="str">
        <f t="shared" si="4"/>
        <v/>
      </c>
      <c r="B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0" spans="1:2" x14ac:dyDescent="0.3">
      <c r="A300" s="1" t="str">
        <f t="shared" si="4"/>
        <v/>
      </c>
      <c r="B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1" spans="1:2" x14ac:dyDescent="0.3">
      <c r="A301" s="1" t="str">
        <f t="shared" si="4"/>
        <v/>
      </c>
      <c r="B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2" spans="1:2" x14ac:dyDescent="0.3">
      <c r="A302" s="1" t="str">
        <f t="shared" si="4"/>
        <v/>
      </c>
      <c r="B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3" spans="1:2" x14ac:dyDescent="0.3">
      <c r="A303" s="1" t="str">
        <f t="shared" si="4"/>
        <v/>
      </c>
      <c r="B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4" spans="1:2" x14ac:dyDescent="0.3">
      <c r="A304" s="1" t="str">
        <f t="shared" si="4"/>
        <v/>
      </c>
      <c r="B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5" spans="1:2" x14ac:dyDescent="0.3">
      <c r="A305" s="1" t="str">
        <f t="shared" si="4"/>
        <v/>
      </c>
      <c r="B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6" spans="1:2" x14ac:dyDescent="0.3">
      <c r="A306" s="1" t="str">
        <f t="shared" si="4"/>
        <v/>
      </c>
      <c r="B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7" spans="1:2" x14ac:dyDescent="0.3">
      <c r="A307" s="1" t="str">
        <f t="shared" si="4"/>
        <v/>
      </c>
      <c r="B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8" spans="1:2" x14ac:dyDescent="0.3">
      <c r="A308" s="1" t="str">
        <f t="shared" si="4"/>
        <v/>
      </c>
      <c r="B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09" spans="1:2" x14ac:dyDescent="0.3">
      <c r="A309" s="1" t="str">
        <f t="shared" si="4"/>
        <v/>
      </c>
      <c r="B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0" spans="1:2" x14ac:dyDescent="0.3">
      <c r="A310" s="1" t="str">
        <f t="shared" si="4"/>
        <v/>
      </c>
      <c r="B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1" spans="1:2" x14ac:dyDescent="0.3">
      <c r="A311" s="1" t="str">
        <f t="shared" si="4"/>
        <v/>
      </c>
      <c r="B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2" spans="1:2" x14ac:dyDescent="0.3">
      <c r="A312" s="1" t="str">
        <f t="shared" si="4"/>
        <v/>
      </c>
      <c r="B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3" spans="1:2" x14ac:dyDescent="0.3">
      <c r="A313" s="1" t="str">
        <f t="shared" si="4"/>
        <v/>
      </c>
      <c r="B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4" spans="1:2" x14ac:dyDescent="0.3">
      <c r="A314" s="1" t="str">
        <f t="shared" si="4"/>
        <v/>
      </c>
      <c r="B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5" spans="1:2" x14ac:dyDescent="0.3">
      <c r="A315" s="1" t="str">
        <f t="shared" si="4"/>
        <v/>
      </c>
      <c r="B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6" spans="1:2" x14ac:dyDescent="0.3">
      <c r="A316" s="1" t="str">
        <f t="shared" si="4"/>
        <v/>
      </c>
      <c r="B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7" spans="1:2" x14ac:dyDescent="0.3">
      <c r="A317" s="1" t="str">
        <f t="shared" si="4"/>
        <v/>
      </c>
      <c r="B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8" spans="1:2" x14ac:dyDescent="0.3">
      <c r="A318" s="1" t="str">
        <f t="shared" si="4"/>
        <v/>
      </c>
      <c r="B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19" spans="1:2" x14ac:dyDescent="0.3">
      <c r="A319" s="1" t="str">
        <f t="shared" si="4"/>
        <v/>
      </c>
      <c r="B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0" spans="1:2" x14ac:dyDescent="0.3">
      <c r="A320" s="1" t="str">
        <f t="shared" si="4"/>
        <v/>
      </c>
      <c r="B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1" spans="1:2" x14ac:dyDescent="0.3">
      <c r="A321" s="1" t="str">
        <f t="shared" si="4"/>
        <v/>
      </c>
      <c r="B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2" spans="1:2" x14ac:dyDescent="0.3">
      <c r="A322" s="1" t="str">
        <f t="shared" ref="A322:A385" si="5">IFERROR(LEFT(RIGHT(C322,LEN(C322)-SEARCH("@",C322)),SEARCH("/",RIGHT(C322,LEN(C322)-SEARCH("@",C322)-1))),"")</f>
        <v/>
      </c>
      <c r="B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3" spans="1:2"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4" spans="1:2"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5" spans="1:2" x14ac:dyDescent="0.3">
      <c r="A325" s="1" t="str">
        <f t="shared" si="5"/>
        <v/>
      </c>
      <c r="B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6" spans="1:2"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7" spans="1:2"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8" spans="1:2"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29" spans="1:2"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0" spans="1:2"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1" spans="1:2"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2" spans="1:2" x14ac:dyDescent="0.3">
      <c r="A332" s="1" t="str">
        <f t="shared" si="5"/>
        <v/>
      </c>
      <c r="B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3" spans="1:2" x14ac:dyDescent="0.3">
      <c r="A333" s="1" t="str">
        <f t="shared" si="5"/>
        <v/>
      </c>
      <c r="B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4" spans="1:2" x14ac:dyDescent="0.3">
      <c r="A334" s="1" t="str">
        <f t="shared" si="5"/>
        <v/>
      </c>
      <c r="B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5" spans="1:2" x14ac:dyDescent="0.3">
      <c r="A335" s="1" t="str">
        <f t="shared" si="5"/>
        <v/>
      </c>
      <c r="B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6" spans="1:2" x14ac:dyDescent="0.3">
      <c r="A336" s="1" t="str">
        <f t="shared" si="5"/>
        <v/>
      </c>
      <c r="B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7" spans="1:2" x14ac:dyDescent="0.3">
      <c r="A337" s="1" t="str">
        <f t="shared" si="5"/>
        <v/>
      </c>
      <c r="B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8" spans="1:2" x14ac:dyDescent="0.3">
      <c r="A338" s="1" t="str">
        <f t="shared" si="5"/>
        <v/>
      </c>
      <c r="B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39" spans="1:2" x14ac:dyDescent="0.3">
      <c r="A339" s="1" t="str">
        <f t="shared" si="5"/>
        <v/>
      </c>
      <c r="B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0" spans="1:2" x14ac:dyDescent="0.3">
      <c r="A340" s="1" t="str">
        <f t="shared" si="5"/>
        <v/>
      </c>
      <c r="B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1" spans="1:2" x14ac:dyDescent="0.3">
      <c r="A341" s="1" t="str">
        <f t="shared" si="5"/>
        <v/>
      </c>
      <c r="B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2" spans="1:2" x14ac:dyDescent="0.3">
      <c r="A342" s="1" t="str">
        <f t="shared" si="5"/>
        <v/>
      </c>
      <c r="B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3" spans="1:2" x14ac:dyDescent="0.3">
      <c r="A343" s="1" t="str">
        <f t="shared" si="5"/>
        <v/>
      </c>
      <c r="B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4" spans="1:2" x14ac:dyDescent="0.3">
      <c r="A344" s="1" t="str">
        <f t="shared" si="5"/>
        <v/>
      </c>
      <c r="B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5" spans="1:2" x14ac:dyDescent="0.3">
      <c r="A345" s="1" t="str">
        <f t="shared" si="5"/>
        <v/>
      </c>
      <c r="B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6" spans="1:2" x14ac:dyDescent="0.3">
      <c r="A346" s="1" t="str">
        <f t="shared" si="5"/>
        <v/>
      </c>
      <c r="B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7" spans="1:2" x14ac:dyDescent="0.3">
      <c r="A347" s="1" t="str">
        <f t="shared" si="5"/>
        <v/>
      </c>
      <c r="B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8" spans="1:2" x14ac:dyDescent="0.3">
      <c r="A348" s="1" t="str">
        <f t="shared" si="5"/>
        <v/>
      </c>
      <c r="B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49" spans="1:2" x14ac:dyDescent="0.3">
      <c r="A349" s="1" t="str">
        <f t="shared" si="5"/>
        <v/>
      </c>
      <c r="B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0" spans="1:2" x14ac:dyDescent="0.3">
      <c r="A350" s="1" t="str">
        <f t="shared" si="5"/>
        <v/>
      </c>
      <c r="B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1" spans="1:2" x14ac:dyDescent="0.3">
      <c r="A351" s="1" t="str">
        <f t="shared" si="5"/>
        <v/>
      </c>
      <c r="B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2" spans="1:2" x14ac:dyDescent="0.3">
      <c r="A352" s="1" t="str">
        <f t="shared" si="5"/>
        <v/>
      </c>
      <c r="B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3" spans="1:2" x14ac:dyDescent="0.3">
      <c r="A353" s="1" t="str">
        <f t="shared" si="5"/>
        <v/>
      </c>
      <c r="B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4" spans="1:2" x14ac:dyDescent="0.3">
      <c r="A354" s="1" t="str">
        <f t="shared" si="5"/>
        <v/>
      </c>
      <c r="B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5" spans="1:2" x14ac:dyDescent="0.3">
      <c r="A355" s="1" t="str">
        <f t="shared" si="5"/>
        <v/>
      </c>
      <c r="B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6" spans="1:2"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7" spans="1:2"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8" spans="1:2" x14ac:dyDescent="0.3">
      <c r="A358" s="1" t="str">
        <f t="shared" si="5"/>
        <v/>
      </c>
      <c r="B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59" spans="1:2"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0" spans="1:2"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1" spans="1:2"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2" spans="1:2"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3" spans="1:2"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4" spans="1:2"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5" spans="1:2" x14ac:dyDescent="0.3">
      <c r="A365" s="1" t="str">
        <f t="shared" si="5"/>
        <v/>
      </c>
      <c r="B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6" spans="1:2" x14ac:dyDescent="0.3">
      <c r="A366" s="1" t="str">
        <f t="shared" si="5"/>
        <v/>
      </c>
      <c r="B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7" spans="1:2" x14ac:dyDescent="0.3">
      <c r="A367" s="1" t="str">
        <f t="shared" si="5"/>
        <v/>
      </c>
      <c r="B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8" spans="1:2" x14ac:dyDescent="0.3">
      <c r="A368" s="1" t="str">
        <f t="shared" si="5"/>
        <v/>
      </c>
      <c r="B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69" spans="1:2" x14ac:dyDescent="0.3">
      <c r="A369" s="1" t="str">
        <f t="shared" si="5"/>
        <v/>
      </c>
      <c r="B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0" spans="1:2" x14ac:dyDescent="0.3">
      <c r="A370" s="1" t="str">
        <f t="shared" si="5"/>
        <v/>
      </c>
      <c r="B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1" spans="1:2" x14ac:dyDescent="0.3">
      <c r="A371" s="1" t="str">
        <f t="shared" si="5"/>
        <v/>
      </c>
      <c r="B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2" spans="1:2" x14ac:dyDescent="0.3">
      <c r="A372" s="1" t="str">
        <f t="shared" si="5"/>
        <v/>
      </c>
      <c r="B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3" spans="1:2" x14ac:dyDescent="0.3">
      <c r="A373" s="1" t="str">
        <f t="shared" si="5"/>
        <v/>
      </c>
      <c r="B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4" spans="1:2" x14ac:dyDescent="0.3">
      <c r="A374" s="1" t="str">
        <f t="shared" si="5"/>
        <v/>
      </c>
      <c r="B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5" spans="1:2" x14ac:dyDescent="0.3">
      <c r="A375" s="1" t="str">
        <f t="shared" si="5"/>
        <v/>
      </c>
      <c r="B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6" spans="1:2" x14ac:dyDescent="0.3">
      <c r="A376" s="1" t="str">
        <f t="shared" si="5"/>
        <v/>
      </c>
      <c r="B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7" spans="1:2" x14ac:dyDescent="0.3">
      <c r="A377" s="1" t="str">
        <f t="shared" si="5"/>
        <v/>
      </c>
      <c r="B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8" spans="1:2" x14ac:dyDescent="0.3">
      <c r="A378" s="1" t="str">
        <f t="shared" si="5"/>
        <v/>
      </c>
      <c r="B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79" spans="1:2" x14ac:dyDescent="0.3">
      <c r="A379" s="1" t="str">
        <f t="shared" si="5"/>
        <v/>
      </c>
      <c r="B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0" spans="1:2" x14ac:dyDescent="0.3">
      <c r="A380" s="1" t="str">
        <f t="shared" si="5"/>
        <v/>
      </c>
      <c r="B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1" spans="1:2" x14ac:dyDescent="0.3">
      <c r="A381" s="1" t="str">
        <f t="shared" si="5"/>
        <v/>
      </c>
      <c r="B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2" spans="1:2" x14ac:dyDescent="0.3">
      <c r="A382" s="1" t="str">
        <f t="shared" si="5"/>
        <v/>
      </c>
      <c r="B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3" spans="1:2" x14ac:dyDescent="0.3">
      <c r="A383" s="1" t="str">
        <f t="shared" si="5"/>
        <v/>
      </c>
      <c r="B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4" spans="1:2" x14ac:dyDescent="0.3">
      <c r="A384" s="1" t="str">
        <f t="shared" si="5"/>
        <v/>
      </c>
      <c r="B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5" spans="1:2" x14ac:dyDescent="0.3">
      <c r="A385" s="1" t="str">
        <f t="shared" si="5"/>
        <v/>
      </c>
      <c r="B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6" spans="1:2" x14ac:dyDescent="0.3">
      <c r="A386" s="1" t="str">
        <f t="shared" ref="A386:A449" si="6">IFERROR(LEFT(RIGHT(C386,LEN(C386)-SEARCH("@",C386)),SEARCH("/",RIGHT(C386,LEN(C386)-SEARCH("@",C386)-1))),"")</f>
        <v/>
      </c>
      <c r="B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7" spans="1:2" x14ac:dyDescent="0.3">
      <c r="A387" s="1" t="str">
        <f t="shared" si="6"/>
        <v/>
      </c>
      <c r="B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8" spans="1:2" x14ac:dyDescent="0.3">
      <c r="A388" s="1" t="str">
        <f t="shared" si="6"/>
        <v/>
      </c>
      <c r="B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89" spans="1:2"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0" spans="1:2"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1" spans="1:2" x14ac:dyDescent="0.3">
      <c r="A391" s="1" t="str">
        <f t="shared" si="6"/>
        <v/>
      </c>
      <c r="B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2" spans="1:2"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3" spans="1:2"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4" spans="1:2"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5" spans="1:2"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6" spans="1:2"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7" spans="1:2"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8" spans="1:2" x14ac:dyDescent="0.3">
      <c r="A398" s="1" t="str">
        <f t="shared" si="6"/>
        <v/>
      </c>
      <c r="B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399" spans="1:2" x14ac:dyDescent="0.3">
      <c r="A399" s="1" t="str">
        <f t="shared" si="6"/>
        <v/>
      </c>
      <c r="B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0" spans="1:2" x14ac:dyDescent="0.3">
      <c r="A400" s="1" t="str">
        <f t="shared" si="6"/>
        <v/>
      </c>
      <c r="B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1" spans="1:2" x14ac:dyDescent="0.3">
      <c r="A401" s="1" t="str">
        <f t="shared" si="6"/>
        <v/>
      </c>
      <c r="B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2" spans="1:2" x14ac:dyDescent="0.3">
      <c r="A402" s="1" t="str">
        <f t="shared" si="6"/>
        <v/>
      </c>
      <c r="B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3" spans="1:2" x14ac:dyDescent="0.3">
      <c r="A403" s="1" t="str">
        <f t="shared" si="6"/>
        <v/>
      </c>
      <c r="B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4" spans="1:2" x14ac:dyDescent="0.3">
      <c r="A404" s="1" t="str">
        <f t="shared" si="6"/>
        <v/>
      </c>
      <c r="B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5" spans="1:2" x14ac:dyDescent="0.3">
      <c r="A405" s="1" t="str">
        <f t="shared" si="6"/>
        <v/>
      </c>
      <c r="B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6" spans="1:2" x14ac:dyDescent="0.3">
      <c r="A406" s="1" t="str">
        <f t="shared" si="6"/>
        <v/>
      </c>
      <c r="B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7" spans="1:2" x14ac:dyDescent="0.3">
      <c r="A407" s="1" t="str">
        <f t="shared" si="6"/>
        <v/>
      </c>
      <c r="B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8" spans="1:2" x14ac:dyDescent="0.3">
      <c r="A408" s="1" t="str">
        <f t="shared" si="6"/>
        <v/>
      </c>
      <c r="B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09" spans="1:2" x14ac:dyDescent="0.3">
      <c r="A409" s="1" t="str">
        <f t="shared" si="6"/>
        <v/>
      </c>
      <c r="B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0" spans="1:2" x14ac:dyDescent="0.3">
      <c r="A410" s="1" t="str">
        <f t="shared" si="6"/>
        <v/>
      </c>
      <c r="B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1" spans="1:2" x14ac:dyDescent="0.3">
      <c r="A411" s="1" t="str">
        <f t="shared" si="6"/>
        <v/>
      </c>
      <c r="B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2" spans="1:2" x14ac:dyDescent="0.3">
      <c r="A412" s="1" t="str">
        <f t="shared" si="6"/>
        <v/>
      </c>
      <c r="B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3" spans="1:2" x14ac:dyDescent="0.3">
      <c r="A413" s="1" t="str">
        <f t="shared" si="6"/>
        <v/>
      </c>
      <c r="B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4" spans="1:2" x14ac:dyDescent="0.3">
      <c r="A414" s="1" t="str">
        <f t="shared" si="6"/>
        <v/>
      </c>
      <c r="B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5" spans="1:2" x14ac:dyDescent="0.3">
      <c r="A415" s="1" t="str">
        <f t="shared" si="6"/>
        <v/>
      </c>
      <c r="B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6" spans="1:2" x14ac:dyDescent="0.3">
      <c r="A416" s="1" t="str">
        <f t="shared" si="6"/>
        <v/>
      </c>
      <c r="B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7" spans="1:2" x14ac:dyDescent="0.3">
      <c r="A417" s="1" t="str">
        <f t="shared" si="6"/>
        <v/>
      </c>
      <c r="B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8" spans="1:2" x14ac:dyDescent="0.3">
      <c r="A418" s="1" t="str">
        <f t="shared" si="6"/>
        <v/>
      </c>
      <c r="B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19" spans="1:2" x14ac:dyDescent="0.3">
      <c r="A419" s="1" t="str">
        <f t="shared" si="6"/>
        <v/>
      </c>
      <c r="B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0" spans="1:2" x14ac:dyDescent="0.3">
      <c r="A420" s="1" t="str">
        <f t="shared" si="6"/>
        <v/>
      </c>
      <c r="B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1" spans="1:2" x14ac:dyDescent="0.3">
      <c r="A421" s="1" t="str">
        <f t="shared" si="6"/>
        <v/>
      </c>
      <c r="B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2" spans="1:2"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3" spans="1:2"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4" spans="1:2" x14ac:dyDescent="0.3">
      <c r="A424" s="1" t="str">
        <f t="shared" si="6"/>
        <v/>
      </c>
      <c r="B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5" spans="1:2"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6" spans="1:2"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7" spans="1:2"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8" spans="1:2"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29" spans="1:2"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0" spans="1:2"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1" spans="1:2" x14ac:dyDescent="0.3">
      <c r="A431" s="1" t="str">
        <f t="shared" si="6"/>
        <v/>
      </c>
      <c r="B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2" spans="1:2" x14ac:dyDescent="0.3">
      <c r="A432" s="1" t="str">
        <f t="shared" si="6"/>
        <v/>
      </c>
      <c r="B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3" spans="1:2" x14ac:dyDescent="0.3">
      <c r="A433" s="1" t="str">
        <f t="shared" si="6"/>
        <v/>
      </c>
      <c r="B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4" spans="1:2" x14ac:dyDescent="0.3">
      <c r="A434" s="1" t="str">
        <f t="shared" si="6"/>
        <v/>
      </c>
      <c r="B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5" spans="1:2" x14ac:dyDescent="0.3">
      <c r="A435" s="1" t="str">
        <f t="shared" si="6"/>
        <v/>
      </c>
      <c r="B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6" spans="1:2" x14ac:dyDescent="0.3">
      <c r="A436" s="1" t="str">
        <f t="shared" si="6"/>
        <v/>
      </c>
      <c r="B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7" spans="1:2" x14ac:dyDescent="0.3">
      <c r="A437" s="1" t="str">
        <f t="shared" si="6"/>
        <v/>
      </c>
      <c r="B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8" spans="1:2" x14ac:dyDescent="0.3">
      <c r="A438" s="1" t="str">
        <f t="shared" si="6"/>
        <v/>
      </c>
      <c r="B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39" spans="1:2" x14ac:dyDescent="0.3">
      <c r="A439" s="1" t="str">
        <f t="shared" si="6"/>
        <v/>
      </c>
      <c r="B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0" spans="1:2" x14ac:dyDescent="0.3">
      <c r="A440" s="1" t="str">
        <f t="shared" si="6"/>
        <v/>
      </c>
      <c r="B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1" spans="1:2" x14ac:dyDescent="0.3">
      <c r="A441" s="1" t="str">
        <f t="shared" si="6"/>
        <v/>
      </c>
      <c r="B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2" spans="1:2" x14ac:dyDescent="0.3">
      <c r="A442" s="1" t="str">
        <f t="shared" si="6"/>
        <v/>
      </c>
      <c r="B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3" spans="1:2" x14ac:dyDescent="0.3">
      <c r="A443" s="1" t="str">
        <f t="shared" si="6"/>
        <v/>
      </c>
      <c r="B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4" spans="1:2" x14ac:dyDescent="0.3">
      <c r="A444" s="1" t="str">
        <f t="shared" si="6"/>
        <v/>
      </c>
      <c r="B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5" spans="1:2" x14ac:dyDescent="0.3">
      <c r="A445" s="1" t="str">
        <f t="shared" si="6"/>
        <v/>
      </c>
      <c r="B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6" spans="1:2" x14ac:dyDescent="0.3">
      <c r="A446" s="1" t="str">
        <f t="shared" si="6"/>
        <v/>
      </c>
      <c r="B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7" spans="1:2" x14ac:dyDescent="0.3">
      <c r="A447" s="1" t="str">
        <f t="shared" si="6"/>
        <v/>
      </c>
      <c r="B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8" spans="1:2" x14ac:dyDescent="0.3">
      <c r="A448" s="1" t="str">
        <f t="shared" si="6"/>
        <v/>
      </c>
      <c r="B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49" spans="1:2" x14ac:dyDescent="0.3">
      <c r="A449" s="1" t="str">
        <f t="shared" si="6"/>
        <v/>
      </c>
      <c r="B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0" spans="1:2" x14ac:dyDescent="0.3">
      <c r="A450" s="1" t="str">
        <f t="shared" ref="A450:A513" si="7">IFERROR(LEFT(RIGHT(C450,LEN(C450)-SEARCH("@",C450)),SEARCH("/",RIGHT(C450,LEN(C450)-SEARCH("@",C450)-1))),"")</f>
        <v/>
      </c>
      <c r="B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1" spans="1:2" x14ac:dyDescent="0.3">
      <c r="A451" s="1" t="str">
        <f t="shared" si="7"/>
        <v/>
      </c>
      <c r="B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2" spans="1:2" x14ac:dyDescent="0.3">
      <c r="A452" s="1" t="str">
        <f t="shared" si="7"/>
        <v/>
      </c>
      <c r="B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3" spans="1:2" x14ac:dyDescent="0.3">
      <c r="A453" s="1" t="str">
        <f t="shared" si="7"/>
        <v/>
      </c>
      <c r="B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4" spans="1:2" x14ac:dyDescent="0.3">
      <c r="A454" s="1" t="str">
        <f t="shared" si="7"/>
        <v/>
      </c>
      <c r="B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5" spans="1:2"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6" spans="1:2"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7" spans="1:2" x14ac:dyDescent="0.3">
      <c r="A457" s="1" t="str">
        <f t="shared" si="7"/>
        <v/>
      </c>
      <c r="B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8" spans="1:2"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59" spans="1:2"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0" spans="1:2"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1" spans="1:2"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2" spans="1:2"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3" spans="1:2"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4" spans="1:2" x14ac:dyDescent="0.3">
      <c r="A464" s="1" t="str">
        <f t="shared" si="7"/>
        <v/>
      </c>
      <c r="B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5" spans="1:2" x14ac:dyDescent="0.3">
      <c r="A465" s="1" t="str">
        <f t="shared" si="7"/>
        <v/>
      </c>
      <c r="B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6" spans="1:2" x14ac:dyDescent="0.3">
      <c r="A466" s="1" t="str">
        <f t="shared" si="7"/>
        <v/>
      </c>
      <c r="B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7" spans="1:2" x14ac:dyDescent="0.3">
      <c r="A467" s="1" t="str">
        <f t="shared" si="7"/>
        <v/>
      </c>
      <c r="B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8" spans="1:2" x14ac:dyDescent="0.3">
      <c r="A468" s="1" t="str">
        <f t="shared" si="7"/>
        <v/>
      </c>
      <c r="B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69" spans="1:2" x14ac:dyDescent="0.3">
      <c r="A469" s="1" t="str">
        <f t="shared" si="7"/>
        <v/>
      </c>
      <c r="B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0" spans="1:2" x14ac:dyDescent="0.3">
      <c r="A470" s="1" t="str">
        <f t="shared" si="7"/>
        <v/>
      </c>
      <c r="B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1" spans="1:2" x14ac:dyDescent="0.3">
      <c r="A471" s="1" t="str">
        <f t="shared" si="7"/>
        <v/>
      </c>
      <c r="B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2" spans="1:2" x14ac:dyDescent="0.3">
      <c r="A472" s="1" t="str">
        <f t="shared" si="7"/>
        <v/>
      </c>
      <c r="B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3" spans="1:2" x14ac:dyDescent="0.3">
      <c r="A473" s="1" t="str">
        <f t="shared" si="7"/>
        <v/>
      </c>
      <c r="B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4" spans="1:2" x14ac:dyDescent="0.3">
      <c r="A474" s="1" t="str">
        <f t="shared" si="7"/>
        <v/>
      </c>
      <c r="B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5" spans="1:2" x14ac:dyDescent="0.3">
      <c r="A475" s="1" t="str">
        <f t="shared" si="7"/>
        <v/>
      </c>
      <c r="B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6" spans="1:2" x14ac:dyDescent="0.3">
      <c r="A476" s="1" t="str">
        <f t="shared" si="7"/>
        <v/>
      </c>
      <c r="B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7" spans="1:2" x14ac:dyDescent="0.3">
      <c r="A477" s="1" t="str">
        <f t="shared" si="7"/>
        <v/>
      </c>
      <c r="B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8" spans="1:2" x14ac:dyDescent="0.3">
      <c r="A478" s="1" t="str">
        <f t="shared" si="7"/>
        <v/>
      </c>
      <c r="B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79" spans="1:2" x14ac:dyDescent="0.3">
      <c r="A479" s="1" t="str">
        <f t="shared" si="7"/>
        <v/>
      </c>
      <c r="B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0" spans="1:2" x14ac:dyDescent="0.3">
      <c r="A480" s="1" t="str">
        <f t="shared" si="7"/>
        <v/>
      </c>
      <c r="B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1" spans="1:2" x14ac:dyDescent="0.3">
      <c r="A481" s="1" t="str">
        <f t="shared" si="7"/>
        <v/>
      </c>
      <c r="B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2" spans="1:2" x14ac:dyDescent="0.3">
      <c r="A482" s="1" t="str">
        <f t="shared" si="7"/>
        <v/>
      </c>
      <c r="B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3" spans="1:2" x14ac:dyDescent="0.3">
      <c r="A483" s="1" t="str">
        <f t="shared" si="7"/>
        <v/>
      </c>
      <c r="B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4" spans="1:2" x14ac:dyDescent="0.3">
      <c r="A484" s="1" t="str">
        <f t="shared" si="7"/>
        <v/>
      </c>
      <c r="B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5" spans="1:2" x14ac:dyDescent="0.3">
      <c r="A485" s="1" t="str">
        <f t="shared" si="7"/>
        <v/>
      </c>
      <c r="B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6" spans="1:2" x14ac:dyDescent="0.3">
      <c r="A486" s="1" t="str">
        <f t="shared" si="7"/>
        <v/>
      </c>
      <c r="B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7" spans="1:2" x14ac:dyDescent="0.3">
      <c r="A487" s="1" t="str">
        <f t="shared" si="7"/>
        <v/>
      </c>
      <c r="B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8" spans="1:2"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89" spans="1:2"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0" spans="1:2" x14ac:dyDescent="0.3">
      <c r="A490" s="1" t="str">
        <f t="shared" si="7"/>
        <v/>
      </c>
      <c r="B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1" spans="1:2"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2" spans="1:2"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3" spans="1:2"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4" spans="1:2"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5" spans="1:2"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6" spans="1:2"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7" spans="1:2" x14ac:dyDescent="0.3">
      <c r="A497" s="1" t="str">
        <f t="shared" si="7"/>
        <v/>
      </c>
      <c r="B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8" spans="1:2" x14ac:dyDescent="0.3">
      <c r="A498" s="1" t="str">
        <f t="shared" si="7"/>
        <v/>
      </c>
      <c r="B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499" spans="1:2" x14ac:dyDescent="0.3">
      <c r="A499" s="1" t="str">
        <f t="shared" si="7"/>
        <v/>
      </c>
      <c r="B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0" spans="1:2" x14ac:dyDescent="0.3">
      <c r="A500" s="1" t="str">
        <f t="shared" si="7"/>
        <v/>
      </c>
      <c r="B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1" spans="1:2" x14ac:dyDescent="0.3">
      <c r="A501" s="1" t="str">
        <f t="shared" si="7"/>
        <v/>
      </c>
      <c r="B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2" spans="1:2" x14ac:dyDescent="0.3">
      <c r="A502" s="1" t="str">
        <f t="shared" si="7"/>
        <v/>
      </c>
      <c r="B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3" spans="1:2" x14ac:dyDescent="0.3">
      <c r="A503" s="1" t="str">
        <f t="shared" si="7"/>
        <v/>
      </c>
      <c r="B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4" spans="1:2" x14ac:dyDescent="0.3">
      <c r="A504" s="1" t="str">
        <f t="shared" si="7"/>
        <v/>
      </c>
      <c r="B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5" spans="1:2" x14ac:dyDescent="0.3">
      <c r="A505" s="1" t="str">
        <f t="shared" si="7"/>
        <v/>
      </c>
      <c r="B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6" spans="1:2" x14ac:dyDescent="0.3">
      <c r="A506" s="1" t="str">
        <f t="shared" si="7"/>
        <v/>
      </c>
      <c r="B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7" spans="1:2" x14ac:dyDescent="0.3">
      <c r="A507" s="1" t="str">
        <f t="shared" si="7"/>
        <v/>
      </c>
      <c r="B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8" spans="1:2" x14ac:dyDescent="0.3">
      <c r="A508" s="1" t="str">
        <f t="shared" si="7"/>
        <v/>
      </c>
      <c r="B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09" spans="1:2" x14ac:dyDescent="0.3">
      <c r="A509" s="1" t="str">
        <f t="shared" si="7"/>
        <v/>
      </c>
      <c r="B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0" spans="1:2" x14ac:dyDescent="0.3">
      <c r="A510" s="1" t="str">
        <f t="shared" si="7"/>
        <v/>
      </c>
      <c r="B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1" spans="1:2" x14ac:dyDescent="0.3">
      <c r="A511" s="1" t="str">
        <f t="shared" si="7"/>
        <v/>
      </c>
      <c r="B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2" spans="1:2" x14ac:dyDescent="0.3">
      <c r="A512" s="1" t="str">
        <f t="shared" si="7"/>
        <v/>
      </c>
      <c r="B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3" spans="1:2" x14ac:dyDescent="0.3">
      <c r="A513" s="1" t="str">
        <f t="shared" si="7"/>
        <v/>
      </c>
      <c r="B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4" spans="1:2" x14ac:dyDescent="0.3">
      <c r="A514" s="1" t="str">
        <f t="shared" ref="A514:A577" si="8">IFERROR(LEFT(RIGHT(C514,LEN(C514)-SEARCH("@",C514)),SEARCH("/",RIGHT(C514,LEN(C514)-SEARCH("@",C514)-1))),"")</f>
        <v/>
      </c>
      <c r="B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5" spans="1:2" x14ac:dyDescent="0.3">
      <c r="A515" s="1" t="str">
        <f t="shared" si="8"/>
        <v/>
      </c>
      <c r="B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6" spans="1:2" x14ac:dyDescent="0.3">
      <c r="A516" s="1" t="str">
        <f t="shared" si="8"/>
        <v/>
      </c>
      <c r="B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7" spans="1:2" x14ac:dyDescent="0.3">
      <c r="A517" s="1" t="str">
        <f t="shared" si="8"/>
        <v/>
      </c>
      <c r="B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8" spans="1:2" x14ac:dyDescent="0.3">
      <c r="A518" s="1" t="str">
        <f t="shared" si="8"/>
        <v/>
      </c>
      <c r="B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19" spans="1:2" x14ac:dyDescent="0.3">
      <c r="A519" s="1" t="str">
        <f t="shared" si="8"/>
        <v/>
      </c>
      <c r="B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0" spans="1:2" x14ac:dyDescent="0.3">
      <c r="A520" s="1" t="str">
        <f t="shared" si="8"/>
        <v/>
      </c>
      <c r="B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1" spans="1:2"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2" spans="1:2"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3" spans="1:2" x14ac:dyDescent="0.3">
      <c r="A523" s="1" t="str">
        <f t="shared" si="8"/>
        <v/>
      </c>
      <c r="B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4" spans="1:2"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5" spans="1:2"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6" spans="1:2"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7" spans="1:2"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8" spans="1:2"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29" spans="1:2"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0" spans="1:2" x14ac:dyDescent="0.3">
      <c r="A530" s="1" t="str">
        <f t="shared" si="8"/>
        <v/>
      </c>
      <c r="B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1" spans="1:2" x14ac:dyDescent="0.3">
      <c r="A531" s="1" t="str">
        <f t="shared" si="8"/>
        <v/>
      </c>
      <c r="B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2" spans="1:2" x14ac:dyDescent="0.3">
      <c r="A532" s="1" t="str">
        <f t="shared" si="8"/>
        <v/>
      </c>
      <c r="B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3" spans="1:2" x14ac:dyDescent="0.3">
      <c r="A533" s="1" t="str">
        <f t="shared" si="8"/>
        <v/>
      </c>
      <c r="B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4" spans="1:2" x14ac:dyDescent="0.3">
      <c r="A534" s="1" t="str">
        <f t="shared" si="8"/>
        <v/>
      </c>
      <c r="B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5" spans="1:2" x14ac:dyDescent="0.3">
      <c r="A535" s="1" t="str">
        <f t="shared" si="8"/>
        <v/>
      </c>
      <c r="B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6" spans="1:2" x14ac:dyDescent="0.3">
      <c r="A536" s="1" t="str">
        <f t="shared" si="8"/>
        <v/>
      </c>
      <c r="B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7" spans="1:2" x14ac:dyDescent="0.3">
      <c r="A537" s="1" t="str">
        <f t="shared" si="8"/>
        <v/>
      </c>
      <c r="B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8" spans="1:2" x14ac:dyDescent="0.3">
      <c r="A538" s="1" t="str">
        <f t="shared" si="8"/>
        <v/>
      </c>
      <c r="B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39" spans="1:2" x14ac:dyDescent="0.3">
      <c r="A539" s="1" t="str">
        <f t="shared" si="8"/>
        <v/>
      </c>
      <c r="B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0" spans="1:2" x14ac:dyDescent="0.3">
      <c r="A540" s="1" t="str">
        <f t="shared" si="8"/>
        <v/>
      </c>
      <c r="B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1" spans="1:2" x14ac:dyDescent="0.3">
      <c r="A541" s="1" t="str">
        <f t="shared" si="8"/>
        <v/>
      </c>
      <c r="B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2" spans="1:2" x14ac:dyDescent="0.3">
      <c r="A542" s="1" t="str">
        <f t="shared" si="8"/>
        <v/>
      </c>
      <c r="B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3" spans="1:2" x14ac:dyDescent="0.3">
      <c r="A543" s="1" t="str">
        <f t="shared" si="8"/>
        <v/>
      </c>
      <c r="B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4" spans="1:2" x14ac:dyDescent="0.3">
      <c r="A544" s="1" t="str">
        <f t="shared" si="8"/>
        <v/>
      </c>
      <c r="B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5" spans="1:2" x14ac:dyDescent="0.3">
      <c r="A545" s="1" t="str">
        <f t="shared" si="8"/>
        <v/>
      </c>
      <c r="B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6" spans="1:2" x14ac:dyDescent="0.3">
      <c r="A546" s="1" t="str">
        <f t="shared" si="8"/>
        <v/>
      </c>
      <c r="B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7" spans="1:2" x14ac:dyDescent="0.3">
      <c r="A547" s="1" t="str">
        <f t="shared" si="8"/>
        <v/>
      </c>
      <c r="B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8" spans="1:2" x14ac:dyDescent="0.3">
      <c r="A548" s="1" t="str">
        <f t="shared" si="8"/>
        <v/>
      </c>
      <c r="B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49" spans="1:2" x14ac:dyDescent="0.3">
      <c r="A549" s="1" t="str">
        <f t="shared" si="8"/>
        <v/>
      </c>
      <c r="B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0" spans="1:2" x14ac:dyDescent="0.3">
      <c r="A550" s="1" t="str">
        <f t="shared" si="8"/>
        <v/>
      </c>
      <c r="B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1" spans="1:2" x14ac:dyDescent="0.3">
      <c r="A551" s="1" t="str">
        <f t="shared" si="8"/>
        <v/>
      </c>
      <c r="B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2" spans="1:2" x14ac:dyDescent="0.3">
      <c r="A552" s="1" t="str">
        <f t="shared" si="8"/>
        <v/>
      </c>
      <c r="B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3" spans="1:2" x14ac:dyDescent="0.3">
      <c r="A553" s="1" t="str">
        <f t="shared" si="8"/>
        <v/>
      </c>
      <c r="B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4" spans="1:2"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5" spans="1:2"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6" spans="1:2" x14ac:dyDescent="0.3">
      <c r="A556" s="1" t="str">
        <f t="shared" si="8"/>
        <v/>
      </c>
      <c r="B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7" spans="1:2"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8" spans="1:2"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59" spans="1:2"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0" spans="1:2"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1" spans="1:2"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2" spans="1:2"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3" spans="1:2" x14ac:dyDescent="0.3">
      <c r="A563" s="1" t="str">
        <f t="shared" si="8"/>
        <v/>
      </c>
      <c r="B5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4" spans="1:2" x14ac:dyDescent="0.3">
      <c r="A564" s="1" t="str">
        <f t="shared" si="8"/>
        <v/>
      </c>
      <c r="B5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5" spans="1:2" x14ac:dyDescent="0.3">
      <c r="A565" s="1" t="str">
        <f t="shared" si="8"/>
        <v/>
      </c>
      <c r="B5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6" spans="1:2" x14ac:dyDescent="0.3">
      <c r="A566" s="1" t="str">
        <f t="shared" si="8"/>
        <v/>
      </c>
      <c r="B5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7" spans="1:2" x14ac:dyDescent="0.3">
      <c r="A567" s="1" t="str">
        <f t="shared" si="8"/>
        <v/>
      </c>
      <c r="B5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8" spans="1:2" x14ac:dyDescent="0.3">
      <c r="A568" s="1" t="str">
        <f t="shared" si="8"/>
        <v/>
      </c>
      <c r="B5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69" spans="1:2" x14ac:dyDescent="0.3">
      <c r="A569" s="1" t="str">
        <f t="shared" si="8"/>
        <v/>
      </c>
      <c r="B5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0" spans="1:2" x14ac:dyDescent="0.3">
      <c r="A570" s="1" t="str">
        <f t="shared" si="8"/>
        <v/>
      </c>
      <c r="B5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1" spans="1:2" x14ac:dyDescent="0.3">
      <c r="A571" s="1" t="str">
        <f t="shared" si="8"/>
        <v/>
      </c>
      <c r="B5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2" spans="1:2" x14ac:dyDescent="0.3">
      <c r="A572" s="1" t="str">
        <f t="shared" si="8"/>
        <v/>
      </c>
      <c r="B5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3" spans="1:2" x14ac:dyDescent="0.3">
      <c r="A573" s="1" t="str">
        <f t="shared" si="8"/>
        <v/>
      </c>
      <c r="B5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4" spans="1:2" x14ac:dyDescent="0.3">
      <c r="A574" s="1" t="str">
        <f t="shared" si="8"/>
        <v/>
      </c>
      <c r="B5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5" spans="1:2" x14ac:dyDescent="0.3">
      <c r="A575" s="1" t="str">
        <f t="shared" si="8"/>
        <v/>
      </c>
      <c r="B5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6" spans="1:2" x14ac:dyDescent="0.3">
      <c r="A576" s="1" t="str">
        <f t="shared" si="8"/>
        <v/>
      </c>
      <c r="B5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7" spans="1:2" x14ac:dyDescent="0.3">
      <c r="A577" s="1" t="str">
        <f t="shared" si="8"/>
        <v/>
      </c>
      <c r="B5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8" spans="1:2" x14ac:dyDescent="0.3">
      <c r="A578" s="1" t="str">
        <f t="shared" ref="A578:A641" si="9">IFERROR(LEFT(RIGHT(C578,LEN(C578)-SEARCH("@",C578)),SEARCH("/",RIGHT(C578,LEN(C578)-SEARCH("@",C578)-1))),"")</f>
        <v/>
      </c>
      <c r="B5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79" spans="1:2" x14ac:dyDescent="0.3">
      <c r="A579" s="1" t="str">
        <f t="shared" si="9"/>
        <v/>
      </c>
      <c r="B5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0" spans="1:2" x14ac:dyDescent="0.3">
      <c r="A580" s="1" t="str">
        <f t="shared" si="9"/>
        <v/>
      </c>
      <c r="B5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1" spans="1:2" x14ac:dyDescent="0.3">
      <c r="A581" s="1" t="str">
        <f t="shared" si="9"/>
        <v/>
      </c>
      <c r="B5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2" spans="1:2" x14ac:dyDescent="0.3">
      <c r="A582" s="1" t="str">
        <f t="shared" si="9"/>
        <v/>
      </c>
      <c r="B5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3" spans="1:2" x14ac:dyDescent="0.3">
      <c r="A583" s="1" t="str">
        <f t="shared" si="9"/>
        <v/>
      </c>
      <c r="B5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4" spans="1:2" x14ac:dyDescent="0.3">
      <c r="A584" s="1" t="str">
        <f t="shared" si="9"/>
        <v/>
      </c>
      <c r="B5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5" spans="1:2" x14ac:dyDescent="0.3">
      <c r="A585" s="1" t="str">
        <f t="shared" si="9"/>
        <v/>
      </c>
      <c r="B5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6" spans="1:2" x14ac:dyDescent="0.3">
      <c r="A586" s="1" t="str">
        <f t="shared" si="9"/>
        <v/>
      </c>
      <c r="B5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7" spans="1:2"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8" spans="1:2"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89" spans="1:2" x14ac:dyDescent="0.3">
      <c r="A589" s="1" t="str">
        <f t="shared" si="9"/>
        <v/>
      </c>
      <c r="B5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0" spans="1:2"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1" spans="1:2"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2" spans="1:2"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3" spans="1:2"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4" spans="1:2"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5" spans="1:2"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6" spans="1:2" x14ac:dyDescent="0.3">
      <c r="A596" s="1" t="str">
        <f t="shared" si="9"/>
        <v/>
      </c>
      <c r="B5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7" spans="1:2" x14ac:dyDescent="0.3">
      <c r="A597" s="1" t="str">
        <f t="shared" si="9"/>
        <v/>
      </c>
      <c r="B5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8" spans="1:2" x14ac:dyDescent="0.3">
      <c r="A598" s="1" t="str">
        <f t="shared" si="9"/>
        <v/>
      </c>
      <c r="B5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599" spans="1:2" x14ac:dyDescent="0.3">
      <c r="A599" s="1" t="str">
        <f t="shared" si="9"/>
        <v/>
      </c>
      <c r="B5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0" spans="1:2" x14ac:dyDescent="0.3">
      <c r="A600" s="1" t="str">
        <f t="shared" si="9"/>
        <v/>
      </c>
      <c r="B6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1" spans="1:2" x14ac:dyDescent="0.3">
      <c r="A601" s="1" t="str">
        <f t="shared" si="9"/>
        <v/>
      </c>
      <c r="B6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2" spans="1:2" x14ac:dyDescent="0.3">
      <c r="A602" s="1" t="str">
        <f t="shared" si="9"/>
        <v/>
      </c>
      <c r="B6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3" spans="1:2" x14ac:dyDescent="0.3">
      <c r="A603" s="1" t="str">
        <f t="shared" si="9"/>
        <v/>
      </c>
      <c r="B6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4" spans="1:2" x14ac:dyDescent="0.3">
      <c r="A604" s="1" t="str">
        <f t="shared" si="9"/>
        <v/>
      </c>
      <c r="B6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5" spans="1:2" x14ac:dyDescent="0.3">
      <c r="A605" s="1" t="str">
        <f t="shared" si="9"/>
        <v/>
      </c>
      <c r="B6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6" spans="1:2" x14ac:dyDescent="0.3">
      <c r="A606" s="1" t="str">
        <f t="shared" si="9"/>
        <v/>
      </c>
      <c r="B6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7" spans="1:2" x14ac:dyDescent="0.3">
      <c r="A607" s="1" t="str">
        <f t="shared" si="9"/>
        <v/>
      </c>
      <c r="B6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8" spans="1:2" x14ac:dyDescent="0.3">
      <c r="A608" s="1" t="str">
        <f t="shared" si="9"/>
        <v/>
      </c>
      <c r="B6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09" spans="1:2" x14ac:dyDescent="0.3">
      <c r="A609" s="1" t="str">
        <f t="shared" si="9"/>
        <v/>
      </c>
      <c r="B6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0" spans="1:2" x14ac:dyDescent="0.3">
      <c r="A610" s="1" t="str">
        <f t="shared" si="9"/>
        <v/>
      </c>
      <c r="B6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1" spans="1:2" x14ac:dyDescent="0.3">
      <c r="A611" s="1" t="str">
        <f t="shared" si="9"/>
        <v/>
      </c>
      <c r="B6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2" spans="1:2" x14ac:dyDescent="0.3">
      <c r="A612" s="1" t="str">
        <f t="shared" si="9"/>
        <v/>
      </c>
      <c r="B6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3" spans="1:2" x14ac:dyDescent="0.3">
      <c r="A613" s="1" t="str">
        <f t="shared" si="9"/>
        <v/>
      </c>
      <c r="B6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4" spans="1:2" x14ac:dyDescent="0.3">
      <c r="A614" s="1" t="str">
        <f t="shared" si="9"/>
        <v/>
      </c>
      <c r="B6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5" spans="1:2" x14ac:dyDescent="0.3">
      <c r="A615" s="1" t="str">
        <f t="shared" si="9"/>
        <v/>
      </c>
      <c r="B6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6" spans="1:2" x14ac:dyDescent="0.3">
      <c r="A616" s="1" t="str">
        <f t="shared" si="9"/>
        <v/>
      </c>
      <c r="B6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7" spans="1:2" x14ac:dyDescent="0.3">
      <c r="A617" s="1" t="str">
        <f t="shared" si="9"/>
        <v/>
      </c>
      <c r="B6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8" spans="1:2" x14ac:dyDescent="0.3">
      <c r="A618" s="1" t="str">
        <f t="shared" si="9"/>
        <v/>
      </c>
      <c r="B6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19" spans="1:2" x14ac:dyDescent="0.3">
      <c r="A619" s="1" t="str">
        <f t="shared" si="9"/>
        <v/>
      </c>
      <c r="B6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0" spans="1:2"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1" spans="1:2"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2" spans="1:2" x14ac:dyDescent="0.3">
      <c r="A622" s="1" t="str">
        <f t="shared" si="9"/>
        <v/>
      </c>
      <c r="B6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3" spans="1:2"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4" spans="1:2"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5" spans="1:2"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6" spans="1:2"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7" spans="1:2"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8" spans="1:2"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29" spans="1:2" x14ac:dyDescent="0.3">
      <c r="A629" s="1" t="str">
        <f t="shared" si="9"/>
        <v/>
      </c>
      <c r="B6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0" spans="1:2" x14ac:dyDescent="0.3">
      <c r="A630" s="1" t="str">
        <f t="shared" si="9"/>
        <v/>
      </c>
      <c r="B6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1" spans="1:2" x14ac:dyDescent="0.3">
      <c r="A631" s="1" t="str">
        <f t="shared" si="9"/>
        <v/>
      </c>
      <c r="B6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2" spans="1:2" x14ac:dyDescent="0.3">
      <c r="A632" s="1" t="str">
        <f t="shared" si="9"/>
        <v/>
      </c>
      <c r="B6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3" spans="1:2" x14ac:dyDescent="0.3">
      <c r="A633" s="1" t="str">
        <f t="shared" si="9"/>
        <v/>
      </c>
      <c r="B6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4" spans="1:2" x14ac:dyDescent="0.3">
      <c r="A634" s="1" t="str">
        <f t="shared" si="9"/>
        <v/>
      </c>
      <c r="B6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5" spans="1:2" x14ac:dyDescent="0.3">
      <c r="A635" s="1" t="str">
        <f t="shared" si="9"/>
        <v/>
      </c>
      <c r="B6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6" spans="1:2" x14ac:dyDescent="0.3">
      <c r="A636" s="1" t="str">
        <f t="shared" si="9"/>
        <v/>
      </c>
      <c r="B6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7" spans="1:2" x14ac:dyDescent="0.3">
      <c r="A637" s="1" t="str">
        <f t="shared" si="9"/>
        <v/>
      </c>
      <c r="B6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8" spans="1:2" x14ac:dyDescent="0.3">
      <c r="A638" s="1" t="str">
        <f t="shared" si="9"/>
        <v/>
      </c>
      <c r="B6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39" spans="1:2" x14ac:dyDescent="0.3">
      <c r="A639" s="1" t="str">
        <f t="shared" si="9"/>
        <v/>
      </c>
      <c r="B6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0" spans="1:2" x14ac:dyDescent="0.3">
      <c r="A640" s="1" t="str">
        <f t="shared" si="9"/>
        <v/>
      </c>
      <c r="B6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1" spans="1:2" x14ac:dyDescent="0.3">
      <c r="A641" s="1" t="str">
        <f t="shared" si="9"/>
        <v/>
      </c>
      <c r="B6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2" spans="1:2" x14ac:dyDescent="0.3">
      <c r="A642" s="1" t="str">
        <f t="shared" ref="A642:A705" si="10">IFERROR(LEFT(RIGHT(C642,LEN(C642)-SEARCH("@",C642)),SEARCH("/",RIGHT(C642,LEN(C642)-SEARCH("@",C642)-1))),"")</f>
        <v/>
      </c>
      <c r="B6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3" spans="1:2" x14ac:dyDescent="0.3">
      <c r="A643" s="1" t="str">
        <f t="shared" si="10"/>
        <v/>
      </c>
      <c r="B6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4" spans="1:2" x14ac:dyDescent="0.3">
      <c r="A644" s="1" t="str">
        <f t="shared" si="10"/>
        <v/>
      </c>
      <c r="B6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5" spans="1:2" x14ac:dyDescent="0.3">
      <c r="A645" s="1" t="str">
        <f t="shared" si="10"/>
        <v/>
      </c>
      <c r="B6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6" spans="1:2" x14ac:dyDescent="0.3">
      <c r="A646" s="1" t="str">
        <f t="shared" si="10"/>
        <v/>
      </c>
      <c r="B6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7" spans="1:2" x14ac:dyDescent="0.3">
      <c r="A647" s="1" t="str">
        <f t="shared" si="10"/>
        <v/>
      </c>
      <c r="B6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8" spans="1:2" x14ac:dyDescent="0.3">
      <c r="A648" s="1" t="str">
        <f t="shared" si="10"/>
        <v/>
      </c>
      <c r="B6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49" spans="1:2" x14ac:dyDescent="0.3">
      <c r="A649" s="1" t="str">
        <f t="shared" si="10"/>
        <v/>
      </c>
      <c r="B6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0" spans="1:2" x14ac:dyDescent="0.3">
      <c r="A650" s="1" t="str">
        <f t="shared" si="10"/>
        <v/>
      </c>
      <c r="B6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1" spans="1:2" x14ac:dyDescent="0.3">
      <c r="A651" s="1" t="str">
        <f t="shared" si="10"/>
        <v/>
      </c>
      <c r="B6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2" spans="1:2" x14ac:dyDescent="0.3">
      <c r="A652" s="1" t="str">
        <f t="shared" si="10"/>
        <v/>
      </c>
      <c r="B6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3" spans="1:2"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4" spans="1:2"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5" spans="1:2" x14ac:dyDescent="0.3">
      <c r="A655" s="1" t="str">
        <f t="shared" si="10"/>
        <v/>
      </c>
      <c r="B6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6" spans="1:2"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7" spans="1:2"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8" spans="1:2"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59" spans="1:2"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0" spans="1:2"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1" spans="1:2"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2" spans="1:2" x14ac:dyDescent="0.3">
      <c r="A662" s="1" t="str">
        <f t="shared" si="10"/>
        <v/>
      </c>
      <c r="B6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3" spans="1:2" x14ac:dyDescent="0.3">
      <c r="A663" s="1" t="str">
        <f t="shared" si="10"/>
        <v/>
      </c>
      <c r="B6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4" spans="1:2" x14ac:dyDescent="0.3">
      <c r="A664" s="1" t="str">
        <f t="shared" si="10"/>
        <v/>
      </c>
      <c r="B6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5" spans="1:2" x14ac:dyDescent="0.3">
      <c r="A665" s="1" t="str">
        <f t="shared" si="10"/>
        <v/>
      </c>
      <c r="B6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6" spans="1:2" x14ac:dyDescent="0.3">
      <c r="A666" s="1" t="str">
        <f t="shared" si="10"/>
        <v/>
      </c>
      <c r="B6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7" spans="1:2" x14ac:dyDescent="0.3">
      <c r="A667" s="1" t="str">
        <f t="shared" si="10"/>
        <v/>
      </c>
      <c r="B6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8" spans="1:2" x14ac:dyDescent="0.3">
      <c r="A668" s="1" t="str">
        <f t="shared" si="10"/>
        <v/>
      </c>
      <c r="B6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69" spans="1:2" x14ac:dyDescent="0.3">
      <c r="A669" s="1" t="str">
        <f t="shared" si="10"/>
        <v/>
      </c>
      <c r="B6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0" spans="1:2" x14ac:dyDescent="0.3">
      <c r="A670" s="1" t="str">
        <f t="shared" si="10"/>
        <v/>
      </c>
      <c r="B6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1" spans="1:2" x14ac:dyDescent="0.3">
      <c r="A671" s="1" t="str">
        <f t="shared" si="10"/>
        <v/>
      </c>
      <c r="B6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2" spans="1:2" x14ac:dyDescent="0.3">
      <c r="A672" s="1" t="str">
        <f t="shared" si="10"/>
        <v/>
      </c>
      <c r="B6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3" spans="1:2" x14ac:dyDescent="0.3">
      <c r="A673" s="1" t="str">
        <f t="shared" si="10"/>
        <v/>
      </c>
      <c r="B6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4" spans="1:2" x14ac:dyDescent="0.3">
      <c r="A674" s="1" t="str">
        <f t="shared" si="10"/>
        <v/>
      </c>
      <c r="B6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5" spans="1:2" x14ac:dyDescent="0.3">
      <c r="A675" s="1" t="str">
        <f t="shared" si="10"/>
        <v/>
      </c>
      <c r="B6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6" spans="1:2" x14ac:dyDescent="0.3">
      <c r="A676" s="1" t="str">
        <f t="shared" si="10"/>
        <v/>
      </c>
      <c r="B6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7" spans="1:2" x14ac:dyDescent="0.3">
      <c r="A677" s="1" t="str">
        <f t="shared" si="10"/>
        <v/>
      </c>
      <c r="B6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8" spans="1:2" x14ac:dyDescent="0.3">
      <c r="A678" s="1" t="str">
        <f t="shared" si="10"/>
        <v/>
      </c>
      <c r="B6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79" spans="1:2" x14ac:dyDescent="0.3">
      <c r="A679" s="1" t="str">
        <f t="shared" si="10"/>
        <v/>
      </c>
      <c r="B6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0" spans="1:2" x14ac:dyDescent="0.3">
      <c r="A680" s="1" t="str">
        <f t="shared" si="10"/>
        <v/>
      </c>
      <c r="B6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1" spans="1:2" x14ac:dyDescent="0.3">
      <c r="A681" s="1" t="str">
        <f t="shared" si="10"/>
        <v/>
      </c>
      <c r="B6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2" spans="1:2" x14ac:dyDescent="0.3">
      <c r="A682" s="1" t="str">
        <f t="shared" si="10"/>
        <v/>
      </c>
      <c r="B6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3" spans="1:2" x14ac:dyDescent="0.3">
      <c r="A683" s="1" t="str">
        <f t="shared" si="10"/>
        <v/>
      </c>
      <c r="B6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4" spans="1:2" x14ac:dyDescent="0.3">
      <c r="A684" s="1" t="str">
        <f t="shared" si="10"/>
        <v/>
      </c>
      <c r="B6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5" spans="1:2" x14ac:dyDescent="0.3">
      <c r="A685" s="1" t="str">
        <f t="shared" si="10"/>
        <v/>
      </c>
      <c r="B6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6" spans="1:2"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7" spans="1:2"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8" spans="1:2" x14ac:dyDescent="0.3">
      <c r="A688" s="1" t="str">
        <f t="shared" si="10"/>
        <v/>
      </c>
      <c r="B6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89" spans="1:2"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0" spans="1:2"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1" spans="1:2"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2"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2"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2"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2"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2"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2"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2"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2"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2"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2"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2"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2"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2"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M11:XFD11 A1:J2 A1558:XFD1048576 AI18:XFD38 C39:XFD1557 C11:K11 C3:J10 EO1:XFD10 C19:K38 K5 C12:XFD13 C14:J18 M14:XFD17 K1:L4 A3:B1557">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tabSelected="1" zoomScale="85" zoomScaleNormal="85" zoomScaleSheetLayoutView="40" zoomScalePageLayoutView="30" workbookViewId="0">
      <pane xSplit="1" topLeftCell="B1" activePane="topRight" state="frozen"/>
      <selection pane="topRight" activeCell="E10" sqref="E10"/>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3" t="s">
        <v>40</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c r="A2"/>
      <c r="B2"/>
      <c r="C2"/>
      <c r="D2"/>
      <c r="E2"/>
      <c r="F2"/>
      <c r="G2"/>
      <c r="H2"/>
      <c r="I2"/>
      <c r="J2"/>
      <c r="K2"/>
      <c r="L2"/>
      <c r="M2"/>
      <c r="S2"/>
      <c r="T2"/>
      <c r="U2"/>
      <c r="V2"/>
    </row>
    <row r="3" spans="1:22" ht="15" thickBot="1" x14ac:dyDescent="0.35">
      <c r="A3" s="51" t="s">
        <v>17</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Atenolol-0.01mg/L</v>
      </c>
      <c r="J4" s="35" t="str">
        <f>'Page de garde'!A16</f>
        <v>Atenolol-0.1mg/L</v>
      </c>
      <c r="K4" s="35" t="str">
        <f>'Page de garde'!A17</f>
        <v>Atenolol-1mg/L</v>
      </c>
      <c r="L4" s="35" t="str">
        <f>'Page de garde'!A18</f>
        <v>Atenolol-10mg/L</v>
      </c>
      <c r="M4" s="35" t="str">
        <f>'Page de garde'!A19</f>
        <v>Atenolol-100mg/L</v>
      </c>
      <c r="N4" s="3"/>
      <c r="O4" s="36" t="str">
        <f>'Page de garde'!A36</f>
        <v>Testo -30µg/L</v>
      </c>
      <c r="P4" s="36" t="str">
        <f>'Page de garde'!A37</f>
        <v>Testo 30µg/L + EE2 -64ng/L</v>
      </c>
      <c r="Q4" s="36" t="str">
        <f>'Page de garde'!A38</f>
        <v>Testo 30µg/L + FAD-10µg/L</v>
      </c>
      <c r="R4" s="36" t="str">
        <f>'Page de garde'!A39</f>
        <v>Atenolol-0.01mg/L + Testostérone</v>
      </c>
      <c r="S4" s="36" t="str">
        <f>'Page de garde'!A40</f>
        <v>Atenolol-0.1mg/L + Testostérone</v>
      </c>
      <c r="T4" s="36" t="str">
        <f>'Page de garde'!A41</f>
        <v>Atenolol-1mg/L + Testostérone</v>
      </c>
      <c r="U4" s="36" t="str">
        <f>'Page de garde'!A42</f>
        <v>Atenolol-10mg/L + Testostérone</v>
      </c>
      <c r="V4" s="36" t="str">
        <f>'Page de garde'!A43</f>
        <v>Atenolol-100mg/L + Testostérone</v>
      </c>
    </row>
    <row r="5" spans="1:22" x14ac:dyDescent="0.3">
      <c r="A5" s="217" t="s">
        <v>33</v>
      </c>
      <c r="B5" s="1">
        <v>5158</v>
      </c>
      <c r="C5" s="1">
        <v>3445</v>
      </c>
      <c r="D5" s="1">
        <v>59683</v>
      </c>
      <c r="E5" s="1">
        <v>4991516</v>
      </c>
      <c r="F5" s="1">
        <v>534769</v>
      </c>
      <c r="G5" s="1">
        <v>2408938</v>
      </c>
      <c r="H5" s="1">
        <v>9780353</v>
      </c>
      <c r="I5" s="1">
        <v>1076</v>
      </c>
      <c r="J5" s="1">
        <v>55445</v>
      </c>
      <c r="K5" s="1">
        <v>77333</v>
      </c>
      <c r="L5" s="1">
        <v>1926</v>
      </c>
      <c r="M5" s="1">
        <v>24466</v>
      </c>
      <c r="N5" s="3"/>
      <c r="O5" s="1">
        <v>410421</v>
      </c>
      <c r="P5" s="1">
        <v>7172653</v>
      </c>
      <c r="Q5" s="1">
        <v>8233</v>
      </c>
      <c r="R5" s="1">
        <v>580187</v>
      </c>
      <c r="S5" s="1">
        <v>1135554</v>
      </c>
      <c r="T5" s="1">
        <v>451043</v>
      </c>
      <c r="U5" s="1">
        <v>1251507</v>
      </c>
      <c r="V5" s="1">
        <v>2423272</v>
      </c>
    </row>
    <row r="6" spans="1:22" x14ac:dyDescent="0.3">
      <c r="A6" s="218"/>
      <c r="B6" s="1">
        <v>15972</v>
      </c>
      <c r="C6" s="1">
        <v>25483</v>
      </c>
      <c r="D6" s="1">
        <v>3644</v>
      </c>
      <c r="E6" s="1">
        <v>53066</v>
      </c>
      <c r="F6" s="1">
        <v>94758</v>
      </c>
      <c r="G6" s="1">
        <v>6910573</v>
      </c>
      <c r="H6" s="1">
        <v>6707182</v>
      </c>
      <c r="I6" s="1">
        <v>25906</v>
      </c>
      <c r="J6" s="1">
        <v>1845</v>
      </c>
      <c r="K6" s="1">
        <v>76430</v>
      </c>
      <c r="L6" s="1">
        <v>229</v>
      </c>
      <c r="M6" s="1">
        <v>2184</v>
      </c>
      <c r="N6" s="3"/>
      <c r="O6" s="1">
        <v>4517877</v>
      </c>
      <c r="P6" s="1">
        <v>609423</v>
      </c>
      <c r="Q6" s="1">
        <v>1698</v>
      </c>
      <c r="R6" s="1">
        <v>67015</v>
      </c>
      <c r="S6" s="1">
        <v>843221</v>
      </c>
      <c r="T6" s="1">
        <v>1043141</v>
      </c>
      <c r="U6" s="1">
        <v>1427169</v>
      </c>
      <c r="V6" s="1">
        <v>518079</v>
      </c>
    </row>
    <row r="7" spans="1:22" x14ac:dyDescent="0.3">
      <c r="A7" s="218"/>
      <c r="B7" s="1">
        <v>216</v>
      </c>
      <c r="C7" s="1">
        <v>78530</v>
      </c>
      <c r="D7" s="1">
        <v>3452</v>
      </c>
      <c r="E7" s="1">
        <v>22372</v>
      </c>
      <c r="F7" s="1">
        <v>5686033</v>
      </c>
      <c r="G7" s="1">
        <v>2453930</v>
      </c>
      <c r="H7" s="1">
        <v>5419065</v>
      </c>
      <c r="I7" s="1">
        <v>971</v>
      </c>
      <c r="J7" s="1">
        <v>6674</v>
      </c>
      <c r="K7" s="1">
        <v>1047</v>
      </c>
      <c r="L7" s="1">
        <v>206</v>
      </c>
      <c r="M7" s="1">
        <v>24170</v>
      </c>
      <c r="N7" s="3"/>
      <c r="O7" s="1">
        <v>12763</v>
      </c>
      <c r="P7" s="1">
        <v>13706619</v>
      </c>
      <c r="Q7" s="1">
        <v>57695</v>
      </c>
      <c r="R7" s="1">
        <v>1592848</v>
      </c>
      <c r="S7" s="1">
        <v>33860</v>
      </c>
      <c r="T7" s="1">
        <v>1809776</v>
      </c>
      <c r="U7" s="1">
        <v>1814932</v>
      </c>
      <c r="V7" s="1">
        <v>148437</v>
      </c>
    </row>
    <row r="8" spans="1:22" x14ac:dyDescent="0.3">
      <c r="A8" s="218"/>
      <c r="B8" s="1">
        <v>11862</v>
      </c>
      <c r="C8" s="1">
        <v>8174</v>
      </c>
      <c r="D8" s="1">
        <v>17256</v>
      </c>
      <c r="E8" s="1">
        <v>30209</v>
      </c>
      <c r="F8" s="1">
        <v>255564</v>
      </c>
      <c r="G8" s="1">
        <v>1437421</v>
      </c>
      <c r="H8" s="1">
        <v>6432926</v>
      </c>
      <c r="I8" s="1">
        <v>41446</v>
      </c>
      <c r="J8" s="1">
        <v>55544</v>
      </c>
      <c r="K8" s="1">
        <v>9932</v>
      </c>
      <c r="L8" s="1">
        <v>89940</v>
      </c>
      <c r="M8" s="1">
        <v>6510</v>
      </c>
      <c r="N8" s="3"/>
      <c r="O8" s="1">
        <v>7574</v>
      </c>
      <c r="P8" s="1">
        <v>6426942</v>
      </c>
      <c r="Q8" s="1">
        <v>4157</v>
      </c>
      <c r="R8" s="1">
        <v>1607410</v>
      </c>
      <c r="S8" s="1">
        <v>2943743</v>
      </c>
      <c r="T8" s="1">
        <v>8628</v>
      </c>
      <c r="U8" s="1">
        <v>2830045</v>
      </c>
      <c r="V8" s="1">
        <v>601148</v>
      </c>
    </row>
    <row r="9" spans="1:22" x14ac:dyDescent="0.3">
      <c r="A9" s="218"/>
      <c r="B9" s="1">
        <v>717</v>
      </c>
      <c r="C9" s="1">
        <v>25093</v>
      </c>
      <c r="D9" s="1">
        <v>6400</v>
      </c>
      <c r="E9" s="1">
        <v>91219</v>
      </c>
      <c r="F9" s="1">
        <v>36878</v>
      </c>
      <c r="G9" s="1">
        <v>495498</v>
      </c>
      <c r="H9" s="1">
        <v>6492041</v>
      </c>
      <c r="I9" s="1">
        <v>72565</v>
      </c>
      <c r="J9" s="1">
        <v>41069</v>
      </c>
      <c r="K9" s="1">
        <v>58299</v>
      </c>
      <c r="L9" s="1">
        <v>40052</v>
      </c>
      <c r="M9" s="1">
        <v>17846</v>
      </c>
      <c r="N9" s="3"/>
      <c r="O9" s="1">
        <v>182224</v>
      </c>
      <c r="P9" s="1">
        <v>7309121</v>
      </c>
      <c r="Q9" s="1">
        <v>8279</v>
      </c>
      <c r="R9" s="1">
        <v>11046</v>
      </c>
      <c r="S9" s="1">
        <v>518553</v>
      </c>
      <c r="T9" s="1">
        <v>922708</v>
      </c>
      <c r="U9" s="1">
        <v>955790</v>
      </c>
      <c r="V9" s="1">
        <v>2333355</v>
      </c>
    </row>
    <row r="10" spans="1:22" x14ac:dyDescent="0.3">
      <c r="A10" s="218"/>
      <c r="B10" s="1">
        <v>28041</v>
      </c>
      <c r="C10" s="1">
        <v>34684</v>
      </c>
      <c r="D10" s="1">
        <v>16029</v>
      </c>
      <c r="E10" s="1">
        <v>177189</v>
      </c>
      <c r="F10" s="1">
        <v>5450457</v>
      </c>
      <c r="G10" s="1">
        <v>2904598</v>
      </c>
      <c r="H10" s="1">
        <v>7734659</v>
      </c>
      <c r="I10" s="1">
        <v>7204</v>
      </c>
      <c r="J10" s="1">
        <v>5880</v>
      </c>
      <c r="K10" s="1">
        <v>10867</v>
      </c>
      <c r="L10" s="1">
        <v>16938</v>
      </c>
      <c r="M10" s="1">
        <v>2307</v>
      </c>
      <c r="N10" s="3"/>
      <c r="O10" s="1">
        <v>3075306</v>
      </c>
      <c r="P10" s="1">
        <v>8562070</v>
      </c>
      <c r="Q10" s="1">
        <v>161859</v>
      </c>
      <c r="R10" s="1">
        <v>906296</v>
      </c>
      <c r="S10" s="1">
        <v>475141</v>
      </c>
      <c r="T10" s="1">
        <v>871967</v>
      </c>
      <c r="U10" s="1">
        <v>1101906</v>
      </c>
      <c r="V10" s="1">
        <v>867900</v>
      </c>
    </row>
    <row r="11" spans="1:22" x14ac:dyDescent="0.3">
      <c r="A11" s="218"/>
      <c r="B11" s="1">
        <v>7343</v>
      </c>
      <c r="C11" s="1">
        <v>11774</v>
      </c>
      <c r="D11" s="1">
        <v>30554</v>
      </c>
      <c r="E11" s="1">
        <v>160575</v>
      </c>
      <c r="F11" s="1">
        <v>363474</v>
      </c>
      <c r="G11" s="1">
        <v>3716558</v>
      </c>
      <c r="H11" s="1">
        <v>10252126</v>
      </c>
      <c r="I11" s="1">
        <v>78</v>
      </c>
      <c r="J11" s="1">
        <v>13581</v>
      </c>
      <c r="K11" s="1">
        <v>1605</v>
      </c>
      <c r="L11" s="1">
        <v>17834</v>
      </c>
      <c r="M11" s="1">
        <v>388</v>
      </c>
      <c r="N11" s="3"/>
      <c r="O11" s="1">
        <v>0</v>
      </c>
      <c r="P11" s="1">
        <v>6941335</v>
      </c>
      <c r="Q11" s="1">
        <v>10799</v>
      </c>
      <c r="R11" s="1">
        <v>3266649</v>
      </c>
      <c r="S11" s="1">
        <v>3005629</v>
      </c>
      <c r="T11" s="1">
        <v>934362</v>
      </c>
      <c r="U11" s="1">
        <v>280520</v>
      </c>
      <c r="V11" s="1">
        <v>2638587</v>
      </c>
    </row>
    <row r="12" spans="1:22" x14ac:dyDescent="0.3">
      <c r="A12" s="218"/>
      <c r="B12" s="1">
        <v>14900</v>
      </c>
      <c r="C12" s="1">
        <v>235180</v>
      </c>
      <c r="D12" s="1">
        <v>21002</v>
      </c>
      <c r="E12" s="1">
        <v>639769</v>
      </c>
      <c r="F12" s="1">
        <v>785739</v>
      </c>
      <c r="G12" s="32">
        <v>7002807</v>
      </c>
      <c r="H12" s="1">
        <v>9333054</v>
      </c>
      <c r="I12" s="32">
        <v>57993</v>
      </c>
      <c r="J12" s="1">
        <v>17763</v>
      </c>
      <c r="K12" s="1">
        <v>24384</v>
      </c>
      <c r="L12" s="1">
        <v>7086</v>
      </c>
      <c r="M12" s="1">
        <v>599</v>
      </c>
      <c r="N12" s="3"/>
      <c r="O12" s="1">
        <v>2298972</v>
      </c>
      <c r="P12" s="1">
        <v>10188777</v>
      </c>
      <c r="Q12" s="1">
        <v>1191</v>
      </c>
      <c r="R12" s="1">
        <v>62085</v>
      </c>
      <c r="S12" s="1">
        <v>681266</v>
      </c>
      <c r="T12" s="1">
        <v>332780</v>
      </c>
      <c r="U12" s="1">
        <v>1233566</v>
      </c>
      <c r="V12" s="32">
        <v>4558912</v>
      </c>
    </row>
    <row r="13" spans="1:22" ht="16.8" x14ac:dyDescent="0.3">
      <c r="A13" s="218"/>
      <c r="B13" s="14"/>
      <c r="C13" s="13"/>
      <c r="D13" s="16"/>
      <c r="E13" s="16"/>
      <c r="F13" s="16"/>
      <c r="G13" s="16"/>
      <c r="H13" s="16"/>
      <c r="I13" s="32">
        <v>101</v>
      </c>
      <c r="J13" s="16"/>
      <c r="K13" s="13"/>
      <c r="L13" s="13"/>
      <c r="M13" s="13"/>
      <c r="N13" s="3"/>
      <c r="O13" s="1">
        <v>1031651</v>
      </c>
      <c r="P13" s="13"/>
      <c r="Q13" s="13"/>
      <c r="R13" s="4"/>
      <c r="S13" s="32"/>
      <c r="T13" s="32"/>
      <c r="U13" s="32"/>
      <c r="V13" s="32"/>
    </row>
    <row r="14" spans="1:22" ht="16.8" x14ac:dyDescent="0.3">
      <c r="A14" s="218"/>
      <c r="B14" s="14"/>
      <c r="C14" s="16"/>
      <c r="D14" s="16"/>
      <c r="E14" s="16"/>
      <c r="F14" s="16"/>
      <c r="G14" s="16"/>
      <c r="H14" s="16"/>
      <c r="I14" s="32"/>
      <c r="J14" s="16"/>
      <c r="K14" s="13"/>
      <c r="L14" s="13"/>
      <c r="M14" s="13"/>
      <c r="N14" s="3"/>
      <c r="O14" s="1">
        <v>3477018</v>
      </c>
      <c r="P14" s="13"/>
      <c r="Q14" s="13"/>
      <c r="R14" s="4"/>
      <c r="S14" s="32"/>
      <c r="T14" s="32"/>
      <c r="U14" s="32"/>
      <c r="V14" s="32"/>
    </row>
    <row r="15" spans="1:22" ht="16.8" x14ac:dyDescent="0.3">
      <c r="A15" s="218"/>
      <c r="B15" s="14"/>
      <c r="C15" s="16"/>
      <c r="D15" s="16"/>
      <c r="E15" s="16"/>
      <c r="F15" s="16"/>
      <c r="G15" s="16"/>
      <c r="H15" s="16"/>
      <c r="I15" s="32"/>
      <c r="J15" s="16"/>
      <c r="K15" s="13"/>
      <c r="L15" s="13"/>
      <c r="M15" s="13"/>
      <c r="N15" s="3"/>
      <c r="O15" s="1">
        <v>6781</v>
      </c>
      <c r="P15" s="13"/>
      <c r="Q15" s="13"/>
      <c r="R15" s="4"/>
      <c r="S15" s="32"/>
      <c r="T15" s="32"/>
      <c r="U15" s="32"/>
      <c r="V15" s="32"/>
    </row>
    <row r="16" spans="1:22" ht="16.8" x14ac:dyDescent="0.3">
      <c r="A16" s="218"/>
      <c r="B16" s="14"/>
      <c r="C16" s="16"/>
      <c r="D16" s="16"/>
      <c r="E16" s="16"/>
      <c r="F16" s="16"/>
      <c r="G16" s="16"/>
      <c r="H16" s="16"/>
      <c r="I16" s="32"/>
      <c r="J16" s="16"/>
      <c r="K16" s="13"/>
      <c r="L16" s="13"/>
      <c r="M16" s="13"/>
      <c r="N16" s="3"/>
      <c r="O16" s="1">
        <v>90621</v>
      </c>
      <c r="P16" s="13"/>
      <c r="Q16" s="13"/>
      <c r="R16" s="4"/>
      <c r="S16" s="32"/>
      <c r="T16" s="32"/>
      <c r="U16" s="32"/>
      <c r="V16" s="32"/>
    </row>
    <row r="17" spans="1:22" s="1" customFormat="1" ht="16.8" x14ac:dyDescent="0.3">
      <c r="A17" s="218"/>
      <c r="B17" s="14"/>
      <c r="C17" s="32"/>
      <c r="D17" s="32"/>
      <c r="E17" s="32"/>
      <c r="F17" s="32"/>
      <c r="G17" s="32"/>
      <c r="H17" s="32"/>
      <c r="I17" s="32"/>
      <c r="J17" s="32"/>
      <c r="K17" s="13"/>
      <c r="L17" s="13"/>
      <c r="M17" s="13"/>
      <c r="N17" s="3"/>
      <c r="O17" s="1">
        <v>837190</v>
      </c>
      <c r="P17" s="13"/>
      <c r="Q17" s="13"/>
      <c r="R17" s="32"/>
      <c r="S17" s="32"/>
      <c r="T17" s="32"/>
      <c r="U17" s="32"/>
      <c r="V17" s="32"/>
    </row>
    <row r="18" spans="1:22" s="1" customFormat="1" ht="16.8" x14ac:dyDescent="0.3">
      <c r="A18" s="218"/>
      <c r="B18" s="14"/>
      <c r="C18" s="32"/>
      <c r="D18" s="32"/>
      <c r="E18" s="32"/>
      <c r="F18" s="32"/>
      <c r="G18" s="32"/>
      <c r="H18" s="32"/>
      <c r="I18" s="32"/>
      <c r="J18" s="32"/>
      <c r="K18" s="13"/>
      <c r="L18" s="13"/>
      <c r="M18" s="13"/>
      <c r="N18" s="3"/>
      <c r="O18" s="1">
        <v>2029539</v>
      </c>
      <c r="P18" s="13"/>
      <c r="Q18" s="13"/>
      <c r="R18" s="32"/>
      <c r="S18" s="32"/>
      <c r="T18" s="32"/>
      <c r="U18" s="32"/>
      <c r="V18" s="32"/>
    </row>
    <row r="19" spans="1:22" s="1" customFormat="1" ht="16.8" x14ac:dyDescent="0.3">
      <c r="A19" s="218"/>
      <c r="B19" s="14"/>
      <c r="C19" s="32"/>
      <c r="D19" s="32"/>
      <c r="E19" s="32"/>
      <c r="F19" s="32"/>
      <c r="G19" s="32"/>
      <c r="H19" s="32"/>
      <c r="I19" s="32"/>
      <c r="J19" s="32"/>
      <c r="K19" s="13"/>
      <c r="L19" s="13"/>
      <c r="M19" s="13"/>
      <c r="N19" s="3"/>
      <c r="O19" s="1">
        <v>668085</v>
      </c>
      <c r="P19" s="13"/>
      <c r="Q19" s="13"/>
      <c r="R19" s="32"/>
      <c r="S19" s="32"/>
      <c r="T19" s="32"/>
      <c r="U19" s="32"/>
      <c r="V19" s="32"/>
    </row>
    <row r="20" spans="1:22" ht="16.8" x14ac:dyDescent="0.3">
      <c r="A20" s="218"/>
      <c r="B20" s="14"/>
      <c r="C20" s="16"/>
      <c r="D20" s="16"/>
      <c r="E20" s="16"/>
      <c r="F20" s="16"/>
      <c r="G20" s="16"/>
      <c r="H20" s="16"/>
      <c r="I20" s="32"/>
      <c r="J20" s="16"/>
      <c r="K20" s="13"/>
      <c r="L20" s="13"/>
      <c r="M20" s="13"/>
      <c r="N20" s="3"/>
      <c r="O20" s="1">
        <v>1341598</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Atenolol-0.01mg/L</v>
      </c>
      <c r="J22" s="68" t="str">
        <f t="shared" si="0"/>
        <v>Atenolol-0.1mg/L</v>
      </c>
      <c r="K22" s="68" t="str">
        <f t="shared" si="0"/>
        <v>Atenolol-1mg/L</v>
      </c>
      <c r="L22" s="68" t="str">
        <f t="shared" si="0"/>
        <v>Atenolol-10mg/L</v>
      </c>
      <c r="M22" s="68" t="str">
        <f t="shared" si="0"/>
        <v>Atenolol-100mg/L</v>
      </c>
      <c r="N22" s="68" t="s">
        <v>47</v>
      </c>
      <c r="O22" s="68" t="str">
        <f t="shared" ref="O22:V22" si="1">O4</f>
        <v>Testo -30µg/L</v>
      </c>
      <c r="P22" s="68" t="str">
        <f t="shared" si="1"/>
        <v>Testo 30µg/L + EE2 -64ng/L</v>
      </c>
      <c r="Q22" s="68" t="str">
        <f t="shared" si="1"/>
        <v>Testo 30µg/L + FAD-10µg/L</v>
      </c>
      <c r="R22" s="68" t="str">
        <f t="shared" si="1"/>
        <v>Atenolol-0.01mg/L + Testostérone</v>
      </c>
      <c r="S22" s="68" t="str">
        <f t="shared" si="1"/>
        <v>Atenolol-0.1mg/L + Testostérone</v>
      </c>
      <c r="T22" s="68" t="str">
        <f t="shared" si="1"/>
        <v>Atenolol-1mg/L + Testostérone</v>
      </c>
      <c r="U22" s="68" t="str">
        <f t="shared" si="1"/>
        <v>Atenolol-10mg/L + Testostérone</v>
      </c>
      <c r="V22" s="68" t="str">
        <f t="shared" si="1"/>
        <v>Atenolol-100mg/L + Testostérone</v>
      </c>
    </row>
    <row r="23" spans="1:22" x14ac:dyDescent="0.3">
      <c r="A23" s="5" t="s">
        <v>0</v>
      </c>
      <c r="B23" s="5">
        <f t="shared" ref="B23:M23" si="2">AVERAGE(B5:B20)</f>
        <v>10526.125</v>
      </c>
      <c r="C23" s="5">
        <f t="shared" si="2"/>
        <v>52795.375</v>
      </c>
      <c r="D23" s="5">
        <f t="shared" si="2"/>
        <v>19752.5</v>
      </c>
      <c r="E23" s="5">
        <f t="shared" si="2"/>
        <v>770739.375</v>
      </c>
      <c r="F23" s="5">
        <f t="shared" si="2"/>
        <v>1650959</v>
      </c>
      <c r="G23" s="5">
        <f t="shared" si="2"/>
        <v>3416290.375</v>
      </c>
      <c r="H23" s="5">
        <f t="shared" si="2"/>
        <v>7768925.75</v>
      </c>
      <c r="I23" s="5">
        <f t="shared" si="2"/>
        <v>23037.777777777777</v>
      </c>
      <c r="J23" s="5">
        <f t="shared" si="2"/>
        <v>24725.125</v>
      </c>
      <c r="K23" s="5">
        <f t="shared" si="2"/>
        <v>32487.125</v>
      </c>
      <c r="L23" s="5">
        <f t="shared" si="2"/>
        <v>21776.375</v>
      </c>
      <c r="M23" s="5">
        <f t="shared" si="2"/>
        <v>9808.75</v>
      </c>
      <c r="N23" s="5" t="s">
        <v>0</v>
      </c>
      <c r="O23" s="5">
        <f t="shared" ref="O23:V23" si="3">AVERAGE(O5:O20)</f>
        <v>1249226.25</v>
      </c>
      <c r="P23" s="5">
        <f t="shared" si="3"/>
        <v>7614617.5</v>
      </c>
      <c r="Q23" s="5">
        <f t="shared" si="3"/>
        <v>31738.875</v>
      </c>
      <c r="R23" s="5">
        <f t="shared" si="3"/>
        <v>1011692</v>
      </c>
      <c r="S23" s="5">
        <f t="shared" si="3"/>
        <v>1204620.875</v>
      </c>
      <c r="T23" s="5">
        <f t="shared" si="3"/>
        <v>796800.625</v>
      </c>
      <c r="U23" s="5">
        <f t="shared" si="3"/>
        <v>1361929.375</v>
      </c>
      <c r="V23" s="5">
        <f t="shared" si="3"/>
        <v>1761211.25</v>
      </c>
    </row>
    <row r="24" spans="1:22" x14ac:dyDescent="0.3">
      <c r="A24" s="3" t="s">
        <v>1</v>
      </c>
      <c r="B24" s="3">
        <f t="shared" ref="B24:M24" si="4">STDEV(B5:B20)</f>
        <v>9249.0185338383726</v>
      </c>
      <c r="C24" s="3">
        <f t="shared" si="4"/>
        <v>77346.263645906918</v>
      </c>
      <c r="D24" s="3">
        <f t="shared" si="4"/>
        <v>18655.733611183146</v>
      </c>
      <c r="E24" s="3">
        <f t="shared" si="4"/>
        <v>1717221.7240540388</v>
      </c>
      <c r="F24" s="3">
        <f t="shared" si="4"/>
        <v>2430292.6590431156</v>
      </c>
      <c r="G24" s="3">
        <f t="shared" si="4"/>
        <v>2384861.5023576729</v>
      </c>
      <c r="H24" s="3">
        <f t="shared" si="4"/>
        <v>1801755.8812004749</v>
      </c>
      <c r="I24" s="3">
        <f t="shared" si="4"/>
        <v>28051.561230071391</v>
      </c>
      <c r="J24" s="3">
        <f t="shared" si="4"/>
        <v>22481.041863487048</v>
      </c>
      <c r="K24" s="3">
        <f t="shared" si="4"/>
        <v>32933.684160912126</v>
      </c>
      <c r="L24" s="3">
        <f t="shared" si="4"/>
        <v>30609.628242188763</v>
      </c>
      <c r="M24" s="3">
        <f t="shared" si="4"/>
        <v>10586.667555400587</v>
      </c>
      <c r="N24" s="3" t="s">
        <v>1</v>
      </c>
      <c r="O24" s="3">
        <f t="shared" ref="O24:V24" si="5">STDEV(O5:O20)</f>
        <v>1428639.3997264903</v>
      </c>
      <c r="P24" s="3">
        <f t="shared" si="5"/>
        <v>3700612.6670150948</v>
      </c>
      <c r="Q24" s="3">
        <f t="shared" si="5"/>
        <v>55732.42744306432</v>
      </c>
      <c r="R24" s="3">
        <f t="shared" si="5"/>
        <v>1119324.9682378087</v>
      </c>
      <c r="S24" s="3">
        <f t="shared" si="5"/>
        <v>1137099.5372693304</v>
      </c>
      <c r="T24" s="3">
        <f t="shared" si="5"/>
        <v>545541.41339248291</v>
      </c>
      <c r="U24" s="3">
        <f t="shared" si="5"/>
        <v>736352.8769791089</v>
      </c>
      <c r="V24" s="3">
        <f t="shared" si="5"/>
        <v>1495362.3978546616</v>
      </c>
    </row>
    <row r="25" spans="1:22" ht="15" thickBot="1" x14ac:dyDescent="0.35"/>
    <row r="26" spans="1:22" ht="15" thickBot="1" x14ac:dyDescent="0.35">
      <c r="B26" s="221" t="s">
        <v>6</v>
      </c>
      <c r="C26" s="222"/>
      <c r="D26" s="222"/>
      <c r="E26" s="222"/>
      <c r="F26" s="222"/>
      <c r="G26" s="222"/>
      <c r="H26" s="222"/>
      <c r="I26" s="222"/>
      <c r="J26" s="222"/>
      <c r="K26" s="222"/>
      <c r="L26" s="222"/>
      <c r="M26" s="222"/>
      <c r="N26" s="1"/>
      <c r="O26" s="221" t="s">
        <v>3</v>
      </c>
      <c r="P26" s="222"/>
      <c r="Q26" s="222"/>
      <c r="R26" s="222"/>
      <c r="S26" s="222"/>
      <c r="T26" s="222"/>
      <c r="U26" s="222"/>
      <c r="V26" s="222"/>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Atenolol-0.01mg/L</v>
      </c>
      <c r="J27" s="35" t="str">
        <f t="shared" si="6"/>
        <v>Atenolol-0.1mg/L</v>
      </c>
      <c r="K27" s="35" t="str">
        <f t="shared" si="6"/>
        <v>Atenolol-1mg/L</v>
      </c>
      <c r="L27" s="35" t="str">
        <f t="shared" si="6"/>
        <v>Atenolol-10mg/L</v>
      </c>
      <c r="M27" s="35" t="str">
        <f t="shared" si="6"/>
        <v>Atenolol-100mg/L</v>
      </c>
      <c r="N27" s="3"/>
      <c r="O27" s="36" t="str">
        <f t="shared" ref="O27:V27" si="7">O4</f>
        <v>Testo -30µg/L</v>
      </c>
      <c r="P27" s="36" t="str">
        <f t="shared" si="7"/>
        <v>Testo 30µg/L + EE2 -64ng/L</v>
      </c>
      <c r="Q27" s="36" t="str">
        <f t="shared" si="7"/>
        <v>Testo 30µg/L + FAD-10µg/L</v>
      </c>
      <c r="R27" s="36" t="str">
        <f t="shared" si="7"/>
        <v>Atenolol-0.01mg/L + Testostérone</v>
      </c>
      <c r="S27" s="36" t="str">
        <f t="shared" si="7"/>
        <v>Atenolol-0.1mg/L + Testostérone</v>
      </c>
      <c r="T27" s="36" t="str">
        <f t="shared" si="7"/>
        <v>Atenolol-1mg/L + Testostérone</v>
      </c>
      <c r="U27" s="36" t="str">
        <f t="shared" si="7"/>
        <v>Atenolol-10mg/L + Testostérone</v>
      </c>
      <c r="V27" s="36" t="str">
        <f t="shared" si="7"/>
        <v>Atenolol-100mg/L + Testostérone</v>
      </c>
    </row>
    <row r="28" spans="1:22" x14ac:dyDescent="0.3">
      <c r="A28" s="219" t="s">
        <v>34</v>
      </c>
      <c r="B28" s="11">
        <f t="shared" ref="B28:M28" si="8">IF(B5="","",(B5/$O$23))</f>
        <v>4.1289558236548424E-3</v>
      </c>
      <c r="C28" s="11">
        <f t="shared" si="8"/>
        <v>2.7577070206457797E-3</v>
      </c>
      <c r="D28" s="11">
        <f t="shared" si="8"/>
        <v>4.7775973327489715E-2</v>
      </c>
      <c r="E28" s="11">
        <f t="shared" si="8"/>
        <v>3.9956861297142932</v>
      </c>
      <c r="F28" s="11">
        <f t="shared" si="8"/>
        <v>0.4280801816324305</v>
      </c>
      <c r="G28" s="11">
        <f t="shared" si="8"/>
        <v>1.9283440449638327</v>
      </c>
      <c r="H28" s="11">
        <f t="shared" si="8"/>
        <v>7.8291286306223551</v>
      </c>
      <c r="I28" s="11">
        <f t="shared" si="8"/>
        <v>8.6133316522927692E-4</v>
      </c>
      <c r="J28" s="11">
        <f t="shared" si="8"/>
        <v>4.4383473370016038E-2</v>
      </c>
      <c r="K28" s="11">
        <f t="shared" si="8"/>
        <v>6.1904719021074042E-2</v>
      </c>
      <c r="L28" s="11">
        <f t="shared" si="8"/>
        <v>1.541754345940137E-3</v>
      </c>
      <c r="M28" s="11">
        <f t="shared" si="8"/>
        <v>1.9584923067378707E-2</v>
      </c>
      <c r="N28" s="6"/>
      <c r="O28" s="11">
        <f t="shared" ref="O28:V28" si="9">IF(O5="","",(O5/$O$23))</f>
        <v>0.32854016636297867</v>
      </c>
      <c r="P28" s="11">
        <f t="shared" si="9"/>
        <v>5.7416764977521089</v>
      </c>
      <c r="Q28" s="11">
        <f t="shared" si="9"/>
        <v>6.5904795068147184E-3</v>
      </c>
      <c r="R28" s="11">
        <f t="shared" si="9"/>
        <v>0.4644370865565785</v>
      </c>
      <c r="S28" s="11">
        <f t="shared" si="9"/>
        <v>0.90900587463639992</v>
      </c>
      <c r="T28" s="11">
        <f t="shared" si="9"/>
        <v>0.36105789483690404</v>
      </c>
      <c r="U28" s="11">
        <f t="shared" si="9"/>
        <v>1.0018257301269486</v>
      </c>
      <c r="V28" s="11">
        <f t="shared" si="9"/>
        <v>1.9398183475571378</v>
      </c>
    </row>
    <row r="29" spans="1:22" x14ac:dyDescent="0.3">
      <c r="A29" s="220"/>
      <c r="B29" s="11">
        <f t="shared" ref="B29:M29" si="10">IF(B6="","",(B6/$O$23))</f>
        <v>1.2785514233310419E-2</v>
      </c>
      <c r="C29" s="11">
        <f t="shared" si="10"/>
        <v>2.0399026997711584E-2</v>
      </c>
      <c r="D29" s="11">
        <f t="shared" si="10"/>
        <v>2.917005626482793E-3</v>
      </c>
      <c r="E29" s="11">
        <f t="shared" si="10"/>
        <v>4.2479094559532353E-2</v>
      </c>
      <c r="F29" s="11">
        <f t="shared" si="10"/>
        <v>7.585335322564668E-2</v>
      </c>
      <c r="G29" s="11">
        <f t="shared" si="10"/>
        <v>5.5318826353512822</v>
      </c>
      <c r="H29" s="11">
        <f t="shared" si="10"/>
        <v>5.3690690537442674</v>
      </c>
      <c r="I29" s="11">
        <f t="shared" si="10"/>
        <v>2.0737636597053577E-2</v>
      </c>
      <c r="J29" s="11">
        <f t="shared" si="10"/>
        <v>1.4769142098959255E-3</v>
      </c>
      <c r="K29" s="11">
        <f t="shared" si="10"/>
        <v>6.1181871578507095E-2</v>
      </c>
      <c r="L29" s="11">
        <f t="shared" si="10"/>
        <v>1.8331347103857286E-4</v>
      </c>
      <c r="M29" s="11">
        <f t="shared" si="10"/>
        <v>1.7482821866735508E-3</v>
      </c>
      <c r="N29" s="6"/>
      <c r="O29" s="11">
        <f t="shared" ref="O29:V29" si="11">IF(O6="","",(O6/$O$23))</f>
        <v>3.6165402384075742</v>
      </c>
      <c r="P29" s="11">
        <f>IF(P6="","",(P6/$O$23))</f>
        <v>0.48784037319100521</v>
      </c>
      <c r="Q29" s="11">
        <f t="shared" si="11"/>
        <v>1.3592413704082828E-3</v>
      </c>
      <c r="R29" s="11">
        <f t="shared" si="11"/>
        <v>5.3645206382750922E-2</v>
      </c>
      <c r="S29" s="11">
        <f t="shared" si="11"/>
        <v>0.67499462167081425</v>
      </c>
      <c r="T29" s="11">
        <f t="shared" si="11"/>
        <v>0.83502968337400851</v>
      </c>
      <c r="U29" s="11">
        <f t="shared" si="11"/>
        <v>1.1424423718281616</v>
      </c>
      <c r="V29" s="11">
        <f t="shared" si="11"/>
        <v>0.41471991162529603</v>
      </c>
    </row>
    <row r="30" spans="1:22" x14ac:dyDescent="0.3">
      <c r="A30" s="220"/>
      <c r="B30" s="11">
        <f t="shared" ref="B30:M30" si="12">IF(B7="","",(B7/$O$23))</f>
        <v>1.729070294512303E-4</v>
      </c>
      <c r="C30" s="11">
        <f t="shared" si="12"/>
        <v>6.2862912142616273E-2</v>
      </c>
      <c r="D30" s="11">
        <f t="shared" si="12"/>
        <v>2.7633104891928106E-3</v>
      </c>
      <c r="E30" s="11">
        <f t="shared" si="12"/>
        <v>1.7908685476309836E-2</v>
      </c>
      <c r="F30" s="11">
        <f t="shared" si="12"/>
        <v>4.5516438675540156</v>
      </c>
      <c r="G30" s="11">
        <f t="shared" si="12"/>
        <v>1.9643599388021185</v>
      </c>
      <c r="H30" s="11">
        <f t="shared" si="12"/>
        <v>4.3379371831163489</v>
      </c>
      <c r="I30" s="11">
        <f t="shared" si="12"/>
        <v>7.7728113702381775E-4</v>
      </c>
      <c r="J30" s="11">
        <f t="shared" si="12"/>
        <v>5.3425070118403289E-3</v>
      </c>
      <c r="K30" s="11">
        <f t="shared" si="12"/>
        <v>8.3811879553443585E-4</v>
      </c>
      <c r="L30" s="11">
        <f t="shared" si="12"/>
        <v>1.6490207438404371E-4</v>
      </c>
      <c r="M30" s="11">
        <f t="shared" si="12"/>
        <v>1.9347976397389985E-2</v>
      </c>
      <c r="N30" s="6"/>
      <c r="O30" s="11">
        <f t="shared" ref="O30:V30" si="13">IF(O7="","",(O7/$O$23))</f>
        <v>1.0216724152250244E-2</v>
      </c>
      <c r="P30" s="11">
        <f t="shared" si="13"/>
        <v>10.972086921804596</v>
      </c>
      <c r="Q30" s="11">
        <f t="shared" si="13"/>
        <v>4.6184588260133025E-2</v>
      </c>
      <c r="R30" s="11">
        <f t="shared" si="13"/>
        <v>1.2750676668858023</v>
      </c>
      <c r="S30" s="11">
        <f t="shared" si="13"/>
        <v>2.7104777857493788E-2</v>
      </c>
      <c r="T30" s="11">
        <f t="shared" si="13"/>
        <v>1.4487175561672676</v>
      </c>
      <c r="U30" s="11">
        <f t="shared" si="13"/>
        <v>1.4528449109999089</v>
      </c>
      <c r="V30" s="11">
        <f t="shared" si="13"/>
        <v>0.11882315153079756</v>
      </c>
    </row>
    <row r="31" spans="1:22" x14ac:dyDescent="0.3">
      <c r="A31" s="220"/>
      <c r="B31" s="11">
        <f t="shared" ref="B31:M31" si="14">IF(B8="","",(B8/$O$23))</f>
        <v>9.495477700696732E-3</v>
      </c>
      <c r="C31" s="11">
        <f t="shared" si="14"/>
        <v>6.5432502719183173E-3</v>
      </c>
      <c r="D31" s="11">
        <f t="shared" si="14"/>
        <v>1.3813350463937177E-2</v>
      </c>
      <c r="E31" s="11">
        <f t="shared" si="14"/>
        <v>2.4182168762463964E-2</v>
      </c>
      <c r="F31" s="11">
        <f t="shared" si="14"/>
        <v>0.20457783367904733</v>
      </c>
      <c r="G31" s="11">
        <f t="shared" si="14"/>
        <v>1.1506490517630412</v>
      </c>
      <c r="H31" s="11">
        <f t="shared" si="14"/>
        <v>5.1495283580536348</v>
      </c>
      <c r="I31" s="11">
        <f t="shared" si="14"/>
        <v>3.3177336771461535E-2</v>
      </c>
      <c r="J31" s="11">
        <f t="shared" si="14"/>
        <v>4.4462722425181185E-2</v>
      </c>
      <c r="K31" s="11">
        <f t="shared" si="14"/>
        <v>7.9505213727297189E-3</v>
      </c>
      <c r="L31" s="11">
        <f t="shared" si="14"/>
        <v>7.1996565874276178E-2</v>
      </c>
      <c r="M31" s="11">
        <f t="shared" si="14"/>
        <v>5.2112257487384687E-3</v>
      </c>
      <c r="N31" s="6"/>
      <c r="O31" s="11">
        <f t="shared" ref="O31:V31" si="15">IF(O8="","",(O8/$O$23))</f>
        <v>6.0629529678871219E-3</v>
      </c>
      <c r="P31" s="11">
        <f t="shared" si="15"/>
        <v>5.1447381929414311</v>
      </c>
      <c r="Q31" s="11">
        <f t="shared" si="15"/>
        <v>3.327659821429465E-3</v>
      </c>
      <c r="R31" s="11">
        <f t="shared" si="15"/>
        <v>1.2867244824546393</v>
      </c>
      <c r="S31" s="11">
        <f t="shared" si="15"/>
        <v>2.3564530444345051</v>
      </c>
      <c r="T31" s="11">
        <f t="shared" si="15"/>
        <v>6.9066752319685886E-3</v>
      </c>
      <c r="U31" s="11">
        <f t="shared" si="15"/>
        <v>2.2654383063116068</v>
      </c>
      <c r="V31" s="11">
        <f t="shared" si="15"/>
        <v>0.48121627287290836</v>
      </c>
    </row>
    <row r="32" spans="1:22" x14ac:dyDescent="0.3">
      <c r="A32" s="220"/>
      <c r="B32" s="11">
        <f t="shared" ref="B32:M32" si="16">IF(B9="","",(B9/$O$23))</f>
        <v>5.7395527831727842E-4</v>
      </c>
      <c r="C32" s="11">
        <f t="shared" si="16"/>
        <v>2.0086833750091307E-2</v>
      </c>
      <c r="D32" s="11">
        <f t="shared" si="16"/>
        <v>5.1231712429994167E-3</v>
      </c>
      <c r="E32" s="11">
        <f t="shared" si="16"/>
        <v>7.3020399627369337E-2</v>
      </c>
      <c r="F32" s="11">
        <f t="shared" si="16"/>
        <v>2.9520673296770703E-2</v>
      </c>
      <c r="G32" s="11">
        <f t="shared" si="16"/>
        <v>0.39664392258808201</v>
      </c>
      <c r="H32" s="11">
        <f t="shared" si="16"/>
        <v>5.1968496499333083</v>
      </c>
      <c r="I32" s="11">
        <f t="shared" si="16"/>
        <v>5.8087956445039481E-2</v>
      </c>
      <c r="J32" s="11">
        <f t="shared" si="16"/>
        <v>3.2875549965428602E-2</v>
      </c>
      <c r="K32" s="11">
        <f t="shared" si="16"/>
        <v>4.6668087546191089E-2</v>
      </c>
      <c r="L32" s="11">
        <f t="shared" si="16"/>
        <v>3.2061446035095725E-2</v>
      </c>
      <c r="M32" s="11">
        <f t="shared" si="16"/>
        <v>1.4285642812901185E-2</v>
      </c>
      <c r="N32" s="6"/>
      <c r="O32" s="11">
        <f t="shared" ref="O32:V32" si="17">IF(O9="","",(O9/$O$23))</f>
        <v>0.14586949321630088</v>
      </c>
      <c r="P32" s="11">
        <f t="shared" si="17"/>
        <v>5.8509185185629908</v>
      </c>
      <c r="Q32" s="11">
        <f t="shared" si="17"/>
        <v>6.6273023001237764E-3</v>
      </c>
      <c r="R32" s="11">
        <f t="shared" si="17"/>
        <v>8.8422733672143053E-3</v>
      </c>
      <c r="S32" s="11">
        <f t="shared" si="17"/>
        <v>0.41509934649548069</v>
      </c>
      <c r="T32" s="11">
        <f t="shared" si="17"/>
        <v>0.73862360801336024</v>
      </c>
      <c r="U32" s="11">
        <f t="shared" si="17"/>
        <v>0.76510560036662689</v>
      </c>
      <c r="V32" s="11">
        <f t="shared" si="17"/>
        <v>1.8678401930795163</v>
      </c>
    </row>
    <row r="33" spans="1:22" x14ac:dyDescent="0.3">
      <c r="A33" s="220"/>
      <c r="B33" s="11">
        <f t="shared" ref="B33:M33" si="18">IF(B10="","",(B10/$O$23))</f>
        <v>2.2446694503897913E-2</v>
      </c>
      <c r="C33" s="11">
        <f t="shared" si="18"/>
        <v>2.7764386155029963E-2</v>
      </c>
      <c r="D33" s="11">
        <f t="shared" si="18"/>
        <v>1.2831142477193382E-2</v>
      </c>
      <c r="E33" s="11">
        <f t="shared" si="18"/>
        <v>0.14183899833997243</v>
      </c>
      <c r="F33" s="11">
        <f t="shared" si="18"/>
        <v>4.3630663380632608</v>
      </c>
      <c r="G33" s="11">
        <f t="shared" si="18"/>
        <v>2.325117647824003</v>
      </c>
      <c r="H33" s="11">
        <f t="shared" si="18"/>
        <v>6.1915597755010348</v>
      </c>
      <c r="I33" s="11">
        <f t="shared" si="18"/>
        <v>5.7667696304012179E-3</v>
      </c>
      <c r="J33" s="11">
        <f t="shared" si="18"/>
        <v>4.7069135795057143E-3</v>
      </c>
      <c r="K33" s="11">
        <f t="shared" si="18"/>
        <v>8.6989846715116656E-3</v>
      </c>
      <c r="L33" s="11">
        <f t="shared" si="18"/>
        <v>1.3558792892800644E-2</v>
      </c>
      <c r="M33" s="11">
        <f t="shared" si="18"/>
        <v>1.846743133999946E-3</v>
      </c>
      <c r="N33" s="6"/>
      <c r="O33" s="11">
        <f t="shared" ref="O33:V33" si="19">IF(O10="","",(O10/$O$23))</f>
        <v>2.4617686347849319</v>
      </c>
      <c r="P33" s="11">
        <f t="shared" si="19"/>
        <v>6.8538985632106275</v>
      </c>
      <c r="Q33" s="11">
        <f t="shared" si="19"/>
        <v>0.12956740222197541</v>
      </c>
      <c r="R33" s="11">
        <f t="shared" si="19"/>
        <v>0.72548587575709367</v>
      </c>
      <c r="S33" s="11">
        <f t="shared" si="19"/>
        <v>0.38034823555781028</v>
      </c>
      <c r="T33" s="11">
        <f t="shared" si="19"/>
        <v>0.69800566550694876</v>
      </c>
      <c r="U33" s="11">
        <f t="shared" si="19"/>
        <v>0.88207080182633046</v>
      </c>
      <c r="V33" s="11">
        <f t="shared" si="19"/>
        <v>0.69475005028112402</v>
      </c>
    </row>
    <row r="34" spans="1:22" x14ac:dyDescent="0.3">
      <c r="A34" s="220"/>
      <c r="B34" s="11">
        <f t="shared" ref="B34:M34" si="20">IF(B11="","",(B11/$O$23))</f>
        <v>5.878038505835112E-3</v>
      </c>
      <c r="C34" s="11">
        <f t="shared" si="20"/>
        <v>9.4250340961054887E-3</v>
      </c>
      <c r="D34" s="11">
        <f t="shared" si="20"/>
        <v>2.4458339712281903E-2</v>
      </c>
      <c r="E34" s="11">
        <f t="shared" si="20"/>
        <v>0.12853956599134864</v>
      </c>
      <c r="F34" s="11">
        <f t="shared" si="20"/>
        <v>0.29095930380905782</v>
      </c>
      <c r="G34" s="11">
        <f t="shared" si="20"/>
        <v>2.9750879794592855</v>
      </c>
      <c r="H34" s="11">
        <f t="shared" si="20"/>
        <v>8.2067807973135363</v>
      </c>
      <c r="I34" s="11">
        <f t="shared" si="20"/>
        <v>6.2438649524055391E-5</v>
      </c>
      <c r="J34" s="11">
        <f t="shared" si="20"/>
        <v>1.0871529476746106E-2</v>
      </c>
      <c r="K34" s="11">
        <f t="shared" si="20"/>
        <v>1.2847952882834475E-3</v>
      </c>
      <c r="L34" s="11">
        <f t="shared" si="20"/>
        <v>1.4276036866820562E-2</v>
      </c>
      <c r="M34" s="11">
        <f t="shared" si="20"/>
        <v>3.1059225660683962E-4</v>
      </c>
      <c r="N34" s="6"/>
      <c r="O34" s="11">
        <f t="shared" ref="O34:V34" si="21">IF(O11="","",(O11/$O$23))</f>
        <v>0</v>
      </c>
      <c r="P34" s="11">
        <f t="shared" si="21"/>
        <v>5.5565074781289621</v>
      </c>
      <c r="Q34" s="11">
        <f t="shared" si="21"/>
        <v>8.6445509770547973E-3</v>
      </c>
      <c r="R34" s="11">
        <f t="shared" si="21"/>
        <v>2.6149378465270003</v>
      </c>
      <c r="S34" s="11">
        <f t="shared" si="21"/>
        <v>2.4059925093632959</v>
      </c>
      <c r="T34" s="11">
        <f t="shared" si="21"/>
        <v>0.74795258264865949</v>
      </c>
      <c r="U34" s="11">
        <f t="shared" si="21"/>
        <v>0.22455499954471819</v>
      </c>
      <c r="V34" s="11">
        <f t="shared" si="21"/>
        <v>2.1121770375862661</v>
      </c>
    </row>
    <row r="35" spans="1:22" x14ac:dyDescent="0.3">
      <c r="A35" s="220"/>
      <c r="B35" s="11">
        <f t="shared" ref="B35:M35" si="22">IF(B12="","",(B12/$O$23))</f>
        <v>1.1927383050108016E-2</v>
      </c>
      <c r="C35" s="11">
        <f t="shared" si="22"/>
        <v>0.18826053327009418</v>
      </c>
      <c r="D35" s="11">
        <f t="shared" si="22"/>
        <v>1.6812006632105272E-2</v>
      </c>
      <c r="E35" s="11">
        <f t="shared" si="22"/>
        <v>0.51213220983788965</v>
      </c>
      <c r="F35" s="11">
        <f t="shared" si="22"/>
        <v>0.62898053895361228</v>
      </c>
      <c r="G35" s="11">
        <f t="shared" si="22"/>
        <v>5.6057155379179715</v>
      </c>
      <c r="H35" s="11">
        <f t="shared" si="22"/>
        <v>7.4710677909626062</v>
      </c>
      <c r="I35" s="11">
        <f t="shared" si="22"/>
        <v>4.6423135921135179E-2</v>
      </c>
      <c r="J35" s="11">
        <f t="shared" si="22"/>
        <v>1.4219201685843537E-2</v>
      </c>
      <c r="K35" s="11">
        <f t="shared" si="22"/>
        <v>1.9519282435827779E-2</v>
      </c>
      <c r="L35" s="11">
        <f t="shared" si="22"/>
        <v>5.6723111606084165E-3</v>
      </c>
      <c r="M35" s="11">
        <f t="shared" si="22"/>
        <v>4.7949680852447664E-4</v>
      </c>
      <c r="N35" s="6"/>
      <c r="O35" s="11">
        <f t="shared" ref="O35:V35" si="23">IF(O12="","",(O12/$O$23))</f>
        <v>1.8403167560720086</v>
      </c>
      <c r="P35" s="11">
        <f t="shared" si="23"/>
        <v>8.1560702074584164</v>
      </c>
      <c r="Q35" s="11">
        <f t="shared" si="23"/>
        <v>9.533901485019227E-4</v>
      </c>
      <c r="R35" s="11">
        <f t="shared" si="23"/>
        <v>4.9698763534627932E-2</v>
      </c>
      <c r="S35" s="11">
        <f t="shared" si="23"/>
        <v>0.54535037188019386</v>
      </c>
      <c r="T35" s="11">
        <f t="shared" si="23"/>
        <v>0.26638889472583527</v>
      </c>
      <c r="U35" s="11">
        <f t="shared" si="23"/>
        <v>0.98746404024090917</v>
      </c>
      <c r="V35" s="11">
        <f t="shared" si="23"/>
        <v>3.6493885715257743</v>
      </c>
    </row>
    <row r="36" spans="1:22" s="1" customFormat="1" x14ac:dyDescent="0.3">
      <c r="A36" s="220"/>
      <c r="B36" s="11" t="str">
        <f t="shared" ref="B36:M36" si="24">IF(B13="","",(B13/$O$23))</f>
        <v/>
      </c>
      <c r="C36" s="11" t="str">
        <f t="shared" si="24"/>
        <v/>
      </c>
      <c r="D36" s="11" t="str">
        <f t="shared" si="24"/>
        <v/>
      </c>
      <c r="E36" s="11" t="str">
        <f t="shared" si="24"/>
        <v/>
      </c>
      <c r="F36" s="11" t="str">
        <f t="shared" si="24"/>
        <v/>
      </c>
      <c r="G36" s="11" t="str">
        <f t="shared" si="24"/>
        <v/>
      </c>
      <c r="H36" s="11" t="str">
        <f t="shared" si="24"/>
        <v/>
      </c>
      <c r="I36" s="11">
        <f t="shared" si="24"/>
        <v>8.0850046178584543E-5</v>
      </c>
      <c r="J36" s="11" t="str">
        <f t="shared" si="24"/>
        <v/>
      </c>
      <c r="K36" s="11" t="str">
        <f t="shared" si="24"/>
        <v/>
      </c>
      <c r="L36" s="11" t="str">
        <f t="shared" si="24"/>
        <v/>
      </c>
      <c r="M36" s="11" t="str">
        <f t="shared" si="24"/>
        <v/>
      </c>
      <c r="N36" s="6"/>
      <c r="O36" s="11">
        <f t="shared" ref="O36:V36" si="25">IF(O13="","",(O13/$O$23))</f>
        <v>0.82583199000181107</v>
      </c>
      <c r="P36" s="11" t="str">
        <f t="shared" si="25"/>
        <v/>
      </c>
      <c r="Q36" s="11" t="str">
        <f t="shared" si="25"/>
        <v/>
      </c>
      <c r="R36" s="11" t="str">
        <f t="shared" si="25"/>
        <v/>
      </c>
      <c r="S36" s="11" t="str">
        <f t="shared" si="25"/>
        <v/>
      </c>
      <c r="T36" s="11" t="str">
        <f t="shared" si="25"/>
        <v/>
      </c>
      <c r="U36" s="11" t="str">
        <f t="shared" si="25"/>
        <v/>
      </c>
      <c r="V36" s="11" t="str">
        <f t="shared" si="25"/>
        <v/>
      </c>
    </row>
    <row r="37" spans="1:22" s="1" customFormat="1" x14ac:dyDescent="0.3">
      <c r="A37" s="220"/>
      <c r="B37" s="11" t="str">
        <f t="shared" ref="B37:M37" si="26">IF(B14="","",(B14/$O$23))</f>
        <v/>
      </c>
      <c r="C37" s="11" t="str">
        <f t="shared" si="26"/>
        <v/>
      </c>
      <c r="D37" s="11" t="str">
        <f t="shared" si="26"/>
        <v/>
      </c>
      <c r="E37" s="11" t="str">
        <f t="shared" si="26"/>
        <v/>
      </c>
      <c r="F37" s="11" t="str">
        <f t="shared" si="26"/>
        <v/>
      </c>
      <c r="G37" s="11" t="str">
        <f t="shared" si="26"/>
        <v/>
      </c>
      <c r="H37" s="11" t="str">
        <f t="shared" si="26"/>
        <v/>
      </c>
      <c r="I37" s="11" t="str">
        <f t="shared" si="26"/>
        <v/>
      </c>
      <c r="J37" s="11" t="str">
        <f t="shared" si="26"/>
        <v/>
      </c>
      <c r="K37" s="11" t="str">
        <f t="shared" si="26"/>
        <v/>
      </c>
      <c r="L37" s="11" t="str">
        <f t="shared" si="26"/>
        <v/>
      </c>
      <c r="M37" s="11" t="str">
        <f t="shared" si="26"/>
        <v/>
      </c>
      <c r="N37" s="6"/>
      <c r="O37" s="11">
        <f t="shared" ref="O37:V37" si="27">IF(O14="","",(O14/$O$23))</f>
        <v>2.7833372857798979</v>
      </c>
      <c r="P37" s="11" t="str">
        <f t="shared" si="27"/>
        <v/>
      </c>
      <c r="Q37" s="11" t="str">
        <f t="shared" si="27"/>
        <v/>
      </c>
      <c r="R37" s="11" t="str">
        <f t="shared" si="27"/>
        <v/>
      </c>
      <c r="S37" s="11" t="str">
        <f t="shared" si="27"/>
        <v/>
      </c>
      <c r="T37" s="11" t="str">
        <f t="shared" si="27"/>
        <v/>
      </c>
      <c r="U37" s="11" t="str">
        <f t="shared" si="27"/>
        <v/>
      </c>
      <c r="V37" s="11" t="str">
        <f t="shared" si="27"/>
        <v/>
      </c>
    </row>
    <row r="38" spans="1:22" s="1" customFormat="1" x14ac:dyDescent="0.3">
      <c r="A38" s="220"/>
      <c r="B38" s="11" t="str">
        <f t="shared" ref="B38:M38" si="28">IF(B15="","",(B15/$O$23))</f>
        <v/>
      </c>
      <c r="C38" s="11" t="str">
        <f t="shared" si="28"/>
        <v/>
      </c>
      <c r="D38" s="11" t="str">
        <f t="shared" si="28"/>
        <v/>
      </c>
      <c r="E38" s="11" t="str">
        <f t="shared" si="28"/>
        <v/>
      </c>
      <c r="F38" s="11" t="str">
        <f t="shared" si="28"/>
        <v/>
      </c>
      <c r="G38" s="11" t="str">
        <f t="shared" si="28"/>
        <v/>
      </c>
      <c r="H38" s="11" t="str">
        <f t="shared" si="28"/>
        <v/>
      </c>
      <c r="I38" s="11" t="str">
        <f t="shared" si="28"/>
        <v/>
      </c>
      <c r="J38" s="11" t="str">
        <f t="shared" si="28"/>
        <v/>
      </c>
      <c r="K38" s="11" t="str">
        <f t="shared" si="28"/>
        <v/>
      </c>
      <c r="L38" s="11" t="str">
        <f t="shared" si="28"/>
        <v/>
      </c>
      <c r="M38" s="11" t="str">
        <f t="shared" si="28"/>
        <v/>
      </c>
      <c r="N38" s="6"/>
      <c r="O38" s="11">
        <f t="shared" ref="O38:R38" si="29">IF(O15="","",(O15/$O$23))</f>
        <v>5.428160031059226E-3</v>
      </c>
      <c r="P38" s="11" t="str">
        <f t="shared" si="29"/>
        <v/>
      </c>
      <c r="Q38" s="11" t="str">
        <f t="shared" si="29"/>
        <v/>
      </c>
      <c r="R38" s="11" t="str">
        <f t="shared" si="29"/>
        <v/>
      </c>
      <c r="S38" s="11" t="str">
        <f t="shared" ref="S38:V38" si="30">IF(S15="","",(S15/$O$23))</f>
        <v/>
      </c>
      <c r="T38" s="11" t="str">
        <f t="shared" si="30"/>
        <v/>
      </c>
      <c r="U38" s="11" t="str">
        <f t="shared" si="30"/>
        <v/>
      </c>
      <c r="V38" s="11" t="str">
        <f t="shared" si="30"/>
        <v/>
      </c>
    </row>
    <row r="39" spans="1:22" s="1" customFormat="1" x14ac:dyDescent="0.3">
      <c r="A39" s="220"/>
      <c r="B39" s="11" t="str">
        <f t="shared" ref="B39:M39" si="31">IF(B16="","",(B16/$O$23))</f>
        <v/>
      </c>
      <c r="C39" s="11" t="str">
        <f t="shared" si="31"/>
        <v/>
      </c>
      <c r="D39" s="11" t="str">
        <f t="shared" si="31"/>
        <v/>
      </c>
      <c r="E39" s="11" t="str">
        <f t="shared" si="31"/>
        <v/>
      </c>
      <c r="F39" s="11" t="str">
        <f t="shared" si="31"/>
        <v/>
      </c>
      <c r="G39" s="11" t="str">
        <f t="shared" si="31"/>
        <v/>
      </c>
      <c r="H39" s="11" t="str">
        <f t="shared" si="31"/>
        <v/>
      </c>
      <c r="I39" s="11" t="str">
        <f t="shared" si="31"/>
        <v/>
      </c>
      <c r="J39" s="11" t="str">
        <f t="shared" si="31"/>
        <v/>
      </c>
      <c r="K39" s="11" t="str">
        <f t="shared" si="31"/>
        <v/>
      </c>
      <c r="L39" s="11" t="str">
        <f t="shared" si="31"/>
        <v/>
      </c>
      <c r="M39" s="11" t="str">
        <f t="shared" si="31"/>
        <v/>
      </c>
      <c r="N39" s="6"/>
      <c r="O39" s="11">
        <f t="shared" ref="O39:R39" si="32">IF(O16="","",(O16/$O$23))</f>
        <v>7.2541703314351585E-2</v>
      </c>
      <c r="P39" s="11" t="str">
        <f t="shared" si="32"/>
        <v/>
      </c>
      <c r="Q39" s="11" t="str">
        <f t="shared" si="32"/>
        <v/>
      </c>
      <c r="R39" s="11" t="str">
        <f t="shared" si="32"/>
        <v/>
      </c>
      <c r="S39" s="11" t="str">
        <f t="shared" ref="S39:V39" si="33">IF(S16="","",(S16/$O$23))</f>
        <v/>
      </c>
      <c r="T39" s="11" t="str">
        <f t="shared" si="33"/>
        <v/>
      </c>
      <c r="U39" s="11" t="str">
        <f t="shared" si="33"/>
        <v/>
      </c>
      <c r="V39" s="11" t="str">
        <f t="shared" si="33"/>
        <v/>
      </c>
    </row>
    <row r="40" spans="1:22" s="1" customFormat="1" x14ac:dyDescent="0.3">
      <c r="A40" s="220"/>
      <c r="B40" s="11" t="str">
        <f t="shared" ref="B40:M40" si="34">IF(B17="","",(B17/$O$23))</f>
        <v/>
      </c>
      <c r="C40" s="11" t="str">
        <f t="shared" si="34"/>
        <v/>
      </c>
      <c r="D40" s="11" t="str">
        <f t="shared" si="34"/>
        <v/>
      </c>
      <c r="E40" s="11" t="str">
        <f t="shared" si="34"/>
        <v/>
      </c>
      <c r="F40" s="11" t="str">
        <f t="shared" si="34"/>
        <v/>
      </c>
      <c r="G40" s="11" t="str">
        <f t="shared" si="34"/>
        <v/>
      </c>
      <c r="H40" s="11" t="str">
        <f t="shared" si="34"/>
        <v/>
      </c>
      <c r="I40" s="11" t="str">
        <f t="shared" si="34"/>
        <v/>
      </c>
      <c r="J40" s="11" t="str">
        <f t="shared" si="34"/>
        <v/>
      </c>
      <c r="K40" s="11" t="str">
        <f t="shared" si="34"/>
        <v/>
      </c>
      <c r="L40" s="11" t="str">
        <f t="shared" si="34"/>
        <v/>
      </c>
      <c r="M40" s="11" t="str">
        <f t="shared" si="34"/>
        <v/>
      </c>
      <c r="N40" s="6"/>
      <c r="O40" s="11">
        <f t="shared" ref="O40:R40" si="35">IF(O17="","",(O17/$O$23))</f>
        <v>0.67016683326979398</v>
      </c>
      <c r="P40" s="11" t="str">
        <f t="shared" si="35"/>
        <v/>
      </c>
      <c r="Q40" s="11" t="str">
        <f t="shared" si="35"/>
        <v/>
      </c>
      <c r="R40" s="11" t="str">
        <f t="shared" si="35"/>
        <v/>
      </c>
      <c r="S40" s="11" t="str">
        <f t="shared" ref="S40:V40" si="36">IF(S17="","",(S17/$O$23))</f>
        <v/>
      </c>
      <c r="T40" s="11" t="str">
        <f t="shared" si="36"/>
        <v/>
      </c>
      <c r="U40" s="11" t="str">
        <f t="shared" si="36"/>
        <v/>
      </c>
      <c r="V40" s="11" t="str">
        <f t="shared" si="36"/>
        <v/>
      </c>
    </row>
    <row r="41" spans="1:22" s="1" customFormat="1" x14ac:dyDescent="0.3">
      <c r="A41" s="220"/>
      <c r="B41" s="11" t="str">
        <f t="shared" ref="B41:M41" si="37">IF(B18="","",(B18/$O$23))</f>
        <v/>
      </c>
      <c r="C41" s="11" t="str">
        <f t="shared" si="37"/>
        <v/>
      </c>
      <c r="D41" s="11" t="str">
        <f t="shared" si="37"/>
        <v/>
      </c>
      <c r="E41" s="11" t="str">
        <f t="shared" si="37"/>
        <v/>
      </c>
      <c r="F41" s="11" t="str">
        <f t="shared" si="37"/>
        <v/>
      </c>
      <c r="G41" s="11" t="str">
        <f t="shared" si="37"/>
        <v/>
      </c>
      <c r="H41" s="11" t="str">
        <f t="shared" si="37"/>
        <v/>
      </c>
      <c r="I41" s="11" t="str">
        <f t="shared" si="37"/>
        <v/>
      </c>
      <c r="J41" s="11" t="str">
        <f t="shared" si="37"/>
        <v/>
      </c>
      <c r="K41" s="11" t="str">
        <f t="shared" si="37"/>
        <v/>
      </c>
      <c r="L41" s="11" t="str">
        <f t="shared" si="37"/>
        <v/>
      </c>
      <c r="M41" s="11" t="str">
        <f t="shared" si="37"/>
        <v/>
      </c>
      <c r="N41" s="6"/>
      <c r="O41" s="11">
        <f t="shared" ref="O41:R41" si="38">IF(O18="","",(O18/$O$23))</f>
        <v>1.6246368502102801</v>
      </c>
      <c r="P41" s="11" t="str">
        <f t="shared" si="38"/>
        <v/>
      </c>
      <c r="Q41" s="11" t="str">
        <f t="shared" si="38"/>
        <v/>
      </c>
      <c r="R41" s="11" t="str">
        <f t="shared" si="38"/>
        <v/>
      </c>
      <c r="S41" s="11" t="str">
        <f t="shared" ref="S41:V41" si="39">IF(S18="","",(S18/$O$23))</f>
        <v/>
      </c>
      <c r="T41" s="11" t="str">
        <f t="shared" si="39"/>
        <v/>
      </c>
      <c r="U41" s="11" t="str">
        <f t="shared" si="39"/>
        <v/>
      </c>
      <c r="V41" s="11" t="str">
        <f t="shared" si="39"/>
        <v/>
      </c>
    </row>
    <row r="42" spans="1:22" s="1" customFormat="1" x14ac:dyDescent="0.3">
      <c r="A42" s="220"/>
      <c r="B42" s="11" t="str">
        <f t="shared" ref="B42:M42" si="40">IF(B19="","",(B19/$O$23))</f>
        <v/>
      </c>
      <c r="C42" s="11" t="str">
        <f t="shared" si="40"/>
        <v/>
      </c>
      <c r="D42" s="11" t="str">
        <f t="shared" si="40"/>
        <v/>
      </c>
      <c r="E42" s="11" t="str">
        <f t="shared" si="40"/>
        <v/>
      </c>
      <c r="F42" s="11" t="str">
        <f t="shared" si="40"/>
        <v/>
      </c>
      <c r="G42" s="11" t="str">
        <f t="shared" si="40"/>
        <v/>
      </c>
      <c r="H42" s="11" t="str">
        <f t="shared" si="40"/>
        <v/>
      </c>
      <c r="I42" s="11" t="str">
        <f t="shared" si="40"/>
        <v/>
      </c>
      <c r="J42" s="11" t="str">
        <f t="shared" si="40"/>
        <v/>
      </c>
      <c r="K42" s="11" t="str">
        <f t="shared" si="40"/>
        <v/>
      </c>
      <c r="L42" s="11" t="str">
        <f t="shared" si="40"/>
        <v/>
      </c>
      <c r="M42" s="11" t="str">
        <f t="shared" si="40"/>
        <v/>
      </c>
      <c r="N42" s="6"/>
      <c r="O42" s="11">
        <f t="shared" ref="O42:R42" si="41">IF(O19="","",(O19/$O$23))</f>
        <v>0.53479904060613515</v>
      </c>
      <c r="P42" s="11" t="str">
        <f t="shared" si="41"/>
        <v/>
      </c>
      <c r="Q42" s="11" t="str">
        <f t="shared" si="41"/>
        <v/>
      </c>
      <c r="R42" s="11" t="str">
        <f t="shared" si="41"/>
        <v/>
      </c>
      <c r="S42" s="11" t="str">
        <f t="shared" ref="S42:V42" si="42">IF(S19="","",(S19/$O$23))</f>
        <v/>
      </c>
      <c r="T42" s="11" t="str">
        <f t="shared" si="42"/>
        <v/>
      </c>
      <c r="U42" s="11" t="str">
        <f t="shared" si="42"/>
        <v/>
      </c>
      <c r="V42" s="11" t="str">
        <f t="shared" si="42"/>
        <v/>
      </c>
    </row>
    <row r="43" spans="1:22" s="1" customFormat="1" x14ac:dyDescent="0.3">
      <c r="A43" s="220"/>
      <c r="B43" s="11" t="str">
        <f t="shared" ref="B43:M43" si="43">IF(B20="","",(B20/$O$23))</f>
        <v/>
      </c>
      <c r="C43" s="11" t="str">
        <f t="shared" si="43"/>
        <v/>
      </c>
      <c r="D43" s="11" t="str">
        <f t="shared" si="43"/>
        <v/>
      </c>
      <c r="E43" s="11" t="str">
        <f t="shared" si="43"/>
        <v/>
      </c>
      <c r="F43" s="11" t="str">
        <f t="shared" si="43"/>
        <v/>
      </c>
      <c r="G43" s="11" t="str">
        <f t="shared" si="43"/>
        <v/>
      </c>
      <c r="H43" s="11" t="str">
        <f t="shared" si="43"/>
        <v/>
      </c>
      <c r="I43" s="11" t="str">
        <f t="shared" si="43"/>
        <v/>
      </c>
      <c r="J43" s="11" t="str">
        <f t="shared" si="43"/>
        <v/>
      </c>
      <c r="K43" s="11" t="str">
        <f t="shared" si="43"/>
        <v/>
      </c>
      <c r="L43" s="11" t="str">
        <f t="shared" si="43"/>
        <v/>
      </c>
      <c r="M43" s="11" t="str">
        <f t="shared" si="43"/>
        <v/>
      </c>
      <c r="N43" s="6"/>
      <c r="O43" s="11">
        <f t="shared" ref="O43:R43" si="44">IF(O20="","",(O20/$O$23))</f>
        <v>1.0739431708227394</v>
      </c>
      <c r="P43" s="11" t="str">
        <f t="shared" si="44"/>
        <v/>
      </c>
      <c r="Q43" s="11" t="str">
        <f t="shared" si="44"/>
        <v/>
      </c>
      <c r="R43" s="11" t="str">
        <f t="shared" si="44"/>
        <v/>
      </c>
      <c r="S43" s="11" t="str">
        <f t="shared" ref="S43:V43" si="45">IF(S20="","",(S20/$O$23))</f>
        <v/>
      </c>
      <c r="T43" s="11" t="str">
        <f t="shared" si="45"/>
        <v/>
      </c>
      <c r="U43" s="11" t="str">
        <f t="shared" si="45"/>
        <v/>
      </c>
      <c r="V43" s="11" t="str">
        <f t="shared" si="45"/>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46">A4</f>
        <v>Noms des groupes</v>
      </c>
      <c r="B45" s="70" t="str">
        <f t="shared" si="46"/>
        <v>Témoin solvant</v>
      </c>
      <c r="C45" s="70" t="str">
        <f t="shared" si="46"/>
        <v>EE2-33.8ng/L</v>
      </c>
      <c r="D45" s="70" t="str">
        <f t="shared" si="46"/>
        <v>EE2-50.6ng/L</v>
      </c>
      <c r="E45" s="70" t="str">
        <f t="shared" si="46"/>
        <v>EE2-76ng/L</v>
      </c>
      <c r="F45" s="70" t="str">
        <f t="shared" si="46"/>
        <v>EE2-114ng/L</v>
      </c>
      <c r="G45" s="70" t="str">
        <f t="shared" si="46"/>
        <v>EE2-170.9ng/L</v>
      </c>
      <c r="H45" s="70" t="str">
        <f t="shared" si="46"/>
        <v>EE2-488ng/L</v>
      </c>
      <c r="I45" s="70" t="str">
        <f t="shared" si="46"/>
        <v>Atenolol-0.01mg/L</v>
      </c>
      <c r="J45" s="70" t="str">
        <f t="shared" si="46"/>
        <v>Atenolol-0.1mg/L</v>
      </c>
      <c r="K45" s="70" t="str">
        <f t="shared" si="46"/>
        <v>Atenolol-1mg/L</v>
      </c>
      <c r="L45" s="70" t="str">
        <f t="shared" si="46"/>
        <v>Atenolol-10mg/L</v>
      </c>
      <c r="M45" s="70" t="str">
        <f t="shared" si="46"/>
        <v>Atenolol-100mg/L</v>
      </c>
      <c r="N45" s="70" t="str">
        <f>N22</f>
        <v>Nom des groupes</v>
      </c>
      <c r="O45" s="70" t="str">
        <f t="shared" ref="O45:V45" si="47">O4</f>
        <v>Testo -30µg/L</v>
      </c>
      <c r="P45" s="70" t="str">
        <f t="shared" si="47"/>
        <v>Testo 30µg/L + EE2 -64ng/L</v>
      </c>
      <c r="Q45" s="70" t="str">
        <f t="shared" si="47"/>
        <v>Testo 30µg/L + FAD-10µg/L</v>
      </c>
      <c r="R45" s="70" t="str">
        <f t="shared" si="47"/>
        <v>Atenolol-0.01mg/L + Testostérone</v>
      </c>
      <c r="S45" s="70" t="str">
        <f t="shared" si="47"/>
        <v>Atenolol-0.1mg/L + Testostérone</v>
      </c>
      <c r="T45" s="70" t="str">
        <f t="shared" si="47"/>
        <v>Atenolol-1mg/L + Testostérone</v>
      </c>
      <c r="U45" s="70" t="str">
        <f t="shared" si="47"/>
        <v>Atenolol-10mg/L + Testostérone</v>
      </c>
      <c r="V45" s="70" t="str">
        <f t="shared" si="47"/>
        <v>Atenolol-100mg/L + Testostérone</v>
      </c>
    </row>
    <row r="46" spans="1:22" x14ac:dyDescent="0.3">
      <c r="A46" s="8" t="s">
        <v>0</v>
      </c>
      <c r="B46" s="10">
        <f t="shared" ref="B46:H46" si="48">AVERAGE(B28:B43)</f>
        <v>8.4261157656589421E-3</v>
      </c>
      <c r="C46" s="10">
        <f t="shared" si="48"/>
        <v>4.2262460463026605E-2</v>
      </c>
      <c r="D46" s="10">
        <f t="shared" si="48"/>
        <v>1.5811787496460311E-2</v>
      </c>
      <c r="E46" s="10">
        <f t="shared" si="48"/>
        <v>0.61697340653864741</v>
      </c>
      <c r="F46" s="10">
        <f t="shared" si="48"/>
        <v>1.3215852612767303</v>
      </c>
      <c r="G46" s="10">
        <f t="shared" si="48"/>
        <v>2.7347250948337019</v>
      </c>
      <c r="H46" s="10">
        <f t="shared" si="48"/>
        <v>6.218990154905887</v>
      </c>
      <c r="I46" s="10">
        <f>AVERAGE(I28:I43)</f>
        <v>1.8441637595894081E-2</v>
      </c>
      <c r="J46" s="9">
        <f>AVERAGE(J28:J43)</f>
        <v>1.9792351465557176E-2</v>
      </c>
      <c r="K46" s="9">
        <f>AVERAGE(K28:K43)</f>
        <v>2.6005797588707413E-2</v>
      </c>
      <c r="L46" s="9">
        <f t="shared" ref="L46:M46" si="49">AVERAGE(L28:L43)</f>
        <v>1.7431890340120534E-2</v>
      </c>
      <c r="M46" s="9">
        <f t="shared" si="49"/>
        <v>7.8518603015266444E-3</v>
      </c>
      <c r="N46" s="8" t="s">
        <v>0</v>
      </c>
      <c r="O46" s="10">
        <f>AVERAGE(O28:O43)</f>
        <v>0.99999999999999989</v>
      </c>
      <c r="P46" s="10">
        <f>AVERAGE(P28:P43)</f>
        <v>6.0954670941312674</v>
      </c>
      <c r="Q46" s="10">
        <f>AVERAGE(Q28:Q43)</f>
        <v>2.5406826825805175E-2</v>
      </c>
      <c r="R46" s="10">
        <f>AVERAGE(R28:R43)</f>
        <v>0.80985490018321349</v>
      </c>
      <c r="S46" s="10">
        <f t="shared" ref="S46:V46" si="50">AVERAGE(S28:S43)</f>
        <v>0.9642935977369993</v>
      </c>
      <c r="T46" s="10">
        <f t="shared" si="50"/>
        <v>0.63783532006311905</v>
      </c>
      <c r="U46" s="10">
        <f t="shared" si="50"/>
        <v>1.0902183451556513</v>
      </c>
      <c r="V46" s="10">
        <f t="shared" si="50"/>
        <v>1.4098416920073527</v>
      </c>
    </row>
    <row r="47" spans="1:22" x14ac:dyDescent="0.3">
      <c r="A47" s="8" t="s">
        <v>1</v>
      </c>
      <c r="B47" s="8">
        <f t="shared" ref="B47:K47" si="51">STDEV(B28:B43)</f>
        <v>7.4037977778952145E-3</v>
      </c>
      <c r="C47" s="8">
        <f t="shared" si="51"/>
        <v>6.1915336510025246E-2</v>
      </c>
      <c r="D47" s="8">
        <f t="shared" si="51"/>
        <v>1.4933830930292364E-2</v>
      </c>
      <c r="E47" s="8">
        <f t="shared" si="51"/>
        <v>1.3746282741449265</v>
      </c>
      <c r="F47" s="8">
        <f t="shared" si="51"/>
        <v>1.9454383535753552</v>
      </c>
      <c r="G47" s="8">
        <f t="shared" si="51"/>
        <v>1.9090709167836273</v>
      </c>
      <c r="H47" s="8">
        <f t="shared" si="51"/>
        <v>1.4422974871048952</v>
      </c>
      <c r="I47" s="8">
        <f>STDEV(I28:I43)</f>
        <v>2.2455148721115484E-2</v>
      </c>
      <c r="J47" s="8">
        <f t="shared" si="51"/>
        <v>1.7995972998075448E-2</v>
      </c>
      <c r="K47" s="8">
        <f t="shared" si="51"/>
        <v>2.6363266190501618E-2</v>
      </c>
      <c r="L47" s="8">
        <f t="shared" ref="L47:M47" si="52">STDEV(L28:L43)</f>
        <v>2.4502869870200665E-2</v>
      </c>
      <c r="M47" s="8">
        <f t="shared" si="52"/>
        <v>8.4745798092223795E-3</v>
      </c>
      <c r="N47" s="8" t="s">
        <v>1</v>
      </c>
      <c r="O47" s="8">
        <f>STDEV(O28:O43)</f>
        <v>1.1436194202022973</v>
      </c>
      <c r="P47" s="8">
        <f>STDEV(P28:P43)</f>
        <v>2.9623238120517357</v>
      </c>
      <c r="Q47" s="8">
        <f>STDEV(Q28:Q43)</f>
        <v>4.4613557746696654E-2</v>
      </c>
      <c r="R47" s="8">
        <f>STDEV(R28:R43)</f>
        <v>0.89601460763237151</v>
      </c>
      <c r="S47" s="8">
        <f t="shared" ref="S47:V47" si="53">STDEV(S28:S43)</f>
        <v>0.91024307027596496</v>
      </c>
      <c r="T47" s="8">
        <f t="shared" si="53"/>
        <v>0.43670345014962886</v>
      </c>
      <c r="U47" s="8">
        <f t="shared" si="53"/>
        <v>0.58944716938113417</v>
      </c>
      <c r="V47" s="8">
        <f t="shared" si="53"/>
        <v>1.1970308803986958</v>
      </c>
    </row>
    <row r="48" spans="1:22" x14ac:dyDescent="0.3">
      <c r="A48" s="8" t="s">
        <v>2</v>
      </c>
      <c r="B48" s="8">
        <f t="shared" ref="B48:K48" si="54" xml:space="preserve"> B47/SQRT(COUNT(B28:B43))</f>
        <v>2.6176378076417988E-3</v>
      </c>
      <c r="C48" s="8">
        <f t="shared" si="54"/>
        <v>2.1890377152842939E-2</v>
      </c>
      <c r="D48" s="8">
        <f t="shared" si="54"/>
        <v>5.2799065599515686E-3</v>
      </c>
      <c r="E48" s="8">
        <f t="shared" si="54"/>
        <v>0.48600448712931898</v>
      </c>
      <c r="F48" s="8">
        <f t="shared" si="54"/>
        <v>0.68781632609676291</v>
      </c>
      <c r="G48" s="8">
        <f t="shared" si="54"/>
        <v>0.67495849551186093</v>
      </c>
      <c r="H48" s="8">
        <f t="shared" si="54"/>
        <v>0.50992916681009426</v>
      </c>
      <c r="I48" s="8">
        <f xml:space="preserve"> I47/SQRT(COUNT(I28:I43))</f>
        <v>7.4850495737051612E-3</v>
      </c>
      <c r="J48" s="8">
        <f t="shared" si="54"/>
        <v>6.3625372704945761E-3</v>
      </c>
      <c r="K48" s="8">
        <f t="shared" si="54"/>
        <v>9.3208221487648662E-3</v>
      </c>
      <c r="L48" s="8">
        <f t="shared" ref="L48:M48" si="55" xml:space="preserve"> L47/SQRT(COUNT(L28:L43))</f>
        <v>8.6630727218752149E-3</v>
      </c>
      <c r="M48" s="8">
        <f t="shared" si="55"/>
        <v>2.9962164254038713E-3</v>
      </c>
      <c r="N48" s="8" t="s">
        <v>2</v>
      </c>
      <c r="O48" s="8">
        <f xml:space="preserve"> O47/SQRT(COUNT(O28:O43))</f>
        <v>0.28590485505057434</v>
      </c>
      <c r="P48" s="8">
        <f xml:space="preserve"> P47/SQRT(COUNT(P28:P43))</f>
        <v>1.0473396277860829</v>
      </c>
      <c r="Q48" s="8">
        <f xml:space="preserve"> Q47/SQRT(COUNT(Q28:Q43))</f>
        <v>1.5773274607773415E-2</v>
      </c>
      <c r="R48" s="8">
        <f xml:space="preserve"> R47/SQRT(COUNT(R28:R43))</f>
        <v>0.31678900254952674</v>
      </c>
      <c r="S48" s="8">
        <f t="shared" ref="S48:V48" si="56" xml:space="preserve"> S47/SQRT(COUNT(S28:S43))</f>
        <v>0.32181952376009898</v>
      </c>
      <c r="T48" s="8">
        <f t="shared" si="56"/>
        <v>0.15439798548418199</v>
      </c>
      <c r="U48" s="8">
        <f t="shared" si="56"/>
        <v>0.2084010453103077</v>
      </c>
      <c r="V48" s="8">
        <f t="shared" si="56"/>
        <v>0.42321432640981044</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38</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c r="A51"/>
      <c r="B51"/>
      <c r="C51"/>
      <c r="D51"/>
      <c r="E51"/>
      <c r="F51"/>
      <c r="G51"/>
      <c r="H51"/>
      <c r="I51"/>
      <c r="J51"/>
      <c r="K51"/>
      <c r="L51"/>
      <c r="M51"/>
      <c r="S51"/>
      <c r="T51"/>
      <c r="U51"/>
      <c r="V51"/>
    </row>
    <row r="52" spans="1:22" x14ac:dyDescent="0.3">
      <c r="A52" s="45" t="str">
        <f t="shared" ref="A52:H52" si="57">A27</f>
        <v>Noms des groupes</v>
      </c>
      <c r="B52" s="46" t="str">
        <f t="shared" si="57"/>
        <v>Témoin solvant</v>
      </c>
      <c r="C52" s="46" t="str">
        <f t="shared" si="57"/>
        <v>EE2-33.8ng/L</v>
      </c>
      <c r="D52" s="46" t="str">
        <f t="shared" si="57"/>
        <v>EE2-50.6ng/L</v>
      </c>
      <c r="E52" s="46" t="str">
        <f t="shared" si="57"/>
        <v>EE2-76ng/L</v>
      </c>
      <c r="F52" s="46" t="str">
        <f t="shared" si="57"/>
        <v>EE2-114ng/L</v>
      </c>
      <c r="G52" s="46" t="str">
        <f t="shared" si="57"/>
        <v>EE2-170.9ng/L</v>
      </c>
      <c r="H52" s="46" t="str">
        <f t="shared" si="57"/>
        <v>EE2-488ng/L</v>
      </c>
      <c r="I52" s="46" t="str">
        <f>I4</f>
        <v>Atenolol-0.01mg/L</v>
      </c>
      <c r="J52" s="46" t="str">
        <f>J4</f>
        <v>Atenolol-0.1mg/L</v>
      </c>
      <c r="K52" s="46" t="str">
        <f>K27</f>
        <v>Atenolol-1mg/L</v>
      </c>
      <c r="L52" s="46" t="str">
        <f t="shared" ref="L52:M52" si="58">L27</f>
        <v>Atenolol-10mg/L</v>
      </c>
      <c r="M52" s="46" t="str">
        <f t="shared" si="58"/>
        <v>Atenolol-100mg/L</v>
      </c>
      <c r="N52" s="47"/>
      <c r="O52" s="46" t="str">
        <f>O27</f>
        <v>Testo -30µg/L</v>
      </c>
      <c r="P52" s="46" t="str">
        <f>P27</f>
        <v>Testo 30µg/L + EE2 -64ng/L</v>
      </c>
      <c r="Q52" s="46" t="str">
        <f>Q27</f>
        <v>Testo 30µg/L + FAD-10µg/L</v>
      </c>
      <c r="R52" s="46" t="str">
        <f>R27</f>
        <v>Atenolol-0.01mg/L + Testostérone</v>
      </c>
      <c r="S52" s="46" t="str">
        <f t="shared" ref="S52:V52" si="59">S27</f>
        <v>Atenolol-0.1mg/L + Testostérone</v>
      </c>
      <c r="T52" s="46" t="str">
        <f t="shared" si="59"/>
        <v>Atenolol-1mg/L + Testostérone</v>
      </c>
      <c r="U52" s="46" t="str">
        <f t="shared" si="59"/>
        <v>Atenolol-10mg/L + Testostérone</v>
      </c>
      <c r="V52" s="46" t="str">
        <f t="shared" si="59"/>
        <v>Atenolol-100mg/L + Testostérone</v>
      </c>
    </row>
    <row r="53" spans="1:22" s="3" customFormat="1" x14ac:dyDescent="0.3">
      <c r="A53" s="61" t="s">
        <v>32</v>
      </c>
      <c r="B53" s="141">
        <f t="shared" ref="B53:M53" si="60">B46</f>
        <v>8.4261157656589421E-3</v>
      </c>
      <c r="C53" s="141">
        <f t="shared" si="60"/>
        <v>4.2262460463026605E-2</v>
      </c>
      <c r="D53" s="141">
        <f t="shared" si="60"/>
        <v>1.5811787496460311E-2</v>
      </c>
      <c r="E53" s="141">
        <f t="shared" si="60"/>
        <v>0.61697340653864741</v>
      </c>
      <c r="F53" s="141">
        <f t="shared" si="60"/>
        <v>1.3215852612767303</v>
      </c>
      <c r="G53" s="141">
        <f t="shared" si="60"/>
        <v>2.7347250948337019</v>
      </c>
      <c r="H53" s="141">
        <f t="shared" si="60"/>
        <v>6.218990154905887</v>
      </c>
      <c r="I53" s="141">
        <f t="shared" si="60"/>
        <v>1.8441637595894081E-2</v>
      </c>
      <c r="J53" s="141">
        <f t="shared" si="60"/>
        <v>1.9792351465557176E-2</v>
      </c>
      <c r="K53" s="141">
        <f t="shared" si="60"/>
        <v>2.6005797588707413E-2</v>
      </c>
      <c r="L53" s="141">
        <f t="shared" si="60"/>
        <v>1.7431890340120534E-2</v>
      </c>
      <c r="M53" s="141">
        <f t="shared" si="60"/>
        <v>7.8518603015266444E-3</v>
      </c>
      <c r="N53" s="141"/>
      <c r="O53" s="141">
        <f t="shared" ref="O53:V53" si="61">O46</f>
        <v>0.99999999999999989</v>
      </c>
      <c r="P53" s="141">
        <f t="shared" si="61"/>
        <v>6.0954670941312674</v>
      </c>
      <c r="Q53" s="141">
        <f t="shared" si="61"/>
        <v>2.5406826825805175E-2</v>
      </c>
      <c r="R53" s="141">
        <f t="shared" si="61"/>
        <v>0.80985490018321349</v>
      </c>
      <c r="S53" s="141">
        <f t="shared" si="61"/>
        <v>0.9642935977369993</v>
      </c>
      <c r="T53" s="141">
        <f t="shared" si="61"/>
        <v>0.63783532006311905</v>
      </c>
      <c r="U53" s="141">
        <f t="shared" si="61"/>
        <v>1.0902183451556513</v>
      </c>
      <c r="V53" s="141">
        <f t="shared" si="61"/>
        <v>1.4098416920073527</v>
      </c>
    </row>
    <row r="54" spans="1:22" s="3" customFormat="1" x14ac:dyDescent="0.3">
      <c r="A54" s="61" t="s">
        <v>2</v>
      </c>
      <c r="B54" s="141">
        <f t="shared" ref="B54:M54" si="62">B48</f>
        <v>2.6176378076417988E-3</v>
      </c>
      <c r="C54" s="141">
        <f t="shared" si="62"/>
        <v>2.1890377152842939E-2</v>
      </c>
      <c r="D54" s="141">
        <f t="shared" si="62"/>
        <v>5.2799065599515686E-3</v>
      </c>
      <c r="E54" s="141">
        <f t="shared" si="62"/>
        <v>0.48600448712931898</v>
      </c>
      <c r="F54" s="141">
        <f t="shared" si="62"/>
        <v>0.68781632609676291</v>
      </c>
      <c r="G54" s="141">
        <f t="shared" si="62"/>
        <v>0.67495849551186093</v>
      </c>
      <c r="H54" s="141">
        <f t="shared" si="62"/>
        <v>0.50992916681009426</v>
      </c>
      <c r="I54" s="141">
        <f t="shared" si="62"/>
        <v>7.4850495737051612E-3</v>
      </c>
      <c r="J54" s="141">
        <f t="shared" si="62"/>
        <v>6.3625372704945761E-3</v>
      </c>
      <c r="K54" s="141">
        <f t="shared" si="62"/>
        <v>9.3208221487648662E-3</v>
      </c>
      <c r="L54" s="141">
        <f t="shared" si="62"/>
        <v>8.6630727218752149E-3</v>
      </c>
      <c r="M54" s="141">
        <f t="shared" si="62"/>
        <v>2.9962164254038713E-3</v>
      </c>
      <c r="N54" s="141"/>
      <c r="O54" s="141">
        <f t="shared" ref="O54:V54" si="63">O48</f>
        <v>0.28590485505057434</v>
      </c>
      <c r="P54" s="141">
        <f t="shared" si="63"/>
        <v>1.0473396277860829</v>
      </c>
      <c r="Q54" s="141">
        <f t="shared" si="63"/>
        <v>1.5773274607773415E-2</v>
      </c>
      <c r="R54" s="141">
        <f t="shared" si="63"/>
        <v>0.31678900254952674</v>
      </c>
      <c r="S54" s="141">
        <f t="shared" si="63"/>
        <v>0.32181952376009898</v>
      </c>
      <c r="T54" s="141">
        <f t="shared" si="63"/>
        <v>0.15439798548418199</v>
      </c>
      <c r="U54" s="141">
        <f t="shared" si="63"/>
        <v>0.2084010453103077</v>
      </c>
      <c r="V54" s="141">
        <f t="shared" si="63"/>
        <v>0.42321432640981044</v>
      </c>
    </row>
    <row r="55" spans="1:22" s="3" customFormat="1" x14ac:dyDescent="0.3">
      <c r="A55" s="61" t="s">
        <v>79</v>
      </c>
      <c r="B55" s="141">
        <f t="shared" ref="B55:M55" si="64">(B53*100/$B$53)-100</f>
        <v>0</v>
      </c>
      <c r="C55" s="141">
        <f t="shared" si="64"/>
        <v>401.56515336840471</v>
      </c>
      <c r="D55" s="141">
        <f t="shared" si="64"/>
        <v>87.652151195240435</v>
      </c>
      <c r="E55" s="141">
        <f t="shared" si="64"/>
        <v>7222.1567765915761</v>
      </c>
      <c r="F55" s="141">
        <f t="shared" si="64"/>
        <v>15584.39477965538</v>
      </c>
      <c r="G55" s="141">
        <f t="shared" si="64"/>
        <v>32355.346815661032</v>
      </c>
      <c r="H55" s="141">
        <f t="shared" si="64"/>
        <v>73706.132361149052</v>
      </c>
      <c r="I55" s="141">
        <f t="shared" si="64"/>
        <v>118.86285577814988</v>
      </c>
      <c r="J55" s="141">
        <f t="shared" si="64"/>
        <v>134.89294493462691</v>
      </c>
      <c r="K55" s="141">
        <f t="shared" si="64"/>
        <v>208.63328147822682</v>
      </c>
      <c r="L55" s="141">
        <f t="shared" si="64"/>
        <v>106.87931218753343</v>
      </c>
      <c r="M55" s="141">
        <f t="shared" si="64"/>
        <v>-6.8151860252467031</v>
      </c>
      <c r="N55" s="141"/>
      <c r="O55" s="141">
        <f>(O53*100/$O$53)-100</f>
        <v>0</v>
      </c>
      <c r="P55" s="141">
        <f t="shared" ref="P55:V55" si="65">(P53*100/$O$53)-100</f>
        <v>509.54670941312691</v>
      </c>
      <c r="Q55" s="141">
        <f t="shared" si="65"/>
        <v>-97.459317317419476</v>
      </c>
      <c r="R55" s="141">
        <f t="shared" si="65"/>
        <v>-19.014509981678643</v>
      </c>
      <c r="S55" s="141">
        <f t="shared" si="65"/>
        <v>-3.570640226300057</v>
      </c>
      <c r="T55" s="141">
        <f t="shared" si="65"/>
        <v>-36.216467993688092</v>
      </c>
      <c r="U55" s="141">
        <f t="shared" si="65"/>
        <v>9.0218345155651463</v>
      </c>
      <c r="V55" s="141">
        <f t="shared" si="65"/>
        <v>40.984169200735295</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t="shared" ref="B57:M57" ca="1" si="66">IF(B56&gt;0.05,"Oui","Non")</f>
        <v>#NAME?</v>
      </c>
      <c r="C57" s="141" t="e">
        <f t="shared" ca="1" si="66"/>
        <v>#NAME?</v>
      </c>
      <c r="D57" s="141" t="e">
        <f t="shared" ca="1" si="66"/>
        <v>#NAME?</v>
      </c>
      <c r="E57" s="141" t="e">
        <f t="shared" ca="1" si="66"/>
        <v>#NAME?</v>
      </c>
      <c r="F57" s="141" t="e">
        <f t="shared" ca="1" si="66"/>
        <v>#NAME?</v>
      </c>
      <c r="G57" s="141" t="e">
        <f t="shared" ca="1" si="66"/>
        <v>#NAME?</v>
      </c>
      <c r="H57" s="141" t="e">
        <f t="shared" ca="1" si="66"/>
        <v>#NAME?</v>
      </c>
      <c r="I57" s="141" t="e">
        <f t="shared" ca="1" si="66"/>
        <v>#NAME?</v>
      </c>
      <c r="J57" s="141" t="e">
        <f t="shared" ca="1" si="66"/>
        <v>#NAME?</v>
      </c>
      <c r="K57" s="141" t="e">
        <f t="shared" ca="1" si="66"/>
        <v>#NAME?</v>
      </c>
      <c r="L57" s="141" t="e">
        <f t="shared" ca="1" si="66"/>
        <v>#NAME?</v>
      </c>
      <c r="M57" s="141" t="e">
        <f t="shared" ca="1" si="66"/>
        <v>#NAME?</v>
      </c>
      <c r="N57" s="141"/>
      <c r="O57" s="141" t="e">
        <f t="shared" ref="O57:V57" ca="1" si="67">IF(O56&gt;0.05,"Oui","Non")</f>
        <v>#NAME?</v>
      </c>
      <c r="P57" s="141" t="e">
        <f t="shared" ca="1" si="67"/>
        <v>#NAME?</v>
      </c>
      <c r="Q57" s="141" t="e">
        <f t="shared" ca="1" si="67"/>
        <v>#NAME?</v>
      </c>
      <c r="R57" s="141" t="e">
        <f t="shared" ca="1" si="67"/>
        <v>#NAME?</v>
      </c>
      <c r="S57" s="141" t="e">
        <f t="shared" ca="1" si="67"/>
        <v>#NAME?</v>
      </c>
      <c r="T57" s="141" t="e">
        <f t="shared" ca="1" si="67"/>
        <v>#NAME?</v>
      </c>
      <c r="U57" s="141" t="e">
        <f t="shared" ca="1" si="67"/>
        <v>#NAME?</v>
      </c>
      <c r="V57" s="141" t="e">
        <f t="shared" ca="1" si="67"/>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M59" ca="1" si="68">IF($B57="Non",IF(C$57="Non","Mann Withney",IF(C$57="Oui","Mann Withney","")),IF($B$57="Oui",IF(C$57="Oui","T-Test Welch",IF(C$57="Non","Mann Withney",""))))</f>
        <v>#NAME?</v>
      </c>
      <c r="D59" s="150" t="e">
        <f t="shared" ca="1" si="68"/>
        <v>#NAME?</v>
      </c>
      <c r="E59" s="150" t="e">
        <f t="shared" ca="1" si="68"/>
        <v>#NAME?</v>
      </c>
      <c r="F59" s="150" t="e">
        <f t="shared" ca="1" si="68"/>
        <v>#NAME?</v>
      </c>
      <c r="G59" s="150" t="e">
        <f t="shared" ca="1" si="68"/>
        <v>#NAME?</v>
      </c>
      <c r="H59" s="150" t="e">
        <f t="shared" ca="1" si="68"/>
        <v>#NAME?</v>
      </c>
      <c r="I59" s="150" t="e">
        <f t="shared" ca="1" si="68"/>
        <v>#NAME?</v>
      </c>
      <c r="J59" s="150" t="e">
        <f t="shared" ca="1" si="68"/>
        <v>#NAME?</v>
      </c>
      <c r="K59" s="150" t="e">
        <f t="shared" ca="1" si="68"/>
        <v>#NAME?</v>
      </c>
      <c r="L59" s="150" t="e">
        <f t="shared" ca="1" si="68"/>
        <v>#NAME?</v>
      </c>
      <c r="M59" s="150" t="e">
        <f t="shared" ca="1" si="68"/>
        <v>#NAME?</v>
      </c>
      <c r="N59" s="150"/>
      <c r="O59" s="150" t="e">
        <f ca="1">IF($B57="Non",IF(O$57="Non","Mann Withney",IF(O$57="Oui","Mann Withney","")),IF($B$57="Oui",IF(O$57="Oui","T-Test Welch",IF(O$57="Non","Mann Withney",""))))</f>
        <v>#NAME?</v>
      </c>
      <c r="P59" s="150" t="e">
        <f ca="1">IF($O57="Non",IF(P$57="Non","Mann Withney",IF(P$57="Oui","Mann Withney","")),IF($O$57="Oui",IF(P$57="Oui","T-Test Welch",IF(P$57="Non","Mann Withney",""))))</f>
        <v>#NAME?</v>
      </c>
      <c r="Q59" s="150" t="e">
        <f t="shared" ref="Q59:V59" ca="1" si="69">IF($O57="Non",IF(Q$57="Non","Mann Withney",IF(Q$57="Oui","Mann Withney","")),IF($O$57="Oui",IF(Q$57="Oui","T-Test Welch",IF(Q$57="Non","Mann Withney",""))))</f>
        <v>#NAME?</v>
      </c>
      <c r="R59" s="150" t="e">
        <f t="shared" ca="1" si="69"/>
        <v>#NAME?</v>
      </c>
      <c r="S59" s="150" t="e">
        <f t="shared" ca="1" si="69"/>
        <v>#NAME?</v>
      </c>
      <c r="T59" s="150" t="e">
        <f t="shared" ca="1" si="69"/>
        <v>#NAME?</v>
      </c>
      <c r="U59" s="150" t="e">
        <f t="shared" ca="1" si="69"/>
        <v>#NAME?</v>
      </c>
      <c r="V59" s="150" t="e">
        <f t="shared" ca="1" si="69"/>
        <v>#NAME?</v>
      </c>
    </row>
    <row r="60" spans="1:22" s="3" customFormat="1" x14ac:dyDescent="0.3">
      <c r="A60" s="61" t="s">
        <v>83</v>
      </c>
      <c r="B60" s="151"/>
      <c r="C60" s="151" t="e">
        <f ca="1">IF(C59="Mann Withney",[1]!MTEST($B28:$B43,C28:C43,2), IF(C59="T-Test Welch",_xlfn.T.TEST($B28:$B43,C28:C43,2,3),""))</f>
        <v>#NAME?</v>
      </c>
      <c r="D60" s="151" t="e">
        <f ca="1">IF(D59="Mann Withney",[1]!MTEST($B28:$B43,D28:D43,2), IF(D59="T-Test Welch",_xlfn.T.TEST($B28:$B43,D28:D43,2,3),""))</f>
        <v>#NAME?</v>
      </c>
      <c r="E60" s="151" t="e">
        <f ca="1">IF(E59="Mann Withney",[1]!MTEST($B28:$B43,E28:E43,2), IF(E59="T-Test Welch",_xlfn.T.TEST($B28:$B43,E28:E43,2,3),""))</f>
        <v>#NAME?</v>
      </c>
      <c r="F60" s="151" t="e">
        <f ca="1">IF(F59="Mann Withney",[1]!MTEST($B28:$B43,F28:F43,2), IF(F59="T-Test Welch",_xlfn.T.TEST($B28:$B43,F28:F43,2,3),""))</f>
        <v>#NAME?</v>
      </c>
      <c r="G60" s="151" t="e">
        <f ca="1">IF(G59="Mann Withney",[1]!MTEST($B28:$B43,G28:G43,2), IF(G59="T-Test Welch",_xlfn.T.TEST($B28:$B43,G28:G43,2,3),""))</f>
        <v>#NAME?</v>
      </c>
      <c r="H60" s="151" t="e">
        <f ca="1">IF(H59="Mann Withney",[1]!MTEST($B28:$B43,H28:H43,2), IF(H59="T-Test Welch",_xlfn.T.TEST($B28:$B43,H28:H43,2,3),""))</f>
        <v>#NAME?</v>
      </c>
      <c r="I60" s="151" t="e">
        <f ca="1">IF(I59="Mann Withney",[1]!MTEST($B28:$B43,I28:I43,2), IF(I59="T-Test Welch",_xlfn.T.TEST($B28:$B43,I28:I43,2,3),""))</f>
        <v>#NAME?</v>
      </c>
      <c r="J60" s="151" t="e">
        <f ca="1">IF(J59="Mann Withney",[1]!MTEST($B28:$B43,J28:J43,2), IF(J59="T-Test Welch",_xlfn.T.TEST($B28:$B43,J28:J43,2,3),""))</f>
        <v>#NAME?</v>
      </c>
      <c r="K60" s="151" t="e">
        <f ca="1">IF(K59="Mann Withney",[1]!MTEST($B28:$B43,K28:K43,2), IF(K59="T-Test Welch",_xlfn.T.TEST($B28:$B43,K28:K43,2,3),""))</f>
        <v>#NAME?</v>
      </c>
      <c r="L60" s="151" t="e">
        <f ca="1">IF(L59="Mann Withney",[1]!MTEST($B28:$B43,L28:L43,2), IF(L59="T-Test Welch",_xlfn.T.TEST($B28:$B43,L28:L43,2,3),""))</f>
        <v>#NAME?</v>
      </c>
      <c r="M60" s="151" t="e">
        <f ca="1">IF(M59="Mann Withney",[1]!MTEST($B28:$B43,M28:M43,2), IF(M59="T-Test Welch",_xlfn.T.TEST($B28:$B43,M28:M43,2,3),""))</f>
        <v>#NAME?</v>
      </c>
      <c r="N60" s="151"/>
      <c r="O60" s="151" t="e">
        <f ca="1">IF(O59="Mann Withney",[1]!MTEST($B28:$B43,O28:O43,2), IF(O59="T-Test Welch",_xlfn.T.TEST($B28:$B43,O28:O43,2,3),""))</f>
        <v>#NAME?</v>
      </c>
      <c r="P60" s="151" t="e">
        <f ca="1">IF(P59="Mann Withney",[1]!MTEST($O28:$O43,P28:P43,2), IF(P59="T-Test Welch",_xlfn.T.TEST($O28:$O43,P28:P43,2,3),""))</f>
        <v>#NAME?</v>
      </c>
      <c r="Q60" s="151" t="e">
        <f ca="1">IF(Q59="Mann Withney",[1]!MTEST($O28:$O43,Q28:Q43,2), IF(Q59="T-Test Welch",_xlfn.T.TEST($O28:$O43,Q28:Q43,2,3),""))</f>
        <v>#NAME?</v>
      </c>
      <c r="R60" s="151" t="e">
        <f ca="1">IF(R59="Mann Withney",[1]!MTEST($O28:$O43,R28:R43,2), IF(R59="T-Test Welch",_xlfn.T.TEST($O28:$O43,R28:R43,2,3),""))</f>
        <v>#NAME?</v>
      </c>
      <c r="S60" s="151" t="e">
        <f ca="1">IF(S59="Mann Withney",[1]!MTEST($O28:$O43,S28:S43,2), IF(S59="T-Test Welch",_xlfn.T.TEST($O28:$O43,S28:S43,2,3),""))</f>
        <v>#NAME?</v>
      </c>
      <c r="T60" s="151" t="e">
        <f ca="1">IF(T59="Mann Withney",[1]!MTEST($O28:$O43,T28:T43,2), IF(T59="T-Test Welch",_xlfn.T.TEST($O28:$O43,T28:T43,2,3),""))</f>
        <v>#NAME?</v>
      </c>
      <c r="U60" s="151" t="e">
        <f ca="1">IF(U59="Mann Withney",[1]!MTEST($O28:$O43,U28:U43,2), IF(U59="T-Test Welch",_xlfn.T.TEST($O28:$O43,U28:U43,2,3),""))</f>
        <v>#NAME?</v>
      </c>
      <c r="V60" s="151" t="e">
        <f ca="1">IF(V59="Mann Withney",[1]!MTEST($O28:$O43,V28:V43,2), IF(V59="T-Test Welch",_xlfn.T.TEST($O28:$O43,V28:V43,2,3),""))</f>
        <v>#NAME?</v>
      </c>
    </row>
    <row r="61" spans="1:22" s="3" customFormat="1" ht="15" thickBot="1" x14ac:dyDescent="0.35">
      <c r="A61" s="62" t="s">
        <v>84</v>
      </c>
      <c r="B61" s="142"/>
      <c r="C61" s="142" t="e">
        <f t="shared" ref="C61:M61" ca="1" si="70">IF(C60&gt;0.05,"NS",IF(C60&gt;0.01,"*",IF(C60&gt;0.001,"**","***")))</f>
        <v>#NAME?</v>
      </c>
      <c r="D61" s="142" t="e">
        <f t="shared" ca="1" si="70"/>
        <v>#NAME?</v>
      </c>
      <c r="E61" s="142" t="e">
        <f t="shared" ca="1" si="70"/>
        <v>#NAME?</v>
      </c>
      <c r="F61" s="142" t="e">
        <f t="shared" ca="1" si="70"/>
        <v>#NAME?</v>
      </c>
      <c r="G61" s="142" t="e">
        <f t="shared" ca="1" si="70"/>
        <v>#NAME?</v>
      </c>
      <c r="H61" s="142" t="e">
        <f t="shared" ca="1" si="70"/>
        <v>#NAME?</v>
      </c>
      <c r="I61" s="142" t="e">
        <f t="shared" ca="1" si="70"/>
        <v>#NAME?</v>
      </c>
      <c r="J61" s="142" t="e">
        <f t="shared" ca="1" si="70"/>
        <v>#NAME?</v>
      </c>
      <c r="K61" s="142" t="e">
        <f t="shared" ca="1" si="70"/>
        <v>#NAME?</v>
      </c>
      <c r="L61" s="142" t="e">
        <f t="shared" ca="1" si="70"/>
        <v>#NAME?</v>
      </c>
      <c r="M61" s="142" t="e">
        <f t="shared" ca="1" si="70"/>
        <v>#NAME?</v>
      </c>
      <c r="N61" s="142"/>
      <c r="O61" s="142" t="e">
        <f ca="1">IF(O60&gt;0.05,"NS",IF(O60&gt;0.01,"*",IF(O60&gt;0.001,"**","***")))</f>
        <v>#NAME?</v>
      </c>
      <c r="P61" s="142" t="e">
        <f ca="1">IF(P60&gt;0.05,"NS",IF(P60&gt;0.01,"*",IF(P60&gt;0.001,"**","***")))</f>
        <v>#NAME?</v>
      </c>
      <c r="Q61" s="142" t="e">
        <f t="shared" ref="Q61" ca="1" si="71">IF(Q60&gt;0.05,"NS",IF(Q60&gt;0.01,"*",IF(Q60&gt;0.001,"**","***")))</f>
        <v>#NAME?</v>
      </c>
      <c r="R61" s="142" t="e">
        <f t="shared" ref="R61" ca="1" si="72">IF(R60&gt;0.05,"NS",IF(R60&gt;0.01,"*",IF(R60&gt;0.001,"**","***")))</f>
        <v>#NAME?</v>
      </c>
      <c r="S61" s="142" t="e">
        <f t="shared" ref="S61" ca="1" si="73">IF(S60&gt;0.05,"NS",IF(S60&gt;0.01,"*",IF(S60&gt;0.001,"**","***")))</f>
        <v>#NAME?</v>
      </c>
      <c r="T61" s="142" t="e">
        <f t="shared" ref="T61" ca="1" si="74">IF(T60&gt;0.05,"NS",IF(T60&gt;0.01,"*",IF(T60&gt;0.001,"**","***")))</f>
        <v>#NAME?</v>
      </c>
      <c r="U61" s="142" t="e">
        <f t="shared" ref="U61" ca="1" si="75">IF(U60&gt;0.05,"NS",IF(U60&gt;0.01,"*",IF(U60&gt;0.001,"**","***")))</f>
        <v>#NAME?</v>
      </c>
      <c r="V61" s="142" t="e">
        <f t="shared" ref="V61" ca="1" si="76">IF(V60&gt;0.05,"NS",IF(V60&gt;0.01,"*",IF(V60&gt;0.001,"**","***")))</f>
        <v>#NAME?</v>
      </c>
    </row>
    <row r="63" spans="1:22" x14ac:dyDescent="0.3">
      <c r="A63" s="2" t="s">
        <v>39</v>
      </c>
    </row>
    <row r="64" spans="1:22" x14ac:dyDescent="0.3">
      <c r="A64" s="1" t="s">
        <v>23</v>
      </c>
      <c r="B64" s="1">
        <f>B46+(3*B47)</f>
        <v>3.0637509099344588E-2</v>
      </c>
    </row>
    <row r="65" spans="1:22" x14ac:dyDescent="0.3">
      <c r="A65" s="1" t="s">
        <v>24</v>
      </c>
      <c r="B65" s="1">
        <f>B46+(10*B47)</f>
        <v>8.2464093544611081E-2</v>
      </c>
    </row>
    <row r="66" spans="1:22" ht="15" thickBot="1" x14ac:dyDescent="0.35"/>
    <row r="67" spans="1:22" s="1" customFormat="1" ht="26.4" thickBot="1" x14ac:dyDescent="0.55000000000000004">
      <c r="A67" s="215" t="s">
        <v>52</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A1521" zoomScale="80" zoomScaleNormal="80" workbookViewId="0">
      <selection activeCell="A1531" sqref="A153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 spans="1:144" x14ac:dyDescent="0.3">
      <c r="A12" s="1" t="str">
        <f t="shared" si="0"/>
        <v/>
      </c>
      <c r="B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 spans="1:144" x14ac:dyDescent="0.3">
      <c r="A13" s="1" t="str">
        <f t="shared" si="0"/>
        <v/>
      </c>
      <c r="B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 spans="1:144" x14ac:dyDescent="0.3">
      <c r="A14" s="1" t="str">
        <f t="shared" si="0"/>
        <v/>
      </c>
      <c r="B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 spans="1:144" x14ac:dyDescent="0.3">
      <c r="A15" s="1" t="str">
        <f t="shared" si="0"/>
        <v/>
      </c>
      <c r="B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 spans="1:144" x14ac:dyDescent="0.3">
      <c r="A16" s="1" t="str">
        <f t="shared" si="0"/>
        <v/>
      </c>
      <c r="B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 spans="1:2" x14ac:dyDescent="0.3">
      <c r="A17" s="1" t="str">
        <f t="shared" si="0"/>
        <v/>
      </c>
      <c r="B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 spans="1:2" x14ac:dyDescent="0.3">
      <c r="A18" s="1" t="str">
        <f t="shared" si="0"/>
        <v/>
      </c>
      <c r="B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 spans="1:2" x14ac:dyDescent="0.3">
      <c r="A19" s="1" t="str">
        <f t="shared" si="0"/>
        <v/>
      </c>
      <c r="B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 spans="1:2" x14ac:dyDescent="0.3">
      <c r="A20" s="1" t="str">
        <f t="shared" si="0"/>
        <v/>
      </c>
      <c r="B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 spans="1:2" x14ac:dyDescent="0.3">
      <c r="A21" s="1" t="str">
        <f t="shared" si="0"/>
        <v/>
      </c>
      <c r="B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 spans="1:2" x14ac:dyDescent="0.3">
      <c r="A22" s="1" t="str">
        <f t="shared" si="0"/>
        <v/>
      </c>
      <c r="B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 spans="1:2" x14ac:dyDescent="0.3">
      <c r="A23" s="1" t="str">
        <f t="shared" si="0"/>
        <v/>
      </c>
      <c r="B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 spans="1:2" x14ac:dyDescent="0.3">
      <c r="A24" s="1" t="str">
        <f t="shared" si="0"/>
        <v/>
      </c>
      <c r="B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 spans="1:2" x14ac:dyDescent="0.3">
      <c r="A25" s="1" t="str">
        <f t="shared" si="0"/>
        <v/>
      </c>
      <c r="B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 spans="1:2"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 spans="1:2"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 spans="1:2" x14ac:dyDescent="0.3">
      <c r="A28" s="1" t="str">
        <f t="shared" si="0"/>
        <v/>
      </c>
      <c r="B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 spans="1:2"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 spans="1:2"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 spans="1:2"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 spans="1:2"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 spans="1:2"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 spans="1:2"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 spans="1:2" x14ac:dyDescent="0.3">
      <c r="A35" s="1" t="str">
        <f t="shared" si="0"/>
        <v/>
      </c>
      <c r="B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 spans="1:2" x14ac:dyDescent="0.3">
      <c r="A36" s="1" t="str">
        <f t="shared" si="0"/>
        <v/>
      </c>
      <c r="B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 spans="1:2" x14ac:dyDescent="0.3">
      <c r="A37" s="1" t="str">
        <f t="shared" si="0"/>
        <v/>
      </c>
      <c r="B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 spans="1:2" x14ac:dyDescent="0.3">
      <c r="A38" s="1" t="str">
        <f t="shared" si="0"/>
        <v/>
      </c>
      <c r="B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 spans="1:2" x14ac:dyDescent="0.3">
      <c r="A39" s="1" t="str">
        <f t="shared" si="0"/>
        <v/>
      </c>
      <c r="B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 spans="1:2" x14ac:dyDescent="0.3">
      <c r="A40" s="1" t="str">
        <f t="shared" si="0"/>
        <v/>
      </c>
      <c r="B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 spans="1:2" x14ac:dyDescent="0.3">
      <c r="A41" s="1" t="str">
        <f t="shared" si="0"/>
        <v/>
      </c>
      <c r="B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 spans="1:2" x14ac:dyDescent="0.3">
      <c r="A42" s="1" t="str">
        <f t="shared" si="0"/>
        <v/>
      </c>
      <c r="B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 spans="1:2" x14ac:dyDescent="0.3">
      <c r="A43" s="1" t="str">
        <f t="shared" si="0"/>
        <v/>
      </c>
      <c r="B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 spans="1:2" x14ac:dyDescent="0.3">
      <c r="A44" s="1" t="str">
        <f t="shared" si="0"/>
        <v/>
      </c>
      <c r="B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 spans="1:2" x14ac:dyDescent="0.3">
      <c r="A45" s="1" t="str">
        <f t="shared" si="0"/>
        <v/>
      </c>
      <c r="B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 spans="1:2" x14ac:dyDescent="0.3">
      <c r="A46" s="1" t="str">
        <f t="shared" si="0"/>
        <v/>
      </c>
      <c r="B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 spans="1:2" x14ac:dyDescent="0.3">
      <c r="A47" s="1" t="str">
        <f t="shared" si="0"/>
        <v/>
      </c>
      <c r="B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 spans="1:2" x14ac:dyDescent="0.3">
      <c r="A48" s="1" t="str">
        <f t="shared" si="0"/>
        <v/>
      </c>
      <c r="B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 spans="1:2" x14ac:dyDescent="0.3">
      <c r="A49" s="1" t="str">
        <f t="shared" si="0"/>
        <v/>
      </c>
      <c r="B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 spans="1:2" x14ac:dyDescent="0.3">
      <c r="A50" s="1" t="str">
        <f t="shared" si="0"/>
        <v/>
      </c>
      <c r="B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 spans="1:2" x14ac:dyDescent="0.3">
      <c r="A51" s="1" t="str">
        <f t="shared" si="0"/>
        <v/>
      </c>
      <c r="B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 spans="1:2" x14ac:dyDescent="0.3">
      <c r="A52" s="1" t="str">
        <f t="shared" si="0"/>
        <v/>
      </c>
      <c r="B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 spans="1:2" x14ac:dyDescent="0.3">
      <c r="A53" s="1" t="str">
        <f t="shared" si="0"/>
        <v/>
      </c>
      <c r="B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 spans="1:2" x14ac:dyDescent="0.3">
      <c r="A54" s="1" t="str">
        <f t="shared" si="0"/>
        <v/>
      </c>
      <c r="B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 spans="1:2" x14ac:dyDescent="0.3">
      <c r="A55" s="1" t="str">
        <f t="shared" si="0"/>
        <v/>
      </c>
      <c r="B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 spans="1:2" x14ac:dyDescent="0.3">
      <c r="A56" s="1" t="str">
        <f t="shared" si="0"/>
        <v/>
      </c>
      <c r="B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 spans="1:2" x14ac:dyDescent="0.3">
      <c r="A57" s="1" t="str">
        <f t="shared" si="0"/>
        <v/>
      </c>
      <c r="B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 spans="1:2" x14ac:dyDescent="0.3">
      <c r="A58" s="1" t="str">
        <f t="shared" si="0"/>
        <v/>
      </c>
      <c r="B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 spans="1:2"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 spans="1:2"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 spans="1:2" x14ac:dyDescent="0.3">
      <c r="A61" s="1" t="str">
        <f t="shared" si="0"/>
        <v/>
      </c>
      <c r="B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 spans="1:2"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 spans="1:2"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 spans="1:2"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 spans="1:2"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 spans="1:2"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 spans="1:2"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 spans="1:2" x14ac:dyDescent="0.3">
      <c r="A68" s="1" t="str">
        <f t="shared" si="1"/>
        <v/>
      </c>
      <c r="B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 spans="1:2" x14ac:dyDescent="0.3">
      <c r="A69" s="1" t="str">
        <f t="shared" si="1"/>
        <v/>
      </c>
      <c r="B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 spans="1:2" x14ac:dyDescent="0.3">
      <c r="A70" s="1" t="str">
        <f t="shared" si="1"/>
        <v/>
      </c>
      <c r="B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 spans="1:2" x14ac:dyDescent="0.3">
      <c r="A71" s="1" t="str">
        <f t="shared" si="1"/>
        <v/>
      </c>
      <c r="B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 spans="1:2" x14ac:dyDescent="0.3">
      <c r="A72" s="1" t="str">
        <f t="shared" si="1"/>
        <v/>
      </c>
      <c r="B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 spans="1:2" x14ac:dyDescent="0.3">
      <c r="A73" s="1" t="str">
        <f t="shared" si="1"/>
        <v/>
      </c>
      <c r="B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 spans="1:2" x14ac:dyDescent="0.3">
      <c r="A74" s="1" t="str">
        <f t="shared" si="1"/>
        <v/>
      </c>
      <c r="B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 spans="1:2" x14ac:dyDescent="0.3">
      <c r="A75" s="1" t="str">
        <f t="shared" si="1"/>
        <v/>
      </c>
      <c r="B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 spans="1:2" x14ac:dyDescent="0.3">
      <c r="A76" s="1" t="str">
        <f t="shared" si="1"/>
        <v/>
      </c>
      <c r="B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 spans="1:2" x14ac:dyDescent="0.3">
      <c r="A77" s="1" t="str">
        <f t="shared" si="1"/>
        <v/>
      </c>
      <c r="B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 spans="1:2" x14ac:dyDescent="0.3">
      <c r="A78" s="1" t="str">
        <f t="shared" si="1"/>
        <v/>
      </c>
      <c r="B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 spans="1:2" x14ac:dyDescent="0.3">
      <c r="A79" s="1" t="str">
        <f t="shared" si="1"/>
        <v/>
      </c>
      <c r="B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 spans="1:2" x14ac:dyDescent="0.3">
      <c r="A80" s="1" t="str">
        <f t="shared" si="1"/>
        <v/>
      </c>
      <c r="B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 spans="1:2" x14ac:dyDescent="0.3">
      <c r="A81" s="1" t="str">
        <f t="shared" si="1"/>
        <v/>
      </c>
      <c r="B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 spans="1:2" x14ac:dyDescent="0.3">
      <c r="A82" s="1" t="str">
        <f t="shared" si="1"/>
        <v/>
      </c>
      <c r="B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 spans="1:2" x14ac:dyDescent="0.3">
      <c r="A83" s="1" t="str">
        <f t="shared" si="1"/>
        <v/>
      </c>
      <c r="B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 spans="1:2" x14ac:dyDescent="0.3">
      <c r="A84" s="1" t="str">
        <f t="shared" si="1"/>
        <v/>
      </c>
      <c r="B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 spans="1:2" x14ac:dyDescent="0.3">
      <c r="A85" s="1" t="str">
        <f t="shared" si="1"/>
        <v/>
      </c>
      <c r="B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 spans="1:2" x14ac:dyDescent="0.3">
      <c r="A86" s="1" t="str">
        <f t="shared" si="1"/>
        <v/>
      </c>
      <c r="B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 spans="1:2" x14ac:dyDescent="0.3">
      <c r="A87" s="1" t="str">
        <f t="shared" si="1"/>
        <v/>
      </c>
      <c r="B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 spans="1:2" x14ac:dyDescent="0.3">
      <c r="A88" s="1" t="str">
        <f t="shared" si="1"/>
        <v/>
      </c>
      <c r="B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 spans="1:2" x14ac:dyDescent="0.3">
      <c r="A89" s="1" t="str">
        <f t="shared" si="1"/>
        <v/>
      </c>
      <c r="B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 spans="1:2" x14ac:dyDescent="0.3">
      <c r="A90" s="1" t="str">
        <f t="shared" si="1"/>
        <v/>
      </c>
      <c r="B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 spans="1:2" x14ac:dyDescent="0.3">
      <c r="A91" s="1" t="str">
        <f t="shared" si="1"/>
        <v/>
      </c>
      <c r="B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 spans="1:2"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 spans="1:2"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 spans="1:2" x14ac:dyDescent="0.3">
      <c r="A94" s="1" t="str">
        <f t="shared" si="1"/>
        <v/>
      </c>
      <c r="B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 spans="1:2"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 spans="1:2"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 spans="1:2"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 spans="1:2"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 spans="1:2"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 spans="1:2"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 spans="1:2" x14ac:dyDescent="0.3">
      <c r="A101" s="1" t="str">
        <f t="shared" si="1"/>
        <v/>
      </c>
      <c r="B1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 spans="1:2" x14ac:dyDescent="0.3">
      <c r="A102" s="1" t="str">
        <f t="shared" si="1"/>
        <v/>
      </c>
      <c r="B1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 spans="1:2" x14ac:dyDescent="0.3">
      <c r="A103" s="1" t="str">
        <f t="shared" si="1"/>
        <v/>
      </c>
      <c r="B1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 spans="1:2" x14ac:dyDescent="0.3">
      <c r="A104" s="1" t="str">
        <f t="shared" si="1"/>
        <v/>
      </c>
      <c r="B1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 spans="1:2" x14ac:dyDescent="0.3">
      <c r="A105" s="1" t="str">
        <f t="shared" si="1"/>
        <v/>
      </c>
      <c r="B1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 spans="1:2" x14ac:dyDescent="0.3">
      <c r="A106" s="1" t="str">
        <f t="shared" si="1"/>
        <v/>
      </c>
      <c r="B1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 spans="1:2" x14ac:dyDescent="0.3">
      <c r="A107" s="1" t="str">
        <f t="shared" si="1"/>
        <v/>
      </c>
      <c r="B1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 spans="1:2" x14ac:dyDescent="0.3">
      <c r="A108" s="1" t="str">
        <f t="shared" si="1"/>
        <v/>
      </c>
      <c r="B1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 spans="1:2" x14ac:dyDescent="0.3">
      <c r="A109" s="1" t="str">
        <f t="shared" si="1"/>
        <v/>
      </c>
      <c r="B1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 spans="1:2" x14ac:dyDescent="0.3">
      <c r="A110" s="1" t="str">
        <f t="shared" si="1"/>
        <v/>
      </c>
      <c r="B1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 spans="1:2" x14ac:dyDescent="0.3">
      <c r="A111" s="1" t="str">
        <f t="shared" si="1"/>
        <v/>
      </c>
      <c r="B1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 spans="1:2" x14ac:dyDescent="0.3">
      <c r="A112" s="1" t="str">
        <f t="shared" si="1"/>
        <v/>
      </c>
      <c r="B1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 spans="1:2" x14ac:dyDescent="0.3">
      <c r="A113" s="1" t="str">
        <f t="shared" si="1"/>
        <v/>
      </c>
      <c r="B1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 spans="1:2" x14ac:dyDescent="0.3">
      <c r="A114" s="1" t="str">
        <f t="shared" si="1"/>
        <v/>
      </c>
      <c r="B1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 spans="1:2" x14ac:dyDescent="0.3">
      <c r="A115" s="1" t="str">
        <f t="shared" si="1"/>
        <v/>
      </c>
      <c r="B1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 spans="1:2" x14ac:dyDescent="0.3">
      <c r="A116" s="1" t="str">
        <f t="shared" si="1"/>
        <v/>
      </c>
      <c r="B1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 spans="1:2" x14ac:dyDescent="0.3">
      <c r="A117" s="1" t="str">
        <f t="shared" si="1"/>
        <v/>
      </c>
      <c r="B1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 spans="1:2" x14ac:dyDescent="0.3">
      <c r="A118" s="1" t="str">
        <f t="shared" si="1"/>
        <v/>
      </c>
      <c r="B1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 spans="1:2" x14ac:dyDescent="0.3">
      <c r="A119" s="1" t="str">
        <f t="shared" si="1"/>
        <v/>
      </c>
      <c r="B1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 spans="1:2" x14ac:dyDescent="0.3">
      <c r="A120" s="1" t="str">
        <f t="shared" si="1"/>
        <v/>
      </c>
      <c r="B1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 spans="1:2" x14ac:dyDescent="0.3">
      <c r="A121" s="1" t="str">
        <f t="shared" si="1"/>
        <v/>
      </c>
      <c r="B1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 spans="1:2" x14ac:dyDescent="0.3">
      <c r="A122" s="1" t="str">
        <f t="shared" si="1"/>
        <v/>
      </c>
      <c r="B1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 spans="1:2" x14ac:dyDescent="0.3">
      <c r="A123" s="1" t="str">
        <f t="shared" si="1"/>
        <v/>
      </c>
      <c r="B1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 spans="1:2" x14ac:dyDescent="0.3">
      <c r="A124" s="1" t="str">
        <f t="shared" si="1"/>
        <v/>
      </c>
      <c r="B1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 spans="1:2"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 spans="1:2"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 spans="1:2" x14ac:dyDescent="0.3">
      <c r="A127" s="1" t="str">
        <f t="shared" si="1"/>
        <v/>
      </c>
      <c r="B1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 spans="1:2"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 spans="1:2"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 spans="1:2"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 spans="1:2"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 spans="1:2"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 spans="1:2"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 spans="1:2" x14ac:dyDescent="0.3">
      <c r="A134" s="1" t="str">
        <f t="shared" si="2"/>
        <v/>
      </c>
      <c r="B1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 spans="1:2" x14ac:dyDescent="0.3">
      <c r="A135" s="1" t="str">
        <f t="shared" si="2"/>
        <v/>
      </c>
      <c r="B1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 spans="1:2" x14ac:dyDescent="0.3">
      <c r="A136" s="1" t="str">
        <f t="shared" si="2"/>
        <v/>
      </c>
      <c r="B1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 spans="1:2" x14ac:dyDescent="0.3">
      <c r="A137" s="1" t="str">
        <f t="shared" si="2"/>
        <v/>
      </c>
      <c r="B1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 spans="1:2" x14ac:dyDescent="0.3">
      <c r="A138" s="1" t="str">
        <f t="shared" si="2"/>
        <v/>
      </c>
      <c r="B1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 spans="1:2" x14ac:dyDescent="0.3">
      <c r="A139" s="1" t="str">
        <f t="shared" si="2"/>
        <v/>
      </c>
      <c r="B1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 spans="1:2" x14ac:dyDescent="0.3">
      <c r="A140" s="1" t="str">
        <f t="shared" si="2"/>
        <v/>
      </c>
      <c r="B1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 spans="1:2" x14ac:dyDescent="0.3">
      <c r="A141" s="1" t="str">
        <f t="shared" si="2"/>
        <v/>
      </c>
      <c r="B1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 spans="1:2" x14ac:dyDescent="0.3">
      <c r="A142" s="1" t="str">
        <f t="shared" si="2"/>
        <v/>
      </c>
      <c r="B1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 spans="1:2" x14ac:dyDescent="0.3">
      <c r="A143" s="1" t="str">
        <f t="shared" si="2"/>
        <v/>
      </c>
      <c r="B1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 spans="1:2" x14ac:dyDescent="0.3">
      <c r="A144" s="1" t="str">
        <f t="shared" si="2"/>
        <v/>
      </c>
      <c r="B1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 spans="1:2" x14ac:dyDescent="0.3">
      <c r="A145" s="1" t="str">
        <f t="shared" si="2"/>
        <v/>
      </c>
      <c r="B1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 spans="1:2" x14ac:dyDescent="0.3">
      <c r="A146" s="1" t="str">
        <f t="shared" si="2"/>
        <v/>
      </c>
      <c r="B1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 spans="1:2" x14ac:dyDescent="0.3">
      <c r="A147" s="1" t="str">
        <f t="shared" si="2"/>
        <v/>
      </c>
      <c r="B1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 spans="1:2" x14ac:dyDescent="0.3">
      <c r="A148" s="1" t="str">
        <f t="shared" si="2"/>
        <v/>
      </c>
      <c r="B1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 spans="1:2" x14ac:dyDescent="0.3">
      <c r="A149" s="1" t="str">
        <f t="shared" si="2"/>
        <v/>
      </c>
      <c r="B1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 spans="1:2" x14ac:dyDescent="0.3">
      <c r="A150" s="1" t="str">
        <f t="shared" si="2"/>
        <v/>
      </c>
      <c r="B1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 spans="1:2" x14ac:dyDescent="0.3">
      <c r="A151" s="1" t="str">
        <f t="shared" si="2"/>
        <v/>
      </c>
      <c r="B1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 spans="1:2" x14ac:dyDescent="0.3">
      <c r="A152" s="1" t="str">
        <f t="shared" si="2"/>
        <v/>
      </c>
      <c r="B1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 spans="1:2" x14ac:dyDescent="0.3">
      <c r="A153" s="1" t="str">
        <f t="shared" si="2"/>
        <v/>
      </c>
      <c r="B1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4" spans="1:2" x14ac:dyDescent="0.3">
      <c r="A154" s="1" t="str">
        <f t="shared" si="2"/>
        <v/>
      </c>
      <c r="B1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5" spans="1:2" x14ac:dyDescent="0.3">
      <c r="A155" s="1" t="str">
        <f t="shared" si="2"/>
        <v/>
      </c>
      <c r="B1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6" spans="1:2" x14ac:dyDescent="0.3">
      <c r="A156" s="1" t="str">
        <f t="shared" si="2"/>
        <v/>
      </c>
      <c r="B1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7" spans="1:2" x14ac:dyDescent="0.3">
      <c r="A157" s="1" t="str">
        <f t="shared" si="2"/>
        <v/>
      </c>
      <c r="B1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8" spans="1:2"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9" spans="1:2"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0" spans="1:2" x14ac:dyDescent="0.3">
      <c r="A160" s="1" t="str">
        <f t="shared" si="2"/>
        <v/>
      </c>
      <c r="B1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1" spans="1:2"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2" spans="1:2"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3" spans="1:2"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4" spans="1:2"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5" spans="1:2"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6" spans="1:2"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7" spans="1:2" x14ac:dyDescent="0.3">
      <c r="A167" s="1" t="str">
        <f t="shared" si="2"/>
        <v/>
      </c>
      <c r="B1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8" spans="1:2" x14ac:dyDescent="0.3">
      <c r="A168" s="1" t="str">
        <f t="shared" si="2"/>
        <v/>
      </c>
      <c r="B1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69" spans="1:2" x14ac:dyDescent="0.3">
      <c r="A169" s="1" t="str">
        <f t="shared" si="2"/>
        <v/>
      </c>
      <c r="B1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0" spans="1:2" x14ac:dyDescent="0.3">
      <c r="A170" s="1" t="str">
        <f t="shared" si="2"/>
        <v/>
      </c>
      <c r="B1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1" spans="1:2" x14ac:dyDescent="0.3">
      <c r="A171" s="1" t="str">
        <f t="shared" si="2"/>
        <v/>
      </c>
      <c r="B1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2" spans="1:2" x14ac:dyDescent="0.3">
      <c r="A172" s="1" t="str">
        <f t="shared" si="2"/>
        <v/>
      </c>
      <c r="B1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3" spans="1:2" x14ac:dyDescent="0.3">
      <c r="A173" s="1" t="str">
        <f t="shared" si="2"/>
        <v/>
      </c>
      <c r="B1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4" spans="1:2" x14ac:dyDescent="0.3">
      <c r="A174" s="1" t="str">
        <f t="shared" si="2"/>
        <v/>
      </c>
      <c r="B1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5" spans="1:2" x14ac:dyDescent="0.3">
      <c r="A175" s="1" t="str">
        <f t="shared" si="2"/>
        <v/>
      </c>
      <c r="B1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6" spans="1:2" x14ac:dyDescent="0.3">
      <c r="A176" s="1" t="str">
        <f t="shared" si="2"/>
        <v/>
      </c>
      <c r="B1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7" spans="1:2" x14ac:dyDescent="0.3">
      <c r="A177" s="1" t="str">
        <f t="shared" si="2"/>
        <v/>
      </c>
      <c r="B1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8" spans="1:2" x14ac:dyDescent="0.3">
      <c r="A178" s="1" t="str">
        <f t="shared" si="2"/>
        <v/>
      </c>
      <c r="B1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79" spans="1:2" x14ac:dyDescent="0.3">
      <c r="A179" s="1" t="str">
        <f t="shared" si="2"/>
        <v/>
      </c>
      <c r="B1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0" spans="1:2" x14ac:dyDescent="0.3">
      <c r="A180" s="1" t="str">
        <f t="shared" si="2"/>
        <v/>
      </c>
      <c r="B1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1" spans="1:2" x14ac:dyDescent="0.3">
      <c r="A181" s="1" t="str">
        <f t="shared" si="2"/>
        <v/>
      </c>
      <c r="B1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2" spans="1:2" x14ac:dyDescent="0.3">
      <c r="A182" s="1" t="str">
        <f t="shared" si="2"/>
        <v/>
      </c>
      <c r="B1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3" spans="1:2" x14ac:dyDescent="0.3">
      <c r="A183" s="1" t="str">
        <f t="shared" si="2"/>
        <v/>
      </c>
      <c r="B1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4" spans="1:2" x14ac:dyDescent="0.3">
      <c r="A184" s="1" t="str">
        <f t="shared" si="2"/>
        <v/>
      </c>
      <c r="B1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5" spans="1:2" x14ac:dyDescent="0.3">
      <c r="A185" s="1" t="str">
        <f t="shared" si="2"/>
        <v/>
      </c>
      <c r="B1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6" spans="1:2" x14ac:dyDescent="0.3">
      <c r="A186" s="1" t="str">
        <f t="shared" si="2"/>
        <v/>
      </c>
      <c r="B1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7" spans="1:2" x14ac:dyDescent="0.3">
      <c r="A187" s="1" t="str">
        <f t="shared" si="2"/>
        <v/>
      </c>
      <c r="B1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8" spans="1:2" x14ac:dyDescent="0.3">
      <c r="A188" s="1" t="str">
        <f t="shared" si="2"/>
        <v/>
      </c>
      <c r="B1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89" spans="1:2" x14ac:dyDescent="0.3">
      <c r="A189" s="1" t="str">
        <f t="shared" si="2"/>
        <v/>
      </c>
      <c r="B1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0" spans="1:2" x14ac:dyDescent="0.3">
      <c r="A190" s="1" t="str">
        <f t="shared" si="2"/>
        <v/>
      </c>
      <c r="B1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1" spans="1:2"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2" spans="1:2"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3" spans="1:2" x14ac:dyDescent="0.3">
      <c r="A193" s="1" t="str">
        <f t="shared" si="2"/>
        <v/>
      </c>
      <c r="B1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4" spans="1:2"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5" spans="1:2"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6" spans="1:2"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7" spans="1:2"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8" spans="1:2"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99" spans="1:2"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0" spans="1:2" x14ac:dyDescent="0.3">
      <c r="A200" s="1" t="str">
        <f t="shared" si="3"/>
        <v/>
      </c>
      <c r="B2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1" spans="1:2" x14ac:dyDescent="0.3">
      <c r="A201" s="1" t="str">
        <f t="shared" si="3"/>
        <v/>
      </c>
      <c r="B2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2" spans="1:2" x14ac:dyDescent="0.3">
      <c r="A202" s="1" t="str">
        <f t="shared" si="3"/>
        <v/>
      </c>
      <c r="B2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3" spans="1:2" x14ac:dyDescent="0.3">
      <c r="A203" s="1" t="str">
        <f t="shared" si="3"/>
        <v/>
      </c>
      <c r="B2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4" spans="1:2" x14ac:dyDescent="0.3">
      <c r="A204" s="1" t="str">
        <f t="shared" si="3"/>
        <v/>
      </c>
      <c r="B2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5" spans="1:2" x14ac:dyDescent="0.3">
      <c r="A205" s="1" t="str">
        <f t="shared" si="3"/>
        <v/>
      </c>
      <c r="B2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6" spans="1:2" x14ac:dyDescent="0.3">
      <c r="A206" s="1" t="str">
        <f t="shared" si="3"/>
        <v/>
      </c>
      <c r="B2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7" spans="1:2" x14ac:dyDescent="0.3">
      <c r="A207" s="1" t="str">
        <f t="shared" si="3"/>
        <v/>
      </c>
      <c r="B2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8" spans="1:2" x14ac:dyDescent="0.3">
      <c r="A208" s="1" t="str">
        <f t="shared" si="3"/>
        <v/>
      </c>
      <c r="B2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09" spans="1:2" x14ac:dyDescent="0.3">
      <c r="A209" s="1" t="str">
        <f t="shared" si="3"/>
        <v/>
      </c>
      <c r="B2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0" spans="1:2" x14ac:dyDescent="0.3">
      <c r="A210" s="1" t="str">
        <f t="shared" si="3"/>
        <v/>
      </c>
      <c r="B2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1" spans="1:2" x14ac:dyDescent="0.3">
      <c r="A211" s="1" t="str">
        <f t="shared" si="3"/>
        <v/>
      </c>
      <c r="B2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2" spans="1:2" x14ac:dyDescent="0.3">
      <c r="A212" s="1" t="str">
        <f t="shared" si="3"/>
        <v/>
      </c>
      <c r="B2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3" spans="1:2" x14ac:dyDescent="0.3">
      <c r="A213" s="1" t="str">
        <f t="shared" si="3"/>
        <v/>
      </c>
      <c r="B2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4" spans="1:2" x14ac:dyDescent="0.3">
      <c r="A214" s="1" t="str">
        <f t="shared" si="3"/>
        <v/>
      </c>
      <c r="B2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5" spans="1:2" x14ac:dyDescent="0.3">
      <c r="A215" s="1" t="str">
        <f t="shared" si="3"/>
        <v/>
      </c>
      <c r="B2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6" spans="1:2" x14ac:dyDescent="0.3">
      <c r="A216" s="1" t="str">
        <f t="shared" si="3"/>
        <v/>
      </c>
      <c r="B2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7" spans="1:2" x14ac:dyDescent="0.3">
      <c r="A217" s="1" t="str">
        <f t="shared" si="3"/>
        <v/>
      </c>
      <c r="B2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8" spans="1:2" x14ac:dyDescent="0.3">
      <c r="A218" s="1" t="str">
        <f t="shared" si="3"/>
        <v/>
      </c>
      <c r="B2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19" spans="1:2" x14ac:dyDescent="0.3">
      <c r="A219" s="1" t="str">
        <f t="shared" si="3"/>
        <v/>
      </c>
      <c r="B2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0" spans="1:2" x14ac:dyDescent="0.3">
      <c r="A220" s="1" t="str">
        <f t="shared" si="3"/>
        <v/>
      </c>
      <c r="B2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1" spans="1:2" x14ac:dyDescent="0.3">
      <c r="A221" s="1" t="str">
        <f t="shared" si="3"/>
        <v/>
      </c>
      <c r="B2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2" spans="1:2" x14ac:dyDescent="0.3">
      <c r="A222" s="1" t="str">
        <f t="shared" si="3"/>
        <v/>
      </c>
      <c r="B2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3" spans="1:2" x14ac:dyDescent="0.3">
      <c r="A223" s="1" t="str">
        <f t="shared" si="3"/>
        <v/>
      </c>
      <c r="B2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4" spans="1:2"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5" spans="1:2"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6" spans="1:2" x14ac:dyDescent="0.3">
      <c r="A226" s="1" t="str">
        <f t="shared" si="3"/>
        <v/>
      </c>
      <c r="B2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7" spans="1:2"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8" spans="1:2"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29" spans="1:2"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0" spans="1:2"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1" spans="1:2"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2" spans="1:2"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3" spans="1:2" x14ac:dyDescent="0.3">
      <c r="A233" s="1" t="str">
        <f t="shared" si="3"/>
        <v/>
      </c>
      <c r="B2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4" spans="1:2" x14ac:dyDescent="0.3">
      <c r="A234" s="1" t="str">
        <f t="shared" si="3"/>
        <v/>
      </c>
      <c r="B2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5" spans="1:2" x14ac:dyDescent="0.3">
      <c r="A235" s="1" t="str">
        <f t="shared" si="3"/>
        <v/>
      </c>
      <c r="B2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6" spans="1:2" x14ac:dyDescent="0.3">
      <c r="A236" s="1" t="str">
        <f t="shared" si="3"/>
        <v/>
      </c>
      <c r="B2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7" spans="1:2" x14ac:dyDescent="0.3">
      <c r="A237" s="1" t="str">
        <f t="shared" si="3"/>
        <v/>
      </c>
      <c r="B2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8" spans="1:2" x14ac:dyDescent="0.3">
      <c r="A238" s="1" t="str">
        <f t="shared" si="3"/>
        <v/>
      </c>
      <c r="B2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39" spans="1:2" x14ac:dyDescent="0.3">
      <c r="A239" s="1" t="str">
        <f t="shared" si="3"/>
        <v/>
      </c>
      <c r="B2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0" spans="1:2" x14ac:dyDescent="0.3">
      <c r="A240" s="1" t="str">
        <f t="shared" si="3"/>
        <v/>
      </c>
      <c r="B2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1" spans="1:2" x14ac:dyDescent="0.3">
      <c r="A241" s="1" t="str">
        <f t="shared" si="3"/>
        <v/>
      </c>
      <c r="B2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2" spans="1:2" x14ac:dyDescent="0.3">
      <c r="A242" s="1" t="str">
        <f t="shared" si="3"/>
        <v/>
      </c>
      <c r="B2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3" spans="1:2" x14ac:dyDescent="0.3">
      <c r="A243" s="1" t="str">
        <f t="shared" si="3"/>
        <v/>
      </c>
      <c r="B2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4" spans="1:2" x14ac:dyDescent="0.3">
      <c r="A244" s="1" t="str">
        <f t="shared" si="3"/>
        <v/>
      </c>
      <c r="B2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5" spans="1:2" x14ac:dyDescent="0.3">
      <c r="A245" s="1" t="str">
        <f t="shared" si="3"/>
        <v/>
      </c>
      <c r="B2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6" spans="1:2" x14ac:dyDescent="0.3">
      <c r="A246" s="1" t="str">
        <f t="shared" si="3"/>
        <v/>
      </c>
      <c r="B2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7" spans="1:2" x14ac:dyDescent="0.3">
      <c r="A247" s="1" t="str">
        <f t="shared" si="3"/>
        <v/>
      </c>
      <c r="B2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8" spans="1:2" x14ac:dyDescent="0.3">
      <c r="A248" s="1" t="str">
        <f t="shared" si="3"/>
        <v/>
      </c>
      <c r="B2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49" spans="1:2" x14ac:dyDescent="0.3">
      <c r="A249" s="1" t="str">
        <f t="shared" si="3"/>
        <v/>
      </c>
      <c r="B2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0" spans="1:2" x14ac:dyDescent="0.3">
      <c r="A250" s="1" t="str">
        <f t="shared" si="3"/>
        <v/>
      </c>
      <c r="B2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1" spans="1:2" x14ac:dyDescent="0.3">
      <c r="A251" s="1" t="str">
        <f t="shared" si="3"/>
        <v/>
      </c>
      <c r="B2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2" spans="1:2" x14ac:dyDescent="0.3">
      <c r="A252" s="1" t="str">
        <f t="shared" si="3"/>
        <v/>
      </c>
      <c r="B2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3" spans="1:2" x14ac:dyDescent="0.3">
      <c r="A253" s="1" t="str">
        <f t="shared" si="3"/>
        <v/>
      </c>
      <c r="B2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4" spans="1:2" x14ac:dyDescent="0.3">
      <c r="A254" s="1" t="str">
        <f t="shared" si="3"/>
        <v/>
      </c>
      <c r="B2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5" spans="1:2" x14ac:dyDescent="0.3">
      <c r="A255" s="1" t="str">
        <f t="shared" si="3"/>
        <v/>
      </c>
      <c r="B2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6" spans="1:2" x14ac:dyDescent="0.3">
      <c r="A256" s="1" t="str">
        <f t="shared" si="3"/>
        <v/>
      </c>
      <c r="B2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7" spans="1:2"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8" spans="1:2"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59" spans="1:2" x14ac:dyDescent="0.3">
      <c r="A259" s="1" t="str">
        <f t="shared" si="4"/>
        <v/>
      </c>
      <c r="B2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0" spans="1:2"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1" spans="1:2"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2" spans="1:2"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3" spans="1:2"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4" spans="1:2"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5" spans="1:2"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6" spans="1:2" x14ac:dyDescent="0.3">
      <c r="A266" s="1" t="str">
        <f t="shared" si="4"/>
        <v/>
      </c>
      <c r="B2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7" spans="1:2" x14ac:dyDescent="0.3">
      <c r="A267" s="1" t="str">
        <f t="shared" si="4"/>
        <v/>
      </c>
      <c r="B2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8" spans="1:2" x14ac:dyDescent="0.3">
      <c r="A268" s="1" t="str">
        <f t="shared" si="4"/>
        <v/>
      </c>
      <c r="B2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69" spans="1:2" x14ac:dyDescent="0.3">
      <c r="A269" s="1" t="str">
        <f t="shared" si="4"/>
        <v/>
      </c>
      <c r="B2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0" spans="1:2" x14ac:dyDescent="0.3">
      <c r="A270" s="1" t="str">
        <f t="shared" si="4"/>
        <v/>
      </c>
      <c r="B2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1" spans="1:2" x14ac:dyDescent="0.3">
      <c r="A271" s="1" t="str">
        <f t="shared" si="4"/>
        <v/>
      </c>
      <c r="B2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2" spans="1:2" x14ac:dyDescent="0.3">
      <c r="A272" s="1" t="str">
        <f t="shared" si="4"/>
        <v/>
      </c>
      <c r="B2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3" spans="1:2" x14ac:dyDescent="0.3">
      <c r="A273" s="1" t="str">
        <f t="shared" si="4"/>
        <v/>
      </c>
      <c r="B2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4" spans="1:2" x14ac:dyDescent="0.3">
      <c r="A274" s="1" t="str">
        <f t="shared" si="4"/>
        <v/>
      </c>
      <c r="B2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5" spans="1:2" x14ac:dyDescent="0.3">
      <c r="A275" s="1" t="str">
        <f t="shared" si="4"/>
        <v/>
      </c>
      <c r="B2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6" spans="1:2" x14ac:dyDescent="0.3">
      <c r="A276" s="1" t="str">
        <f t="shared" si="4"/>
        <v/>
      </c>
      <c r="B2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7" spans="1:2" x14ac:dyDescent="0.3">
      <c r="A277" s="1" t="str">
        <f t="shared" si="4"/>
        <v/>
      </c>
      <c r="B2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8" spans="1:2" x14ac:dyDescent="0.3">
      <c r="A278" s="1" t="str">
        <f t="shared" si="4"/>
        <v/>
      </c>
      <c r="B2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79" spans="1:2" x14ac:dyDescent="0.3">
      <c r="A279" s="1" t="str">
        <f t="shared" si="4"/>
        <v/>
      </c>
      <c r="B2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0" spans="1:2" x14ac:dyDescent="0.3">
      <c r="A280" s="1" t="str">
        <f t="shared" si="4"/>
        <v/>
      </c>
      <c r="B2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1" spans="1:2" x14ac:dyDescent="0.3">
      <c r="A281" s="1" t="str">
        <f t="shared" si="4"/>
        <v/>
      </c>
      <c r="B2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2" spans="1:2" x14ac:dyDescent="0.3">
      <c r="A282" s="1" t="str">
        <f t="shared" si="4"/>
        <v/>
      </c>
      <c r="B2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3" spans="1:2" x14ac:dyDescent="0.3">
      <c r="A283" s="1" t="str">
        <f t="shared" si="4"/>
        <v/>
      </c>
      <c r="B2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4" spans="1:2" x14ac:dyDescent="0.3">
      <c r="A284" s="1" t="str">
        <f t="shared" si="4"/>
        <v/>
      </c>
      <c r="B2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5" spans="1:2" x14ac:dyDescent="0.3">
      <c r="A285" s="1" t="str">
        <f t="shared" si="4"/>
        <v/>
      </c>
      <c r="B2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6" spans="1:2" x14ac:dyDescent="0.3">
      <c r="A286" s="1" t="str">
        <f t="shared" si="4"/>
        <v/>
      </c>
      <c r="B2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7" spans="1:2" x14ac:dyDescent="0.3">
      <c r="A287" s="1" t="str">
        <f t="shared" si="4"/>
        <v/>
      </c>
      <c r="B2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8" spans="1:2" x14ac:dyDescent="0.3">
      <c r="A288" s="1" t="str">
        <f t="shared" si="4"/>
        <v/>
      </c>
      <c r="B2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89" spans="1:2" x14ac:dyDescent="0.3">
      <c r="A289" s="1" t="str">
        <f t="shared" si="4"/>
        <v/>
      </c>
      <c r="B2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0" spans="1:2"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1" spans="1:2"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2" spans="1:2" x14ac:dyDescent="0.3">
      <c r="A292" s="1" t="str">
        <f t="shared" si="4"/>
        <v/>
      </c>
      <c r="B2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3" spans="1:2"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4" spans="1:2"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5" spans="1:2"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6" spans="1:2"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7" spans="1:2"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8" spans="1:2"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299" spans="1:2" x14ac:dyDescent="0.3">
      <c r="A299" s="1" t="str">
        <f t="shared" si="4"/>
        <v/>
      </c>
      <c r="B2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0" spans="1:2" x14ac:dyDescent="0.3">
      <c r="A300" s="1" t="str">
        <f t="shared" si="4"/>
        <v/>
      </c>
      <c r="B3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1" spans="1:2" x14ac:dyDescent="0.3">
      <c r="A301" s="1" t="str">
        <f t="shared" si="4"/>
        <v/>
      </c>
      <c r="B3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2" spans="1:2" x14ac:dyDescent="0.3">
      <c r="A302" s="1" t="str">
        <f t="shared" si="4"/>
        <v/>
      </c>
      <c r="B3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3" spans="1:2" x14ac:dyDescent="0.3">
      <c r="A303" s="1" t="str">
        <f t="shared" si="4"/>
        <v/>
      </c>
      <c r="B3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4" spans="1:2" x14ac:dyDescent="0.3">
      <c r="A304" s="1" t="str">
        <f t="shared" si="4"/>
        <v/>
      </c>
      <c r="B3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5" spans="1:2" x14ac:dyDescent="0.3">
      <c r="A305" s="1" t="str">
        <f t="shared" si="4"/>
        <v/>
      </c>
      <c r="B3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6" spans="1:2" x14ac:dyDescent="0.3">
      <c r="A306" s="1" t="str">
        <f t="shared" si="4"/>
        <v/>
      </c>
      <c r="B3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7" spans="1:2" x14ac:dyDescent="0.3">
      <c r="A307" s="1" t="str">
        <f t="shared" si="4"/>
        <v/>
      </c>
      <c r="B3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8" spans="1:2" x14ac:dyDescent="0.3">
      <c r="A308" s="1" t="str">
        <f t="shared" si="4"/>
        <v/>
      </c>
      <c r="B3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09" spans="1:2" x14ac:dyDescent="0.3">
      <c r="A309" s="1" t="str">
        <f t="shared" si="4"/>
        <v/>
      </c>
      <c r="B3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0" spans="1:2" x14ac:dyDescent="0.3">
      <c r="A310" s="1" t="str">
        <f t="shared" si="4"/>
        <v/>
      </c>
      <c r="B3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1" spans="1:2" x14ac:dyDescent="0.3">
      <c r="A311" s="1" t="str">
        <f t="shared" si="4"/>
        <v/>
      </c>
      <c r="B3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2" spans="1:2" x14ac:dyDescent="0.3">
      <c r="A312" s="1" t="str">
        <f t="shared" si="4"/>
        <v/>
      </c>
      <c r="B3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3" spans="1:2" x14ac:dyDescent="0.3">
      <c r="A313" s="1" t="str">
        <f t="shared" si="4"/>
        <v/>
      </c>
      <c r="B3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4" spans="1:2" x14ac:dyDescent="0.3">
      <c r="A314" s="1" t="str">
        <f t="shared" si="4"/>
        <v/>
      </c>
      <c r="B3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5" spans="1:2" x14ac:dyDescent="0.3">
      <c r="A315" s="1" t="str">
        <f t="shared" si="4"/>
        <v/>
      </c>
      <c r="B3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6" spans="1:2" x14ac:dyDescent="0.3">
      <c r="A316" s="1" t="str">
        <f t="shared" si="4"/>
        <v/>
      </c>
      <c r="B3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7" spans="1:2" x14ac:dyDescent="0.3">
      <c r="A317" s="1" t="str">
        <f t="shared" si="4"/>
        <v/>
      </c>
      <c r="B3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8" spans="1:2" x14ac:dyDescent="0.3">
      <c r="A318" s="1" t="str">
        <f t="shared" si="4"/>
        <v/>
      </c>
      <c r="B3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19" spans="1:2" x14ac:dyDescent="0.3">
      <c r="A319" s="1" t="str">
        <f t="shared" si="4"/>
        <v/>
      </c>
      <c r="B3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0" spans="1:2" x14ac:dyDescent="0.3">
      <c r="A320" s="1" t="str">
        <f t="shared" si="4"/>
        <v/>
      </c>
      <c r="B3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1" spans="1:2" x14ac:dyDescent="0.3">
      <c r="A321" s="1" t="str">
        <f t="shared" si="4"/>
        <v/>
      </c>
      <c r="B3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2" spans="1:2" x14ac:dyDescent="0.3">
      <c r="A322" s="1" t="str">
        <f t="shared" ref="A322:A385" si="5">IFERROR(LEFT(RIGHT(C322,LEN(C322)-SEARCH("@",C322)),SEARCH("/",RIGHT(C322,LEN(C322)-SEARCH("@",C322)-1))),"")</f>
        <v/>
      </c>
      <c r="B3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3" spans="1:2"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4" spans="1:2"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5" spans="1:2" x14ac:dyDescent="0.3">
      <c r="A325" s="1" t="str">
        <f t="shared" si="5"/>
        <v/>
      </c>
      <c r="B3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6" spans="1:2"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7" spans="1:2"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8" spans="1:2"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29" spans="1:2"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0" spans="1:2"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1" spans="1:2"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2" spans="1:2" x14ac:dyDescent="0.3">
      <c r="A332" s="1" t="str">
        <f t="shared" si="5"/>
        <v/>
      </c>
      <c r="B3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3" spans="1:2" x14ac:dyDescent="0.3">
      <c r="A333" s="1" t="str">
        <f t="shared" si="5"/>
        <v/>
      </c>
      <c r="B3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4" spans="1:2" x14ac:dyDescent="0.3">
      <c r="A334" s="1" t="str">
        <f t="shared" si="5"/>
        <v/>
      </c>
      <c r="B3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5" spans="1:2" x14ac:dyDescent="0.3">
      <c r="A335" s="1" t="str">
        <f t="shared" si="5"/>
        <v/>
      </c>
      <c r="B3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6" spans="1:2" x14ac:dyDescent="0.3">
      <c r="A336" s="1" t="str">
        <f t="shared" si="5"/>
        <v/>
      </c>
      <c r="B3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7" spans="1:2" x14ac:dyDescent="0.3">
      <c r="A337" s="1" t="str">
        <f t="shared" si="5"/>
        <v/>
      </c>
      <c r="B3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8" spans="1:2" x14ac:dyDescent="0.3">
      <c r="A338" s="1" t="str">
        <f t="shared" si="5"/>
        <v/>
      </c>
      <c r="B3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39" spans="1:2" x14ac:dyDescent="0.3">
      <c r="A339" s="1" t="str">
        <f t="shared" si="5"/>
        <v/>
      </c>
      <c r="B3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0" spans="1:2" x14ac:dyDescent="0.3">
      <c r="A340" s="1" t="str">
        <f t="shared" si="5"/>
        <v/>
      </c>
      <c r="B3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1" spans="1:2" x14ac:dyDescent="0.3">
      <c r="A341" s="1" t="str">
        <f t="shared" si="5"/>
        <v/>
      </c>
      <c r="B3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2" spans="1:2" x14ac:dyDescent="0.3">
      <c r="A342" s="1" t="str">
        <f t="shared" si="5"/>
        <v/>
      </c>
      <c r="B3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3" spans="1:2" x14ac:dyDescent="0.3">
      <c r="A343" s="1" t="str">
        <f t="shared" si="5"/>
        <v/>
      </c>
      <c r="B3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4" spans="1:2" x14ac:dyDescent="0.3">
      <c r="A344" s="1" t="str">
        <f t="shared" si="5"/>
        <v/>
      </c>
      <c r="B3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5" spans="1:2" x14ac:dyDescent="0.3">
      <c r="A345" s="1" t="str">
        <f t="shared" si="5"/>
        <v/>
      </c>
      <c r="B3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6" spans="1:2" x14ac:dyDescent="0.3">
      <c r="A346" s="1" t="str">
        <f t="shared" si="5"/>
        <v/>
      </c>
      <c r="B3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7" spans="1:2" x14ac:dyDescent="0.3">
      <c r="A347" s="1" t="str">
        <f t="shared" si="5"/>
        <v/>
      </c>
      <c r="B3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8" spans="1:2" x14ac:dyDescent="0.3">
      <c r="A348" s="1" t="str">
        <f t="shared" si="5"/>
        <v/>
      </c>
      <c r="B3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49" spans="1:2" x14ac:dyDescent="0.3">
      <c r="A349" s="1" t="str">
        <f t="shared" si="5"/>
        <v/>
      </c>
      <c r="B3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0" spans="1:2" x14ac:dyDescent="0.3">
      <c r="A350" s="1" t="str">
        <f t="shared" si="5"/>
        <v/>
      </c>
      <c r="B3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1" spans="1:2" x14ac:dyDescent="0.3">
      <c r="A351" s="1" t="str">
        <f t="shared" si="5"/>
        <v/>
      </c>
      <c r="B3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2" spans="1:2" x14ac:dyDescent="0.3">
      <c r="A352" s="1" t="str">
        <f t="shared" si="5"/>
        <v/>
      </c>
      <c r="B3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3" spans="1:2" x14ac:dyDescent="0.3">
      <c r="A353" s="1" t="str">
        <f t="shared" si="5"/>
        <v/>
      </c>
      <c r="B3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4" spans="1:2" x14ac:dyDescent="0.3">
      <c r="A354" s="1" t="str">
        <f t="shared" si="5"/>
        <v/>
      </c>
      <c r="B3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5" spans="1:2" x14ac:dyDescent="0.3">
      <c r="A355" s="1" t="str">
        <f t="shared" si="5"/>
        <v/>
      </c>
      <c r="B3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6" spans="1:2"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7" spans="1:2"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8" spans="1:2" x14ac:dyDescent="0.3">
      <c r="A358" s="1" t="str">
        <f t="shared" si="5"/>
        <v/>
      </c>
      <c r="B3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59" spans="1:2"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0" spans="1:2"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1" spans="1:2"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2" spans="1:2"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3" spans="1:2"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4" spans="1:2"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5" spans="1:2" x14ac:dyDescent="0.3">
      <c r="A365" s="1" t="str">
        <f t="shared" si="5"/>
        <v/>
      </c>
      <c r="B3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6" spans="1:2" x14ac:dyDescent="0.3">
      <c r="A366" s="1" t="str">
        <f t="shared" si="5"/>
        <v/>
      </c>
      <c r="B3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7" spans="1:2" x14ac:dyDescent="0.3">
      <c r="A367" s="1" t="str">
        <f t="shared" si="5"/>
        <v/>
      </c>
      <c r="B3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8" spans="1:2" x14ac:dyDescent="0.3">
      <c r="A368" s="1" t="str">
        <f t="shared" si="5"/>
        <v/>
      </c>
      <c r="B3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69" spans="1:2" x14ac:dyDescent="0.3">
      <c r="A369" s="1" t="str">
        <f t="shared" si="5"/>
        <v/>
      </c>
      <c r="B3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0" spans="1:2" x14ac:dyDescent="0.3">
      <c r="A370" s="1" t="str">
        <f t="shared" si="5"/>
        <v/>
      </c>
      <c r="B3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1" spans="1:2" x14ac:dyDescent="0.3">
      <c r="A371" s="1" t="str">
        <f t="shared" si="5"/>
        <v/>
      </c>
      <c r="B3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2" spans="1:2" x14ac:dyDescent="0.3">
      <c r="A372" s="1" t="str">
        <f t="shared" si="5"/>
        <v/>
      </c>
      <c r="B3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3" spans="1:2" x14ac:dyDescent="0.3">
      <c r="A373" s="1" t="str">
        <f t="shared" si="5"/>
        <v/>
      </c>
      <c r="B3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4" spans="1:2" x14ac:dyDescent="0.3">
      <c r="A374" s="1" t="str">
        <f t="shared" si="5"/>
        <v/>
      </c>
      <c r="B3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5" spans="1:2" x14ac:dyDescent="0.3">
      <c r="A375" s="1" t="str">
        <f t="shared" si="5"/>
        <v/>
      </c>
      <c r="B3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6" spans="1:2" x14ac:dyDescent="0.3">
      <c r="A376" s="1" t="str">
        <f t="shared" si="5"/>
        <v/>
      </c>
      <c r="B3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7" spans="1:2" x14ac:dyDescent="0.3">
      <c r="A377" s="1" t="str">
        <f t="shared" si="5"/>
        <v/>
      </c>
      <c r="B3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8" spans="1:2" x14ac:dyDescent="0.3">
      <c r="A378" s="1" t="str">
        <f t="shared" si="5"/>
        <v/>
      </c>
      <c r="B3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79" spans="1:2" x14ac:dyDescent="0.3">
      <c r="A379" s="1" t="str">
        <f t="shared" si="5"/>
        <v/>
      </c>
      <c r="B3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0" spans="1:2" x14ac:dyDescent="0.3">
      <c r="A380" s="1" t="str">
        <f t="shared" si="5"/>
        <v/>
      </c>
      <c r="B3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1" spans="1:2" x14ac:dyDescent="0.3">
      <c r="A381" s="1" t="str">
        <f t="shared" si="5"/>
        <v/>
      </c>
      <c r="B3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2" spans="1:2" x14ac:dyDescent="0.3">
      <c r="A382" s="1" t="str">
        <f t="shared" si="5"/>
        <v/>
      </c>
      <c r="B3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3" spans="1:2" x14ac:dyDescent="0.3">
      <c r="A383" s="1" t="str">
        <f t="shared" si="5"/>
        <v/>
      </c>
      <c r="B3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4" spans="1:2" x14ac:dyDescent="0.3">
      <c r="A384" s="1" t="str">
        <f t="shared" si="5"/>
        <v/>
      </c>
      <c r="B3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5" spans="1:2" x14ac:dyDescent="0.3">
      <c r="A385" s="1" t="str">
        <f t="shared" si="5"/>
        <v/>
      </c>
      <c r="B3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6" spans="1:2" x14ac:dyDescent="0.3">
      <c r="A386" s="1" t="str">
        <f t="shared" ref="A386:A449" si="6">IFERROR(LEFT(RIGHT(C386,LEN(C386)-SEARCH("@",C386)),SEARCH("/",RIGHT(C386,LEN(C386)-SEARCH("@",C386)-1))),"")</f>
        <v/>
      </c>
      <c r="B3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7" spans="1:2" x14ac:dyDescent="0.3">
      <c r="A387" s="1" t="str">
        <f t="shared" si="6"/>
        <v/>
      </c>
      <c r="B3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8" spans="1:2" x14ac:dyDescent="0.3">
      <c r="A388" s="1" t="str">
        <f t="shared" si="6"/>
        <v/>
      </c>
      <c r="B3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89" spans="1:2"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0" spans="1:2"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1" spans="1:2" x14ac:dyDescent="0.3">
      <c r="A391" s="1" t="str">
        <f t="shared" si="6"/>
        <v/>
      </c>
      <c r="B3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2" spans="1:2"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3" spans="1:2"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4" spans="1:2"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5" spans="1:2"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6" spans="1:2"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7" spans="1:2"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8" spans="1:2" x14ac:dyDescent="0.3">
      <c r="A398" s="1" t="str">
        <f t="shared" si="6"/>
        <v/>
      </c>
      <c r="B3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399" spans="1:2" x14ac:dyDescent="0.3">
      <c r="A399" s="1" t="str">
        <f t="shared" si="6"/>
        <v/>
      </c>
      <c r="B3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0" spans="1:2" x14ac:dyDescent="0.3">
      <c r="A400" s="1" t="str">
        <f t="shared" si="6"/>
        <v/>
      </c>
      <c r="B4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1" spans="1:2" x14ac:dyDescent="0.3">
      <c r="A401" s="1" t="str">
        <f t="shared" si="6"/>
        <v/>
      </c>
      <c r="B4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2" spans="1:2" x14ac:dyDescent="0.3">
      <c r="A402" s="1" t="str">
        <f t="shared" si="6"/>
        <v/>
      </c>
      <c r="B4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3" spans="1:2" x14ac:dyDescent="0.3">
      <c r="A403" s="1" t="str">
        <f t="shared" si="6"/>
        <v/>
      </c>
      <c r="B4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4" spans="1:2" x14ac:dyDescent="0.3">
      <c r="A404" s="1" t="str">
        <f t="shared" si="6"/>
        <v/>
      </c>
      <c r="B4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5" spans="1:2" x14ac:dyDescent="0.3">
      <c r="A405" s="1" t="str">
        <f t="shared" si="6"/>
        <v/>
      </c>
      <c r="B4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6" spans="1:2" x14ac:dyDescent="0.3">
      <c r="A406" s="1" t="str">
        <f t="shared" si="6"/>
        <v/>
      </c>
      <c r="B4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7" spans="1:2" x14ac:dyDescent="0.3">
      <c r="A407" s="1" t="str">
        <f t="shared" si="6"/>
        <v/>
      </c>
      <c r="B4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8" spans="1:2" x14ac:dyDescent="0.3">
      <c r="A408" s="1" t="str">
        <f t="shared" si="6"/>
        <v/>
      </c>
      <c r="B4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09" spans="1:2" x14ac:dyDescent="0.3">
      <c r="A409" s="1" t="str">
        <f t="shared" si="6"/>
        <v/>
      </c>
      <c r="B4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0" spans="1:2" x14ac:dyDescent="0.3">
      <c r="A410" s="1" t="str">
        <f t="shared" si="6"/>
        <v/>
      </c>
      <c r="B4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1" spans="1:2" x14ac:dyDescent="0.3">
      <c r="A411" s="1" t="str">
        <f t="shared" si="6"/>
        <v/>
      </c>
      <c r="B4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2" spans="1:2" x14ac:dyDescent="0.3">
      <c r="A412" s="1" t="str">
        <f t="shared" si="6"/>
        <v/>
      </c>
      <c r="B4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3" spans="1:2" x14ac:dyDescent="0.3">
      <c r="A413" s="1" t="str">
        <f t="shared" si="6"/>
        <v/>
      </c>
      <c r="B4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4" spans="1:2" x14ac:dyDescent="0.3">
      <c r="A414" s="1" t="str">
        <f t="shared" si="6"/>
        <v/>
      </c>
      <c r="B4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5" spans="1:2" x14ac:dyDescent="0.3">
      <c r="A415" s="1" t="str">
        <f t="shared" si="6"/>
        <v/>
      </c>
      <c r="B4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6" spans="1:2" x14ac:dyDescent="0.3">
      <c r="A416" s="1" t="str">
        <f t="shared" si="6"/>
        <v/>
      </c>
      <c r="B4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7" spans="1:2" x14ac:dyDescent="0.3">
      <c r="A417" s="1" t="str">
        <f t="shared" si="6"/>
        <v/>
      </c>
      <c r="B4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8" spans="1:2" x14ac:dyDescent="0.3">
      <c r="A418" s="1" t="str">
        <f t="shared" si="6"/>
        <v/>
      </c>
      <c r="B4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19" spans="1:2" x14ac:dyDescent="0.3">
      <c r="A419" s="1" t="str">
        <f t="shared" si="6"/>
        <v/>
      </c>
      <c r="B4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0" spans="1:2" x14ac:dyDescent="0.3">
      <c r="A420" s="1" t="str">
        <f t="shared" si="6"/>
        <v/>
      </c>
      <c r="B4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1" spans="1:2" x14ac:dyDescent="0.3">
      <c r="A421" s="1" t="str">
        <f t="shared" si="6"/>
        <v/>
      </c>
      <c r="B4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2" spans="1:2"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3" spans="1:2"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4" spans="1:2" x14ac:dyDescent="0.3">
      <c r="A424" s="1" t="str">
        <f t="shared" si="6"/>
        <v/>
      </c>
      <c r="B4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5" spans="1:2"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6" spans="1:2"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7" spans="1:2"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8" spans="1:2"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29" spans="1:2"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0" spans="1:2"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1" spans="1:2" x14ac:dyDescent="0.3">
      <c r="A431" s="1" t="str">
        <f t="shared" si="6"/>
        <v/>
      </c>
      <c r="B4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2" spans="1:2" x14ac:dyDescent="0.3">
      <c r="A432" s="1" t="str">
        <f t="shared" si="6"/>
        <v/>
      </c>
      <c r="B4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3" spans="1:2" x14ac:dyDescent="0.3">
      <c r="A433" s="1" t="str">
        <f t="shared" si="6"/>
        <v/>
      </c>
      <c r="B4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4" spans="1:2" x14ac:dyDescent="0.3">
      <c r="A434" s="1" t="str">
        <f t="shared" si="6"/>
        <v/>
      </c>
      <c r="B4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5" spans="1:2" x14ac:dyDescent="0.3">
      <c r="A435" s="1" t="str">
        <f t="shared" si="6"/>
        <v/>
      </c>
      <c r="B4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6" spans="1:2" x14ac:dyDescent="0.3">
      <c r="A436" s="1" t="str">
        <f t="shared" si="6"/>
        <v/>
      </c>
      <c r="B4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7" spans="1:2" x14ac:dyDescent="0.3">
      <c r="A437" s="1" t="str">
        <f t="shared" si="6"/>
        <v/>
      </c>
      <c r="B4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8" spans="1:2" x14ac:dyDescent="0.3">
      <c r="A438" s="1" t="str">
        <f t="shared" si="6"/>
        <v/>
      </c>
      <c r="B4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39" spans="1:2" x14ac:dyDescent="0.3">
      <c r="A439" s="1" t="str">
        <f t="shared" si="6"/>
        <v/>
      </c>
      <c r="B4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0" spans="1:2" x14ac:dyDescent="0.3">
      <c r="A440" s="1" t="str">
        <f t="shared" si="6"/>
        <v/>
      </c>
      <c r="B4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1" spans="1:2" x14ac:dyDescent="0.3">
      <c r="A441" s="1" t="str">
        <f t="shared" si="6"/>
        <v/>
      </c>
      <c r="B4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2" spans="1:2" x14ac:dyDescent="0.3">
      <c r="A442" s="1" t="str">
        <f t="shared" si="6"/>
        <v/>
      </c>
      <c r="B4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3" spans="1:2" x14ac:dyDescent="0.3">
      <c r="A443" s="1" t="str">
        <f t="shared" si="6"/>
        <v/>
      </c>
      <c r="B4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4" spans="1:2" x14ac:dyDescent="0.3">
      <c r="A444" s="1" t="str">
        <f t="shared" si="6"/>
        <v/>
      </c>
      <c r="B4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5" spans="1:2" x14ac:dyDescent="0.3">
      <c r="A445" s="1" t="str">
        <f t="shared" si="6"/>
        <v/>
      </c>
      <c r="B4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6" spans="1:2" x14ac:dyDescent="0.3">
      <c r="A446" s="1" t="str">
        <f t="shared" si="6"/>
        <v/>
      </c>
      <c r="B4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7" spans="1:2" x14ac:dyDescent="0.3">
      <c r="A447" s="1" t="str">
        <f t="shared" si="6"/>
        <v/>
      </c>
      <c r="B4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8" spans="1:2" x14ac:dyDescent="0.3">
      <c r="A448" s="1" t="str">
        <f t="shared" si="6"/>
        <v/>
      </c>
      <c r="B4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49" spans="1:2" x14ac:dyDescent="0.3">
      <c r="A449" s="1" t="str">
        <f t="shared" si="6"/>
        <v/>
      </c>
      <c r="B4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0" spans="1:2" x14ac:dyDescent="0.3">
      <c r="A450" s="1" t="str">
        <f t="shared" ref="A450:A513" si="7">IFERROR(LEFT(RIGHT(C450,LEN(C450)-SEARCH("@",C450)),SEARCH("/",RIGHT(C450,LEN(C450)-SEARCH("@",C450)-1))),"")</f>
        <v/>
      </c>
      <c r="B4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1" spans="1:2" x14ac:dyDescent="0.3">
      <c r="A451" s="1" t="str">
        <f t="shared" si="7"/>
        <v/>
      </c>
      <c r="B4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2" spans="1:2" x14ac:dyDescent="0.3">
      <c r="A452" s="1" t="str">
        <f t="shared" si="7"/>
        <v/>
      </c>
      <c r="B4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3" spans="1:2" x14ac:dyDescent="0.3">
      <c r="A453" s="1" t="str">
        <f t="shared" si="7"/>
        <v/>
      </c>
      <c r="B4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4" spans="1:2" x14ac:dyDescent="0.3">
      <c r="A454" s="1" t="str">
        <f t="shared" si="7"/>
        <v/>
      </c>
      <c r="B4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5" spans="1:2"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6" spans="1:2"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7" spans="1:2" x14ac:dyDescent="0.3">
      <c r="A457" s="1" t="str">
        <f t="shared" si="7"/>
        <v/>
      </c>
      <c r="B4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8" spans="1:2"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59" spans="1:2"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0" spans="1:2"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1" spans="1:2"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2" spans="1:2"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3" spans="1:2"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4" spans="1:2" x14ac:dyDescent="0.3">
      <c r="A464" s="1" t="str">
        <f t="shared" si="7"/>
        <v/>
      </c>
      <c r="B4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5" spans="1:2" x14ac:dyDescent="0.3">
      <c r="A465" s="1" t="str">
        <f t="shared" si="7"/>
        <v/>
      </c>
      <c r="B4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6" spans="1:2" x14ac:dyDescent="0.3">
      <c r="A466" s="1" t="str">
        <f t="shared" si="7"/>
        <v/>
      </c>
      <c r="B4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7" spans="1:2" x14ac:dyDescent="0.3">
      <c r="A467" s="1" t="str">
        <f t="shared" si="7"/>
        <v/>
      </c>
      <c r="B4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8" spans="1:2" x14ac:dyDescent="0.3">
      <c r="A468" s="1" t="str">
        <f t="shared" si="7"/>
        <v/>
      </c>
      <c r="B4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69" spans="1:2" x14ac:dyDescent="0.3">
      <c r="A469" s="1" t="str">
        <f t="shared" si="7"/>
        <v/>
      </c>
      <c r="B4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0" spans="1:2" x14ac:dyDescent="0.3">
      <c r="A470" s="1" t="str">
        <f t="shared" si="7"/>
        <v/>
      </c>
      <c r="B4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1" spans="1:2" x14ac:dyDescent="0.3">
      <c r="A471" s="1" t="str">
        <f t="shared" si="7"/>
        <v/>
      </c>
      <c r="B4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2" spans="1:2" x14ac:dyDescent="0.3">
      <c r="A472" s="1" t="str">
        <f t="shared" si="7"/>
        <v/>
      </c>
      <c r="B4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3" spans="1:2" x14ac:dyDescent="0.3">
      <c r="A473" s="1" t="str">
        <f t="shared" si="7"/>
        <v/>
      </c>
      <c r="B4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4" spans="1:2" x14ac:dyDescent="0.3">
      <c r="A474" s="1" t="str">
        <f t="shared" si="7"/>
        <v/>
      </c>
      <c r="B4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5" spans="1:2" x14ac:dyDescent="0.3">
      <c r="A475" s="1" t="str">
        <f t="shared" si="7"/>
        <v/>
      </c>
      <c r="B4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6" spans="1:2" x14ac:dyDescent="0.3">
      <c r="A476" s="1" t="str">
        <f t="shared" si="7"/>
        <v/>
      </c>
      <c r="B4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7" spans="1:2" x14ac:dyDescent="0.3">
      <c r="A477" s="1" t="str">
        <f t="shared" si="7"/>
        <v/>
      </c>
      <c r="B4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8" spans="1:2" x14ac:dyDescent="0.3">
      <c r="A478" s="1" t="str">
        <f t="shared" si="7"/>
        <v/>
      </c>
      <c r="B4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79" spans="1:2" x14ac:dyDescent="0.3">
      <c r="A479" s="1" t="str">
        <f t="shared" si="7"/>
        <v/>
      </c>
      <c r="B4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0" spans="1:2" x14ac:dyDescent="0.3">
      <c r="A480" s="1" t="str">
        <f t="shared" si="7"/>
        <v/>
      </c>
      <c r="B4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1" spans="1:2" x14ac:dyDescent="0.3">
      <c r="A481" s="1" t="str">
        <f t="shared" si="7"/>
        <v/>
      </c>
      <c r="B4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2" spans="1:2" x14ac:dyDescent="0.3">
      <c r="A482" s="1" t="str">
        <f t="shared" si="7"/>
        <v/>
      </c>
      <c r="B4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3" spans="1:2" x14ac:dyDescent="0.3">
      <c r="A483" s="1" t="str">
        <f t="shared" si="7"/>
        <v/>
      </c>
      <c r="B4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4" spans="1:2" x14ac:dyDescent="0.3">
      <c r="A484" s="1" t="str">
        <f t="shared" si="7"/>
        <v/>
      </c>
      <c r="B4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5" spans="1:2" x14ac:dyDescent="0.3">
      <c r="A485" s="1" t="str">
        <f t="shared" si="7"/>
        <v/>
      </c>
      <c r="B4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6" spans="1:2" x14ac:dyDescent="0.3">
      <c r="A486" s="1" t="str">
        <f t="shared" si="7"/>
        <v/>
      </c>
      <c r="B4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7" spans="1:2" x14ac:dyDescent="0.3">
      <c r="A487" s="1" t="str">
        <f t="shared" si="7"/>
        <v/>
      </c>
      <c r="B4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8" spans="1:2"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89" spans="1:2"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0" spans="1:2" x14ac:dyDescent="0.3">
      <c r="A490" s="1" t="str">
        <f t="shared" si="7"/>
        <v/>
      </c>
      <c r="B4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1" spans="1:2"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2" spans="1:2"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3" spans="1:2"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4" spans="1:2"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5" spans="1:2"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6" spans="1:2"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7" spans="1:2" x14ac:dyDescent="0.3">
      <c r="A497" s="1" t="str">
        <f t="shared" si="7"/>
        <v/>
      </c>
      <c r="B4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8" spans="1:2" x14ac:dyDescent="0.3">
      <c r="A498" s="1" t="str">
        <f t="shared" si="7"/>
        <v/>
      </c>
      <c r="B4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499" spans="1:2" x14ac:dyDescent="0.3">
      <c r="A499" s="1" t="str">
        <f t="shared" si="7"/>
        <v/>
      </c>
      <c r="B4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0" spans="1:2" x14ac:dyDescent="0.3">
      <c r="A500" s="1" t="str">
        <f t="shared" si="7"/>
        <v/>
      </c>
      <c r="B5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1" spans="1:2" x14ac:dyDescent="0.3">
      <c r="A501" s="1" t="str">
        <f t="shared" si="7"/>
        <v/>
      </c>
      <c r="B5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2" spans="1:2" x14ac:dyDescent="0.3">
      <c r="A502" s="1" t="str">
        <f t="shared" si="7"/>
        <v/>
      </c>
      <c r="B5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3" spans="1:2" x14ac:dyDescent="0.3">
      <c r="A503" s="1" t="str">
        <f t="shared" si="7"/>
        <v/>
      </c>
      <c r="B5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4" spans="1:2" x14ac:dyDescent="0.3">
      <c r="A504" s="1" t="str">
        <f t="shared" si="7"/>
        <v/>
      </c>
      <c r="B5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5" spans="1:2" x14ac:dyDescent="0.3">
      <c r="A505" s="1" t="str">
        <f t="shared" si="7"/>
        <v/>
      </c>
      <c r="B5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6" spans="1:2" x14ac:dyDescent="0.3">
      <c r="A506" s="1" t="str">
        <f t="shared" si="7"/>
        <v/>
      </c>
      <c r="B5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7" spans="1:2" x14ac:dyDescent="0.3">
      <c r="A507" s="1" t="str">
        <f t="shared" si="7"/>
        <v/>
      </c>
      <c r="B5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8" spans="1:2" x14ac:dyDescent="0.3">
      <c r="A508" s="1" t="str">
        <f t="shared" si="7"/>
        <v/>
      </c>
      <c r="B5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09" spans="1:2" x14ac:dyDescent="0.3">
      <c r="A509" s="1" t="str">
        <f t="shared" si="7"/>
        <v/>
      </c>
      <c r="B5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0" spans="1:2" x14ac:dyDescent="0.3">
      <c r="A510" s="1" t="str">
        <f t="shared" si="7"/>
        <v/>
      </c>
      <c r="B5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1" spans="1:2" x14ac:dyDescent="0.3">
      <c r="A511" s="1" t="str">
        <f t="shared" si="7"/>
        <v/>
      </c>
      <c r="B5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2" spans="1:2" x14ac:dyDescent="0.3">
      <c r="A512" s="1" t="str">
        <f t="shared" si="7"/>
        <v/>
      </c>
      <c r="B5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3" spans="1:2" x14ac:dyDescent="0.3">
      <c r="A513" s="1" t="str">
        <f t="shared" si="7"/>
        <v/>
      </c>
      <c r="B5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4" spans="1:2" x14ac:dyDescent="0.3">
      <c r="A514" s="1" t="str">
        <f t="shared" ref="A514:A577" si="8">IFERROR(LEFT(RIGHT(C514,LEN(C514)-SEARCH("@",C514)),SEARCH("/",RIGHT(C514,LEN(C514)-SEARCH("@",C514)-1))),"")</f>
        <v/>
      </c>
      <c r="B5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5" spans="1:2" x14ac:dyDescent="0.3">
      <c r="A515" s="1" t="str">
        <f t="shared" si="8"/>
        <v/>
      </c>
      <c r="B5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6" spans="1:2" x14ac:dyDescent="0.3">
      <c r="A516" s="1" t="str">
        <f t="shared" si="8"/>
        <v/>
      </c>
      <c r="B5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7" spans="1:2" x14ac:dyDescent="0.3">
      <c r="A517" s="1" t="str">
        <f t="shared" si="8"/>
        <v/>
      </c>
      <c r="B5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8" spans="1:2" x14ac:dyDescent="0.3">
      <c r="A518" s="1" t="str">
        <f t="shared" si="8"/>
        <v/>
      </c>
      <c r="B5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19" spans="1:2" x14ac:dyDescent="0.3">
      <c r="A519" s="1" t="str">
        <f t="shared" si="8"/>
        <v/>
      </c>
      <c r="B5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0" spans="1:2" x14ac:dyDescent="0.3">
      <c r="A520" s="1" t="str">
        <f t="shared" si="8"/>
        <v/>
      </c>
      <c r="B5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1" spans="1:2"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2" spans="1:2"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3" spans="1:2" x14ac:dyDescent="0.3">
      <c r="A523" s="1" t="str">
        <f t="shared" si="8"/>
        <v/>
      </c>
      <c r="B5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4" spans="1:2"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5" spans="1:2"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6" spans="1:2"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7" spans="1:2"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8" spans="1:2"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29" spans="1:2"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0" spans="1:2" x14ac:dyDescent="0.3">
      <c r="A530" s="1" t="str">
        <f t="shared" si="8"/>
        <v/>
      </c>
      <c r="B5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1" spans="1:2" x14ac:dyDescent="0.3">
      <c r="A531" s="1" t="str">
        <f t="shared" si="8"/>
        <v/>
      </c>
      <c r="B5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2" spans="1:2" x14ac:dyDescent="0.3">
      <c r="A532" s="1" t="str">
        <f t="shared" si="8"/>
        <v/>
      </c>
      <c r="B5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3" spans="1:2" x14ac:dyDescent="0.3">
      <c r="A533" s="1" t="str">
        <f t="shared" si="8"/>
        <v/>
      </c>
      <c r="B5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4" spans="1:2" x14ac:dyDescent="0.3">
      <c r="A534" s="1" t="str">
        <f t="shared" si="8"/>
        <v/>
      </c>
      <c r="B5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5" spans="1:2" x14ac:dyDescent="0.3">
      <c r="A535" s="1" t="str">
        <f t="shared" si="8"/>
        <v/>
      </c>
      <c r="B5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6" spans="1:2" x14ac:dyDescent="0.3">
      <c r="A536" s="1" t="str">
        <f t="shared" si="8"/>
        <v/>
      </c>
      <c r="B5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7" spans="1:2" x14ac:dyDescent="0.3">
      <c r="A537" s="1" t="str">
        <f t="shared" si="8"/>
        <v/>
      </c>
      <c r="B5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8" spans="1:2" x14ac:dyDescent="0.3">
      <c r="A538" s="1" t="str">
        <f t="shared" si="8"/>
        <v/>
      </c>
      <c r="B5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39" spans="1:2" x14ac:dyDescent="0.3">
      <c r="A539" s="1" t="str">
        <f t="shared" si="8"/>
        <v/>
      </c>
      <c r="B5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0" spans="1:2" x14ac:dyDescent="0.3">
      <c r="A540" s="1" t="str">
        <f t="shared" si="8"/>
        <v/>
      </c>
      <c r="B5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1" spans="1:2" x14ac:dyDescent="0.3">
      <c r="A541" s="1" t="str">
        <f t="shared" si="8"/>
        <v/>
      </c>
      <c r="B5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2" spans="1:2" x14ac:dyDescent="0.3">
      <c r="A542" s="1" t="str">
        <f t="shared" si="8"/>
        <v/>
      </c>
      <c r="B5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3" spans="1:2" x14ac:dyDescent="0.3">
      <c r="A543" s="1" t="str">
        <f t="shared" si="8"/>
        <v/>
      </c>
      <c r="B5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4" spans="1:2" x14ac:dyDescent="0.3">
      <c r="A544" s="1" t="str">
        <f t="shared" si="8"/>
        <v/>
      </c>
      <c r="B5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5" spans="1:2" x14ac:dyDescent="0.3">
      <c r="A545" s="1" t="str">
        <f t="shared" si="8"/>
        <v/>
      </c>
      <c r="B5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6" spans="1:2" x14ac:dyDescent="0.3">
      <c r="A546" s="1" t="str">
        <f t="shared" si="8"/>
        <v/>
      </c>
      <c r="B5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7" spans="1:2" x14ac:dyDescent="0.3">
      <c r="A547" s="1" t="str">
        <f t="shared" si="8"/>
        <v/>
      </c>
      <c r="B5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8" spans="1:2" x14ac:dyDescent="0.3">
      <c r="A548" s="1" t="str">
        <f t="shared" si="8"/>
        <v/>
      </c>
      <c r="B5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49" spans="1:2" x14ac:dyDescent="0.3">
      <c r="A549" s="1" t="str">
        <f t="shared" si="8"/>
        <v/>
      </c>
      <c r="B5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0" spans="1:2" x14ac:dyDescent="0.3">
      <c r="A550" s="1" t="str">
        <f t="shared" si="8"/>
        <v/>
      </c>
      <c r="B5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1" spans="1:2" x14ac:dyDescent="0.3">
      <c r="A551" s="1" t="str">
        <f t="shared" si="8"/>
        <v/>
      </c>
      <c r="B5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2" spans="1:2" x14ac:dyDescent="0.3">
      <c r="A552" s="1" t="str">
        <f t="shared" si="8"/>
        <v/>
      </c>
      <c r="B5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3" spans="1:2" x14ac:dyDescent="0.3">
      <c r="A553" s="1" t="str">
        <f t="shared" si="8"/>
        <v/>
      </c>
      <c r="B5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4" spans="1:2"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5" spans="1:2"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6" spans="1:2" x14ac:dyDescent="0.3">
      <c r="A556" s="1" t="str">
        <f t="shared" si="8"/>
        <v/>
      </c>
      <c r="B5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7" spans="1:2"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8" spans="1:2"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59" spans="1:2"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0" spans="1:2"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1" spans="1:2"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2" spans="1:2"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3" spans="1:2" x14ac:dyDescent="0.3">
      <c r="A563" s="1" t="str">
        <f t="shared" si="8"/>
        <v/>
      </c>
      <c r="B5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4" spans="1:2" x14ac:dyDescent="0.3">
      <c r="A564" s="1" t="str">
        <f t="shared" si="8"/>
        <v/>
      </c>
      <c r="B5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5" spans="1:2" x14ac:dyDescent="0.3">
      <c r="A565" s="1" t="str">
        <f t="shared" si="8"/>
        <v/>
      </c>
      <c r="B5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6" spans="1:2" x14ac:dyDescent="0.3">
      <c r="A566" s="1" t="str">
        <f t="shared" si="8"/>
        <v/>
      </c>
      <c r="B5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7" spans="1:2" x14ac:dyDescent="0.3">
      <c r="A567" s="1" t="str">
        <f t="shared" si="8"/>
        <v/>
      </c>
      <c r="B5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8" spans="1:2" x14ac:dyDescent="0.3">
      <c r="A568" s="1" t="str">
        <f t="shared" si="8"/>
        <v/>
      </c>
      <c r="B5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69" spans="1:2" x14ac:dyDescent="0.3">
      <c r="A569" s="1" t="str">
        <f t="shared" si="8"/>
        <v/>
      </c>
      <c r="B5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0" spans="1:2" x14ac:dyDescent="0.3">
      <c r="A570" s="1" t="str">
        <f t="shared" si="8"/>
        <v/>
      </c>
      <c r="B5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1" spans="1:2" x14ac:dyDescent="0.3">
      <c r="A571" s="1" t="str">
        <f t="shared" si="8"/>
        <v/>
      </c>
      <c r="B5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2" spans="1:2" x14ac:dyDescent="0.3">
      <c r="A572" s="1" t="str">
        <f t="shared" si="8"/>
        <v/>
      </c>
      <c r="B5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3" spans="1:2" x14ac:dyDescent="0.3">
      <c r="A573" s="1" t="str">
        <f t="shared" si="8"/>
        <v/>
      </c>
      <c r="B5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4" spans="1:2" x14ac:dyDescent="0.3">
      <c r="A574" s="1" t="str">
        <f t="shared" si="8"/>
        <v/>
      </c>
      <c r="B5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5" spans="1:2" x14ac:dyDescent="0.3">
      <c r="A575" s="1" t="str">
        <f t="shared" si="8"/>
        <v/>
      </c>
      <c r="B5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6" spans="1:2" x14ac:dyDescent="0.3">
      <c r="A576" s="1" t="str">
        <f t="shared" si="8"/>
        <v/>
      </c>
      <c r="B5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7" spans="1:2" x14ac:dyDescent="0.3">
      <c r="A577" s="1" t="str">
        <f t="shared" si="8"/>
        <v/>
      </c>
      <c r="B5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8" spans="1:2" x14ac:dyDescent="0.3">
      <c r="A578" s="1" t="str">
        <f t="shared" ref="A578:A641" si="9">IFERROR(LEFT(RIGHT(C578,LEN(C578)-SEARCH("@",C578)),SEARCH("/",RIGHT(C578,LEN(C578)-SEARCH("@",C578)-1))),"")</f>
        <v/>
      </c>
      <c r="B5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79" spans="1:2" x14ac:dyDescent="0.3">
      <c r="A579" s="1" t="str">
        <f t="shared" si="9"/>
        <v/>
      </c>
      <c r="B5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0" spans="1:2" x14ac:dyDescent="0.3">
      <c r="A580" s="1" t="str">
        <f t="shared" si="9"/>
        <v/>
      </c>
      <c r="B5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1" spans="1:2" x14ac:dyDescent="0.3">
      <c r="A581" s="1" t="str">
        <f t="shared" si="9"/>
        <v/>
      </c>
      <c r="B5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2" spans="1:2" x14ac:dyDescent="0.3">
      <c r="A582" s="1" t="str">
        <f t="shared" si="9"/>
        <v/>
      </c>
      <c r="B5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3" spans="1:2" x14ac:dyDescent="0.3">
      <c r="A583" s="1" t="str">
        <f t="shared" si="9"/>
        <v/>
      </c>
      <c r="B5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4" spans="1:2" x14ac:dyDescent="0.3">
      <c r="A584" s="1" t="str">
        <f t="shared" si="9"/>
        <v/>
      </c>
      <c r="B5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5" spans="1:2" x14ac:dyDescent="0.3">
      <c r="A585" s="1" t="str">
        <f t="shared" si="9"/>
        <v/>
      </c>
      <c r="B5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6" spans="1:2" x14ac:dyDescent="0.3">
      <c r="A586" s="1" t="str">
        <f t="shared" si="9"/>
        <v/>
      </c>
      <c r="B5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7" spans="1:2"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8" spans="1:2"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89" spans="1:2" x14ac:dyDescent="0.3">
      <c r="A589" s="1" t="str">
        <f t="shared" si="9"/>
        <v/>
      </c>
      <c r="B5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0" spans="1:2"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1" spans="1:2"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2" spans="1:2"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3" spans="1:2"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4" spans="1:2"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5" spans="1:2"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6" spans="1:2" x14ac:dyDescent="0.3">
      <c r="A596" s="1" t="str">
        <f t="shared" si="9"/>
        <v/>
      </c>
      <c r="B5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7" spans="1:2" x14ac:dyDescent="0.3">
      <c r="A597" s="1" t="str">
        <f t="shared" si="9"/>
        <v/>
      </c>
      <c r="B5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8" spans="1:2" x14ac:dyDescent="0.3">
      <c r="A598" s="1" t="str">
        <f t="shared" si="9"/>
        <v/>
      </c>
      <c r="B5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599" spans="1:2" x14ac:dyDescent="0.3">
      <c r="A599" s="1" t="str">
        <f t="shared" si="9"/>
        <v/>
      </c>
      <c r="B5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0" spans="1:2" x14ac:dyDescent="0.3">
      <c r="A600" s="1" t="str">
        <f t="shared" si="9"/>
        <v/>
      </c>
      <c r="B6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1" spans="1:2" x14ac:dyDescent="0.3">
      <c r="A601" s="1" t="str">
        <f t="shared" si="9"/>
        <v/>
      </c>
      <c r="B6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2" spans="1:2" x14ac:dyDescent="0.3">
      <c r="A602" s="1" t="str">
        <f t="shared" si="9"/>
        <v/>
      </c>
      <c r="B6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3" spans="1:2" x14ac:dyDescent="0.3">
      <c r="A603" s="1" t="str">
        <f t="shared" si="9"/>
        <v/>
      </c>
      <c r="B6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4" spans="1:2" x14ac:dyDescent="0.3">
      <c r="A604" s="1" t="str">
        <f t="shared" si="9"/>
        <v/>
      </c>
      <c r="B6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5" spans="1:2" x14ac:dyDescent="0.3">
      <c r="A605" s="1" t="str">
        <f t="shared" si="9"/>
        <v/>
      </c>
      <c r="B6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6" spans="1:2" x14ac:dyDescent="0.3">
      <c r="A606" s="1" t="str">
        <f t="shared" si="9"/>
        <v/>
      </c>
      <c r="B6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7" spans="1:2" x14ac:dyDescent="0.3">
      <c r="A607" s="1" t="str">
        <f t="shared" si="9"/>
        <v/>
      </c>
      <c r="B6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8" spans="1:2" x14ac:dyDescent="0.3">
      <c r="A608" s="1" t="str">
        <f t="shared" si="9"/>
        <v/>
      </c>
      <c r="B6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09" spans="1:2" x14ac:dyDescent="0.3">
      <c r="A609" s="1" t="str">
        <f t="shared" si="9"/>
        <v/>
      </c>
      <c r="B6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0" spans="1:2" x14ac:dyDescent="0.3">
      <c r="A610" s="1" t="str">
        <f t="shared" si="9"/>
        <v/>
      </c>
      <c r="B6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1" spans="1:2" x14ac:dyDescent="0.3">
      <c r="A611" s="1" t="str">
        <f t="shared" si="9"/>
        <v/>
      </c>
      <c r="B6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2" spans="1:2" x14ac:dyDescent="0.3">
      <c r="A612" s="1" t="str">
        <f t="shared" si="9"/>
        <v/>
      </c>
      <c r="B6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3" spans="1:2" x14ac:dyDescent="0.3">
      <c r="A613" s="1" t="str">
        <f t="shared" si="9"/>
        <v/>
      </c>
      <c r="B6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4" spans="1:2" x14ac:dyDescent="0.3">
      <c r="A614" s="1" t="str">
        <f t="shared" si="9"/>
        <v/>
      </c>
      <c r="B6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5" spans="1:2" x14ac:dyDescent="0.3">
      <c r="A615" s="1" t="str">
        <f t="shared" si="9"/>
        <v/>
      </c>
      <c r="B6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6" spans="1:2" x14ac:dyDescent="0.3">
      <c r="A616" s="1" t="str">
        <f t="shared" si="9"/>
        <v/>
      </c>
      <c r="B6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7" spans="1:2" x14ac:dyDescent="0.3">
      <c r="A617" s="1" t="str">
        <f t="shared" si="9"/>
        <v/>
      </c>
      <c r="B6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8" spans="1:2" x14ac:dyDescent="0.3">
      <c r="A618" s="1" t="str">
        <f t="shared" si="9"/>
        <v/>
      </c>
      <c r="B6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19" spans="1:2" x14ac:dyDescent="0.3">
      <c r="A619" s="1" t="str">
        <f t="shared" si="9"/>
        <v/>
      </c>
      <c r="B6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0" spans="1:2"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1" spans="1:2"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2" spans="1:2" x14ac:dyDescent="0.3">
      <c r="A622" s="1" t="str">
        <f t="shared" si="9"/>
        <v/>
      </c>
      <c r="B6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3" spans="1:2"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4" spans="1:2"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5" spans="1:2"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6" spans="1:2"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7" spans="1:2"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8" spans="1:2"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29" spans="1:2" x14ac:dyDescent="0.3">
      <c r="A629" s="1" t="str">
        <f t="shared" si="9"/>
        <v/>
      </c>
      <c r="B6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0" spans="1:2" x14ac:dyDescent="0.3">
      <c r="A630" s="1" t="str">
        <f t="shared" si="9"/>
        <v/>
      </c>
      <c r="B6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1" spans="1:2" x14ac:dyDescent="0.3">
      <c r="A631" s="1" t="str">
        <f t="shared" si="9"/>
        <v/>
      </c>
      <c r="B6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2" spans="1:2" x14ac:dyDescent="0.3">
      <c r="A632" s="1" t="str">
        <f t="shared" si="9"/>
        <v/>
      </c>
      <c r="B6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3" spans="1:2" x14ac:dyDescent="0.3">
      <c r="A633" s="1" t="str">
        <f t="shared" si="9"/>
        <v/>
      </c>
      <c r="B6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4" spans="1:2" x14ac:dyDescent="0.3">
      <c r="A634" s="1" t="str">
        <f t="shared" si="9"/>
        <v/>
      </c>
      <c r="B6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5" spans="1:2" x14ac:dyDescent="0.3">
      <c r="A635" s="1" t="str">
        <f t="shared" si="9"/>
        <v/>
      </c>
      <c r="B6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6" spans="1:2" x14ac:dyDescent="0.3">
      <c r="A636" s="1" t="str">
        <f t="shared" si="9"/>
        <v/>
      </c>
      <c r="B6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7" spans="1:2" x14ac:dyDescent="0.3">
      <c r="A637" s="1" t="str">
        <f t="shared" si="9"/>
        <v/>
      </c>
      <c r="B6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8" spans="1:2" x14ac:dyDescent="0.3">
      <c r="A638" s="1" t="str">
        <f t="shared" si="9"/>
        <v/>
      </c>
      <c r="B6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39" spans="1:2" x14ac:dyDescent="0.3">
      <c r="A639" s="1" t="str">
        <f t="shared" si="9"/>
        <v/>
      </c>
      <c r="B6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0" spans="1:2" x14ac:dyDescent="0.3">
      <c r="A640" s="1" t="str">
        <f t="shared" si="9"/>
        <v/>
      </c>
      <c r="B6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1" spans="1:2" x14ac:dyDescent="0.3">
      <c r="A641" s="1" t="str">
        <f t="shared" si="9"/>
        <v/>
      </c>
      <c r="B6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2" spans="1:2" x14ac:dyDescent="0.3">
      <c r="A642" s="1" t="str">
        <f t="shared" ref="A642:A705" si="10">IFERROR(LEFT(RIGHT(C642,LEN(C642)-SEARCH("@",C642)),SEARCH("/",RIGHT(C642,LEN(C642)-SEARCH("@",C642)-1))),"")</f>
        <v/>
      </c>
      <c r="B6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3" spans="1:2" x14ac:dyDescent="0.3">
      <c r="A643" s="1" t="str">
        <f t="shared" si="10"/>
        <v/>
      </c>
      <c r="B6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4" spans="1:2" x14ac:dyDescent="0.3">
      <c r="A644" s="1" t="str">
        <f t="shared" si="10"/>
        <v/>
      </c>
      <c r="B6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5" spans="1:2" x14ac:dyDescent="0.3">
      <c r="A645" s="1" t="str">
        <f t="shared" si="10"/>
        <v/>
      </c>
      <c r="B6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6" spans="1:2" x14ac:dyDescent="0.3">
      <c r="A646" s="1" t="str">
        <f t="shared" si="10"/>
        <v/>
      </c>
      <c r="B6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7" spans="1:2" x14ac:dyDescent="0.3">
      <c r="A647" s="1" t="str">
        <f t="shared" si="10"/>
        <v/>
      </c>
      <c r="B6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8" spans="1:2" x14ac:dyDescent="0.3">
      <c r="A648" s="1" t="str">
        <f t="shared" si="10"/>
        <v/>
      </c>
      <c r="B6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49" spans="1:2" x14ac:dyDescent="0.3">
      <c r="A649" s="1" t="str">
        <f t="shared" si="10"/>
        <v/>
      </c>
      <c r="B6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0" spans="1:2" x14ac:dyDescent="0.3">
      <c r="A650" s="1" t="str">
        <f t="shared" si="10"/>
        <v/>
      </c>
      <c r="B6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1" spans="1:2" x14ac:dyDescent="0.3">
      <c r="A651" s="1" t="str">
        <f t="shared" si="10"/>
        <v/>
      </c>
      <c r="B6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2" spans="1:2" x14ac:dyDescent="0.3">
      <c r="A652" s="1" t="str">
        <f t="shared" si="10"/>
        <v/>
      </c>
      <c r="B6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3" spans="1:2"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4" spans="1:2"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5" spans="1:2" x14ac:dyDescent="0.3">
      <c r="A655" s="1" t="str">
        <f t="shared" si="10"/>
        <v/>
      </c>
      <c r="B6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6" spans="1:2"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7" spans="1:2"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8" spans="1:2"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59" spans="1:2"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0" spans="1:2"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1" spans="1:2"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2" spans="1:2" x14ac:dyDescent="0.3">
      <c r="A662" s="1" t="str">
        <f t="shared" si="10"/>
        <v/>
      </c>
      <c r="B6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3" spans="1:2" x14ac:dyDescent="0.3">
      <c r="A663" s="1" t="str">
        <f t="shared" si="10"/>
        <v/>
      </c>
      <c r="B6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4" spans="1:2" x14ac:dyDescent="0.3">
      <c r="A664" s="1" t="str">
        <f t="shared" si="10"/>
        <v/>
      </c>
      <c r="B6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5" spans="1:2" x14ac:dyDescent="0.3">
      <c r="A665" s="1" t="str">
        <f t="shared" si="10"/>
        <v/>
      </c>
      <c r="B6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6" spans="1:2" x14ac:dyDescent="0.3">
      <c r="A666" s="1" t="str">
        <f t="shared" si="10"/>
        <v/>
      </c>
      <c r="B6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7" spans="1:2" x14ac:dyDescent="0.3">
      <c r="A667" s="1" t="str">
        <f t="shared" si="10"/>
        <v/>
      </c>
      <c r="B6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8" spans="1:2" x14ac:dyDescent="0.3">
      <c r="A668" s="1" t="str">
        <f t="shared" si="10"/>
        <v/>
      </c>
      <c r="B6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69" spans="1:2" x14ac:dyDescent="0.3">
      <c r="A669" s="1" t="str">
        <f t="shared" si="10"/>
        <v/>
      </c>
      <c r="B6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0" spans="1:2" x14ac:dyDescent="0.3">
      <c r="A670" s="1" t="str">
        <f t="shared" si="10"/>
        <v/>
      </c>
      <c r="B6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1" spans="1:2" x14ac:dyDescent="0.3">
      <c r="A671" s="1" t="str">
        <f t="shared" si="10"/>
        <v/>
      </c>
      <c r="B6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2" spans="1:2" x14ac:dyDescent="0.3">
      <c r="A672" s="1" t="str">
        <f t="shared" si="10"/>
        <v/>
      </c>
      <c r="B6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3" spans="1:2" x14ac:dyDescent="0.3">
      <c r="A673" s="1" t="str">
        <f t="shared" si="10"/>
        <v/>
      </c>
      <c r="B6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4" spans="1:2" x14ac:dyDescent="0.3">
      <c r="A674" s="1" t="str">
        <f t="shared" si="10"/>
        <v/>
      </c>
      <c r="B6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5" spans="1:2" x14ac:dyDescent="0.3">
      <c r="A675" s="1" t="str">
        <f t="shared" si="10"/>
        <v/>
      </c>
      <c r="B6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6" spans="1:2" x14ac:dyDescent="0.3">
      <c r="A676" s="1" t="str">
        <f t="shared" si="10"/>
        <v/>
      </c>
      <c r="B6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7" spans="1:2" x14ac:dyDescent="0.3">
      <c r="A677" s="1" t="str">
        <f t="shared" si="10"/>
        <v/>
      </c>
      <c r="B6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8" spans="1:2" x14ac:dyDescent="0.3">
      <c r="A678" s="1" t="str">
        <f t="shared" si="10"/>
        <v/>
      </c>
      <c r="B6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79" spans="1:2" x14ac:dyDescent="0.3">
      <c r="A679" s="1" t="str">
        <f t="shared" si="10"/>
        <v/>
      </c>
      <c r="B6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0" spans="1:2" x14ac:dyDescent="0.3">
      <c r="A680" s="1" t="str">
        <f t="shared" si="10"/>
        <v/>
      </c>
      <c r="B6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1" spans="1:2" x14ac:dyDescent="0.3">
      <c r="A681" s="1" t="str">
        <f t="shared" si="10"/>
        <v/>
      </c>
      <c r="B6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2" spans="1:2" x14ac:dyDescent="0.3">
      <c r="A682" s="1" t="str">
        <f t="shared" si="10"/>
        <v/>
      </c>
      <c r="B6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3" spans="1:2" x14ac:dyDescent="0.3">
      <c r="A683" s="1" t="str">
        <f t="shared" si="10"/>
        <v/>
      </c>
      <c r="B6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4" spans="1:2" x14ac:dyDescent="0.3">
      <c r="A684" s="1" t="str">
        <f t="shared" si="10"/>
        <v/>
      </c>
      <c r="B6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5" spans="1:2" x14ac:dyDescent="0.3">
      <c r="A685" s="1" t="str">
        <f t="shared" si="10"/>
        <v/>
      </c>
      <c r="B6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6" spans="1:2"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7" spans="1:2"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8" spans="1:2" x14ac:dyDescent="0.3">
      <c r="A688" s="1" t="str">
        <f t="shared" si="10"/>
        <v/>
      </c>
      <c r="B6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89" spans="1:2"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0" spans="1:2"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2"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2"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2"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2"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2"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2"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2"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2"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2"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2"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2"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2"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2"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2"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B11:K11 M11:XFD11 A1:J2 EO1:XFD10 B12:XFD13 K1:L4 A1532:XFD1048576 M14:XFD19 K6:L6 B14:J19 K5 B3:J10 B20:XFD1531 A3:A1531">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L1" zoomScale="70" zoomScaleNormal="70" zoomScaleSheetLayoutView="40" zoomScalePageLayoutView="30" workbookViewId="0">
      <selection activeCell="Q20" sqref="B5:Q20"/>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customFormat="1" ht="15" thickBot="1" x14ac:dyDescent="0.35"/>
    <row r="3" spans="1:22" ht="15" thickBot="1" x14ac:dyDescent="0.35">
      <c r="A3" s="51" t="s">
        <v>18</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Atenolol-0.01mg/L</v>
      </c>
      <c r="J4" s="35" t="str">
        <f>'Page de garde'!A16</f>
        <v>Atenolol-0.1mg/L</v>
      </c>
      <c r="K4" s="35" t="str">
        <f>'Page de garde'!A17</f>
        <v>Atenolol-1mg/L</v>
      </c>
      <c r="L4" s="35" t="str">
        <f>'Page de garde'!A18</f>
        <v>Atenolol-10mg/L</v>
      </c>
      <c r="M4" s="35" t="str">
        <f>'Page de garde'!A19</f>
        <v>Atenolol-100mg/L</v>
      </c>
      <c r="N4" s="3"/>
      <c r="O4" s="36" t="str">
        <f>'Page de garde'!A36</f>
        <v>Testo -30µg/L</v>
      </c>
      <c r="P4" s="36" t="str">
        <f>'Page de garde'!A37</f>
        <v>Testo 30µg/L + EE2 -64ng/L</v>
      </c>
      <c r="Q4" s="36" t="str">
        <f>'Page de garde'!A38</f>
        <v>Testo 30µg/L + FAD-10µg/L</v>
      </c>
      <c r="R4" s="36" t="str">
        <f>'Page de garde'!A39</f>
        <v>Atenolol-0.01mg/L + Testostérone</v>
      </c>
      <c r="S4" s="36" t="str">
        <f>'Page de garde'!A40</f>
        <v>Atenolol-0.1mg/L + Testostérone</v>
      </c>
      <c r="T4" s="36" t="str">
        <f>'Page de garde'!A41</f>
        <v>Atenolol-1mg/L + Testostérone</v>
      </c>
      <c r="U4" s="36" t="str">
        <f>'Page de garde'!A42</f>
        <v>Atenolol-10mg/L + Testostérone</v>
      </c>
      <c r="V4" s="36" t="str">
        <f>'Page de garde'!A43</f>
        <v>Atenolol-100mg/L + Testostérone</v>
      </c>
    </row>
    <row r="5" spans="1:22" x14ac:dyDescent="0.3">
      <c r="A5" s="223" t="s">
        <v>33</v>
      </c>
      <c r="B5" s="32">
        <v>341346</v>
      </c>
      <c r="C5" s="32">
        <v>49962</v>
      </c>
      <c r="D5" s="32">
        <v>46002</v>
      </c>
      <c r="E5" s="32">
        <v>859704</v>
      </c>
      <c r="F5" s="32">
        <v>2582836</v>
      </c>
      <c r="G5" s="32">
        <v>5162975</v>
      </c>
      <c r="H5" s="32">
        <v>9612003</v>
      </c>
      <c r="I5" s="32">
        <v>11532</v>
      </c>
      <c r="J5" s="32">
        <v>49140</v>
      </c>
      <c r="K5" s="13">
        <v>87372</v>
      </c>
      <c r="L5" s="13">
        <v>51990</v>
      </c>
      <c r="M5" s="13">
        <v>7643</v>
      </c>
      <c r="N5" s="3"/>
      <c r="O5" s="32">
        <v>139897</v>
      </c>
      <c r="P5" s="13">
        <v>6654239</v>
      </c>
      <c r="Q5" s="13">
        <v>486365</v>
      </c>
      <c r="R5" s="32">
        <v>516986</v>
      </c>
      <c r="S5" s="32">
        <v>143797</v>
      </c>
      <c r="T5" s="32">
        <v>149242</v>
      </c>
      <c r="U5" s="32">
        <v>76067</v>
      </c>
      <c r="V5" s="32">
        <v>149881</v>
      </c>
    </row>
    <row r="6" spans="1:22" ht="16.8" x14ac:dyDescent="0.3">
      <c r="A6" s="223"/>
      <c r="B6" s="14">
        <v>85962</v>
      </c>
      <c r="C6" s="13">
        <v>50766</v>
      </c>
      <c r="D6" s="32">
        <v>198878</v>
      </c>
      <c r="E6" s="32">
        <v>3492845</v>
      </c>
      <c r="F6" s="32">
        <v>1023201</v>
      </c>
      <c r="G6" s="32">
        <v>6215654</v>
      </c>
      <c r="H6" s="32">
        <v>9051795</v>
      </c>
      <c r="I6" s="32">
        <v>714017</v>
      </c>
      <c r="J6" s="32">
        <v>38155</v>
      </c>
      <c r="K6" s="13">
        <v>80908</v>
      </c>
      <c r="L6" s="13">
        <v>129552</v>
      </c>
      <c r="M6" s="13">
        <v>490</v>
      </c>
      <c r="N6" s="3"/>
      <c r="O6" s="32">
        <v>217163</v>
      </c>
      <c r="P6" s="13">
        <v>6248328</v>
      </c>
      <c r="Q6" s="13">
        <v>55985</v>
      </c>
      <c r="R6" s="32">
        <v>56320</v>
      </c>
      <c r="S6" s="32">
        <v>713834</v>
      </c>
      <c r="T6" s="32">
        <v>502065</v>
      </c>
      <c r="U6" s="32">
        <v>443550</v>
      </c>
      <c r="V6" s="32">
        <v>214488</v>
      </c>
    </row>
    <row r="7" spans="1:22" ht="16.8" x14ac:dyDescent="0.3">
      <c r="A7" s="223"/>
      <c r="B7" s="14">
        <v>58616</v>
      </c>
      <c r="C7" s="13">
        <v>202708</v>
      </c>
      <c r="D7" s="32">
        <v>142140</v>
      </c>
      <c r="E7" s="32">
        <v>2056087</v>
      </c>
      <c r="F7" s="32">
        <v>1901571</v>
      </c>
      <c r="G7" s="32">
        <v>5698899</v>
      </c>
      <c r="H7" s="32">
        <v>8528732</v>
      </c>
      <c r="I7" s="32">
        <v>72634</v>
      </c>
      <c r="J7" s="32">
        <v>217457</v>
      </c>
      <c r="K7" s="13">
        <v>135128</v>
      </c>
      <c r="L7" s="13">
        <v>136221</v>
      </c>
      <c r="M7" s="13">
        <v>121814</v>
      </c>
      <c r="N7" s="3"/>
      <c r="O7" s="32">
        <v>110923</v>
      </c>
      <c r="P7" s="13">
        <v>8850646</v>
      </c>
      <c r="Q7" s="13">
        <v>181854</v>
      </c>
      <c r="R7" s="32">
        <v>486963</v>
      </c>
      <c r="S7" s="32">
        <v>3374090</v>
      </c>
      <c r="T7" s="32">
        <v>55925</v>
      </c>
      <c r="U7" s="32">
        <v>988025</v>
      </c>
      <c r="V7" s="32">
        <v>156563</v>
      </c>
    </row>
    <row r="8" spans="1:22" ht="16.8" x14ac:dyDescent="0.3">
      <c r="A8" s="223"/>
      <c r="B8" s="14">
        <v>77241</v>
      </c>
      <c r="C8" s="13">
        <v>32261</v>
      </c>
      <c r="D8" s="32">
        <v>84557</v>
      </c>
      <c r="E8" s="32">
        <v>1696581</v>
      </c>
      <c r="F8" s="32">
        <v>3053297</v>
      </c>
      <c r="G8" s="32">
        <v>6080086</v>
      </c>
      <c r="H8" s="32">
        <v>19764273</v>
      </c>
      <c r="I8" s="32">
        <v>132964</v>
      </c>
      <c r="J8" s="32">
        <v>24726</v>
      </c>
      <c r="K8" s="13">
        <v>104513</v>
      </c>
      <c r="L8" s="13">
        <v>81409</v>
      </c>
      <c r="M8" s="13">
        <v>52302</v>
      </c>
      <c r="N8" s="3"/>
      <c r="O8" s="32">
        <v>120070</v>
      </c>
      <c r="P8" s="13">
        <v>6435481</v>
      </c>
      <c r="Q8" s="13">
        <v>35208</v>
      </c>
      <c r="R8" s="32">
        <v>183576</v>
      </c>
      <c r="S8" s="32">
        <v>2124315</v>
      </c>
      <c r="T8" s="32">
        <v>13527</v>
      </c>
      <c r="U8" s="32">
        <v>289008</v>
      </c>
      <c r="V8" s="32">
        <v>30946</v>
      </c>
    </row>
    <row r="9" spans="1:22" ht="16.8" x14ac:dyDescent="0.3">
      <c r="A9" s="223"/>
      <c r="B9" s="14">
        <v>155715</v>
      </c>
      <c r="C9" s="13">
        <v>34456</v>
      </c>
      <c r="D9" s="32">
        <v>86266</v>
      </c>
      <c r="E9" s="32">
        <v>3760830</v>
      </c>
      <c r="F9" s="32">
        <v>5746894</v>
      </c>
      <c r="G9" s="32">
        <v>8378617</v>
      </c>
      <c r="H9" s="32">
        <v>11624024</v>
      </c>
      <c r="I9" s="32">
        <v>92626</v>
      </c>
      <c r="J9" s="32">
        <v>124364</v>
      </c>
      <c r="K9" s="13">
        <v>16974</v>
      </c>
      <c r="L9" s="13">
        <v>12854</v>
      </c>
      <c r="M9" s="13">
        <v>11809</v>
      </c>
      <c r="N9" s="3"/>
      <c r="O9" s="32">
        <v>1228892</v>
      </c>
      <c r="P9" s="13">
        <v>7287235</v>
      </c>
      <c r="Q9" s="13">
        <v>263194</v>
      </c>
      <c r="R9" s="32">
        <v>48686</v>
      </c>
      <c r="S9" s="32">
        <v>141247</v>
      </c>
      <c r="T9" s="32">
        <v>3271185</v>
      </c>
      <c r="U9" s="32">
        <v>556807</v>
      </c>
      <c r="V9" s="32">
        <v>1402412</v>
      </c>
    </row>
    <row r="10" spans="1:22" ht="16.8" x14ac:dyDescent="0.3">
      <c r="A10" s="223"/>
      <c r="B10" s="14">
        <v>148514</v>
      </c>
      <c r="C10" s="13">
        <v>96871</v>
      </c>
      <c r="D10" s="32">
        <v>43949</v>
      </c>
      <c r="E10" s="32">
        <v>668770</v>
      </c>
      <c r="F10" s="32">
        <v>9227517</v>
      </c>
      <c r="G10" s="32">
        <v>2631251</v>
      </c>
      <c r="H10" s="32">
        <v>8905748</v>
      </c>
      <c r="I10" s="32">
        <v>174398</v>
      </c>
      <c r="J10" s="32">
        <v>492927</v>
      </c>
      <c r="K10" s="13">
        <v>35632</v>
      </c>
      <c r="L10" s="13">
        <v>122090</v>
      </c>
      <c r="M10" s="13">
        <v>329163</v>
      </c>
      <c r="N10" s="3"/>
      <c r="O10" s="32">
        <v>450016</v>
      </c>
      <c r="P10" s="13">
        <v>4463677</v>
      </c>
      <c r="Q10" s="13">
        <v>390024</v>
      </c>
      <c r="R10" s="32">
        <v>681795</v>
      </c>
      <c r="S10" s="32">
        <v>44752</v>
      </c>
      <c r="T10" s="32">
        <v>141587</v>
      </c>
      <c r="U10" s="32">
        <v>60578</v>
      </c>
      <c r="V10" s="32">
        <v>106320</v>
      </c>
    </row>
    <row r="11" spans="1:22" ht="16.8" x14ac:dyDescent="0.3">
      <c r="A11" s="223"/>
      <c r="B11" s="14">
        <v>7253</v>
      </c>
      <c r="C11" s="13">
        <v>54971</v>
      </c>
      <c r="D11" s="32">
        <v>48908</v>
      </c>
      <c r="E11" s="32">
        <v>2967954</v>
      </c>
      <c r="F11" s="32">
        <v>6165683</v>
      </c>
      <c r="G11" s="32">
        <v>3948149</v>
      </c>
      <c r="H11" s="32">
        <v>14310533</v>
      </c>
      <c r="I11" s="32">
        <v>96018</v>
      </c>
      <c r="J11" s="32">
        <v>27649</v>
      </c>
      <c r="K11" s="13">
        <v>96980</v>
      </c>
      <c r="L11" s="13">
        <v>42238</v>
      </c>
      <c r="M11" s="13">
        <v>395251</v>
      </c>
      <c r="N11" s="3"/>
      <c r="O11" s="32">
        <v>81341</v>
      </c>
      <c r="P11" s="13">
        <v>5810268</v>
      </c>
      <c r="Q11" s="13">
        <v>105669</v>
      </c>
      <c r="R11" s="32">
        <v>577859</v>
      </c>
      <c r="S11" s="32">
        <v>39738</v>
      </c>
      <c r="T11" s="32">
        <v>783092</v>
      </c>
      <c r="U11" s="32">
        <v>86602</v>
      </c>
      <c r="V11" s="32">
        <v>13547</v>
      </c>
    </row>
    <row r="12" spans="1:22" ht="16.8" x14ac:dyDescent="0.3">
      <c r="A12" s="223"/>
      <c r="B12" s="14">
        <v>87950</v>
      </c>
      <c r="C12" s="13">
        <v>44256</v>
      </c>
      <c r="D12" s="32"/>
      <c r="E12" s="32">
        <v>357171</v>
      </c>
      <c r="F12" s="32">
        <v>4988230</v>
      </c>
      <c r="G12" s="32">
        <v>8204967</v>
      </c>
      <c r="H12" s="32">
        <v>14371213</v>
      </c>
      <c r="I12" s="32">
        <v>22091</v>
      </c>
      <c r="J12" s="32">
        <v>32825</v>
      </c>
      <c r="K12" s="13"/>
      <c r="L12" s="13">
        <v>226995</v>
      </c>
      <c r="M12" s="13">
        <v>19142</v>
      </c>
      <c r="N12" s="3"/>
      <c r="O12" s="32">
        <v>1335327</v>
      </c>
      <c r="P12" s="13"/>
      <c r="Q12" s="13">
        <v>262441</v>
      </c>
      <c r="R12" s="32">
        <v>100558</v>
      </c>
      <c r="S12" s="32">
        <v>1195277</v>
      </c>
      <c r="T12" s="32">
        <v>381238</v>
      </c>
      <c r="U12" s="32">
        <v>165009</v>
      </c>
      <c r="V12" s="32"/>
    </row>
    <row r="13" spans="1:22" ht="16.8" x14ac:dyDescent="0.3">
      <c r="A13" s="223"/>
      <c r="B13" s="14"/>
      <c r="C13" s="13"/>
      <c r="D13" s="32"/>
      <c r="E13" s="32"/>
      <c r="F13" s="32"/>
      <c r="G13" s="32"/>
      <c r="H13" s="32"/>
      <c r="I13" s="32"/>
      <c r="J13" s="32"/>
      <c r="K13" s="13"/>
      <c r="L13" s="13"/>
      <c r="M13" s="13"/>
      <c r="N13" s="3"/>
      <c r="O13" s="32">
        <v>52306</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218248</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449155</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1439472</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26769</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16708</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53538</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6596512</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Atenolol-0.01mg/L</v>
      </c>
      <c r="J22" s="3" t="str">
        <f t="shared" si="0"/>
        <v>Atenolol-0.1mg/L</v>
      </c>
      <c r="K22" s="3" t="str">
        <f t="shared" si="0"/>
        <v>Atenolol-1mg/L</v>
      </c>
      <c r="L22" s="3" t="str">
        <f t="shared" si="0"/>
        <v>Atenolol-10mg/L</v>
      </c>
      <c r="M22" s="3" t="str">
        <f t="shared" si="0"/>
        <v>Atenolol-100mg/L</v>
      </c>
      <c r="N22" s="3" t="s">
        <v>41</v>
      </c>
      <c r="O22" s="3" t="str">
        <f t="shared" si="0"/>
        <v>Testo -30µg/L</v>
      </c>
      <c r="P22" s="3" t="str">
        <f t="shared" si="0"/>
        <v>Testo 30µg/L + EE2 -64ng/L</v>
      </c>
      <c r="Q22" s="3" t="str">
        <f t="shared" si="0"/>
        <v>Testo 30µg/L + FAD-10µg/L</v>
      </c>
      <c r="R22" s="3" t="str">
        <f t="shared" si="0"/>
        <v>Atenolol-0.01mg/L + Testostérone</v>
      </c>
      <c r="S22" s="3" t="str">
        <f t="shared" si="0"/>
        <v>Atenolol-0.1mg/L + Testostérone</v>
      </c>
      <c r="T22" s="3" t="str">
        <f t="shared" si="0"/>
        <v>Atenolol-1mg/L + Testostérone</v>
      </c>
      <c r="U22" s="3" t="str">
        <f t="shared" si="0"/>
        <v>Atenolol-10mg/L + Testostérone</v>
      </c>
      <c r="V22" s="3" t="str">
        <f t="shared" si="0"/>
        <v>Atenolol-100mg/L + Testostérone</v>
      </c>
    </row>
    <row r="23" spans="1:22" x14ac:dyDescent="0.3">
      <c r="A23" s="5" t="s">
        <v>0</v>
      </c>
      <c r="B23" s="5">
        <f t="shared" ref="B23:J23" si="1">AVERAGE(B5:B20)</f>
        <v>120324.625</v>
      </c>
      <c r="C23" s="5">
        <f t="shared" si="1"/>
        <v>70781.375</v>
      </c>
      <c r="D23" s="5">
        <f t="shared" si="1"/>
        <v>92957.142857142855</v>
      </c>
      <c r="E23" s="5">
        <f t="shared" si="1"/>
        <v>1982492.75</v>
      </c>
      <c r="F23" s="5">
        <f t="shared" si="1"/>
        <v>4336153.625</v>
      </c>
      <c r="G23" s="5">
        <f t="shared" si="1"/>
        <v>5790074.75</v>
      </c>
      <c r="H23" s="5">
        <f t="shared" si="1"/>
        <v>12021040.125</v>
      </c>
      <c r="I23" s="5">
        <f t="shared" si="1"/>
        <v>164535</v>
      </c>
      <c r="J23" s="5">
        <f t="shared" si="1"/>
        <v>125905.375</v>
      </c>
      <c r="K23" s="5"/>
      <c r="L23" s="5">
        <f>AVERAGE(L5:L20)</f>
        <v>100418.625</v>
      </c>
      <c r="M23" s="5"/>
      <c r="N23" s="5" t="s">
        <v>0</v>
      </c>
      <c r="O23" s="5">
        <f>AVERAGE(O5:O20)</f>
        <v>783521.0625</v>
      </c>
      <c r="P23" s="5">
        <f>AVERAGE(P5:P20)</f>
        <v>6535696.2857142854</v>
      </c>
      <c r="Q23" s="5">
        <f>AVERAGE(Q5:Q20)</f>
        <v>222592.5</v>
      </c>
      <c r="R23" s="5">
        <f>AVERAGE(R5:R20)</f>
        <v>331592.875</v>
      </c>
      <c r="S23" s="5">
        <f>AVERAGE(S5:S20)</f>
        <v>972131.25</v>
      </c>
      <c r="T23" s="5">
        <f t="shared" ref="T23:V23" si="2">AVERAGE(T5:T20)</f>
        <v>662232.625</v>
      </c>
      <c r="U23" s="5">
        <f t="shared" si="2"/>
        <v>333205.75</v>
      </c>
      <c r="V23" s="5">
        <f t="shared" si="2"/>
        <v>296308.14285714284</v>
      </c>
    </row>
    <row r="24" spans="1:22" x14ac:dyDescent="0.3">
      <c r="A24" s="3" t="s">
        <v>1</v>
      </c>
      <c r="B24" s="3">
        <f t="shared" ref="B24:J24" si="3">STDEV(B5:B20)</f>
        <v>101119.32101368095</v>
      </c>
      <c r="C24" s="3">
        <f t="shared" si="3"/>
        <v>56916.329773091362</v>
      </c>
      <c r="D24" s="3">
        <f t="shared" si="3"/>
        <v>58167.037774638222</v>
      </c>
      <c r="E24" s="3">
        <f t="shared" si="3"/>
        <v>1316387.6786498236</v>
      </c>
      <c r="F24" s="3">
        <f t="shared" si="3"/>
        <v>2707415.6594872079</v>
      </c>
      <c r="G24" s="3">
        <f t="shared" si="3"/>
        <v>1948255.8077938585</v>
      </c>
      <c r="H24" s="3">
        <f t="shared" si="3"/>
        <v>3917023.3755647559</v>
      </c>
      <c r="I24" s="3">
        <f t="shared" si="3"/>
        <v>228359.35454266562</v>
      </c>
      <c r="J24" s="3">
        <f t="shared" si="3"/>
        <v>162673.00134664326</v>
      </c>
      <c r="K24" s="3"/>
      <c r="L24" s="3">
        <f>STDEV(L5:L20)</f>
        <v>68013.692986753987</v>
      </c>
      <c r="M24" s="3"/>
      <c r="N24" s="3" t="s">
        <v>1</v>
      </c>
      <c r="O24" s="3">
        <f>STDEV(O5:O20)</f>
        <v>1625123.4343520072</v>
      </c>
      <c r="P24" s="3">
        <f>STDEV(P5:P20)</f>
        <v>1344742.1529214834</v>
      </c>
      <c r="Q24" s="3">
        <f>STDEV(Q5:Q20)</f>
        <v>159931.8443382323</v>
      </c>
      <c r="R24" s="3">
        <f>STDEV(R5:R20)</f>
        <v>259916.6304800926</v>
      </c>
      <c r="S24" s="3">
        <f>STDEV(S5:S20)</f>
        <v>1214162.8767040337</v>
      </c>
      <c r="T24" s="3">
        <f t="shared" ref="T24:V24" si="4">STDEV(T5:T20)</f>
        <v>1085522.2774005327</v>
      </c>
      <c r="U24" s="3">
        <f t="shared" si="4"/>
        <v>321261.98628700443</v>
      </c>
      <c r="V24" s="3">
        <f t="shared" si="4"/>
        <v>492882.05432923761</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Atenolol-0.01mg/L</v>
      </c>
      <c r="J27" s="35" t="str">
        <f t="shared" si="5"/>
        <v>Atenolol-0.1mg/L</v>
      </c>
      <c r="K27" s="35" t="str">
        <f t="shared" si="5"/>
        <v>Atenolol-1mg/L</v>
      </c>
      <c r="L27" s="35" t="str">
        <f t="shared" si="5"/>
        <v>Atenolol-10mg/L</v>
      </c>
      <c r="M27" s="35" t="str">
        <f t="shared" si="5"/>
        <v>Atenolol-100mg/L</v>
      </c>
      <c r="N27" s="3"/>
      <c r="O27" s="36" t="str">
        <f>O4</f>
        <v>Testo -30µg/L</v>
      </c>
      <c r="P27" s="36" t="str">
        <f t="shared" ref="P27:R27" si="6">P4</f>
        <v>Testo 30µg/L + EE2 -64ng/L</v>
      </c>
      <c r="Q27" s="36" t="str">
        <f t="shared" si="6"/>
        <v>Testo 30µg/L + FAD-10µg/L</v>
      </c>
      <c r="R27" s="36" t="str">
        <f t="shared" si="6"/>
        <v>Atenolol-0.01mg/L + Testostérone</v>
      </c>
      <c r="S27" s="36" t="str">
        <f t="shared" ref="S27:V27" si="7">S4</f>
        <v>Atenolol-0.1mg/L + Testostérone</v>
      </c>
      <c r="T27" s="36" t="str">
        <f t="shared" si="7"/>
        <v>Atenolol-1mg/L + Testostérone</v>
      </c>
      <c r="U27" s="36" t="str">
        <f t="shared" si="7"/>
        <v>Atenolol-10mg/L + Testostérone</v>
      </c>
      <c r="V27" s="36" t="str">
        <f t="shared" si="7"/>
        <v>Atenolol-100mg/L + Testostérone</v>
      </c>
    </row>
    <row r="28" spans="1:22" x14ac:dyDescent="0.3">
      <c r="A28" s="224" t="s">
        <v>34</v>
      </c>
      <c r="B28" s="11">
        <f t="shared" ref="B28:M28" si="8">IF(B5="","",(B5/$O$23))</f>
        <v>0.4356564441431337</v>
      </c>
      <c r="C28" s="11">
        <f t="shared" si="8"/>
        <v>6.3765994803745299E-2</v>
      </c>
      <c r="D28" s="11">
        <f t="shared" si="8"/>
        <v>5.8711886893276721E-2</v>
      </c>
      <c r="E28" s="11">
        <f t="shared" si="8"/>
        <v>1.0972315118842131</v>
      </c>
      <c r="F28" s="11">
        <f t="shared" si="8"/>
        <v>3.2964474391522818</v>
      </c>
      <c r="G28" s="11">
        <f t="shared" si="8"/>
        <v>6.5894527245079644</v>
      </c>
      <c r="H28" s="11">
        <f t="shared" si="8"/>
        <v>12.267702120643374</v>
      </c>
      <c r="I28" s="11">
        <f t="shared" si="8"/>
        <v>1.471817485442518E-2</v>
      </c>
      <c r="J28" s="11">
        <f t="shared" si="8"/>
        <v>6.2716884525360159E-2</v>
      </c>
      <c r="K28" s="11">
        <f t="shared" si="8"/>
        <v>0.11151199907915685</v>
      </c>
      <c r="L28" s="11">
        <f t="shared" si="8"/>
        <v>6.6354310673045883E-2</v>
      </c>
      <c r="M28" s="11">
        <f t="shared" si="8"/>
        <v>9.7546835251796429E-3</v>
      </c>
      <c r="N28" s="6"/>
      <c r="O28" s="11">
        <f t="shared" ref="O28:S37" si="9">IF(O5="","",(O5/$O$23))</f>
        <v>0.17854912483606655</v>
      </c>
      <c r="P28" s="11">
        <f t="shared" si="9"/>
        <v>8.4927378707193331</v>
      </c>
      <c r="Q28" s="11">
        <f t="shared" si="9"/>
        <v>0.62074272572602351</v>
      </c>
      <c r="R28" s="11">
        <f t="shared" si="9"/>
        <v>0.6598239980306847</v>
      </c>
      <c r="S28" s="11">
        <f t="shared" si="9"/>
        <v>0.18352665535395227</v>
      </c>
      <c r="T28" s="11">
        <f t="shared" ref="T28:V43" si="10">IF(T5="","",(T5/$O$23))</f>
        <v>0.19047605373084658</v>
      </c>
      <c r="U28" s="11">
        <f t="shared" si="10"/>
        <v>9.7083542026670147E-2</v>
      </c>
      <c r="V28" s="11">
        <f t="shared" si="10"/>
        <v>0.19129160296185402</v>
      </c>
    </row>
    <row r="29" spans="1:22" x14ac:dyDescent="0.3">
      <c r="A29" s="224"/>
      <c r="B29" s="11">
        <f t="shared" ref="B29:M29" si="11">IF(B6="","",(B6/$O$23))</f>
        <v>0.10971243035345971</v>
      </c>
      <c r="C29" s="11">
        <f t="shared" si="11"/>
        <v>6.479213186435559E-2</v>
      </c>
      <c r="D29" s="11">
        <f t="shared" si="11"/>
        <v>0.25382597803489171</v>
      </c>
      <c r="E29" s="11">
        <f t="shared" si="11"/>
        <v>4.4578827132678391</v>
      </c>
      <c r="F29" s="11">
        <f t="shared" si="11"/>
        <v>1.3059010778028701</v>
      </c>
      <c r="G29" s="11">
        <f t="shared" si="11"/>
        <v>7.9329762752867925</v>
      </c>
      <c r="H29" s="11">
        <f t="shared" si="11"/>
        <v>11.552714321575753</v>
      </c>
      <c r="I29" s="11">
        <f t="shared" si="11"/>
        <v>0.9112926686639008</v>
      </c>
      <c r="J29" s="11">
        <f t="shared" si="11"/>
        <v>4.8696840233315358E-2</v>
      </c>
      <c r="K29" s="11">
        <f t="shared" si="11"/>
        <v>0.10326206131823036</v>
      </c>
      <c r="L29" s="11">
        <f t="shared" si="11"/>
        <v>0.16534590606490557</v>
      </c>
      <c r="M29" s="11">
        <f t="shared" si="11"/>
        <v>6.2538203942666827E-4</v>
      </c>
      <c r="N29" s="6"/>
      <c r="O29" s="11">
        <f t="shared" si="9"/>
        <v>0.27716293842451745</v>
      </c>
      <c r="P29" s="11">
        <f t="shared" si="9"/>
        <v>7.9746777707076637</v>
      </c>
      <c r="Q29" s="11">
        <f t="shared" si="9"/>
        <v>7.1453088729187805E-2</v>
      </c>
      <c r="R29" s="11">
        <f t="shared" si="9"/>
        <v>7.1880645837775425E-2</v>
      </c>
      <c r="S29" s="11">
        <f t="shared" si="9"/>
        <v>0.91105910761652309</v>
      </c>
      <c r="T29" s="11">
        <f t="shared" si="10"/>
        <v>0.64078047678520444</v>
      </c>
      <c r="U29" s="11">
        <f t="shared" si="10"/>
        <v>0.56609837466877289</v>
      </c>
      <c r="V29" s="11">
        <f t="shared" si="10"/>
        <v>0.27374886300519841</v>
      </c>
    </row>
    <row r="30" spans="1:22" x14ac:dyDescent="0.3">
      <c r="A30" s="224"/>
      <c r="B30" s="11">
        <f t="shared" ref="B30:M30" si="12">IF(B7="","",(B7/$O$23))</f>
        <v>7.4811007393946097E-2</v>
      </c>
      <c r="C30" s="11">
        <f t="shared" si="12"/>
        <v>0.25871416826143073</v>
      </c>
      <c r="D30" s="11">
        <f t="shared" si="12"/>
        <v>0.18141184302878904</v>
      </c>
      <c r="E30" s="11">
        <f t="shared" si="12"/>
        <v>2.62416302305849</v>
      </c>
      <c r="F30" s="11">
        <f t="shared" si="12"/>
        <v>2.4269558165196101</v>
      </c>
      <c r="G30" s="11">
        <f t="shared" si="12"/>
        <v>7.2734471002175516</v>
      </c>
      <c r="H30" s="11">
        <f t="shared" si="12"/>
        <v>10.8851343099663</v>
      </c>
      <c r="I30" s="11">
        <f t="shared" si="12"/>
        <v>9.2702038881054327E-2</v>
      </c>
      <c r="J30" s="11">
        <f t="shared" si="12"/>
        <v>0.27753816764817346</v>
      </c>
      <c r="K30" s="11">
        <f t="shared" si="12"/>
        <v>0.17246249841560576</v>
      </c>
      <c r="L30" s="11">
        <f t="shared" si="12"/>
        <v>0.17385748325049016</v>
      </c>
      <c r="M30" s="11">
        <f t="shared" si="12"/>
        <v>0.15546997500146972</v>
      </c>
      <c r="N30" s="6"/>
      <c r="O30" s="11">
        <f t="shared" si="9"/>
        <v>0.14156990195780475</v>
      </c>
      <c r="P30" s="11">
        <f t="shared" si="9"/>
        <v>11.295989889231599</v>
      </c>
      <c r="Q30" s="11">
        <f t="shared" si="9"/>
        <v>0.23209841917938231</v>
      </c>
      <c r="R30" s="11">
        <f t="shared" si="9"/>
        <v>0.62150594707209927</v>
      </c>
      <c r="S30" s="11">
        <f t="shared" si="9"/>
        <v>4.3063169089982187</v>
      </c>
      <c r="T30" s="11">
        <f t="shared" si="10"/>
        <v>7.1376511336604942E-2</v>
      </c>
      <c r="U30" s="11">
        <f t="shared" si="10"/>
        <v>1.2610063051112936</v>
      </c>
      <c r="V30" s="11">
        <f t="shared" si="10"/>
        <v>0.19981977191583156</v>
      </c>
    </row>
    <row r="31" spans="1:22" x14ac:dyDescent="0.3">
      <c r="A31" s="224"/>
      <c r="B31" s="11">
        <f t="shared" ref="B31:M31" si="13">IF(B8="","",(B8/$O$23))</f>
        <v>9.8581906341541389E-2</v>
      </c>
      <c r="C31" s="11">
        <f t="shared" si="13"/>
        <v>4.117438770192601E-2</v>
      </c>
      <c r="D31" s="11">
        <f t="shared" si="13"/>
        <v>0.10791924307714447</v>
      </c>
      <c r="E31" s="11">
        <f t="shared" si="13"/>
        <v>2.1653291547602782</v>
      </c>
      <c r="F31" s="11">
        <f t="shared" si="13"/>
        <v>3.8968920506843427</v>
      </c>
      <c r="G31" s="11">
        <f t="shared" si="13"/>
        <v>7.7599522093255793</v>
      </c>
      <c r="H31" s="11">
        <f t="shared" si="13"/>
        <v>25.224941543929457</v>
      </c>
      <c r="I31" s="11">
        <f t="shared" si="13"/>
        <v>0.16970060712311738</v>
      </c>
      <c r="J31" s="11">
        <f t="shared" si="13"/>
        <v>3.1557543483395512E-2</v>
      </c>
      <c r="K31" s="11">
        <f t="shared" si="13"/>
        <v>0.13338888385020281</v>
      </c>
      <c r="L31" s="11">
        <f t="shared" si="13"/>
        <v>0.10390148254629722</v>
      </c>
      <c r="M31" s="11">
        <f t="shared" si="13"/>
        <v>6.6752513114476747E-2</v>
      </c>
      <c r="N31" s="6"/>
      <c r="O31" s="11">
        <f t="shared" si="9"/>
        <v>0.15324412545706134</v>
      </c>
      <c r="P31" s="11">
        <f t="shared" si="9"/>
        <v>8.2135392499419879</v>
      </c>
      <c r="Q31" s="11">
        <f t="shared" si="9"/>
        <v>4.4935613967620684E-2</v>
      </c>
      <c r="R31" s="11">
        <f t="shared" si="9"/>
        <v>0.23429619034651031</v>
      </c>
      <c r="S31" s="11">
        <f t="shared" si="9"/>
        <v>2.7112417287442097</v>
      </c>
      <c r="T31" s="11">
        <f t="shared" si="10"/>
        <v>1.7264373157805185E-2</v>
      </c>
      <c r="U31" s="11">
        <f t="shared" si="10"/>
        <v>0.3688579845931072</v>
      </c>
      <c r="V31" s="11">
        <f t="shared" si="10"/>
        <v>3.9496066514485055E-2</v>
      </c>
    </row>
    <row r="32" spans="1:22" x14ac:dyDescent="0.3">
      <c r="A32" s="224"/>
      <c r="B32" s="11">
        <f t="shared" ref="B32:M32" si="14">IF(B9="","",(B9/$O$23))</f>
        <v>0.1987374781006605</v>
      </c>
      <c r="C32" s="11">
        <f t="shared" si="14"/>
        <v>4.3975843980582206E-2</v>
      </c>
      <c r="D32" s="11">
        <f t="shared" si="14"/>
        <v>0.11010042247587952</v>
      </c>
      <c r="E32" s="11">
        <f t="shared" si="14"/>
        <v>4.7999092557897889</v>
      </c>
      <c r="F32" s="11">
        <f t="shared" si="14"/>
        <v>7.3347026328344551</v>
      </c>
      <c r="G32" s="11">
        <f t="shared" si="14"/>
        <v>10.693544055173373</v>
      </c>
      <c r="H32" s="11">
        <f t="shared" si="14"/>
        <v>14.835624154009261</v>
      </c>
      <c r="I32" s="11">
        <f t="shared" si="14"/>
        <v>0.11821762608966239</v>
      </c>
      <c r="J32" s="11">
        <f t="shared" si="14"/>
        <v>0.15872451418624117</v>
      </c>
      <c r="K32" s="11">
        <f t="shared" si="14"/>
        <v>2.166374436169034E-2</v>
      </c>
      <c r="L32" s="11">
        <f t="shared" si="14"/>
        <v>1.6405430071000805E-2</v>
      </c>
      <c r="M32" s="11">
        <f t="shared" si="14"/>
        <v>1.5071707150182705E-2</v>
      </c>
      <c r="N32" s="6"/>
      <c r="O32" s="11">
        <f t="shared" si="9"/>
        <v>1.5684224187655453</v>
      </c>
      <c r="P32" s="11">
        <f t="shared" si="9"/>
        <v>9.3006242573089732</v>
      </c>
      <c r="Q32" s="11">
        <f t="shared" si="9"/>
        <v>0.33591183772420924</v>
      </c>
      <c r="R32" s="11">
        <f t="shared" si="9"/>
        <v>6.2137448921483207E-2</v>
      </c>
      <c r="S32" s="11">
        <f t="shared" si="9"/>
        <v>0.18027211616918085</v>
      </c>
      <c r="T32" s="11">
        <f t="shared" si="10"/>
        <v>4.1749802992692366</v>
      </c>
      <c r="U32" s="11">
        <f t="shared" si="10"/>
        <v>0.71064713719805073</v>
      </c>
      <c r="V32" s="11">
        <f t="shared" si="10"/>
        <v>1.7898842381151687</v>
      </c>
    </row>
    <row r="33" spans="1:22" x14ac:dyDescent="0.3">
      <c r="A33" s="224"/>
      <c r="B33" s="11">
        <f t="shared" ref="B33:M33" si="15">IF(B10="","",(B10/$O$23))</f>
        <v>0.18954691470084123</v>
      </c>
      <c r="C33" s="11">
        <f t="shared" si="15"/>
        <v>0.12363547661489956</v>
      </c>
      <c r="D33" s="11">
        <f t="shared" si="15"/>
        <v>5.6091663777066619E-2</v>
      </c>
      <c r="E33" s="11">
        <f t="shared" si="15"/>
        <v>0.85354438062729165</v>
      </c>
      <c r="F33" s="11">
        <f t="shared" si="15"/>
        <v>11.776986531233167</v>
      </c>
      <c r="G33" s="11">
        <f t="shared" si="15"/>
        <v>3.3582390135172657</v>
      </c>
      <c r="H33" s="11">
        <f t="shared" si="15"/>
        <v>11.366316013999942</v>
      </c>
      <c r="I33" s="11">
        <f t="shared" si="15"/>
        <v>0.22258240186108591</v>
      </c>
      <c r="J33" s="11">
        <f t="shared" si="15"/>
        <v>0.62911773989483533</v>
      </c>
      <c r="K33" s="11">
        <f t="shared" si="15"/>
        <v>4.5476760875206211E-2</v>
      </c>
      <c r="L33" s="11">
        <f t="shared" si="15"/>
        <v>0.15582223100735088</v>
      </c>
      <c r="M33" s="11">
        <f t="shared" si="15"/>
        <v>0.4201074045791845</v>
      </c>
      <c r="N33" s="6"/>
      <c r="O33" s="11">
        <f t="shared" si="9"/>
        <v>0.57435086500945209</v>
      </c>
      <c r="P33" s="11">
        <f t="shared" si="9"/>
        <v>5.6969457665345145</v>
      </c>
      <c r="Q33" s="11">
        <f t="shared" si="9"/>
        <v>0.49778368274560586</v>
      </c>
      <c r="R33" s="11">
        <f t="shared" si="9"/>
        <v>0.87016805626715366</v>
      </c>
      <c r="S33" s="11">
        <f t="shared" si="9"/>
        <v>5.7116524547800529E-2</v>
      </c>
      <c r="T33" s="11">
        <f t="shared" si="10"/>
        <v>0.18070605472715037</v>
      </c>
      <c r="U33" s="11">
        <f t="shared" si="10"/>
        <v>7.7315088131405529E-2</v>
      </c>
      <c r="V33" s="11">
        <f t="shared" si="10"/>
        <v>0.1356951396568232</v>
      </c>
    </row>
    <row r="34" spans="1:22" x14ac:dyDescent="0.3">
      <c r="A34" s="224"/>
      <c r="B34" s="11">
        <f t="shared" ref="B34:M34" si="16">IF(B11="","",(B11/$O$23))</f>
        <v>9.2569304733910712E-3</v>
      </c>
      <c r="C34" s="11">
        <f t="shared" si="16"/>
        <v>7.0158930794537513E-2</v>
      </c>
      <c r="D34" s="11">
        <f t="shared" si="16"/>
        <v>6.2420785274039776E-2</v>
      </c>
      <c r="E34" s="11">
        <f t="shared" si="16"/>
        <v>3.7879696437643626</v>
      </c>
      <c r="F34" s="11">
        <f t="shared" si="16"/>
        <v>7.8691987938741592</v>
      </c>
      <c r="G34" s="11">
        <f t="shared" si="16"/>
        <v>5.0389825991435933</v>
      </c>
      <c r="H34" s="11">
        <f t="shared" si="16"/>
        <v>18.264388393515585</v>
      </c>
      <c r="I34" s="11">
        <f t="shared" si="16"/>
        <v>0.1225468013503466</v>
      </c>
      <c r="J34" s="11">
        <f t="shared" si="16"/>
        <v>3.5288138792057042E-2</v>
      </c>
      <c r="K34" s="11">
        <f t="shared" si="16"/>
        <v>0.12377459221142507</v>
      </c>
      <c r="L34" s="11">
        <f t="shared" si="16"/>
        <v>5.3907931798578806E-2</v>
      </c>
      <c r="M34" s="11">
        <f t="shared" si="16"/>
        <v>0.50445484992944911</v>
      </c>
      <c r="N34" s="6"/>
      <c r="O34" s="11">
        <f t="shared" si="9"/>
        <v>0.10381469483470331</v>
      </c>
      <c r="P34" s="11">
        <f t="shared" si="9"/>
        <v>7.4155862274602224</v>
      </c>
      <c r="Q34" s="11">
        <f t="shared" si="9"/>
        <v>0.13486427494729919</v>
      </c>
      <c r="R34" s="11">
        <f t="shared" si="9"/>
        <v>0.73751559167562264</v>
      </c>
      <c r="S34" s="11">
        <f t="shared" si="9"/>
        <v>5.0717207107626415E-2</v>
      </c>
      <c r="T34" s="11">
        <f t="shared" si="10"/>
        <v>0.9994523918749153</v>
      </c>
      <c r="U34" s="11">
        <f t="shared" si="10"/>
        <v>0.11052925587434352</v>
      </c>
      <c r="V34" s="11">
        <f t="shared" si="10"/>
        <v>1.7289898955332807E-2</v>
      </c>
    </row>
    <row r="35" spans="1:22" x14ac:dyDescent="0.3">
      <c r="A35" s="224"/>
      <c r="B35" s="11">
        <f t="shared" ref="B35:M35" si="17">IF(B12="","",(B12/$O$23))</f>
        <v>0.11224969462770505</v>
      </c>
      <c r="C35" s="11">
        <f t="shared" si="17"/>
        <v>5.648348476911557E-2</v>
      </c>
      <c r="D35" s="11" t="str">
        <f t="shared" si="17"/>
        <v/>
      </c>
      <c r="E35" s="11">
        <f t="shared" si="17"/>
        <v>0.45585373143686231</v>
      </c>
      <c r="F35" s="11">
        <f t="shared" si="17"/>
        <v>6.3664274500597742</v>
      </c>
      <c r="G35" s="11">
        <f t="shared" si="17"/>
        <v>10.47191631813982</v>
      </c>
      <c r="H35" s="11">
        <f t="shared" si="17"/>
        <v>18.341833663214381</v>
      </c>
      <c r="I35" s="11">
        <f t="shared" si="17"/>
        <v>2.8194519659131691E-2</v>
      </c>
      <c r="J35" s="11">
        <f t="shared" si="17"/>
        <v>4.1894215192204869E-2</v>
      </c>
      <c r="K35" s="11" t="str">
        <f t="shared" si="17"/>
        <v/>
      </c>
      <c r="L35" s="11">
        <f t="shared" si="17"/>
        <v>0.28971142048909504</v>
      </c>
      <c r="M35" s="11">
        <f t="shared" si="17"/>
        <v>2.4430740813684251E-2</v>
      </c>
      <c r="N35" s="6"/>
      <c r="O35" s="11">
        <f t="shared" si="9"/>
        <v>1.7042643317581523</v>
      </c>
      <c r="P35" s="11" t="str">
        <f t="shared" si="9"/>
        <v/>
      </c>
      <c r="Q35" s="11">
        <f t="shared" si="9"/>
        <v>0.33495079144729439</v>
      </c>
      <c r="R35" s="11">
        <f t="shared" si="9"/>
        <v>0.12834115738911614</v>
      </c>
      <c r="S35" s="11">
        <f t="shared" si="9"/>
        <v>1.5255199345709995</v>
      </c>
      <c r="T35" s="11">
        <f t="shared" si="10"/>
        <v>0.48657019989172273</v>
      </c>
      <c r="U35" s="11">
        <f t="shared" si="10"/>
        <v>0.2105993162117451</v>
      </c>
      <c r="V35" s="11" t="str">
        <f t="shared" si="10"/>
        <v/>
      </c>
    </row>
    <row r="36" spans="1:22" x14ac:dyDescent="0.3">
      <c r="A36" s="224"/>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6.6757618273982258E-2</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4"/>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0.27854771294039082</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4"/>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0.57325197942588813</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4"/>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1.8371835409338468</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4"/>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3.4165003700841801E-2</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4"/>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2.1324251254573007E-2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4"/>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6.8330007401683601E-2</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4"/>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8.419061485025491</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Atenolol-0.01mg/L</v>
      </c>
      <c r="J45" s="7" t="str">
        <f t="shared" si="27"/>
        <v>Atenolol-0.1mg/L</v>
      </c>
      <c r="K45" s="7" t="str">
        <f t="shared" ref="K45:M45" si="28">K4</f>
        <v>Atenolol-1mg/L</v>
      </c>
      <c r="L45" s="7" t="str">
        <f t="shared" si="28"/>
        <v>Atenolol-10mg/L</v>
      </c>
      <c r="M45" s="7" t="str">
        <f t="shared" si="28"/>
        <v>Atenolol-100mg/L</v>
      </c>
      <c r="N45" s="7"/>
      <c r="O45" s="7" t="str">
        <f t="shared" si="27"/>
        <v>Testo -30µg/L</v>
      </c>
      <c r="P45" s="7" t="str">
        <f t="shared" si="27"/>
        <v>Testo 30µg/L + EE2 -64ng/L</v>
      </c>
      <c r="Q45" s="7" t="str">
        <f t="shared" si="27"/>
        <v>Testo 30µg/L + FAD-10µg/L</v>
      </c>
      <c r="R45" s="7" t="str">
        <f t="shared" si="27"/>
        <v>Atenolol-0.01mg/L + Testostérone</v>
      </c>
      <c r="S45" s="7" t="str">
        <f t="shared" ref="S45:V45" si="29">S4</f>
        <v>Atenolol-0.1mg/L + Testostérone</v>
      </c>
      <c r="T45" s="7" t="str">
        <f t="shared" si="29"/>
        <v>Atenolol-1mg/L + Testostérone</v>
      </c>
      <c r="U45" s="7" t="str">
        <f t="shared" si="29"/>
        <v>Atenolol-10mg/L + Testostérone</v>
      </c>
      <c r="V45" s="7" t="str">
        <f t="shared" si="29"/>
        <v>Atenolol-100mg/L + Testostérone</v>
      </c>
    </row>
    <row r="46" spans="1:22" x14ac:dyDescent="0.3">
      <c r="A46" s="8" t="s">
        <v>0</v>
      </c>
      <c r="B46" s="10">
        <f t="shared" ref="B46:H46" si="30">AVERAGE(B28:B43)</f>
        <v>0.15356910076683486</v>
      </c>
      <c r="C46" s="10">
        <f t="shared" si="30"/>
        <v>9.0337552348824054E-2</v>
      </c>
      <c r="D46" s="10">
        <f t="shared" si="30"/>
        <v>0.11864026036586971</v>
      </c>
      <c r="E46" s="10">
        <f t="shared" si="30"/>
        <v>2.5302354268236407</v>
      </c>
      <c r="F46" s="10">
        <f t="shared" si="30"/>
        <v>5.5341889740200827</v>
      </c>
      <c r="G46" s="10">
        <f t="shared" si="30"/>
        <v>7.3898137869139919</v>
      </c>
      <c r="H46" s="10">
        <f t="shared" si="30"/>
        <v>15.342331815106757</v>
      </c>
      <c r="I46" s="10">
        <f>AVERAGE(I28:I43)</f>
        <v>0.20999435481034054</v>
      </c>
      <c r="J46" s="9">
        <f>AVERAGE(J28:J43)</f>
        <v>0.16069175549444784</v>
      </c>
      <c r="K46" s="9">
        <f t="shared" ref="K46:M46" si="31">AVERAGE(K28:K43)</f>
        <v>0.10164864858735964</v>
      </c>
      <c r="L46" s="9">
        <f t="shared" si="31"/>
        <v>0.12816327448759554</v>
      </c>
      <c r="M46" s="9">
        <f t="shared" si="31"/>
        <v>0.1495834070191317</v>
      </c>
      <c r="N46" s="8" t="s">
        <v>0</v>
      </c>
      <c r="O46" s="10">
        <f t="shared" ref="O46:R46" si="32">AVERAGE(O28:O43)</f>
        <v>1</v>
      </c>
      <c r="P46" s="10">
        <f t="shared" si="32"/>
        <v>8.3414430045577568</v>
      </c>
      <c r="Q46" s="10">
        <f t="shared" si="32"/>
        <v>0.28409255430832786</v>
      </c>
      <c r="R46" s="10">
        <f t="shared" si="32"/>
        <v>0.42320862944255572</v>
      </c>
      <c r="S46" s="10">
        <f t="shared" ref="S46:V46" si="33">AVERAGE(S28:S43)</f>
        <v>1.2407212728885639</v>
      </c>
      <c r="T46" s="10">
        <f t="shared" si="33"/>
        <v>0.84520079509668589</v>
      </c>
      <c r="U46" s="10">
        <f t="shared" si="33"/>
        <v>0.42526712547692358</v>
      </c>
      <c r="V46" s="10">
        <f t="shared" si="33"/>
        <v>0.37817508301781333</v>
      </c>
    </row>
    <row r="47" spans="1:22" x14ac:dyDescent="0.3">
      <c r="A47" s="8" t="s">
        <v>1</v>
      </c>
      <c r="B47" s="8">
        <f t="shared" ref="B47:J47" si="34">STDEV(B28:B43)</f>
        <v>0.12905756571627702</v>
      </c>
      <c r="C47" s="8">
        <f t="shared" si="34"/>
        <v>7.2641735490156498E-2</v>
      </c>
      <c r="D47" s="8">
        <f t="shared" si="34"/>
        <v>7.4238001450839378E-2</v>
      </c>
      <c r="E47" s="8">
        <f t="shared" si="34"/>
        <v>1.6800922676533969</v>
      </c>
      <c r="F47" s="8">
        <f t="shared" si="34"/>
        <v>3.4554471973587928</v>
      </c>
      <c r="G47" s="8">
        <f t="shared" si="34"/>
        <v>2.4865391640877044</v>
      </c>
      <c r="H47" s="8">
        <f t="shared" si="34"/>
        <v>4.9992572797808537</v>
      </c>
      <c r="I47" s="8">
        <f t="shared" si="34"/>
        <v>0.29145273237969349</v>
      </c>
      <c r="J47" s="8">
        <f t="shared" si="34"/>
        <v>0.20761790477922637</v>
      </c>
      <c r="K47" s="8">
        <f t="shared" ref="K47:M47" si="35">STDEV(K28:K43)</f>
        <v>5.1904328496433012E-2</v>
      </c>
      <c r="L47" s="8">
        <f t="shared" si="35"/>
        <v>8.6805187814276527E-2</v>
      </c>
      <c r="M47" s="8">
        <f t="shared" si="35"/>
        <v>0.20053846631241379</v>
      </c>
      <c r="N47" s="8" t="s">
        <v>1</v>
      </c>
      <c r="O47" s="8">
        <f t="shared" ref="O47:R47" si="36">STDEV(O28:O43)</f>
        <v>2.0741285871329174</v>
      </c>
      <c r="P47" s="8">
        <f t="shared" si="36"/>
        <v>1.7162807961164175</v>
      </c>
      <c r="Q47" s="8">
        <f t="shared" si="36"/>
        <v>0.20411939383982081</v>
      </c>
      <c r="R47" s="8">
        <f t="shared" si="36"/>
        <v>0.33172896418479192</v>
      </c>
      <c r="S47" s="8">
        <f t="shared" ref="S47:V47" si="37">STDEV(S28:S43)</f>
        <v>1.5496237878149368</v>
      </c>
      <c r="T47" s="8">
        <f t="shared" si="37"/>
        <v>1.3854410932322996</v>
      </c>
      <c r="U47" s="8">
        <f t="shared" si="37"/>
        <v>0.41002342076414111</v>
      </c>
      <c r="V47" s="8">
        <f t="shared" si="37"/>
        <v>0.62906037619025412</v>
      </c>
    </row>
    <row r="48" spans="1:22" x14ac:dyDescent="0.3">
      <c r="A48" s="8" t="s">
        <v>2</v>
      </c>
      <c r="B48" s="8">
        <f t="shared" ref="B48:J48" si="38" xml:space="preserve"> B47/SQRT(COUNT(B28:B43))</f>
        <v>4.5628739940703981E-2</v>
      </c>
      <c r="C48" s="8">
        <f t="shared" si="38"/>
        <v>2.5682731881124576E-2</v>
      </c>
      <c r="D48" s="8">
        <f t="shared" si="38"/>
        <v>2.805932709562475E-2</v>
      </c>
      <c r="E48" s="8">
        <f t="shared" si="38"/>
        <v>0.5940023177384004</v>
      </c>
      <c r="F48" s="8">
        <f t="shared" si="38"/>
        <v>1.2216850726422264</v>
      </c>
      <c r="G48" s="8">
        <f t="shared" si="38"/>
        <v>0.87912435230617247</v>
      </c>
      <c r="H48" s="8">
        <f t="shared" si="38"/>
        <v>1.7675043617146273</v>
      </c>
      <c r="I48" s="8">
        <f t="shared" si="38"/>
        <v>0.10304410173051465</v>
      </c>
      <c r="J48" s="8">
        <f t="shared" si="38"/>
        <v>7.3404014182566937E-2</v>
      </c>
      <c r="K48" s="8">
        <f t="shared" ref="K48:M48" si="39" xml:space="preserve"> K47/SQRT(COUNT(K28:K43))</f>
        <v>1.9617992167052119E-2</v>
      </c>
      <c r="L48" s="8">
        <f t="shared" si="39"/>
        <v>3.0690268472823395E-2</v>
      </c>
      <c r="M48" s="8">
        <f t="shared" si="39"/>
        <v>7.09010547091289E-2</v>
      </c>
      <c r="N48" s="8" t="s">
        <v>2</v>
      </c>
      <c r="O48" s="8">
        <f t="shared" ref="O48:R48" si="40" xml:space="preserve"> O47/SQRT(COUNT(O28:O43))</f>
        <v>0.51853214678322934</v>
      </c>
      <c r="P48" s="8">
        <f t="shared" si="40"/>
        <v>0.64869316663999865</v>
      </c>
      <c r="Q48" s="8">
        <f t="shared" si="40"/>
        <v>7.2167103777912439E-2</v>
      </c>
      <c r="R48" s="8">
        <f t="shared" si="40"/>
        <v>0.11728390004552786</v>
      </c>
      <c r="S48" s="8">
        <f t="shared" ref="S48:V48" si="41" xml:space="preserve"> S47/SQRT(COUNT(S28:S43))</f>
        <v>0.54787474432596273</v>
      </c>
      <c r="T48" s="8">
        <f t="shared" si="41"/>
        <v>0.4898273959795314</v>
      </c>
      <c r="U48" s="8">
        <f t="shared" si="41"/>
        <v>0.14496517063381462</v>
      </c>
      <c r="V48" s="8">
        <f t="shared" si="41"/>
        <v>0.23776247357773561</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Atenolol-0.01mg/L</v>
      </c>
      <c r="J52" s="46" t="str">
        <f>J4</f>
        <v>Atenolol-0.1mg/L</v>
      </c>
      <c r="K52" s="46" t="str">
        <f t="shared" ref="K52:M52" si="43">K4</f>
        <v>Atenolol-1mg/L</v>
      </c>
      <c r="L52" s="46" t="str">
        <f t="shared" si="43"/>
        <v>Atenolol-10mg/L</v>
      </c>
      <c r="M52" s="46" t="str">
        <f t="shared" si="43"/>
        <v>Atenolol-100mg/L</v>
      </c>
      <c r="N52" s="47"/>
      <c r="O52" s="46" t="str">
        <f>O27</f>
        <v>Testo -30µg/L</v>
      </c>
      <c r="P52" s="46" t="str">
        <f>P27</f>
        <v>Testo 30µg/L + EE2 -64ng/L</v>
      </c>
      <c r="Q52" s="46" t="str">
        <f>Q27</f>
        <v>Testo 30µg/L + FAD-10µg/L</v>
      </c>
      <c r="R52" s="46" t="str">
        <f>R27</f>
        <v>Atenolol-0.01mg/L + Testostérone</v>
      </c>
      <c r="S52" s="46" t="str">
        <f t="shared" ref="S52:V52" si="44">S27</f>
        <v>Atenolol-0.1mg/L + Testostérone</v>
      </c>
      <c r="T52" s="46" t="str">
        <f t="shared" si="44"/>
        <v>Atenolol-1mg/L + Testostérone</v>
      </c>
      <c r="U52" s="46" t="str">
        <f t="shared" si="44"/>
        <v>Atenolol-10mg/L + Testostérone</v>
      </c>
      <c r="V52" s="46" t="str">
        <f t="shared" si="44"/>
        <v>Atenolol-100mg/L + Testostérone</v>
      </c>
    </row>
    <row r="53" spans="1:22" s="3" customFormat="1" x14ac:dyDescent="0.3">
      <c r="A53" s="61" t="s">
        <v>32</v>
      </c>
      <c r="B53" s="141">
        <f t="shared" ref="B53" si="45">B46</f>
        <v>0.15356910076683486</v>
      </c>
      <c r="C53" s="141">
        <f t="shared" ref="C53:V53" si="46">C46</f>
        <v>9.0337552348824054E-2</v>
      </c>
      <c r="D53" s="141">
        <f t="shared" si="46"/>
        <v>0.11864026036586971</v>
      </c>
      <c r="E53" s="141">
        <f t="shared" si="46"/>
        <v>2.5302354268236407</v>
      </c>
      <c r="F53" s="141">
        <f t="shared" si="46"/>
        <v>5.5341889740200827</v>
      </c>
      <c r="G53" s="141">
        <f t="shared" si="46"/>
        <v>7.3898137869139919</v>
      </c>
      <c r="H53" s="141">
        <f t="shared" si="46"/>
        <v>15.342331815106757</v>
      </c>
      <c r="I53" s="141">
        <f t="shared" si="46"/>
        <v>0.20999435481034054</v>
      </c>
      <c r="J53" s="141">
        <f t="shared" si="46"/>
        <v>0.16069175549444784</v>
      </c>
      <c r="K53" s="141">
        <f t="shared" si="46"/>
        <v>0.10164864858735964</v>
      </c>
      <c r="L53" s="141">
        <f t="shared" si="46"/>
        <v>0.12816327448759554</v>
      </c>
      <c r="M53" s="141">
        <f t="shared" si="46"/>
        <v>0.1495834070191317</v>
      </c>
      <c r="N53" s="141"/>
      <c r="O53" s="141">
        <f t="shared" si="46"/>
        <v>1</v>
      </c>
      <c r="P53" s="141">
        <f t="shared" si="46"/>
        <v>8.3414430045577568</v>
      </c>
      <c r="Q53" s="141">
        <f t="shared" si="46"/>
        <v>0.28409255430832786</v>
      </c>
      <c r="R53" s="141">
        <f t="shared" si="46"/>
        <v>0.42320862944255572</v>
      </c>
      <c r="S53" s="141">
        <f t="shared" si="46"/>
        <v>1.2407212728885639</v>
      </c>
      <c r="T53" s="141">
        <f t="shared" si="46"/>
        <v>0.84520079509668589</v>
      </c>
      <c r="U53" s="141">
        <f t="shared" si="46"/>
        <v>0.42526712547692358</v>
      </c>
      <c r="V53" s="141">
        <f t="shared" si="46"/>
        <v>0.37817508301781333</v>
      </c>
    </row>
    <row r="54" spans="1:22" s="3" customFormat="1" x14ac:dyDescent="0.3">
      <c r="A54" s="61" t="s">
        <v>2</v>
      </c>
      <c r="B54" s="141">
        <f t="shared" ref="B54" si="47">B48</f>
        <v>4.5628739940703981E-2</v>
      </c>
      <c r="C54" s="141">
        <f t="shared" ref="C54:V54" si="48">C48</f>
        <v>2.5682731881124576E-2</v>
      </c>
      <c r="D54" s="141">
        <f t="shared" si="48"/>
        <v>2.805932709562475E-2</v>
      </c>
      <c r="E54" s="141">
        <f t="shared" si="48"/>
        <v>0.5940023177384004</v>
      </c>
      <c r="F54" s="141">
        <f t="shared" si="48"/>
        <v>1.2216850726422264</v>
      </c>
      <c r="G54" s="141">
        <f t="shared" si="48"/>
        <v>0.87912435230617247</v>
      </c>
      <c r="H54" s="141">
        <f t="shared" si="48"/>
        <v>1.7675043617146273</v>
      </c>
      <c r="I54" s="141">
        <f t="shared" si="48"/>
        <v>0.10304410173051465</v>
      </c>
      <c r="J54" s="141">
        <f t="shared" si="48"/>
        <v>7.3404014182566937E-2</v>
      </c>
      <c r="K54" s="141">
        <f t="shared" si="48"/>
        <v>1.9617992167052119E-2</v>
      </c>
      <c r="L54" s="141">
        <f t="shared" si="48"/>
        <v>3.0690268472823395E-2</v>
      </c>
      <c r="M54" s="141">
        <f t="shared" si="48"/>
        <v>7.09010547091289E-2</v>
      </c>
      <c r="N54" s="141"/>
      <c r="O54" s="141">
        <f t="shared" si="48"/>
        <v>0.51853214678322934</v>
      </c>
      <c r="P54" s="141">
        <f t="shared" si="48"/>
        <v>0.64869316663999865</v>
      </c>
      <c r="Q54" s="141">
        <f t="shared" si="48"/>
        <v>7.2167103777912439E-2</v>
      </c>
      <c r="R54" s="141">
        <f t="shared" si="48"/>
        <v>0.11728390004552786</v>
      </c>
      <c r="S54" s="141">
        <f t="shared" si="48"/>
        <v>0.54787474432596273</v>
      </c>
      <c r="T54" s="141">
        <f t="shared" si="48"/>
        <v>0.4898273959795314</v>
      </c>
      <c r="U54" s="141">
        <f t="shared" si="48"/>
        <v>0.14496517063381462</v>
      </c>
      <c r="V54" s="141">
        <f t="shared" si="48"/>
        <v>0.23776247357773561</v>
      </c>
    </row>
    <row r="55" spans="1:22" s="3" customFormat="1" x14ac:dyDescent="0.3">
      <c r="A55" s="61" t="s">
        <v>79</v>
      </c>
      <c r="B55" s="141">
        <f>(B53*100/$B53)-100</f>
        <v>0</v>
      </c>
      <c r="C55" s="141">
        <f t="shared" ref="C55:M55" si="49">(C53*100/$B53)-100</f>
        <v>-41.174655645093438</v>
      </c>
      <c r="D55" s="141">
        <f t="shared" si="49"/>
        <v>-22.744705950969831</v>
      </c>
      <c r="E55" s="141">
        <f t="shared" si="49"/>
        <v>1547.6201359447409</v>
      </c>
      <c r="F55" s="141">
        <f t="shared" si="49"/>
        <v>3503.7125609159384</v>
      </c>
      <c r="G55" s="141">
        <f t="shared" si="49"/>
        <v>4712.0447082216124</v>
      </c>
      <c r="H55" s="141">
        <f t="shared" si="49"/>
        <v>9890.5070346157299</v>
      </c>
      <c r="I55" s="141">
        <f t="shared" si="49"/>
        <v>36.742582825419163</v>
      </c>
      <c r="J55" s="141">
        <f t="shared" si="49"/>
        <v>4.6380780326553719</v>
      </c>
      <c r="K55" s="141">
        <f t="shared" si="49"/>
        <v>-33.809179008156363</v>
      </c>
      <c r="L55" s="141">
        <f t="shared" si="49"/>
        <v>-16.543579504195435</v>
      </c>
      <c r="M55" s="141">
        <f t="shared" si="49"/>
        <v>-2.5953748037860009</v>
      </c>
      <c r="N55" s="141"/>
      <c r="O55" s="141">
        <f t="shared" ref="O55:V55" si="50">(O53*100/$O53)-100</f>
        <v>0</v>
      </c>
      <c r="P55" s="141">
        <f t="shared" si="50"/>
        <v>734.14430045577569</v>
      </c>
      <c r="Q55" s="141">
        <f t="shared" si="50"/>
        <v>-71.590744569167214</v>
      </c>
      <c r="R55" s="141">
        <f t="shared" si="50"/>
        <v>-57.679137055744427</v>
      </c>
      <c r="S55" s="141">
        <f t="shared" si="50"/>
        <v>24.072127288856393</v>
      </c>
      <c r="T55" s="141">
        <f t="shared" si="50"/>
        <v>-15.479920490331409</v>
      </c>
      <c r="U55" s="141">
        <f t="shared" si="50"/>
        <v>-57.473287452307645</v>
      </c>
      <c r="V55" s="141">
        <f t="shared" si="50"/>
        <v>-62.182491698218669</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51">IF(C56&gt;0.05,"Oui","Non")</f>
        <v>#NAME?</v>
      </c>
      <c r="D57" s="141" t="e">
        <f t="shared" ca="1" si="51"/>
        <v>#NAME?</v>
      </c>
      <c r="E57" s="141" t="e">
        <f t="shared" ca="1" si="51"/>
        <v>#NAME?</v>
      </c>
      <c r="F57" s="141" t="e">
        <f t="shared" ca="1" si="51"/>
        <v>#NAME?</v>
      </c>
      <c r="G57" s="141" t="e">
        <f t="shared" ca="1" si="51"/>
        <v>#NAME?</v>
      </c>
      <c r="H57" s="141" t="e">
        <f t="shared" ca="1" si="51"/>
        <v>#NAME?</v>
      </c>
      <c r="I57" s="141" t="e">
        <f t="shared" ca="1" si="51"/>
        <v>#NAME?</v>
      </c>
      <c r="J57" s="141" t="e">
        <f t="shared" ca="1" si="51"/>
        <v>#NAME?</v>
      </c>
      <c r="K57" s="141" t="e">
        <f t="shared" ca="1" si="51"/>
        <v>#NAME?</v>
      </c>
      <c r="L57" s="141" t="e">
        <f t="shared" ca="1" si="51"/>
        <v>#NAME?</v>
      </c>
      <c r="M57" s="141" t="e">
        <f t="shared" ca="1" si="51"/>
        <v>#NAME?</v>
      </c>
      <c r="N57" s="141"/>
      <c r="O57" s="141" t="e">
        <f t="shared" ca="1" si="51"/>
        <v>#NAME?</v>
      </c>
      <c r="P57" s="141" t="e">
        <f t="shared" ca="1" si="51"/>
        <v>#NAME?</v>
      </c>
      <c r="Q57" s="141" t="e">
        <f t="shared" ca="1" si="51"/>
        <v>#NAME?</v>
      </c>
      <c r="R57" s="141" t="e">
        <f t="shared" ca="1" si="51"/>
        <v>#NAME?</v>
      </c>
      <c r="S57" s="141" t="e">
        <f t="shared" ca="1" si="51"/>
        <v>#NAME?</v>
      </c>
      <c r="T57" s="141" t="e">
        <f t="shared" ca="1" si="51"/>
        <v>#NAME?</v>
      </c>
      <c r="U57" s="141" t="e">
        <f t="shared" ca="1" si="51"/>
        <v>#NAME?</v>
      </c>
      <c r="V57" s="141" t="e">
        <f t="shared" ca="1" si="5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52">IF($B57="Non",IF(C57="Non","MW",IF(C57="Oui","MW","")),IF($B57="Oui",IF(C57="Oui","T-Test Welch",IF(C57="Non","MW",""))))</f>
        <v>#NAME?</v>
      </c>
      <c r="D59" s="150" t="e">
        <f t="shared" ca="1" si="52"/>
        <v>#NAME?</v>
      </c>
      <c r="E59" s="150" t="e">
        <f t="shared" ca="1" si="52"/>
        <v>#NAME?</v>
      </c>
      <c r="F59" s="150" t="e">
        <f t="shared" ca="1" si="52"/>
        <v>#NAME?</v>
      </c>
      <c r="G59" s="150" t="e">
        <f t="shared" ca="1" si="52"/>
        <v>#NAME?</v>
      </c>
      <c r="H59" s="150" t="e">
        <f t="shared" ca="1" si="52"/>
        <v>#NAME?</v>
      </c>
      <c r="I59" s="150" t="e">
        <f t="shared" ca="1" si="52"/>
        <v>#NAME?</v>
      </c>
      <c r="J59" s="150" t="e">
        <f t="shared" ca="1" si="52"/>
        <v>#NAME?</v>
      </c>
      <c r="K59" s="150" t="e">
        <f t="shared" ca="1" si="52"/>
        <v>#NAME?</v>
      </c>
      <c r="L59" s="150" t="e">
        <f t="shared" ca="1" si="52"/>
        <v>#NAME?</v>
      </c>
      <c r="M59" s="150" t="e">
        <f t="shared" ca="1" si="52"/>
        <v>#NAME?</v>
      </c>
      <c r="N59" s="150"/>
      <c r="O59" s="150" t="e">
        <f t="shared" ca="1" si="52"/>
        <v>#NAME?</v>
      </c>
      <c r="P59" s="150" t="e">
        <f t="shared" ref="P59:V59" ca="1" si="53">IF($O57="Non",IF(P57="Non","MW",IF(P57="Oui","MW","")),IF($O57="Oui",IF(P57="Oui","T-Test Welch",IF(P57="Non","MW",""))))</f>
        <v>#NAME?</v>
      </c>
      <c r="Q59" s="150" t="e">
        <f t="shared" ca="1" si="53"/>
        <v>#NAME?</v>
      </c>
      <c r="R59" s="150" t="e">
        <f t="shared" ca="1" si="53"/>
        <v>#NAME?</v>
      </c>
      <c r="S59" s="150" t="e">
        <f t="shared" ca="1" si="53"/>
        <v>#NAME?</v>
      </c>
      <c r="T59" s="150" t="e">
        <f t="shared" ca="1" si="53"/>
        <v>#NAME?</v>
      </c>
      <c r="U59" s="150" t="e">
        <f t="shared" ca="1" si="53"/>
        <v>#NAME?</v>
      </c>
      <c r="V59" s="150" t="e">
        <f t="shared" ca="1" si="5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54">IF(C60&gt;0.05,"NS",IF(C60&gt;0.01,"*",IF(C60&gt;0.001,"**","***")))</f>
        <v>#NAME?</v>
      </c>
      <c r="D61" s="142" t="e">
        <f t="shared" ca="1" si="54"/>
        <v>#NAME?</v>
      </c>
      <c r="E61" s="142" t="e">
        <f t="shared" ca="1" si="54"/>
        <v>#NAME?</v>
      </c>
      <c r="F61" s="142" t="e">
        <f t="shared" ca="1" si="54"/>
        <v>#NAME?</v>
      </c>
      <c r="G61" s="142" t="e">
        <f t="shared" ca="1" si="54"/>
        <v>#NAME?</v>
      </c>
      <c r="H61" s="142" t="e">
        <f t="shared" ca="1" si="54"/>
        <v>#NAME?</v>
      </c>
      <c r="I61" s="142" t="e">
        <f t="shared" ca="1" si="54"/>
        <v>#NAME?</v>
      </c>
      <c r="J61" s="142" t="e">
        <f t="shared" ca="1" si="54"/>
        <v>#NAME?</v>
      </c>
      <c r="K61" s="142" t="e">
        <f t="shared" ca="1" si="54"/>
        <v>#NAME?</v>
      </c>
      <c r="L61" s="142" t="e">
        <f t="shared" ca="1" si="54"/>
        <v>#NAME?</v>
      </c>
      <c r="M61" s="142" t="e">
        <f t="shared" ca="1" si="54"/>
        <v>#NAME?</v>
      </c>
      <c r="N61" s="142"/>
      <c r="O61" s="142" t="e">
        <f t="shared" ca="1" si="54"/>
        <v>#NAME?</v>
      </c>
      <c r="P61" s="142" t="e">
        <f ca="1">IF(P60&gt;0.05,"NS",IF(P60&gt;0.01,"*",IF(P60&gt;0.001,"**","***")))</f>
        <v>#NAME?</v>
      </c>
      <c r="Q61" s="142" t="e">
        <f t="shared" ref="Q61:V61" ca="1" si="55">IF(Q60&gt;0.05,"NS",IF(Q60&gt;0.01,"*",IF(Q60&gt;0.001,"**","***")))</f>
        <v>#NAME?</v>
      </c>
      <c r="R61" s="142" t="e">
        <f t="shared" ca="1" si="55"/>
        <v>#NAME?</v>
      </c>
      <c r="S61" s="142" t="e">
        <f t="shared" ca="1" si="55"/>
        <v>#NAME?</v>
      </c>
      <c r="T61" s="142" t="e">
        <f t="shared" ca="1" si="55"/>
        <v>#NAME?</v>
      </c>
      <c r="U61" s="142" t="e">
        <f t="shared" ca="1" si="55"/>
        <v>#NAME?</v>
      </c>
      <c r="V61" s="142" t="e">
        <f t="shared" ca="1" si="55"/>
        <v>#NAME?</v>
      </c>
    </row>
    <row r="63" spans="1:22" x14ac:dyDescent="0.3">
      <c r="A63" s="2" t="s">
        <v>39</v>
      </c>
    </row>
    <row r="64" spans="1:22" x14ac:dyDescent="0.3">
      <c r="A64" s="1" t="s">
        <v>23</v>
      </c>
      <c r="B64" s="1">
        <f>B46+(3*B47)</f>
        <v>0.5407417979156659</v>
      </c>
    </row>
    <row r="65" spans="1:22" x14ac:dyDescent="0.3">
      <c r="A65" s="1" t="s">
        <v>24</v>
      </c>
      <c r="B65" s="1">
        <f>B46+(10*B47)</f>
        <v>1.4441447579296052</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A1686" zoomScale="80" zoomScaleNormal="80" workbookViewId="0">
      <selection activeCell="A1010" sqref="A1010:I1711"/>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K1" s="118"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
      </c>
      <c r="B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 s="152"/>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
      </c>
      <c r="B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3" s="118" t="s">
        <v>153</v>
      </c>
      <c r="L3" s="118"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
      </c>
      <c r="B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4" s="118" t="s">
        <v>100</v>
      </c>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
      </c>
      <c r="B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5" s="145" t="s">
        <v>164</v>
      </c>
      <c r="L5" s="44"/>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
      </c>
      <c r="B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
      </c>
      <c r="B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
      </c>
      <c r="B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
      </c>
      <c r="B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
      </c>
      <c r="B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
      </c>
      <c r="B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 spans="1:144" x14ac:dyDescent="0.3">
      <c r="A12" s="1" t="str">
        <f t="shared" si="0"/>
        <v/>
      </c>
      <c r="B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 spans="1:144" x14ac:dyDescent="0.3">
      <c r="A13" s="1" t="str">
        <f t="shared" si="0"/>
        <v/>
      </c>
      <c r="B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 spans="1:144" x14ac:dyDescent="0.3">
      <c r="A14" s="1" t="str">
        <f t="shared" si="0"/>
        <v/>
      </c>
      <c r="B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 spans="1:144" x14ac:dyDescent="0.3">
      <c r="A15" s="1" t="str">
        <f t="shared" si="0"/>
        <v/>
      </c>
      <c r="B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 spans="1:144" x14ac:dyDescent="0.3">
      <c r="A16" s="1" t="str">
        <f t="shared" si="0"/>
        <v/>
      </c>
      <c r="B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 spans="1:2" x14ac:dyDescent="0.3">
      <c r="A17" s="1" t="str">
        <f t="shared" si="0"/>
        <v/>
      </c>
      <c r="B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 spans="1:2" x14ac:dyDescent="0.3">
      <c r="A18" s="1" t="str">
        <f t="shared" si="0"/>
        <v/>
      </c>
      <c r="B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 spans="1:2" x14ac:dyDescent="0.3">
      <c r="A19" s="1" t="str">
        <f t="shared" si="0"/>
        <v/>
      </c>
      <c r="B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 spans="1:2" x14ac:dyDescent="0.3">
      <c r="A20" s="1" t="str">
        <f t="shared" si="0"/>
        <v/>
      </c>
      <c r="B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 spans="1:2" x14ac:dyDescent="0.3">
      <c r="A21" s="1" t="str">
        <f t="shared" si="0"/>
        <v/>
      </c>
      <c r="B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 spans="1:2" x14ac:dyDescent="0.3">
      <c r="A22" s="1" t="str">
        <f t="shared" si="0"/>
        <v/>
      </c>
      <c r="B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 spans="1:2" x14ac:dyDescent="0.3">
      <c r="A23" s="1" t="str">
        <f t="shared" si="0"/>
        <v/>
      </c>
      <c r="B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 spans="1:2" x14ac:dyDescent="0.3">
      <c r="A24" s="1" t="str">
        <f t="shared" si="0"/>
        <v/>
      </c>
      <c r="B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 spans="1:2" x14ac:dyDescent="0.3">
      <c r="A25" s="1" t="str">
        <f t="shared" si="0"/>
        <v/>
      </c>
      <c r="B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 spans="1:2"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 spans="1:2"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 spans="1:2" x14ac:dyDescent="0.3">
      <c r="A28" s="1" t="str">
        <f t="shared" si="0"/>
        <v/>
      </c>
      <c r="B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 spans="1:2"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 spans="1:2"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 spans="1:2"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 spans="1:2"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 spans="1:2"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 spans="1:2"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 spans="1:2" x14ac:dyDescent="0.3">
      <c r="A35" s="1" t="str">
        <f t="shared" si="0"/>
        <v/>
      </c>
      <c r="B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 spans="1:2" x14ac:dyDescent="0.3">
      <c r="A36" s="1" t="str">
        <f t="shared" si="0"/>
        <v/>
      </c>
      <c r="B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 spans="1:2" x14ac:dyDescent="0.3">
      <c r="A37" s="1" t="str">
        <f t="shared" si="0"/>
        <v/>
      </c>
      <c r="B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 spans="1:2" x14ac:dyDescent="0.3">
      <c r="A38" s="1" t="str">
        <f t="shared" si="0"/>
        <v/>
      </c>
      <c r="B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 spans="1:2" x14ac:dyDescent="0.3">
      <c r="A39" s="1" t="str">
        <f t="shared" si="0"/>
        <v/>
      </c>
      <c r="B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 spans="1:2" x14ac:dyDescent="0.3">
      <c r="A40" s="1" t="str">
        <f t="shared" si="0"/>
        <v/>
      </c>
      <c r="B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 spans="1:2" x14ac:dyDescent="0.3">
      <c r="A41" s="1" t="str">
        <f t="shared" si="0"/>
        <v/>
      </c>
      <c r="B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 spans="1:2" x14ac:dyDescent="0.3">
      <c r="A42" s="1" t="str">
        <f t="shared" si="0"/>
        <v/>
      </c>
      <c r="B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 spans="1:2" x14ac:dyDescent="0.3">
      <c r="A43" s="1" t="str">
        <f t="shared" si="0"/>
        <v/>
      </c>
      <c r="B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 spans="1:2" x14ac:dyDescent="0.3">
      <c r="A44" s="1" t="str">
        <f t="shared" si="0"/>
        <v/>
      </c>
      <c r="B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 spans="1:2" x14ac:dyDescent="0.3">
      <c r="A45" s="1" t="str">
        <f t="shared" si="0"/>
        <v/>
      </c>
      <c r="B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 spans="1:2" x14ac:dyDescent="0.3">
      <c r="A46" s="1" t="str">
        <f t="shared" si="0"/>
        <v/>
      </c>
      <c r="B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 spans="1:2" x14ac:dyDescent="0.3">
      <c r="A47" s="1" t="str">
        <f t="shared" si="0"/>
        <v/>
      </c>
      <c r="B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 spans="1:2" x14ac:dyDescent="0.3">
      <c r="A48" s="1" t="str">
        <f t="shared" si="0"/>
        <v/>
      </c>
      <c r="B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 spans="1:2" x14ac:dyDescent="0.3">
      <c r="A49" s="1" t="str">
        <f t="shared" si="0"/>
        <v/>
      </c>
      <c r="B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 spans="1:2" x14ac:dyDescent="0.3">
      <c r="A50" s="1" t="str">
        <f t="shared" si="0"/>
        <v/>
      </c>
      <c r="B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 spans="1:2" x14ac:dyDescent="0.3">
      <c r="A51" s="1" t="str">
        <f t="shared" si="0"/>
        <v/>
      </c>
      <c r="B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 spans="1:2" x14ac:dyDescent="0.3">
      <c r="A52" s="1" t="str">
        <f t="shared" si="0"/>
        <v/>
      </c>
      <c r="B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 spans="1:2" x14ac:dyDescent="0.3">
      <c r="A53" s="1" t="str">
        <f t="shared" si="0"/>
        <v/>
      </c>
      <c r="B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 spans="1:2" x14ac:dyDescent="0.3">
      <c r="A54" s="1" t="str">
        <f t="shared" si="0"/>
        <v/>
      </c>
      <c r="B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 spans="1:2" x14ac:dyDescent="0.3">
      <c r="A55" s="1" t="str">
        <f t="shared" si="0"/>
        <v/>
      </c>
      <c r="B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 spans="1:2" x14ac:dyDescent="0.3">
      <c r="A56" s="1" t="str">
        <f t="shared" si="0"/>
        <v/>
      </c>
      <c r="B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 spans="1:2" x14ac:dyDescent="0.3">
      <c r="A57" s="1" t="str">
        <f t="shared" si="0"/>
        <v/>
      </c>
      <c r="B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 spans="1:2" x14ac:dyDescent="0.3">
      <c r="A58" s="1" t="str">
        <f t="shared" si="0"/>
        <v/>
      </c>
      <c r="B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 spans="1:2"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 spans="1:2"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 spans="1:2" x14ac:dyDescent="0.3">
      <c r="A61" s="1" t="str">
        <f t="shared" si="0"/>
        <v/>
      </c>
      <c r="B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 spans="1:2"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 spans="1:2"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 spans="1:2"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 spans="1:2"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 spans="1:2"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 spans="1:2"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 spans="1:2" x14ac:dyDescent="0.3">
      <c r="A68" s="1" t="str">
        <f t="shared" si="1"/>
        <v/>
      </c>
      <c r="B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 spans="1:2" x14ac:dyDescent="0.3">
      <c r="A69" s="1" t="str">
        <f t="shared" si="1"/>
        <v/>
      </c>
      <c r="B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 spans="1:2" x14ac:dyDescent="0.3">
      <c r="A70" s="1" t="str">
        <f t="shared" si="1"/>
        <v/>
      </c>
      <c r="B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 spans="1:2" x14ac:dyDescent="0.3">
      <c r="A71" s="1" t="str">
        <f t="shared" si="1"/>
        <v/>
      </c>
      <c r="B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 spans="1:2" x14ac:dyDescent="0.3">
      <c r="A72" s="1" t="str">
        <f t="shared" si="1"/>
        <v/>
      </c>
      <c r="B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 spans="1:2" x14ac:dyDescent="0.3">
      <c r="A73" s="1" t="str">
        <f t="shared" si="1"/>
        <v/>
      </c>
      <c r="B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 spans="1:2" x14ac:dyDescent="0.3">
      <c r="A74" s="1" t="str">
        <f t="shared" si="1"/>
        <v/>
      </c>
      <c r="B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 spans="1:2" x14ac:dyDescent="0.3">
      <c r="A75" s="1" t="str">
        <f t="shared" si="1"/>
        <v/>
      </c>
      <c r="B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 spans="1:2" x14ac:dyDescent="0.3">
      <c r="A76" s="1" t="str">
        <f t="shared" si="1"/>
        <v/>
      </c>
      <c r="B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 spans="1:2" x14ac:dyDescent="0.3">
      <c r="A77" s="1" t="str">
        <f t="shared" si="1"/>
        <v/>
      </c>
      <c r="B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 spans="1:2" x14ac:dyDescent="0.3">
      <c r="A78" s="1" t="str">
        <f t="shared" si="1"/>
        <v/>
      </c>
      <c r="B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 spans="1:2" x14ac:dyDescent="0.3">
      <c r="A79" s="1" t="str">
        <f t="shared" si="1"/>
        <v/>
      </c>
      <c r="B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 spans="1:2" x14ac:dyDescent="0.3">
      <c r="A80" s="1" t="str">
        <f t="shared" si="1"/>
        <v/>
      </c>
      <c r="B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 spans="1:2" x14ac:dyDescent="0.3">
      <c r="A81" s="1" t="str">
        <f t="shared" si="1"/>
        <v/>
      </c>
      <c r="B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 spans="1:2" x14ac:dyDescent="0.3">
      <c r="A82" s="1" t="str">
        <f t="shared" si="1"/>
        <v/>
      </c>
      <c r="B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 spans="1:2" x14ac:dyDescent="0.3">
      <c r="A83" s="1" t="str">
        <f t="shared" si="1"/>
        <v/>
      </c>
      <c r="B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 spans="1:2" x14ac:dyDescent="0.3">
      <c r="A84" s="1" t="str">
        <f t="shared" si="1"/>
        <v/>
      </c>
      <c r="B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 spans="1:2" x14ac:dyDescent="0.3">
      <c r="A85" s="1" t="str">
        <f t="shared" si="1"/>
        <v/>
      </c>
      <c r="B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 spans="1:2" x14ac:dyDescent="0.3">
      <c r="A86" s="1" t="str">
        <f t="shared" si="1"/>
        <v/>
      </c>
      <c r="B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 spans="1:2" x14ac:dyDescent="0.3">
      <c r="A87" s="1" t="str">
        <f t="shared" si="1"/>
        <v/>
      </c>
      <c r="B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 spans="1:2" x14ac:dyDescent="0.3">
      <c r="A88" s="1" t="str">
        <f t="shared" si="1"/>
        <v/>
      </c>
      <c r="B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 spans="1:2" x14ac:dyDescent="0.3">
      <c r="A89" s="1" t="str">
        <f t="shared" si="1"/>
        <v/>
      </c>
      <c r="B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 spans="1:2" x14ac:dyDescent="0.3">
      <c r="A90" s="1" t="str">
        <f t="shared" si="1"/>
        <v/>
      </c>
      <c r="B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 spans="1:2" x14ac:dyDescent="0.3">
      <c r="A91" s="1" t="str">
        <f t="shared" si="1"/>
        <v/>
      </c>
      <c r="B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 spans="1:2"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 spans="1:2"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 spans="1:2" x14ac:dyDescent="0.3">
      <c r="A94" s="1" t="str">
        <f t="shared" si="1"/>
        <v/>
      </c>
      <c r="B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 spans="1:2"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 spans="1:2"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 spans="1:2"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 spans="1:2"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 spans="1:2"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 spans="1:2"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 spans="1:2" x14ac:dyDescent="0.3">
      <c r="A101" s="1" t="str">
        <f t="shared" si="1"/>
        <v/>
      </c>
      <c r="B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 spans="1:2" x14ac:dyDescent="0.3">
      <c r="A102" s="1" t="str">
        <f t="shared" si="1"/>
        <v/>
      </c>
      <c r="B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 spans="1:2" x14ac:dyDescent="0.3">
      <c r="A103" s="1" t="str">
        <f t="shared" si="1"/>
        <v/>
      </c>
      <c r="B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 spans="1:2" x14ac:dyDescent="0.3">
      <c r="A104" s="1" t="str">
        <f t="shared" si="1"/>
        <v/>
      </c>
      <c r="B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 spans="1:2" x14ac:dyDescent="0.3">
      <c r="A105" s="1" t="str">
        <f t="shared" si="1"/>
        <v/>
      </c>
      <c r="B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 spans="1:2" x14ac:dyDescent="0.3">
      <c r="A106" s="1" t="str">
        <f t="shared" si="1"/>
        <v/>
      </c>
      <c r="B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 spans="1:2" x14ac:dyDescent="0.3">
      <c r="A107" s="1" t="str">
        <f t="shared" si="1"/>
        <v/>
      </c>
      <c r="B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 spans="1:2" x14ac:dyDescent="0.3">
      <c r="A108" s="1" t="str">
        <f t="shared" si="1"/>
        <v/>
      </c>
      <c r="B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 spans="1:2" x14ac:dyDescent="0.3">
      <c r="A109" s="1" t="str">
        <f t="shared" si="1"/>
        <v/>
      </c>
      <c r="B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 spans="1:2" x14ac:dyDescent="0.3">
      <c r="A110" s="1" t="str">
        <f t="shared" si="1"/>
        <v/>
      </c>
      <c r="B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 spans="1:2" x14ac:dyDescent="0.3">
      <c r="A111" s="1" t="str">
        <f t="shared" si="1"/>
        <v/>
      </c>
      <c r="B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 spans="1:2" x14ac:dyDescent="0.3">
      <c r="A112" s="1" t="str">
        <f t="shared" si="1"/>
        <v/>
      </c>
      <c r="B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 spans="1:2" x14ac:dyDescent="0.3">
      <c r="A113" s="1" t="str">
        <f t="shared" si="1"/>
        <v/>
      </c>
      <c r="B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 spans="1:2" x14ac:dyDescent="0.3">
      <c r="A114" s="1" t="str">
        <f t="shared" si="1"/>
        <v/>
      </c>
      <c r="B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 spans="1:2" x14ac:dyDescent="0.3">
      <c r="A115" s="1" t="str">
        <f t="shared" si="1"/>
        <v/>
      </c>
      <c r="B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 spans="1:2" x14ac:dyDescent="0.3">
      <c r="A116" s="1" t="str">
        <f t="shared" si="1"/>
        <v/>
      </c>
      <c r="B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 spans="1:2" x14ac:dyDescent="0.3">
      <c r="A117" s="1" t="str">
        <f t="shared" si="1"/>
        <v/>
      </c>
      <c r="B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 spans="1:2" x14ac:dyDescent="0.3">
      <c r="A118" s="1" t="str">
        <f t="shared" si="1"/>
        <v/>
      </c>
      <c r="B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 spans="1:2" x14ac:dyDescent="0.3">
      <c r="A119" s="1" t="str">
        <f t="shared" si="1"/>
        <v/>
      </c>
      <c r="B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 spans="1:2" x14ac:dyDescent="0.3">
      <c r="A120" s="1" t="str">
        <f t="shared" si="1"/>
        <v/>
      </c>
      <c r="B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 spans="1:2" x14ac:dyDescent="0.3">
      <c r="A121" s="1" t="str">
        <f t="shared" si="1"/>
        <v/>
      </c>
      <c r="B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 spans="1:2" x14ac:dyDescent="0.3">
      <c r="A122" s="1" t="str">
        <f t="shared" si="1"/>
        <v/>
      </c>
      <c r="B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 spans="1:2" x14ac:dyDescent="0.3">
      <c r="A123" s="1" t="str">
        <f t="shared" si="1"/>
        <v/>
      </c>
      <c r="B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 spans="1:2" x14ac:dyDescent="0.3">
      <c r="A124" s="1" t="str">
        <f t="shared" si="1"/>
        <v/>
      </c>
      <c r="B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 spans="1:2"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 spans="1:2"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 spans="1:2" x14ac:dyDescent="0.3">
      <c r="A127" s="1" t="str">
        <f t="shared" si="1"/>
        <v/>
      </c>
      <c r="B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 spans="1:2"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 spans="1:2"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 spans="1:2"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 spans="1:2"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 spans="1:2"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 spans="1:2"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 spans="1:2" x14ac:dyDescent="0.3">
      <c r="A134" s="1" t="str">
        <f t="shared" si="2"/>
        <v/>
      </c>
      <c r="B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 spans="1:2" x14ac:dyDescent="0.3">
      <c r="A135" s="1" t="str">
        <f t="shared" si="2"/>
        <v/>
      </c>
      <c r="B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 spans="1:2" x14ac:dyDescent="0.3">
      <c r="A136" s="1" t="str">
        <f t="shared" si="2"/>
        <v/>
      </c>
      <c r="B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 spans="1:2" x14ac:dyDescent="0.3">
      <c r="A137" s="1" t="str">
        <f t="shared" si="2"/>
        <v/>
      </c>
      <c r="B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 spans="1:2" x14ac:dyDescent="0.3">
      <c r="A138" s="1" t="str">
        <f t="shared" si="2"/>
        <v/>
      </c>
      <c r="B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 spans="1:2" x14ac:dyDescent="0.3">
      <c r="A139" s="1" t="str">
        <f t="shared" si="2"/>
        <v/>
      </c>
      <c r="B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 spans="1:2" x14ac:dyDescent="0.3">
      <c r="A140" s="1" t="str">
        <f t="shared" si="2"/>
        <v/>
      </c>
      <c r="B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 spans="1:2" x14ac:dyDescent="0.3">
      <c r="A141" s="1" t="str">
        <f t="shared" si="2"/>
        <v/>
      </c>
      <c r="B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 spans="1:2" x14ac:dyDescent="0.3">
      <c r="A142" s="1" t="str">
        <f t="shared" si="2"/>
        <v/>
      </c>
      <c r="B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 spans="1:2" x14ac:dyDescent="0.3">
      <c r="A143" s="1" t="str">
        <f t="shared" si="2"/>
        <v/>
      </c>
      <c r="B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 spans="1:2" x14ac:dyDescent="0.3">
      <c r="A144" s="1" t="str">
        <f t="shared" si="2"/>
        <v/>
      </c>
      <c r="B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 spans="1:2" x14ac:dyDescent="0.3">
      <c r="A145" s="1" t="str">
        <f t="shared" si="2"/>
        <v/>
      </c>
      <c r="B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 spans="1:2" x14ac:dyDescent="0.3">
      <c r="A146" s="1" t="str">
        <f t="shared" si="2"/>
        <v/>
      </c>
      <c r="B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 spans="1:2" x14ac:dyDescent="0.3">
      <c r="A147" s="1" t="str">
        <f t="shared" si="2"/>
        <v/>
      </c>
      <c r="B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 spans="1:2" x14ac:dyDescent="0.3">
      <c r="A148" s="1" t="str">
        <f t="shared" si="2"/>
        <v/>
      </c>
      <c r="B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 spans="1:2" x14ac:dyDescent="0.3">
      <c r="A149" s="1" t="str">
        <f t="shared" si="2"/>
        <v/>
      </c>
      <c r="B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 spans="1:2" x14ac:dyDescent="0.3">
      <c r="A150" s="1" t="str">
        <f t="shared" si="2"/>
        <v/>
      </c>
      <c r="B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 spans="1:2" x14ac:dyDescent="0.3">
      <c r="A151" s="1" t="str">
        <f t="shared" si="2"/>
        <v/>
      </c>
      <c r="B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 spans="1:2" x14ac:dyDescent="0.3">
      <c r="A152" s="1" t="str">
        <f t="shared" si="2"/>
        <v/>
      </c>
      <c r="B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 spans="1:2" x14ac:dyDescent="0.3">
      <c r="A153" s="1" t="str">
        <f t="shared" si="2"/>
        <v/>
      </c>
      <c r="B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 spans="1:2" x14ac:dyDescent="0.3">
      <c r="A154" s="1" t="str">
        <f t="shared" si="2"/>
        <v/>
      </c>
      <c r="B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 spans="1:2" x14ac:dyDescent="0.3">
      <c r="A155" s="1" t="str">
        <f t="shared" si="2"/>
        <v/>
      </c>
      <c r="B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 spans="1:2" x14ac:dyDescent="0.3">
      <c r="A156" s="1" t="str">
        <f t="shared" si="2"/>
        <v/>
      </c>
      <c r="B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 spans="1:2" x14ac:dyDescent="0.3">
      <c r="A157" s="1" t="str">
        <f t="shared" si="2"/>
        <v/>
      </c>
      <c r="B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 spans="1:2"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 spans="1:2"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 spans="1:2" x14ac:dyDescent="0.3">
      <c r="A160" s="1" t="str">
        <f t="shared" si="2"/>
        <v/>
      </c>
      <c r="B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 spans="1:2"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 spans="1:2"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 spans="1:2"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 spans="1:2"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 spans="1:2"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 spans="1:2"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 spans="1:2" x14ac:dyDescent="0.3">
      <c r="A167" s="1" t="str">
        <f t="shared" si="2"/>
        <v/>
      </c>
      <c r="B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 spans="1:2" x14ac:dyDescent="0.3">
      <c r="A168" s="1" t="str">
        <f t="shared" si="2"/>
        <v/>
      </c>
      <c r="B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 spans="1:2" x14ac:dyDescent="0.3">
      <c r="A169" s="1" t="str">
        <f t="shared" si="2"/>
        <v/>
      </c>
      <c r="B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 spans="1:2" x14ac:dyDescent="0.3">
      <c r="A170" s="1" t="str">
        <f t="shared" si="2"/>
        <v/>
      </c>
      <c r="B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 spans="1:2" x14ac:dyDescent="0.3">
      <c r="A171" s="1" t="str">
        <f t="shared" si="2"/>
        <v/>
      </c>
      <c r="B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2" spans="1:2" x14ac:dyDescent="0.3">
      <c r="A172" s="1" t="str">
        <f t="shared" si="2"/>
        <v/>
      </c>
      <c r="B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3" spans="1:2" x14ac:dyDescent="0.3">
      <c r="A173" s="1" t="str">
        <f t="shared" si="2"/>
        <v/>
      </c>
      <c r="B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4" spans="1:2" x14ac:dyDescent="0.3">
      <c r="A174" s="1" t="str">
        <f t="shared" si="2"/>
        <v/>
      </c>
      <c r="B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5" spans="1:2" x14ac:dyDescent="0.3">
      <c r="A175" s="1" t="str">
        <f t="shared" si="2"/>
        <v/>
      </c>
      <c r="B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6" spans="1:2" x14ac:dyDescent="0.3">
      <c r="A176" s="1" t="str">
        <f t="shared" si="2"/>
        <v/>
      </c>
      <c r="B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7" spans="1:2" x14ac:dyDescent="0.3">
      <c r="A177" s="1" t="str">
        <f t="shared" si="2"/>
        <v/>
      </c>
      <c r="B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8" spans="1:2" x14ac:dyDescent="0.3">
      <c r="A178" s="1" t="str">
        <f t="shared" si="2"/>
        <v/>
      </c>
      <c r="B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9" spans="1:2" x14ac:dyDescent="0.3">
      <c r="A179" s="1" t="str">
        <f t="shared" si="2"/>
        <v/>
      </c>
      <c r="B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0" spans="1:2" x14ac:dyDescent="0.3">
      <c r="A180" s="1" t="str">
        <f t="shared" si="2"/>
        <v/>
      </c>
      <c r="B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1" spans="1:2" x14ac:dyDescent="0.3">
      <c r="A181" s="1" t="str">
        <f t="shared" si="2"/>
        <v/>
      </c>
      <c r="B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2" spans="1:2" x14ac:dyDescent="0.3">
      <c r="A182" s="1" t="str">
        <f t="shared" si="2"/>
        <v/>
      </c>
      <c r="B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3" spans="1:2" x14ac:dyDescent="0.3">
      <c r="A183" s="1" t="str">
        <f t="shared" si="2"/>
        <v/>
      </c>
      <c r="B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4" spans="1:2" x14ac:dyDescent="0.3">
      <c r="A184" s="1" t="str">
        <f t="shared" si="2"/>
        <v/>
      </c>
      <c r="B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5" spans="1:2" x14ac:dyDescent="0.3">
      <c r="A185" s="1" t="str">
        <f t="shared" si="2"/>
        <v/>
      </c>
      <c r="B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6" spans="1:2" x14ac:dyDescent="0.3">
      <c r="A186" s="1" t="str">
        <f t="shared" si="2"/>
        <v/>
      </c>
      <c r="B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7" spans="1:2" x14ac:dyDescent="0.3">
      <c r="A187" s="1" t="str">
        <f t="shared" si="2"/>
        <v/>
      </c>
      <c r="B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8" spans="1:2" x14ac:dyDescent="0.3">
      <c r="A188" s="1" t="str">
        <f t="shared" si="2"/>
        <v/>
      </c>
      <c r="B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89" spans="1:2" x14ac:dyDescent="0.3">
      <c r="A189" s="1" t="str">
        <f t="shared" si="2"/>
        <v/>
      </c>
      <c r="B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0" spans="1:2" x14ac:dyDescent="0.3">
      <c r="A190" s="1" t="str">
        <f t="shared" si="2"/>
        <v/>
      </c>
      <c r="B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1" spans="1:2"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2" spans="1:2"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3" spans="1:2" x14ac:dyDescent="0.3">
      <c r="A193" s="1" t="str">
        <f t="shared" si="2"/>
        <v/>
      </c>
      <c r="B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4" spans="1:2"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5" spans="1:2"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6" spans="1:2"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7" spans="1:2"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8" spans="1:2"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99" spans="1:2"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0" spans="1:2" x14ac:dyDescent="0.3">
      <c r="A200" s="1" t="str">
        <f t="shared" si="3"/>
        <v/>
      </c>
      <c r="B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1" spans="1:2" x14ac:dyDescent="0.3">
      <c r="A201" s="1" t="str">
        <f t="shared" si="3"/>
        <v/>
      </c>
      <c r="B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2" spans="1:2" x14ac:dyDescent="0.3">
      <c r="A202" s="1" t="str">
        <f t="shared" si="3"/>
        <v/>
      </c>
      <c r="B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3" spans="1:2" x14ac:dyDescent="0.3">
      <c r="A203" s="1" t="str">
        <f t="shared" si="3"/>
        <v/>
      </c>
      <c r="B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4" spans="1:2" x14ac:dyDescent="0.3">
      <c r="A204" s="1" t="str">
        <f t="shared" si="3"/>
        <v/>
      </c>
      <c r="B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5" spans="1:2" x14ac:dyDescent="0.3">
      <c r="A205" s="1" t="str">
        <f t="shared" si="3"/>
        <v/>
      </c>
      <c r="B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6" spans="1:2" x14ac:dyDescent="0.3">
      <c r="A206" s="1" t="str">
        <f t="shared" si="3"/>
        <v/>
      </c>
      <c r="B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7" spans="1:2" x14ac:dyDescent="0.3">
      <c r="A207" s="1" t="str">
        <f t="shared" si="3"/>
        <v/>
      </c>
      <c r="B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8" spans="1:2" x14ac:dyDescent="0.3">
      <c r="A208" s="1" t="str">
        <f t="shared" si="3"/>
        <v/>
      </c>
      <c r="B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09" spans="1:2" x14ac:dyDescent="0.3">
      <c r="A209" s="1" t="str">
        <f t="shared" si="3"/>
        <v/>
      </c>
      <c r="B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0" spans="1:2" x14ac:dyDescent="0.3">
      <c r="A210" s="1" t="str">
        <f t="shared" si="3"/>
        <v/>
      </c>
      <c r="B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1" spans="1:2" x14ac:dyDescent="0.3">
      <c r="A211" s="1" t="str">
        <f t="shared" si="3"/>
        <v/>
      </c>
      <c r="B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2" spans="1:2" x14ac:dyDescent="0.3">
      <c r="A212" s="1" t="str">
        <f t="shared" si="3"/>
        <v/>
      </c>
      <c r="B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3" spans="1:2" x14ac:dyDescent="0.3">
      <c r="A213" s="1" t="str">
        <f t="shared" si="3"/>
        <v/>
      </c>
      <c r="B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4" spans="1:2" x14ac:dyDescent="0.3">
      <c r="A214" s="1" t="str">
        <f t="shared" si="3"/>
        <v/>
      </c>
      <c r="B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5" spans="1:2" x14ac:dyDescent="0.3">
      <c r="A215" s="1" t="str">
        <f t="shared" si="3"/>
        <v/>
      </c>
      <c r="B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6" spans="1:2" x14ac:dyDescent="0.3">
      <c r="A216" s="1" t="str">
        <f t="shared" si="3"/>
        <v/>
      </c>
      <c r="B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7" spans="1:2" x14ac:dyDescent="0.3">
      <c r="A217" s="1" t="str">
        <f t="shared" si="3"/>
        <v/>
      </c>
      <c r="B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8" spans="1:2" x14ac:dyDescent="0.3">
      <c r="A218" s="1" t="str">
        <f t="shared" si="3"/>
        <v/>
      </c>
      <c r="B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19" spans="1:2" x14ac:dyDescent="0.3">
      <c r="A219" s="1" t="str">
        <f t="shared" si="3"/>
        <v/>
      </c>
      <c r="B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0" spans="1:2" x14ac:dyDescent="0.3">
      <c r="A220" s="1" t="str">
        <f t="shared" si="3"/>
        <v/>
      </c>
      <c r="B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1" spans="1:2" x14ac:dyDescent="0.3">
      <c r="A221" s="1" t="str">
        <f t="shared" si="3"/>
        <v/>
      </c>
      <c r="B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2" spans="1:2" x14ac:dyDescent="0.3">
      <c r="A222" s="1" t="str">
        <f t="shared" si="3"/>
        <v/>
      </c>
      <c r="B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3" spans="1:2" x14ac:dyDescent="0.3">
      <c r="A223" s="1" t="str">
        <f t="shared" si="3"/>
        <v/>
      </c>
      <c r="B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4" spans="1:2"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5" spans="1:2"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6" spans="1:2" x14ac:dyDescent="0.3">
      <c r="A226" s="1" t="str">
        <f t="shared" si="3"/>
        <v/>
      </c>
      <c r="B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7" spans="1:2"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8" spans="1:2"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29" spans="1:2"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0" spans="1:2"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1" spans="1:2"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2" spans="1:2"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3" spans="1:2" x14ac:dyDescent="0.3">
      <c r="A233" s="1" t="str">
        <f t="shared" si="3"/>
        <v/>
      </c>
      <c r="B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4" spans="1:2" x14ac:dyDescent="0.3">
      <c r="A234" s="1" t="str">
        <f t="shared" si="3"/>
        <v/>
      </c>
      <c r="B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5" spans="1:2" x14ac:dyDescent="0.3">
      <c r="A235" s="1" t="str">
        <f t="shared" si="3"/>
        <v/>
      </c>
      <c r="B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6" spans="1:2" x14ac:dyDescent="0.3">
      <c r="A236" s="1" t="str">
        <f t="shared" si="3"/>
        <v/>
      </c>
      <c r="B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7" spans="1:2" x14ac:dyDescent="0.3">
      <c r="A237" s="1" t="str">
        <f t="shared" si="3"/>
        <v/>
      </c>
      <c r="B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8" spans="1:2" x14ac:dyDescent="0.3">
      <c r="A238" s="1" t="str">
        <f t="shared" si="3"/>
        <v/>
      </c>
      <c r="B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39" spans="1:2" x14ac:dyDescent="0.3">
      <c r="A239" s="1" t="str">
        <f t="shared" si="3"/>
        <v/>
      </c>
      <c r="B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0" spans="1:2" x14ac:dyDescent="0.3">
      <c r="A240" s="1" t="str">
        <f t="shared" si="3"/>
        <v/>
      </c>
      <c r="B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1" spans="1:2" x14ac:dyDescent="0.3">
      <c r="A241" s="1" t="str">
        <f t="shared" si="3"/>
        <v/>
      </c>
      <c r="B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2" spans="1:2" x14ac:dyDescent="0.3">
      <c r="A242" s="1" t="str">
        <f t="shared" si="3"/>
        <v/>
      </c>
      <c r="B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3" spans="1:2" x14ac:dyDescent="0.3">
      <c r="A243" s="1" t="str">
        <f t="shared" si="3"/>
        <v/>
      </c>
      <c r="B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4" spans="1:2" x14ac:dyDescent="0.3">
      <c r="A244" s="1" t="str">
        <f t="shared" si="3"/>
        <v/>
      </c>
      <c r="B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5" spans="1:2" x14ac:dyDescent="0.3">
      <c r="A245" s="1" t="str">
        <f t="shared" si="3"/>
        <v/>
      </c>
      <c r="B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6" spans="1:2" x14ac:dyDescent="0.3">
      <c r="A246" s="1" t="str">
        <f t="shared" si="3"/>
        <v/>
      </c>
      <c r="B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7" spans="1:2" x14ac:dyDescent="0.3">
      <c r="A247" s="1" t="str">
        <f t="shared" si="3"/>
        <v/>
      </c>
      <c r="B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8" spans="1:2" x14ac:dyDescent="0.3">
      <c r="A248" s="1" t="str">
        <f t="shared" si="3"/>
        <v/>
      </c>
      <c r="B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49" spans="1:2" x14ac:dyDescent="0.3">
      <c r="A249" s="1" t="str">
        <f t="shared" si="3"/>
        <v/>
      </c>
      <c r="B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0" spans="1:2" x14ac:dyDescent="0.3">
      <c r="A250" s="1" t="str">
        <f t="shared" si="3"/>
        <v/>
      </c>
      <c r="B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1" spans="1:2" x14ac:dyDescent="0.3">
      <c r="A251" s="1" t="str">
        <f t="shared" si="3"/>
        <v/>
      </c>
      <c r="B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2" spans="1:2" x14ac:dyDescent="0.3">
      <c r="A252" s="1" t="str">
        <f t="shared" si="3"/>
        <v/>
      </c>
      <c r="B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3" spans="1:2" x14ac:dyDescent="0.3">
      <c r="A253" s="1" t="str">
        <f t="shared" si="3"/>
        <v/>
      </c>
      <c r="B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4" spans="1:2" x14ac:dyDescent="0.3">
      <c r="A254" s="1" t="str">
        <f t="shared" si="3"/>
        <v/>
      </c>
      <c r="B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5" spans="1:2" x14ac:dyDescent="0.3">
      <c r="A255" s="1" t="str">
        <f t="shared" si="3"/>
        <v/>
      </c>
      <c r="B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6" spans="1:2" x14ac:dyDescent="0.3">
      <c r="A256" s="1" t="str">
        <f t="shared" si="3"/>
        <v/>
      </c>
      <c r="B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7" spans="1:2"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8" spans="1:2"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59" spans="1:2" x14ac:dyDescent="0.3">
      <c r="A259" s="1" t="str">
        <f t="shared" si="4"/>
        <v/>
      </c>
      <c r="B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0" spans="1:2"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1" spans="1:2"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2" spans="1:2"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3" spans="1:2"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4" spans="1:2"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5" spans="1:2"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6" spans="1:2" x14ac:dyDescent="0.3">
      <c r="A266" s="1" t="str">
        <f t="shared" si="4"/>
        <v/>
      </c>
      <c r="B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7" spans="1:2" x14ac:dyDescent="0.3">
      <c r="A267" s="1" t="str">
        <f t="shared" si="4"/>
        <v/>
      </c>
      <c r="B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8" spans="1:2" x14ac:dyDescent="0.3">
      <c r="A268" s="1" t="str">
        <f t="shared" si="4"/>
        <v/>
      </c>
      <c r="B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69" spans="1:2" x14ac:dyDescent="0.3">
      <c r="A269" s="1" t="str">
        <f t="shared" si="4"/>
        <v/>
      </c>
      <c r="B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0" spans="1:2" x14ac:dyDescent="0.3">
      <c r="A270" s="1" t="str">
        <f t="shared" si="4"/>
        <v/>
      </c>
      <c r="B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1" spans="1:2" x14ac:dyDescent="0.3">
      <c r="A271" s="1" t="str">
        <f t="shared" si="4"/>
        <v/>
      </c>
      <c r="B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2" spans="1:2" x14ac:dyDescent="0.3">
      <c r="A272" s="1" t="str">
        <f t="shared" si="4"/>
        <v/>
      </c>
      <c r="B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3" spans="1:2" x14ac:dyDescent="0.3">
      <c r="A273" s="1" t="str">
        <f t="shared" si="4"/>
        <v/>
      </c>
      <c r="B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4" spans="1:2" x14ac:dyDescent="0.3">
      <c r="A274" s="1" t="str">
        <f t="shared" si="4"/>
        <v/>
      </c>
      <c r="B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5" spans="1:2" x14ac:dyDescent="0.3">
      <c r="A275" s="1" t="str">
        <f t="shared" si="4"/>
        <v/>
      </c>
      <c r="B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6" spans="1:2" x14ac:dyDescent="0.3">
      <c r="A276" s="1" t="str">
        <f t="shared" si="4"/>
        <v/>
      </c>
      <c r="B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7" spans="1:2" x14ac:dyDescent="0.3">
      <c r="A277" s="1" t="str">
        <f t="shared" si="4"/>
        <v/>
      </c>
      <c r="B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8" spans="1:2" x14ac:dyDescent="0.3">
      <c r="A278" s="1" t="str">
        <f t="shared" si="4"/>
        <v/>
      </c>
      <c r="B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79" spans="1:2" x14ac:dyDescent="0.3">
      <c r="A279" s="1" t="str">
        <f t="shared" si="4"/>
        <v/>
      </c>
      <c r="B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0" spans="1:2" x14ac:dyDescent="0.3">
      <c r="A280" s="1" t="str">
        <f t="shared" si="4"/>
        <v/>
      </c>
      <c r="B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1" spans="1:2" x14ac:dyDescent="0.3">
      <c r="A281" s="1" t="str">
        <f t="shared" si="4"/>
        <v/>
      </c>
      <c r="B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2" spans="1:2" x14ac:dyDescent="0.3">
      <c r="A282" s="1" t="str">
        <f t="shared" si="4"/>
        <v/>
      </c>
      <c r="B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3" spans="1:2" x14ac:dyDescent="0.3">
      <c r="A283" s="1" t="str">
        <f t="shared" si="4"/>
        <v/>
      </c>
      <c r="B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4" spans="1:2" x14ac:dyDescent="0.3">
      <c r="A284" s="1" t="str">
        <f t="shared" si="4"/>
        <v/>
      </c>
      <c r="B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5" spans="1:2" x14ac:dyDescent="0.3">
      <c r="A285" s="1" t="str">
        <f t="shared" si="4"/>
        <v/>
      </c>
      <c r="B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6" spans="1:2" x14ac:dyDescent="0.3">
      <c r="A286" s="1" t="str">
        <f t="shared" si="4"/>
        <v/>
      </c>
      <c r="B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7" spans="1:2" x14ac:dyDescent="0.3">
      <c r="A287" s="1" t="str">
        <f t="shared" si="4"/>
        <v/>
      </c>
      <c r="B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8" spans="1:2" x14ac:dyDescent="0.3">
      <c r="A288" s="1" t="str">
        <f t="shared" si="4"/>
        <v/>
      </c>
      <c r="B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89" spans="1:2" x14ac:dyDescent="0.3">
      <c r="A289" s="1" t="str">
        <f t="shared" si="4"/>
        <v/>
      </c>
      <c r="B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0" spans="1:2"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1" spans="1:2"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2" spans="1:2" x14ac:dyDescent="0.3">
      <c r="A292" s="1" t="str">
        <f t="shared" si="4"/>
        <v/>
      </c>
      <c r="B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3" spans="1:2"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4" spans="1:2"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5" spans="1:2"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6" spans="1:2"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7" spans="1:2"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8" spans="1:2"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299" spans="1:2" x14ac:dyDescent="0.3">
      <c r="A299" s="1" t="str">
        <f t="shared" si="4"/>
        <v/>
      </c>
      <c r="B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0" spans="1:2" x14ac:dyDescent="0.3">
      <c r="A300" s="1" t="str">
        <f t="shared" si="4"/>
        <v/>
      </c>
      <c r="B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1" spans="1:2" x14ac:dyDescent="0.3">
      <c r="A301" s="1" t="str">
        <f t="shared" si="4"/>
        <v/>
      </c>
      <c r="B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2" spans="1:2" x14ac:dyDescent="0.3">
      <c r="A302" s="1" t="str">
        <f t="shared" si="4"/>
        <v/>
      </c>
      <c r="B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3" spans="1:2" x14ac:dyDescent="0.3">
      <c r="A303" s="1" t="str">
        <f t="shared" si="4"/>
        <v/>
      </c>
      <c r="B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4" spans="1:2" x14ac:dyDescent="0.3">
      <c r="A304" s="1" t="str">
        <f t="shared" si="4"/>
        <v/>
      </c>
      <c r="B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5" spans="1:2" x14ac:dyDescent="0.3">
      <c r="A305" s="1" t="str">
        <f t="shared" si="4"/>
        <v/>
      </c>
      <c r="B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6" spans="1:2" x14ac:dyDescent="0.3">
      <c r="A306" s="1" t="str">
        <f t="shared" si="4"/>
        <v/>
      </c>
      <c r="B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7" spans="1:2" x14ac:dyDescent="0.3">
      <c r="A307" s="1" t="str">
        <f t="shared" si="4"/>
        <v/>
      </c>
      <c r="B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8" spans="1:2" x14ac:dyDescent="0.3">
      <c r="A308" s="1" t="str">
        <f t="shared" si="4"/>
        <v/>
      </c>
      <c r="B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09" spans="1:2" x14ac:dyDescent="0.3">
      <c r="A309" s="1" t="str">
        <f t="shared" si="4"/>
        <v/>
      </c>
      <c r="B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0" spans="1:2" x14ac:dyDescent="0.3">
      <c r="A310" s="1" t="str">
        <f t="shared" si="4"/>
        <v/>
      </c>
      <c r="B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1" spans="1:2" x14ac:dyDescent="0.3">
      <c r="A311" s="1" t="str">
        <f t="shared" si="4"/>
        <v/>
      </c>
      <c r="B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2" spans="1:2" x14ac:dyDescent="0.3">
      <c r="A312" s="1" t="str">
        <f t="shared" si="4"/>
        <v/>
      </c>
      <c r="B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3" spans="1:2" x14ac:dyDescent="0.3">
      <c r="A313" s="1" t="str">
        <f t="shared" si="4"/>
        <v/>
      </c>
      <c r="B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4" spans="1:2" x14ac:dyDescent="0.3">
      <c r="A314" s="1" t="str">
        <f t="shared" si="4"/>
        <v/>
      </c>
      <c r="B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5" spans="1:2" x14ac:dyDescent="0.3">
      <c r="A315" s="1" t="str">
        <f t="shared" si="4"/>
        <v/>
      </c>
      <c r="B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6" spans="1:2" x14ac:dyDescent="0.3">
      <c r="A316" s="1" t="str">
        <f t="shared" si="4"/>
        <v/>
      </c>
      <c r="B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7" spans="1:2" x14ac:dyDescent="0.3">
      <c r="A317" s="1" t="str">
        <f t="shared" si="4"/>
        <v/>
      </c>
      <c r="B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8" spans="1:2" x14ac:dyDescent="0.3">
      <c r="A318" s="1" t="str">
        <f t="shared" si="4"/>
        <v/>
      </c>
      <c r="B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19" spans="1:2" x14ac:dyDescent="0.3">
      <c r="A319" s="1" t="str">
        <f t="shared" si="4"/>
        <v/>
      </c>
      <c r="B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0" spans="1:2" x14ac:dyDescent="0.3">
      <c r="A320" s="1" t="str">
        <f t="shared" si="4"/>
        <v/>
      </c>
      <c r="B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1" spans="1:2" x14ac:dyDescent="0.3">
      <c r="A321" s="1" t="str">
        <f t="shared" si="4"/>
        <v/>
      </c>
      <c r="B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2" spans="1:2" x14ac:dyDescent="0.3">
      <c r="A322" s="1" t="str">
        <f t="shared" ref="A322:A385" si="5">IFERROR(LEFT(RIGHT(C322,LEN(C322)-SEARCH("@",C322)),SEARCH("/",RIGHT(C322,LEN(C322)-SEARCH("@",C322)-1))),"")</f>
        <v/>
      </c>
      <c r="B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3" spans="1:2"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4" spans="1:2"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5" spans="1:2" x14ac:dyDescent="0.3">
      <c r="A325" s="1" t="str">
        <f t="shared" si="5"/>
        <v/>
      </c>
      <c r="B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6" spans="1:2"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7" spans="1:2"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8" spans="1:2"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29" spans="1:2"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0" spans="1:2"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1" spans="1:2"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2" spans="1:2" x14ac:dyDescent="0.3">
      <c r="A332" s="1" t="str">
        <f t="shared" si="5"/>
        <v/>
      </c>
      <c r="B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3" spans="1:2" x14ac:dyDescent="0.3">
      <c r="A333" s="1" t="str">
        <f t="shared" si="5"/>
        <v/>
      </c>
      <c r="B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4" spans="1:2" x14ac:dyDescent="0.3">
      <c r="A334" s="1" t="str">
        <f t="shared" si="5"/>
        <v/>
      </c>
      <c r="B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5" spans="1:2" x14ac:dyDescent="0.3">
      <c r="A335" s="1" t="str">
        <f t="shared" si="5"/>
        <v/>
      </c>
      <c r="B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6" spans="1:2" x14ac:dyDescent="0.3">
      <c r="A336" s="1" t="str">
        <f t="shared" si="5"/>
        <v/>
      </c>
      <c r="B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7" spans="1:2" x14ac:dyDescent="0.3">
      <c r="A337" s="1" t="str">
        <f t="shared" si="5"/>
        <v/>
      </c>
      <c r="B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8" spans="1:2" x14ac:dyDescent="0.3">
      <c r="A338" s="1" t="str">
        <f t="shared" si="5"/>
        <v/>
      </c>
      <c r="B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39" spans="1:2" x14ac:dyDescent="0.3">
      <c r="A339" s="1" t="str">
        <f t="shared" si="5"/>
        <v/>
      </c>
      <c r="B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0" spans="1:2" x14ac:dyDescent="0.3">
      <c r="A340" s="1" t="str">
        <f t="shared" si="5"/>
        <v/>
      </c>
      <c r="B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1" spans="1:2" x14ac:dyDescent="0.3">
      <c r="A341" s="1" t="str">
        <f t="shared" si="5"/>
        <v/>
      </c>
      <c r="B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2" spans="1:2" x14ac:dyDescent="0.3">
      <c r="A342" s="1" t="str">
        <f t="shared" si="5"/>
        <v/>
      </c>
      <c r="B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3" spans="1:2" x14ac:dyDescent="0.3">
      <c r="A343" s="1" t="str">
        <f t="shared" si="5"/>
        <v/>
      </c>
      <c r="B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4" spans="1:2" x14ac:dyDescent="0.3">
      <c r="A344" s="1" t="str">
        <f t="shared" si="5"/>
        <v/>
      </c>
      <c r="B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5" spans="1:2" x14ac:dyDescent="0.3">
      <c r="A345" s="1" t="str">
        <f t="shared" si="5"/>
        <v/>
      </c>
      <c r="B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6" spans="1:2" x14ac:dyDescent="0.3">
      <c r="A346" s="1" t="str">
        <f t="shared" si="5"/>
        <v/>
      </c>
      <c r="B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7" spans="1:2" x14ac:dyDescent="0.3">
      <c r="A347" s="1" t="str">
        <f t="shared" si="5"/>
        <v/>
      </c>
      <c r="B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8" spans="1:2" x14ac:dyDescent="0.3">
      <c r="A348" s="1" t="str">
        <f t="shared" si="5"/>
        <v/>
      </c>
      <c r="B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49" spans="1:2" x14ac:dyDescent="0.3">
      <c r="A349" s="1" t="str">
        <f t="shared" si="5"/>
        <v/>
      </c>
      <c r="B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0" spans="1:2" x14ac:dyDescent="0.3">
      <c r="A350" s="1" t="str">
        <f t="shared" si="5"/>
        <v/>
      </c>
      <c r="B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1" spans="1:2" x14ac:dyDescent="0.3">
      <c r="A351" s="1" t="str">
        <f t="shared" si="5"/>
        <v/>
      </c>
      <c r="B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2" spans="1:2" x14ac:dyDescent="0.3">
      <c r="A352" s="1" t="str">
        <f t="shared" si="5"/>
        <v/>
      </c>
      <c r="B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3" spans="1:2" x14ac:dyDescent="0.3">
      <c r="A353" s="1" t="str">
        <f t="shared" si="5"/>
        <v/>
      </c>
      <c r="B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4" spans="1:2" x14ac:dyDescent="0.3">
      <c r="A354" s="1" t="str">
        <f t="shared" si="5"/>
        <v/>
      </c>
      <c r="B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5" spans="1:2" x14ac:dyDescent="0.3">
      <c r="A355" s="1" t="str">
        <f t="shared" si="5"/>
        <v/>
      </c>
      <c r="B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6" spans="1:2"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7" spans="1:2"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8" spans="1:2" x14ac:dyDescent="0.3">
      <c r="A358" s="1" t="str">
        <f t="shared" si="5"/>
        <v/>
      </c>
      <c r="B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59" spans="1:2"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0" spans="1:2"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1" spans="1:2"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2" spans="1:2"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3" spans="1:2"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4" spans="1:2"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5" spans="1:2" x14ac:dyDescent="0.3">
      <c r="A365" s="1" t="str">
        <f t="shared" si="5"/>
        <v/>
      </c>
      <c r="B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6" spans="1:2" x14ac:dyDescent="0.3">
      <c r="A366" s="1" t="str">
        <f t="shared" si="5"/>
        <v/>
      </c>
      <c r="B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7" spans="1:2" x14ac:dyDescent="0.3">
      <c r="A367" s="1" t="str">
        <f t="shared" si="5"/>
        <v/>
      </c>
      <c r="B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8" spans="1:2" x14ac:dyDescent="0.3">
      <c r="A368" s="1" t="str">
        <f t="shared" si="5"/>
        <v/>
      </c>
      <c r="B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69" spans="1:2" x14ac:dyDescent="0.3">
      <c r="A369" s="1" t="str">
        <f t="shared" si="5"/>
        <v/>
      </c>
      <c r="B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0" spans="1:2" x14ac:dyDescent="0.3">
      <c r="A370" s="1" t="str">
        <f t="shared" si="5"/>
        <v/>
      </c>
      <c r="B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1" spans="1:2" x14ac:dyDescent="0.3">
      <c r="A371" s="1" t="str">
        <f t="shared" si="5"/>
        <v/>
      </c>
      <c r="B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2" spans="1:2" x14ac:dyDescent="0.3">
      <c r="A372" s="1" t="str">
        <f t="shared" si="5"/>
        <v/>
      </c>
      <c r="B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3" spans="1:2" x14ac:dyDescent="0.3">
      <c r="A373" s="1" t="str">
        <f t="shared" si="5"/>
        <v/>
      </c>
      <c r="B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4" spans="1:2" x14ac:dyDescent="0.3">
      <c r="A374" s="1" t="str">
        <f t="shared" si="5"/>
        <v/>
      </c>
      <c r="B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5" spans="1:2" x14ac:dyDescent="0.3">
      <c r="A375" s="1" t="str">
        <f t="shared" si="5"/>
        <v/>
      </c>
      <c r="B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6" spans="1:2" x14ac:dyDescent="0.3">
      <c r="A376" s="1" t="str">
        <f t="shared" si="5"/>
        <v/>
      </c>
      <c r="B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7" spans="1:2" x14ac:dyDescent="0.3">
      <c r="A377" s="1" t="str">
        <f t="shared" si="5"/>
        <v/>
      </c>
      <c r="B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8" spans="1:2" x14ac:dyDescent="0.3">
      <c r="A378" s="1" t="str">
        <f t="shared" si="5"/>
        <v/>
      </c>
      <c r="B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79" spans="1:2" x14ac:dyDescent="0.3">
      <c r="A379" s="1" t="str">
        <f t="shared" si="5"/>
        <v/>
      </c>
      <c r="B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0" spans="1:2" x14ac:dyDescent="0.3">
      <c r="A380" s="1" t="str">
        <f t="shared" si="5"/>
        <v/>
      </c>
      <c r="B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1" spans="1:2" x14ac:dyDescent="0.3">
      <c r="A381" s="1" t="str">
        <f t="shared" si="5"/>
        <v/>
      </c>
      <c r="B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2" spans="1:2" x14ac:dyDescent="0.3">
      <c r="A382" s="1" t="str">
        <f t="shared" si="5"/>
        <v/>
      </c>
      <c r="B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3" spans="1:2" x14ac:dyDescent="0.3">
      <c r="A383" s="1" t="str">
        <f t="shared" si="5"/>
        <v/>
      </c>
      <c r="B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4" spans="1:2" x14ac:dyDescent="0.3">
      <c r="A384" s="1" t="str">
        <f t="shared" si="5"/>
        <v/>
      </c>
      <c r="B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5" spans="1:2" x14ac:dyDescent="0.3">
      <c r="A385" s="1" t="str">
        <f t="shared" si="5"/>
        <v/>
      </c>
      <c r="B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6" spans="1:2" x14ac:dyDescent="0.3">
      <c r="A386" s="1" t="str">
        <f t="shared" ref="A386:A449" si="6">IFERROR(LEFT(RIGHT(C386,LEN(C386)-SEARCH("@",C386)),SEARCH("/",RIGHT(C386,LEN(C386)-SEARCH("@",C386)-1))),"")</f>
        <v/>
      </c>
      <c r="B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7" spans="1:2" x14ac:dyDescent="0.3">
      <c r="A387" s="1" t="str">
        <f t="shared" si="6"/>
        <v/>
      </c>
      <c r="B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8" spans="1:2" x14ac:dyDescent="0.3">
      <c r="A388" s="1" t="str">
        <f t="shared" si="6"/>
        <v/>
      </c>
      <c r="B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89" spans="1:2"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0" spans="1:2"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1" spans="1:2" x14ac:dyDescent="0.3">
      <c r="A391" s="1" t="str">
        <f t="shared" si="6"/>
        <v/>
      </c>
      <c r="B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2" spans="1:2"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3" spans="1:2"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4" spans="1:2"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5" spans="1:2"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6" spans="1:2"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7" spans="1:2"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8" spans="1:2" x14ac:dyDescent="0.3">
      <c r="A398" s="1" t="str">
        <f t="shared" si="6"/>
        <v/>
      </c>
      <c r="B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399" spans="1:2" x14ac:dyDescent="0.3">
      <c r="A399" s="1" t="str">
        <f t="shared" si="6"/>
        <v/>
      </c>
      <c r="B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0" spans="1:2" x14ac:dyDescent="0.3">
      <c r="A400" s="1" t="str">
        <f t="shared" si="6"/>
        <v/>
      </c>
      <c r="B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1" spans="1:2" x14ac:dyDescent="0.3">
      <c r="A401" s="1" t="str">
        <f t="shared" si="6"/>
        <v/>
      </c>
      <c r="B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2" spans="1:2" x14ac:dyDescent="0.3">
      <c r="A402" s="1" t="str">
        <f t="shared" si="6"/>
        <v/>
      </c>
      <c r="B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3" spans="1:2" x14ac:dyDescent="0.3">
      <c r="A403" s="1" t="str">
        <f t="shared" si="6"/>
        <v/>
      </c>
      <c r="B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4" spans="1:2" x14ac:dyDescent="0.3">
      <c r="A404" s="1" t="str">
        <f t="shared" si="6"/>
        <v/>
      </c>
      <c r="B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5" spans="1:2" x14ac:dyDescent="0.3">
      <c r="A405" s="1" t="str">
        <f t="shared" si="6"/>
        <v/>
      </c>
      <c r="B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6" spans="1:2" x14ac:dyDescent="0.3">
      <c r="A406" s="1" t="str">
        <f t="shared" si="6"/>
        <v/>
      </c>
      <c r="B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7" spans="1:2" x14ac:dyDescent="0.3">
      <c r="A407" s="1" t="str">
        <f t="shared" si="6"/>
        <v/>
      </c>
      <c r="B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8" spans="1:2" x14ac:dyDescent="0.3">
      <c r="A408" s="1" t="str">
        <f t="shared" si="6"/>
        <v/>
      </c>
      <c r="B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09" spans="1:2" x14ac:dyDescent="0.3">
      <c r="A409" s="1" t="str">
        <f t="shared" si="6"/>
        <v/>
      </c>
      <c r="B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0" spans="1:2" x14ac:dyDescent="0.3">
      <c r="A410" s="1" t="str">
        <f t="shared" si="6"/>
        <v/>
      </c>
      <c r="B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1" spans="1:2" x14ac:dyDescent="0.3">
      <c r="A411" s="1" t="str">
        <f t="shared" si="6"/>
        <v/>
      </c>
      <c r="B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2" spans="1:2" x14ac:dyDescent="0.3">
      <c r="A412" s="1" t="str">
        <f t="shared" si="6"/>
        <v/>
      </c>
      <c r="B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3" spans="1:2" x14ac:dyDescent="0.3">
      <c r="A413" s="1" t="str">
        <f t="shared" si="6"/>
        <v/>
      </c>
      <c r="B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4" spans="1:2" x14ac:dyDescent="0.3">
      <c r="A414" s="1" t="str">
        <f t="shared" si="6"/>
        <v/>
      </c>
      <c r="B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5" spans="1:2" x14ac:dyDescent="0.3">
      <c r="A415" s="1" t="str">
        <f t="shared" si="6"/>
        <v/>
      </c>
      <c r="B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6" spans="1:2" x14ac:dyDescent="0.3">
      <c r="A416" s="1" t="str">
        <f t="shared" si="6"/>
        <v/>
      </c>
      <c r="B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7" spans="1:2" x14ac:dyDescent="0.3">
      <c r="A417" s="1" t="str">
        <f t="shared" si="6"/>
        <v/>
      </c>
      <c r="B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8" spans="1:2" x14ac:dyDescent="0.3">
      <c r="A418" s="1" t="str">
        <f t="shared" si="6"/>
        <v/>
      </c>
      <c r="B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19" spans="1:2" x14ac:dyDescent="0.3">
      <c r="A419" s="1" t="str">
        <f t="shared" si="6"/>
        <v/>
      </c>
      <c r="B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0" spans="1:2" x14ac:dyDescent="0.3">
      <c r="A420" s="1" t="str">
        <f t="shared" si="6"/>
        <v/>
      </c>
      <c r="B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1" spans="1:2" x14ac:dyDescent="0.3">
      <c r="A421" s="1" t="str">
        <f t="shared" si="6"/>
        <v/>
      </c>
      <c r="B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2" spans="1:2"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3" spans="1:2"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4" spans="1:2" x14ac:dyDescent="0.3">
      <c r="A424" s="1" t="str">
        <f t="shared" si="6"/>
        <v/>
      </c>
      <c r="B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5" spans="1:2"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6" spans="1:2"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7" spans="1:2"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8" spans="1:2"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29" spans="1:2"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0" spans="1:2"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1" spans="1:2" x14ac:dyDescent="0.3">
      <c r="A431" s="1" t="str">
        <f t="shared" si="6"/>
        <v/>
      </c>
      <c r="B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2" spans="1:2" x14ac:dyDescent="0.3">
      <c r="A432" s="1" t="str">
        <f t="shared" si="6"/>
        <v/>
      </c>
      <c r="B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3" spans="1:2" x14ac:dyDescent="0.3">
      <c r="A433" s="1" t="str">
        <f t="shared" si="6"/>
        <v/>
      </c>
      <c r="B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4" spans="1:2" x14ac:dyDescent="0.3">
      <c r="A434" s="1" t="str">
        <f t="shared" si="6"/>
        <v/>
      </c>
      <c r="B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5" spans="1:2" x14ac:dyDescent="0.3">
      <c r="A435" s="1" t="str">
        <f t="shared" si="6"/>
        <v/>
      </c>
      <c r="B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6" spans="1:2" x14ac:dyDescent="0.3">
      <c r="A436" s="1" t="str">
        <f t="shared" si="6"/>
        <v/>
      </c>
      <c r="B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7" spans="1:2" x14ac:dyDescent="0.3">
      <c r="A437" s="1" t="str">
        <f t="shared" si="6"/>
        <v/>
      </c>
      <c r="B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8" spans="1:2" x14ac:dyDescent="0.3">
      <c r="A438" s="1" t="str">
        <f t="shared" si="6"/>
        <v/>
      </c>
      <c r="B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39" spans="1:2" x14ac:dyDescent="0.3">
      <c r="A439" s="1" t="str">
        <f t="shared" si="6"/>
        <v/>
      </c>
      <c r="B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0" spans="1:2" x14ac:dyDescent="0.3">
      <c r="A440" s="1" t="str">
        <f t="shared" si="6"/>
        <v/>
      </c>
      <c r="B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1" spans="1:2" x14ac:dyDescent="0.3">
      <c r="A441" s="1" t="str">
        <f t="shared" si="6"/>
        <v/>
      </c>
      <c r="B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2" spans="1:2" x14ac:dyDescent="0.3">
      <c r="A442" s="1" t="str">
        <f t="shared" si="6"/>
        <v/>
      </c>
      <c r="B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3" spans="1:2" x14ac:dyDescent="0.3">
      <c r="A443" s="1" t="str">
        <f t="shared" si="6"/>
        <v/>
      </c>
      <c r="B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4" spans="1:2" x14ac:dyDescent="0.3">
      <c r="A444" s="1" t="str">
        <f t="shared" si="6"/>
        <v/>
      </c>
      <c r="B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5" spans="1:2" x14ac:dyDescent="0.3">
      <c r="A445" s="1" t="str">
        <f t="shared" si="6"/>
        <v/>
      </c>
      <c r="B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6" spans="1:2" x14ac:dyDescent="0.3">
      <c r="A446" s="1" t="str">
        <f t="shared" si="6"/>
        <v/>
      </c>
      <c r="B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7" spans="1:2" x14ac:dyDescent="0.3">
      <c r="A447" s="1" t="str">
        <f t="shared" si="6"/>
        <v/>
      </c>
      <c r="B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8" spans="1:2" x14ac:dyDescent="0.3">
      <c r="A448" s="1" t="str">
        <f t="shared" si="6"/>
        <v/>
      </c>
      <c r="B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49" spans="1:2" x14ac:dyDescent="0.3">
      <c r="A449" s="1" t="str">
        <f t="shared" si="6"/>
        <v/>
      </c>
      <c r="B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0" spans="1:2" x14ac:dyDescent="0.3">
      <c r="A450" s="1" t="str">
        <f t="shared" ref="A450:A513" si="7">IFERROR(LEFT(RIGHT(C450,LEN(C450)-SEARCH("@",C450)),SEARCH("/",RIGHT(C450,LEN(C450)-SEARCH("@",C450)-1))),"")</f>
        <v/>
      </c>
      <c r="B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1" spans="1:2" x14ac:dyDescent="0.3">
      <c r="A451" s="1" t="str">
        <f t="shared" si="7"/>
        <v/>
      </c>
      <c r="B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2" spans="1:2" x14ac:dyDescent="0.3">
      <c r="A452" s="1" t="str">
        <f t="shared" si="7"/>
        <v/>
      </c>
      <c r="B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3" spans="1:2" x14ac:dyDescent="0.3">
      <c r="A453" s="1" t="str">
        <f t="shared" si="7"/>
        <v/>
      </c>
      <c r="B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4" spans="1:2" x14ac:dyDescent="0.3">
      <c r="A454" s="1" t="str">
        <f t="shared" si="7"/>
        <v/>
      </c>
      <c r="B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5" spans="1:2"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6" spans="1:2"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7" spans="1:2" x14ac:dyDescent="0.3">
      <c r="A457" s="1" t="str">
        <f t="shared" si="7"/>
        <v/>
      </c>
      <c r="B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8" spans="1:2"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59" spans="1:2"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0" spans="1:2"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1" spans="1:2"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2" spans="1:2"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3" spans="1:2"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4" spans="1:2" x14ac:dyDescent="0.3">
      <c r="A464" s="1" t="str">
        <f t="shared" si="7"/>
        <v/>
      </c>
      <c r="B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5" spans="1:2" x14ac:dyDescent="0.3">
      <c r="A465" s="1" t="str">
        <f t="shared" si="7"/>
        <v/>
      </c>
      <c r="B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6" spans="1:2" x14ac:dyDescent="0.3">
      <c r="A466" s="1" t="str">
        <f t="shared" si="7"/>
        <v/>
      </c>
      <c r="B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7" spans="1:2" x14ac:dyDescent="0.3">
      <c r="A467" s="1" t="str">
        <f t="shared" si="7"/>
        <v/>
      </c>
      <c r="B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8" spans="1:2" x14ac:dyDescent="0.3">
      <c r="A468" s="1" t="str">
        <f t="shared" si="7"/>
        <v/>
      </c>
      <c r="B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69" spans="1:2" x14ac:dyDescent="0.3">
      <c r="A469" s="1" t="str">
        <f t="shared" si="7"/>
        <v/>
      </c>
      <c r="B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0" spans="1:2" x14ac:dyDescent="0.3">
      <c r="A470" s="1" t="str">
        <f t="shared" si="7"/>
        <v/>
      </c>
      <c r="B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1" spans="1:2" x14ac:dyDescent="0.3">
      <c r="A471" s="1" t="str">
        <f t="shared" si="7"/>
        <v/>
      </c>
      <c r="B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2" spans="1:2" x14ac:dyDescent="0.3">
      <c r="A472" s="1" t="str">
        <f t="shared" si="7"/>
        <v/>
      </c>
      <c r="B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3" spans="1:2" x14ac:dyDescent="0.3">
      <c r="A473" s="1" t="str">
        <f t="shared" si="7"/>
        <v/>
      </c>
      <c r="B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4" spans="1:2" x14ac:dyDescent="0.3">
      <c r="A474" s="1" t="str">
        <f t="shared" si="7"/>
        <v/>
      </c>
      <c r="B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5" spans="1:2" x14ac:dyDescent="0.3">
      <c r="A475" s="1" t="str">
        <f t="shared" si="7"/>
        <v/>
      </c>
      <c r="B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6" spans="1:2" x14ac:dyDescent="0.3">
      <c r="A476" s="1" t="str">
        <f t="shared" si="7"/>
        <v/>
      </c>
      <c r="B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7" spans="1:2" x14ac:dyDescent="0.3">
      <c r="A477" s="1" t="str">
        <f t="shared" si="7"/>
        <v/>
      </c>
      <c r="B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8" spans="1:2" x14ac:dyDescent="0.3">
      <c r="A478" s="1" t="str">
        <f t="shared" si="7"/>
        <v/>
      </c>
      <c r="B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79" spans="1:2" x14ac:dyDescent="0.3">
      <c r="A479" s="1" t="str">
        <f t="shared" si="7"/>
        <v/>
      </c>
      <c r="B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0" spans="1:2" x14ac:dyDescent="0.3">
      <c r="A480" s="1" t="str">
        <f t="shared" si="7"/>
        <v/>
      </c>
      <c r="B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1" spans="1:2" x14ac:dyDescent="0.3">
      <c r="A481" s="1" t="str">
        <f t="shared" si="7"/>
        <v/>
      </c>
      <c r="B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2" spans="1:2" x14ac:dyDescent="0.3">
      <c r="A482" s="1" t="str">
        <f t="shared" si="7"/>
        <v/>
      </c>
      <c r="B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3" spans="1:2" x14ac:dyDescent="0.3">
      <c r="A483" s="1" t="str">
        <f t="shared" si="7"/>
        <v/>
      </c>
      <c r="B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4" spans="1:2" x14ac:dyDescent="0.3">
      <c r="A484" s="1" t="str">
        <f t="shared" si="7"/>
        <v/>
      </c>
      <c r="B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5" spans="1:2" x14ac:dyDescent="0.3">
      <c r="A485" s="1" t="str">
        <f t="shared" si="7"/>
        <v/>
      </c>
      <c r="B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6" spans="1:2" x14ac:dyDescent="0.3">
      <c r="A486" s="1" t="str">
        <f t="shared" si="7"/>
        <v/>
      </c>
      <c r="B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7" spans="1:2" x14ac:dyDescent="0.3">
      <c r="A487" s="1" t="str">
        <f t="shared" si="7"/>
        <v/>
      </c>
      <c r="B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8" spans="1:2"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89" spans="1:2"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0" spans="1:2" x14ac:dyDescent="0.3">
      <c r="A490" s="1" t="str">
        <f t="shared" si="7"/>
        <v/>
      </c>
      <c r="B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1" spans="1:2"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2" spans="1:2"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3" spans="1:2"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4" spans="1:2"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5" spans="1:2"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6" spans="1:2"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7" spans="1:2" x14ac:dyDescent="0.3">
      <c r="A497" s="1" t="str">
        <f t="shared" si="7"/>
        <v/>
      </c>
      <c r="B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8" spans="1:2" x14ac:dyDescent="0.3">
      <c r="A498" s="1" t="str">
        <f t="shared" si="7"/>
        <v/>
      </c>
      <c r="B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499" spans="1:2" x14ac:dyDescent="0.3">
      <c r="A499" s="1" t="str">
        <f t="shared" si="7"/>
        <v/>
      </c>
      <c r="B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0" spans="1:2" x14ac:dyDescent="0.3">
      <c r="A500" s="1" t="str">
        <f t="shared" si="7"/>
        <v/>
      </c>
      <c r="B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1" spans="1:2" x14ac:dyDescent="0.3">
      <c r="A501" s="1" t="str">
        <f t="shared" si="7"/>
        <v/>
      </c>
      <c r="B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2" spans="1:2" x14ac:dyDescent="0.3">
      <c r="A502" s="1" t="str">
        <f t="shared" si="7"/>
        <v/>
      </c>
      <c r="B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3" spans="1:2" x14ac:dyDescent="0.3">
      <c r="A503" s="1" t="str">
        <f t="shared" si="7"/>
        <v/>
      </c>
      <c r="B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4" spans="1:2" x14ac:dyDescent="0.3">
      <c r="A504" s="1" t="str">
        <f t="shared" si="7"/>
        <v/>
      </c>
      <c r="B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5" spans="1:2" x14ac:dyDescent="0.3">
      <c r="A505" s="1" t="str">
        <f t="shared" si="7"/>
        <v/>
      </c>
      <c r="B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6" spans="1:2" x14ac:dyDescent="0.3">
      <c r="A506" s="1" t="str">
        <f t="shared" si="7"/>
        <v/>
      </c>
      <c r="B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7" spans="1:2" x14ac:dyDescent="0.3">
      <c r="A507" s="1" t="str">
        <f t="shared" si="7"/>
        <v/>
      </c>
      <c r="B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8" spans="1:2" x14ac:dyDescent="0.3">
      <c r="A508" s="1" t="str">
        <f t="shared" si="7"/>
        <v/>
      </c>
      <c r="B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09" spans="1:2" x14ac:dyDescent="0.3">
      <c r="A509" s="1" t="str">
        <f t="shared" si="7"/>
        <v/>
      </c>
      <c r="B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0" spans="1:2" x14ac:dyDescent="0.3">
      <c r="A510" s="1" t="str">
        <f t="shared" si="7"/>
        <v/>
      </c>
      <c r="B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1" spans="1:2" x14ac:dyDescent="0.3">
      <c r="A511" s="1" t="str">
        <f t="shared" si="7"/>
        <v/>
      </c>
      <c r="B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2" spans="1:2" x14ac:dyDescent="0.3">
      <c r="A512" s="1" t="str">
        <f t="shared" si="7"/>
        <v/>
      </c>
      <c r="B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3" spans="1:2" x14ac:dyDescent="0.3">
      <c r="A513" s="1" t="str">
        <f t="shared" si="7"/>
        <v/>
      </c>
      <c r="B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4" spans="1:2" x14ac:dyDescent="0.3">
      <c r="A514" s="1" t="str">
        <f t="shared" ref="A514:A577" si="8">IFERROR(LEFT(RIGHT(C514,LEN(C514)-SEARCH("@",C514)),SEARCH("/",RIGHT(C514,LEN(C514)-SEARCH("@",C514)-1))),"")</f>
        <v/>
      </c>
      <c r="B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5" spans="1:2" x14ac:dyDescent="0.3">
      <c r="A515" s="1" t="str">
        <f t="shared" si="8"/>
        <v/>
      </c>
      <c r="B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6" spans="1:2" x14ac:dyDescent="0.3">
      <c r="A516" s="1" t="str">
        <f t="shared" si="8"/>
        <v/>
      </c>
      <c r="B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7" spans="1:2" x14ac:dyDescent="0.3">
      <c r="A517" s="1" t="str">
        <f t="shared" si="8"/>
        <v/>
      </c>
      <c r="B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8" spans="1:2" x14ac:dyDescent="0.3">
      <c r="A518" s="1" t="str">
        <f t="shared" si="8"/>
        <v/>
      </c>
      <c r="B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19" spans="1:2" x14ac:dyDescent="0.3">
      <c r="A519" s="1" t="str">
        <f t="shared" si="8"/>
        <v/>
      </c>
      <c r="B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0" spans="1:2" x14ac:dyDescent="0.3">
      <c r="A520" s="1" t="str">
        <f t="shared" si="8"/>
        <v/>
      </c>
      <c r="B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1" spans="1:2"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2" spans="1:2"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3" spans="1:2" x14ac:dyDescent="0.3">
      <c r="A523" s="1" t="str">
        <f t="shared" si="8"/>
        <v/>
      </c>
      <c r="B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4" spans="1:2"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5" spans="1:2"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6" spans="1:2"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7" spans="1:2"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8" spans="1:2"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29" spans="1:2"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0" spans="1:2" x14ac:dyDescent="0.3">
      <c r="A530" s="1" t="str">
        <f t="shared" si="8"/>
        <v/>
      </c>
      <c r="B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1" spans="1:2" x14ac:dyDescent="0.3">
      <c r="A531" s="1" t="str">
        <f t="shared" si="8"/>
        <v/>
      </c>
      <c r="B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2" spans="1:2" x14ac:dyDescent="0.3">
      <c r="A532" s="1" t="str">
        <f t="shared" si="8"/>
        <v/>
      </c>
      <c r="B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3" spans="1:2" x14ac:dyDescent="0.3">
      <c r="A533" s="1" t="str">
        <f t="shared" si="8"/>
        <v/>
      </c>
      <c r="B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4" spans="1:2" x14ac:dyDescent="0.3">
      <c r="A534" s="1" t="str">
        <f t="shared" si="8"/>
        <v/>
      </c>
      <c r="B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5" spans="1:2" x14ac:dyDescent="0.3">
      <c r="A535" s="1" t="str">
        <f t="shared" si="8"/>
        <v/>
      </c>
      <c r="B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6" spans="1:2" x14ac:dyDescent="0.3">
      <c r="A536" s="1" t="str">
        <f t="shared" si="8"/>
        <v/>
      </c>
      <c r="B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7" spans="1:2" x14ac:dyDescent="0.3">
      <c r="A537" s="1" t="str">
        <f t="shared" si="8"/>
        <v/>
      </c>
      <c r="B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8" spans="1:2" x14ac:dyDescent="0.3">
      <c r="A538" s="1" t="str">
        <f t="shared" si="8"/>
        <v/>
      </c>
      <c r="B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39" spans="1:2" x14ac:dyDescent="0.3">
      <c r="A539" s="1" t="str">
        <f t="shared" si="8"/>
        <v/>
      </c>
      <c r="B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0" spans="1:2" x14ac:dyDescent="0.3">
      <c r="A540" s="1" t="str">
        <f t="shared" si="8"/>
        <v/>
      </c>
      <c r="B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1" spans="1:2" x14ac:dyDescent="0.3">
      <c r="A541" s="1" t="str">
        <f t="shared" si="8"/>
        <v/>
      </c>
      <c r="B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2" spans="1:2" x14ac:dyDescent="0.3">
      <c r="A542" s="1" t="str">
        <f t="shared" si="8"/>
        <v/>
      </c>
      <c r="B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3" spans="1:2" x14ac:dyDescent="0.3">
      <c r="A543" s="1" t="str">
        <f t="shared" si="8"/>
        <v/>
      </c>
      <c r="B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4" spans="1:2" x14ac:dyDescent="0.3">
      <c r="A544" s="1" t="str">
        <f t="shared" si="8"/>
        <v/>
      </c>
      <c r="B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5" spans="1:2" x14ac:dyDescent="0.3">
      <c r="A545" s="1" t="str">
        <f t="shared" si="8"/>
        <v/>
      </c>
      <c r="B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6" spans="1:2" x14ac:dyDescent="0.3">
      <c r="A546" s="1" t="str">
        <f t="shared" si="8"/>
        <v/>
      </c>
      <c r="B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7" spans="1:2" x14ac:dyDescent="0.3">
      <c r="A547" s="1" t="str">
        <f t="shared" si="8"/>
        <v/>
      </c>
      <c r="B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8" spans="1:2" x14ac:dyDescent="0.3">
      <c r="A548" s="1" t="str">
        <f t="shared" si="8"/>
        <v/>
      </c>
      <c r="B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49" spans="1:2" x14ac:dyDescent="0.3">
      <c r="A549" s="1" t="str">
        <f t="shared" si="8"/>
        <v/>
      </c>
      <c r="B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0" spans="1:2" x14ac:dyDescent="0.3">
      <c r="A550" s="1" t="str">
        <f t="shared" si="8"/>
        <v/>
      </c>
      <c r="B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1" spans="1:2" x14ac:dyDescent="0.3">
      <c r="A551" s="1" t="str">
        <f t="shared" si="8"/>
        <v/>
      </c>
      <c r="B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2" spans="1:2" x14ac:dyDescent="0.3">
      <c r="A552" s="1" t="str">
        <f t="shared" si="8"/>
        <v/>
      </c>
      <c r="B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3" spans="1:2" x14ac:dyDescent="0.3">
      <c r="A553" s="1" t="str">
        <f t="shared" si="8"/>
        <v/>
      </c>
      <c r="B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4" spans="1:2"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5" spans="1:2"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6" spans="1:2" x14ac:dyDescent="0.3">
      <c r="A556" s="1" t="str">
        <f t="shared" si="8"/>
        <v/>
      </c>
      <c r="B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7" spans="1:2"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8" spans="1:2"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59" spans="1:2"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0" spans="1:2"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1" spans="1:2"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2" spans="1:2"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3" spans="1:2" x14ac:dyDescent="0.3">
      <c r="A563" s="1" t="str">
        <f t="shared" si="8"/>
        <v/>
      </c>
      <c r="B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4" spans="1:2" x14ac:dyDescent="0.3">
      <c r="A564" s="1" t="str">
        <f t="shared" si="8"/>
        <v/>
      </c>
      <c r="B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5" spans="1:2" x14ac:dyDescent="0.3">
      <c r="A565" s="1" t="str">
        <f t="shared" si="8"/>
        <v/>
      </c>
      <c r="B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6" spans="1:2" x14ac:dyDescent="0.3">
      <c r="A566" s="1" t="str">
        <f t="shared" si="8"/>
        <v/>
      </c>
      <c r="B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7" spans="1:2" x14ac:dyDescent="0.3">
      <c r="A567" s="1" t="str">
        <f t="shared" si="8"/>
        <v/>
      </c>
      <c r="B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8" spans="1:2" x14ac:dyDescent="0.3">
      <c r="A568" s="1" t="str">
        <f t="shared" si="8"/>
        <v/>
      </c>
      <c r="B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69" spans="1:2" x14ac:dyDescent="0.3">
      <c r="A569" s="1" t="str">
        <f t="shared" si="8"/>
        <v/>
      </c>
      <c r="B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0" spans="1:2" x14ac:dyDescent="0.3">
      <c r="A570" s="1" t="str">
        <f t="shared" si="8"/>
        <v/>
      </c>
      <c r="B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1" spans="1:2" x14ac:dyDescent="0.3">
      <c r="A571" s="1" t="str">
        <f t="shared" si="8"/>
        <v/>
      </c>
      <c r="B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2" spans="1:2" x14ac:dyDescent="0.3">
      <c r="A572" s="1" t="str">
        <f t="shared" si="8"/>
        <v/>
      </c>
      <c r="B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3" spans="1:2" x14ac:dyDescent="0.3">
      <c r="A573" s="1" t="str">
        <f t="shared" si="8"/>
        <v/>
      </c>
      <c r="B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4" spans="1:2" x14ac:dyDescent="0.3">
      <c r="A574" s="1" t="str">
        <f t="shared" si="8"/>
        <v/>
      </c>
      <c r="B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5" spans="1:2" x14ac:dyDescent="0.3">
      <c r="A575" s="1" t="str">
        <f t="shared" si="8"/>
        <v/>
      </c>
      <c r="B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6" spans="1:2" x14ac:dyDescent="0.3">
      <c r="A576" s="1" t="str">
        <f t="shared" si="8"/>
        <v/>
      </c>
      <c r="B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7" spans="1:2" x14ac:dyDescent="0.3">
      <c r="A577" s="1" t="str">
        <f t="shared" si="8"/>
        <v/>
      </c>
      <c r="B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8" spans="1:2" x14ac:dyDescent="0.3">
      <c r="A578" s="1" t="str">
        <f t="shared" ref="A578:A641" si="9">IFERROR(LEFT(RIGHT(C578,LEN(C578)-SEARCH("@",C578)),SEARCH("/",RIGHT(C578,LEN(C578)-SEARCH("@",C578)-1))),"")</f>
        <v/>
      </c>
      <c r="B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79" spans="1:2" x14ac:dyDescent="0.3">
      <c r="A579" s="1" t="str">
        <f t="shared" si="9"/>
        <v/>
      </c>
      <c r="B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0" spans="1:2" x14ac:dyDescent="0.3">
      <c r="A580" s="1" t="str">
        <f t="shared" si="9"/>
        <v/>
      </c>
      <c r="B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1" spans="1:2" x14ac:dyDescent="0.3">
      <c r="A581" s="1" t="str">
        <f t="shared" si="9"/>
        <v/>
      </c>
      <c r="B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2" spans="1:2" x14ac:dyDescent="0.3">
      <c r="A582" s="1" t="str">
        <f t="shared" si="9"/>
        <v/>
      </c>
      <c r="B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3" spans="1:2" x14ac:dyDescent="0.3">
      <c r="A583" s="1" t="str">
        <f t="shared" si="9"/>
        <v/>
      </c>
      <c r="B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4" spans="1:2" x14ac:dyDescent="0.3">
      <c r="A584" s="1" t="str">
        <f t="shared" si="9"/>
        <v/>
      </c>
      <c r="B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5" spans="1:2" x14ac:dyDescent="0.3">
      <c r="A585" s="1" t="str">
        <f t="shared" si="9"/>
        <v/>
      </c>
      <c r="B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6" spans="1:2" x14ac:dyDescent="0.3">
      <c r="A586" s="1" t="str">
        <f t="shared" si="9"/>
        <v/>
      </c>
      <c r="B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7" spans="1:2"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8" spans="1:2"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89" spans="1:2" x14ac:dyDescent="0.3">
      <c r="A589" s="1" t="str">
        <f t="shared" si="9"/>
        <v/>
      </c>
      <c r="B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0" spans="1:2"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1" spans="1:2"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2" spans="1:2"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3" spans="1:2"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4" spans="1:2"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5" spans="1:2"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6" spans="1:2" x14ac:dyDescent="0.3">
      <c r="A596" s="1" t="str">
        <f t="shared" si="9"/>
        <v/>
      </c>
      <c r="B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7" spans="1:2" x14ac:dyDescent="0.3">
      <c r="A597" s="1" t="str">
        <f t="shared" si="9"/>
        <v/>
      </c>
      <c r="B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8" spans="1:2" x14ac:dyDescent="0.3">
      <c r="A598" s="1" t="str">
        <f t="shared" si="9"/>
        <v/>
      </c>
      <c r="B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599" spans="1:2" x14ac:dyDescent="0.3">
      <c r="A599" s="1" t="str">
        <f t="shared" si="9"/>
        <v/>
      </c>
      <c r="B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0" spans="1:2" x14ac:dyDescent="0.3">
      <c r="A600" s="1" t="str">
        <f t="shared" si="9"/>
        <v/>
      </c>
      <c r="B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1" spans="1:2" x14ac:dyDescent="0.3">
      <c r="A601" s="1" t="str">
        <f t="shared" si="9"/>
        <v/>
      </c>
      <c r="B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2" spans="1:2" x14ac:dyDescent="0.3">
      <c r="A602" s="1" t="str">
        <f t="shared" si="9"/>
        <v/>
      </c>
      <c r="B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3" spans="1:2" x14ac:dyDescent="0.3">
      <c r="A603" s="1" t="str">
        <f t="shared" si="9"/>
        <v/>
      </c>
      <c r="B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4" spans="1:2" x14ac:dyDescent="0.3">
      <c r="A604" s="1" t="str">
        <f t="shared" si="9"/>
        <v/>
      </c>
      <c r="B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5" spans="1:2" x14ac:dyDescent="0.3">
      <c r="A605" s="1" t="str">
        <f t="shared" si="9"/>
        <v/>
      </c>
      <c r="B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6" spans="1:2" x14ac:dyDescent="0.3">
      <c r="A606" s="1" t="str">
        <f t="shared" si="9"/>
        <v/>
      </c>
      <c r="B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7" spans="1:2" x14ac:dyDescent="0.3">
      <c r="A607" s="1" t="str">
        <f t="shared" si="9"/>
        <v/>
      </c>
      <c r="B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8" spans="1:2" x14ac:dyDescent="0.3">
      <c r="A608" s="1" t="str">
        <f t="shared" si="9"/>
        <v/>
      </c>
      <c r="B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09" spans="1:2" x14ac:dyDescent="0.3">
      <c r="A609" s="1" t="str">
        <f t="shared" si="9"/>
        <v/>
      </c>
      <c r="B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0" spans="1:2" x14ac:dyDescent="0.3">
      <c r="A610" s="1" t="str">
        <f t="shared" si="9"/>
        <v/>
      </c>
      <c r="B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1" spans="1:2" x14ac:dyDescent="0.3">
      <c r="A611" s="1" t="str">
        <f t="shared" si="9"/>
        <v/>
      </c>
      <c r="B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2" spans="1:2" x14ac:dyDescent="0.3">
      <c r="A612" s="1" t="str">
        <f t="shared" si="9"/>
        <v/>
      </c>
      <c r="B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3" spans="1:2" x14ac:dyDescent="0.3">
      <c r="A613" s="1" t="str">
        <f t="shared" si="9"/>
        <v/>
      </c>
      <c r="B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4" spans="1:2" x14ac:dyDescent="0.3">
      <c r="A614" s="1" t="str">
        <f t="shared" si="9"/>
        <v/>
      </c>
      <c r="B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5" spans="1:2" x14ac:dyDescent="0.3">
      <c r="A615" s="1" t="str">
        <f t="shared" si="9"/>
        <v/>
      </c>
      <c r="B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6" spans="1:2" x14ac:dyDescent="0.3">
      <c r="A616" s="1" t="str">
        <f t="shared" si="9"/>
        <v/>
      </c>
      <c r="B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7" spans="1:2" x14ac:dyDescent="0.3">
      <c r="A617" s="1" t="str">
        <f t="shared" si="9"/>
        <v/>
      </c>
      <c r="B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8" spans="1:2" x14ac:dyDescent="0.3">
      <c r="A618" s="1" t="str">
        <f t="shared" si="9"/>
        <v/>
      </c>
      <c r="B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19" spans="1:2" x14ac:dyDescent="0.3">
      <c r="A619" s="1" t="str">
        <f t="shared" si="9"/>
        <v/>
      </c>
      <c r="B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0" spans="1:2"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1" spans="1:2"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2" spans="1:2" x14ac:dyDescent="0.3">
      <c r="A622" s="1" t="str">
        <f t="shared" si="9"/>
        <v/>
      </c>
      <c r="B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3" spans="1:2"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4" spans="1:2"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5" spans="1:2"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6" spans="1:2"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7" spans="1:2"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8" spans="1:2"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29" spans="1:2" x14ac:dyDescent="0.3">
      <c r="A629" s="1" t="str">
        <f t="shared" si="9"/>
        <v/>
      </c>
      <c r="B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0" spans="1:2" x14ac:dyDescent="0.3">
      <c r="A630" s="1" t="str">
        <f t="shared" si="9"/>
        <v/>
      </c>
      <c r="B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1" spans="1:2" x14ac:dyDescent="0.3">
      <c r="A631" s="1" t="str">
        <f t="shared" si="9"/>
        <v/>
      </c>
      <c r="B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2" spans="1:2" x14ac:dyDescent="0.3">
      <c r="A632" s="1" t="str">
        <f t="shared" si="9"/>
        <v/>
      </c>
      <c r="B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3" spans="1:2" x14ac:dyDescent="0.3">
      <c r="A633" s="1" t="str">
        <f t="shared" si="9"/>
        <v/>
      </c>
      <c r="B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4" spans="1:2" x14ac:dyDescent="0.3">
      <c r="A634" s="1" t="str">
        <f t="shared" si="9"/>
        <v/>
      </c>
      <c r="B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5" spans="1:2" x14ac:dyDescent="0.3">
      <c r="A635" s="1" t="str">
        <f t="shared" si="9"/>
        <v/>
      </c>
      <c r="B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6" spans="1:2" x14ac:dyDescent="0.3">
      <c r="A636" s="1" t="str">
        <f t="shared" si="9"/>
        <v/>
      </c>
      <c r="B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7" spans="1:2" x14ac:dyDescent="0.3">
      <c r="A637" s="1" t="str">
        <f t="shared" si="9"/>
        <v/>
      </c>
      <c r="B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8" spans="1:2" x14ac:dyDescent="0.3">
      <c r="A638" s="1" t="str">
        <f t="shared" si="9"/>
        <v/>
      </c>
      <c r="B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39" spans="1:2" x14ac:dyDescent="0.3">
      <c r="A639" s="1" t="str">
        <f t="shared" si="9"/>
        <v/>
      </c>
      <c r="B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0" spans="1:2" x14ac:dyDescent="0.3">
      <c r="A640" s="1" t="str">
        <f t="shared" si="9"/>
        <v/>
      </c>
      <c r="B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1" spans="1:2" x14ac:dyDescent="0.3">
      <c r="A641" s="1" t="str">
        <f t="shared" si="9"/>
        <v/>
      </c>
      <c r="B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2" spans="1:2" x14ac:dyDescent="0.3">
      <c r="A642" s="1" t="str">
        <f t="shared" ref="A642:A705" si="10">IFERROR(LEFT(RIGHT(C642,LEN(C642)-SEARCH("@",C642)),SEARCH("/",RIGHT(C642,LEN(C642)-SEARCH("@",C642)-1))),"")</f>
        <v/>
      </c>
      <c r="B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3" spans="1:2" x14ac:dyDescent="0.3">
      <c r="A643" s="1" t="str">
        <f t="shared" si="10"/>
        <v/>
      </c>
      <c r="B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4" spans="1:2" x14ac:dyDescent="0.3">
      <c r="A644" s="1" t="str">
        <f t="shared" si="10"/>
        <v/>
      </c>
      <c r="B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5" spans="1:2" x14ac:dyDescent="0.3">
      <c r="A645" s="1" t="str">
        <f t="shared" si="10"/>
        <v/>
      </c>
      <c r="B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6" spans="1:2" x14ac:dyDescent="0.3">
      <c r="A646" s="1" t="str">
        <f t="shared" si="10"/>
        <v/>
      </c>
      <c r="B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7" spans="1:2" x14ac:dyDescent="0.3">
      <c r="A647" s="1" t="str">
        <f t="shared" si="10"/>
        <v/>
      </c>
      <c r="B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8" spans="1:2" x14ac:dyDescent="0.3">
      <c r="A648" s="1" t="str">
        <f t="shared" si="10"/>
        <v/>
      </c>
      <c r="B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49" spans="1:2" x14ac:dyDescent="0.3">
      <c r="A649" s="1" t="str">
        <f t="shared" si="10"/>
        <v/>
      </c>
      <c r="B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0" spans="1:2" x14ac:dyDescent="0.3">
      <c r="A650" s="1" t="str">
        <f t="shared" si="10"/>
        <v/>
      </c>
      <c r="B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1" spans="1:2" x14ac:dyDescent="0.3">
      <c r="A651" s="1" t="str">
        <f t="shared" si="10"/>
        <v/>
      </c>
      <c r="B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2" spans="1:2" x14ac:dyDescent="0.3">
      <c r="A652" s="1" t="str">
        <f t="shared" si="10"/>
        <v/>
      </c>
      <c r="B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3" spans="1:2"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4" spans="1:2"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5" spans="1:2" x14ac:dyDescent="0.3">
      <c r="A655" s="1" t="str">
        <f t="shared" si="10"/>
        <v/>
      </c>
      <c r="B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6" spans="1:2"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7" spans="1:2"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8" spans="1:2"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59" spans="1:2"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0" spans="1:2"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1" spans="1:2"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2" spans="1:2" x14ac:dyDescent="0.3">
      <c r="A662" s="1" t="str">
        <f t="shared" si="10"/>
        <v/>
      </c>
      <c r="B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3" spans="1:2" x14ac:dyDescent="0.3">
      <c r="A663" s="1" t="str">
        <f t="shared" si="10"/>
        <v/>
      </c>
      <c r="B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4" spans="1:2" x14ac:dyDescent="0.3">
      <c r="A664" s="1" t="str">
        <f t="shared" si="10"/>
        <v/>
      </c>
      <c r="B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5" spans="1:2" x14ac:dyDescent="0.3">
      <c r="A665" s="1" t="str">
        <f t="shared" si="10"/>
        <v/>
      </c>
      <c r="B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6" spans="1:2" x14ac:dyDescent="0.3">
      <c r="A666" s="1" t="str">
        <f t="shared" si="10"/>
        <v/>
      </c>
      <c r="B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7" spans="1:2" x14ac:dyDescent="0.3">
      <c r="A667" s="1" t="str">
        <f t="shared" si="10"/>
        <v/>
      </c>
      <c r="B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8" spans="1:2" x14ac:dyDescent="0.3">
      <c r="A668" s="1" t="str">
        <f t="shared" si="10"/>
        <v/>
      </c>
      <c r="B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69" spans="1:2" x14ac:dyDescent="0.3">
      <c r="A669" s="1" t="str">
        <f t="shared" si="10"/>
        <v/>
      </c>
      <c r="B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0" spans="1:2" x14ac:dyDescent="0.3">
      <c r="A670" s="1" t="str">
        <f t="shared" si="10"/>
        <v/>
      </c>
      <c r="B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1" spans="1:2" x14ac:dyDescent="0.3">
      <c r="A671" s="1" t="str">
        <f t="shared" si="10"/>
        <v/>
      </c>
      <c r="B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2" spans="1:2" x14ac:dyDescent="0.3">
      <c r="A672" s="1" t="str">
        <f t="shared" si="10"/>
        <v/>
      </c>
      <c r="B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3" spans="1:2" x14ac:dyDescent="0.3">
      <c r="A673" s="1" t="str">
        <f t="shared" si="10"/>
        <v/>
      </c>
      <c r="B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4" spans="1:2" x14ac:dyDescent="0.3">
      <c r="A674" s="1" t="str">
        <f t="shared" si="10"/>
        <v/>
      </c>
      <c r="B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5" spans="1:2" x14ac:dyDescent="0.3">
      <c r="A675" s="1" t="str">
        <f t="shared" si="10"/>
        <v/>
      </c>
      <c r="B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6" spans="1:2" x14ac:dyDescent="0.3">
      <c r="A676" s="1" t="str">
        <f t="shared" si="10"/>
        <v/>
      </c>
      <c r="B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7" spans="1:2" x14ac:dyDescent="0.3">
      <c r="A677" s="1" t="str">
        <f t="shared" si="10"/>
        <v/>
      </c>
      <c r="B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8" spans="1:2" x14ac:dyDescent="0.3">
      <c r="A678" s="1" t="str">
        <f t="shared" si="10"/>
        <v/>
      </c>
      <c r="B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79" spans="1:2" x14ac:dyDescent="0.3">
      <c r="A679" s="1" t="str">
        <f t="shared" si="10"/>
        <v/>
      </c>
      <c r="B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0" spans="1:2" x14ac:dyDescent="0.3">
      <c r="A680" s="1" t="str">
        <f t="shared" si="10"/>
        <v/>
      </c>
      <c r="B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1" spans="1:2" x14ac:dyDescent="0.3">
      <c r="A681" s="1" t="str">
        <f t="shared" si="10"/>
        <v/>
      </c>
      <c r="B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2" spans="1:2" x14ac:dyDescent="0.3">
      <c r="A682" s="1" t="str">
        <f t="shared" si="10"/>
        <v/>
      </c>
      <c r="B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3" spans="1:2" x14ac:dyDescent="0.3">
      <c r="A683" s="1" t="str">
        <f t="shared" si="10"/>
        <v/>
      </c>
      <c r="B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4" spans="1:2" x14ac:dyDescent="0.3">
      <c r="A684" s="1" t="str">
        <f t="shared" si="10"/>
        <v/>
      </c>
      <c r="B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5" spans="1:2" x14ac:dyDescent="0.3">
      <c r="A685" s="1" t="str">
        <f t="shared" si="10"/>
        <v/>
      </c>
      <c r="B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6" spans="1:2"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7" spans="1:2"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8" spans="1:2" x14ac:dyDescent="0.3">
      <c r="A688" s="1" t="str">
        <f t="shared" si="10"/>
        <v/>
      </c>
      <c r="B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89" spans="1:2"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1:K11 M11:XFD11 A1:J10 EO1:XFD10 A12:XFD13 M14:XFD18 K1:L4 A14:J18 K5 A19:XFD1048576">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L1" zoomScale="70" zoomScaleNormal="70" zoomScaleSheetLayoutView="40" zoomScalePageLayoutView="30" workbookViewId="0">
      <selection activeCell="Q20" sqref="B5:Q20"/>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3" t="s">
        <v>43</v>
      </c>
      <c r="B1" s="214"/>
      <c r="C1" s="214"/>
      <c r="D1" s="214"/>
      <c r="E1" s="214"/>
      <c r="F1" s="214"/>
      <c r="G1" s="214"/>
      <c r="H1" s="214"/>
      <c r="I1" s="214"/>
      <c r="J1" s="214"/>
      <c r="K1" s="214"/>
      <c r="L1" s="214"/>
      <c r="M1" s="214"/>
      <c r="N1" s="214"/>
      <c r="O1" s="214"/>
      <c r="P1" s="214"/>
      <c r="Q1" s="214"/>
      <c r="R1" s="214"/>
      <c r="S1" s="214"/>
      <c r="T1" s="214"/>
      <c r="U1" s="214"/>
      <c r="V1" s="214"/>
    </row>
    <row r="2" spans="1:22" ht="15" thickBot="1" x14ac:dyDescent="0.35"/>
    <row r="3" spans="1:22" ht="15" thickBot="1" x14ac:dyDescent="0.35">
      <c r="A3" s="153" t="s">
        <v>22</v>
      </c>
      <c r="B3" s="221" t="s">
        <v>6</v>
      </c>
      <c r="C3" s="222"/>
      <c r="D3" s="222"/>
      <c r="E3" s="222"/>
      <c r="F3" s="222"/>
      <c r="G3" s="222"/>
      <c r="H3" s="222"/>
      <c r="I3" s="222"/>
      <c r="J3" s="222"/>
      <c r="K3" s="222"/>
      <c r="L3" s="222"/>
      <c r="M3" s="222"/>
      <c r="O3" s="221" t="s">
        <v>3</v>
      </c>
      <c r="P3" s="222"/>
      <c r="Q3" s="222"/>
      <c r="R3" s="222"/>
      <c r="S3" s="222"/>
      <c r="T3" s="222"/>
      <c r="U3" s="222"/>
      <c r="V3" s="222"/>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Atenolol-0.01mg/L</v>
      </c>
      <c r="J4" s="35" t="str">
        <f>'Page de garde'!A16</f>
        <v>Atenolol-0.1mg/L</v>
      </c>
      <c r="K4" s="35" t="str">
        <f>'Page de garde'!A17</f>
        <v>Atenolol-1mg/L</v>
      </c>
      <c r="L4" s="35" t="str">
        <f>'Page de garde'!A18</f>
        <v>Atenolol-10mg/L</v>
      </c>
      <c r="M4" s="35" t="str">
        <f>'Page de garde'!A19</f>
        <v>Atenolol-100mg/L</v>
      </c>
      <c r="N4" s="3"/>
      <c r="O4" s="36" t="str">
        <f>'Page de garde'!A36</f>
        <v>Testo -30µg/L</v>
      </c>
      <c r="P4" s="36" t="str">
        <f>'Page de garde'!A37</f>
        <v>Testo 30µg/L + EE2 -64ng/L</v>
      </c>
      <c r="Q4" s="36" t="str">
        <f>'Page de garde'!A38</f>
        <v>Testo 30µg/L + FAD-10µg/L</v>
      </c>
      <c r="R4" s="36" t="str">
        <f>'Page de garde'!A39</f>
        <v>Atenolol-0.01mg/L + Testostérone</v>
      </c>
      <c r="S4" s="36" t="str">
        <f>'Page de garde'!A40</f>
        <v>Atenolol-0.1mg/L + Testostérone</v>
      </c>
      <c r="T4" s="36" t="str">
        <f>'Page de garde'!A41</f>
        <v>Atenolol-1mg/L + Testostérone</v>
      </c>
      <c r="U4" s="36" t="str">
        <f>'Page de garde'!A42</f>
        <v>Atenolol-10mg/L + Testostérone</v>
      </c>
      <c r="V4" s="36" t="str">
        <f>'Page de garde'!A43</f>
        <v>Atenolol-100mg/L + Testostérone</v>
      </c>
    </row>
    <row r="5" spans="1:22" x14ac:dyDescent="0.3">
      <c r="A5" s="223" t="s">
        <v>33</v>
      </c>
      <c r="B5" s="32">
        <v>48001</v>
      </c>
      <c r="C5" s="32">
        <v>138126</v>
      </c>
      <c r="D5" s="32">
        <v>857600</v>
      </c>
      <c r="E5" s="32">
        <v>2318491</v>
      </c>
      <c r="F5" s="32">
        <v>6946848</v>
      </c>
      <c r="G5" s="32">
        <v>9030355</v>
      </c>
      <c r="H5" s="32">
        <v>9967032</v>
      </c>
      <c r="I5" s="32">
        <v>2711</v>
      </c>
      <c r="J5" s="32">
        <v>40876</v>
      </c>
      <c r="K5" s="13">
        <v>25518</v>
      </c>
      <c r="L5" s="13">
        <v>308740</v>
      </c>
      <c r="M5" s="13">
        <v>310850</v>
      </c>
      <c r="N5" s="3"/>
      <c r="O5" s="32">
        <v>544674</v>
      </c>
      <c r="P5" s="13">
        <v>5695292</v>
      </c>
      <c r="Q5" s="13">
        <v>175090</v>
      </c>
      <c r="R5" s="32">
        <v>17582</v>
      </c>
      <c r="S5" s="32">
        <v>92942</v>
      </c>
      <c r="T5" s="32">
        <v>630292</v>
      </c>
      <c r="U5" s="32">
        <v>151460</v>
      </c>
      <c r="V5" s="32">
        <v>91614</v>
      </c>
    </row>
    <row r="6" spans="1:22" ht="16.8" x14ac:dyDescent="0.3">
      <c r="A6" s="223"/>
      <c r="B6" s="14">
        <v>240663</v>
      </c>
      <c r="C6" s="13">
        <v>3003</v>
      </c>
      <c r="D6" s="32">
        <v>119273</v>
      </c>
      <c r="E6" s="32">
        <v>1138116</v>
      </c>
      <c r="F6" s="32">
        <v>12808177</v>
      </c>
      <c r="G6" s="32">
        <v>6858609</v>
      </c>
      <c r="H6" s="32">
        <v>8947695</v>
      </c>
      <c r="I6" s="32">
        <v>70401</v>
      </c>
      <c r="J6" s="32">
        <v>119450</v>
      </c>
      <c r="K6" s="13">
        <v>582921</v>
      </c>
      <c r="L6" s="13">
        <v>126378</v>
      </c>
      <c r="M6" s="13">
        <v>574663</v>
      </c>
      <c r="N6" s="3"/>
      <c r="O6" s="32">
        <v>726220</v>
      </c>
      <c r="P6" s="13">
        <v>2784297</v>
      </c>
      <c r="Q6" s="13">
        <v>224003</v>
      </c>
      <c r="R6" s="32">
        <v>2162939</v>
      </c>
      <c r="S6" s="32">
        <v>455386</v>
      </c>
      <c r="T6" s="32">
        <v>151437</v>
      </c>
      <c r="U6" s="32">
        <v>2362455</v>
      </c>
      <c r="V6" s="32">
        <v>15102</v>
      </c>
    </row>
    <row r="7" spans="1:22" ht="16.8" x14ac:dyDescent="0.3">
      <c r="A7" s="223"/>
      <c r="B7" s="14">
        <v>396000</v>
      </c>
      <c r="C7" s="13">
        <v>175198</v>
      </c>
      <c r="D7" s="32">
        <v>160631</v>
      </c>
      <c r="E7" s="32">
        <v>1611123</v>
      </c>
      <c r="F7" s="32">
        <v>4266387</v>
      </c>
      <c r="G7" s="32">
        <v>11353185</v>
      </c>
      <c r="H7" s="32">
        <v>18180232</v>
      </c>
      <c r="I7" s="32">
        <v>99487</v>
      </c>
      <c r="J7" s="32">
        <v>38365</v>
      </c>
      <c r="K7" s="13">
        <v>144154</v>
      </c>
      <c r="L7" s="13">
        <v>484554</v>
      </c>
      <c r="M7" s="13">
        <v>315853</v>
      </c>
      <c r="N7" s="3"/>
      <c r="O7" s="32">
        <v>2420609</v>
      </c>
      <c r="P7" s="13">
        <v>3636272</v>
      </c>
      <c r="Q7" s="13">
        <v>52684</v>
      </c>
      <c r="R7" s="32">
        <v>23302</v>
      </c>
      <c r="S7" s="32">
        <v>2863353</v>
      </c>
      <c r="T7" s="32">
        <v>568883</v>
      </c>
      <c r="U7" s="32">
        <v>82998</v>
      </c>
      <c r="V7" s="32">
        <v>2831379</v>
      </c>
    </row>
    <row r="8" spans="1:22" ht="16.8" x14ac:dyDescent="0.3">
      <c r="A8" s="223"/>
      <c r="B8" s="14">
        <v>143925</v>
      </c>
      <c r="C8" s="13">
        <v>244741</v>
      </c>
      <c r="D8" s="32">
        <v>214272</v>
      </c>
      <c r="E8" s="32">
        <v>2331440</v>
      </c>
      <c r="F8" s="32">
        <v>6224820</v>
      </c>
      <c r="G8" s="32">
        <v>13387294</v>
      </c>
      <c r="H8" s="32">
        <v>16046437</v>
      </c>
      <c r="I8" s="32">
        <v>160159</v>
      </c>
      <c r="J8" s="32">
        <v>585189</v>
      </c>
      <c r="K8" s="13">
        <v>226390</v>
      </c>
      <c r="L8" s="13">
        <v>75134</v>
      </c>
      <c r="M8" s="13">
        <v>252373</v>
      </c>
      <c r="N8" s="3"/>
      <c r="O8" s="32">
        <v>289987</v>
      </c>
      <c r="P8" s="13">
        <v>9821042</v>
      </c>
      <c r="Q8" s="13">
        <v>129903</v>
      </c>
      <c r="R8" s="32">
        <v>811892</v>
      </c>
      <c r="S8" s="32">
        <v>545437</v>
      </c>
      <c r="T8" s="32">
        <v>583893</v>
      </c>
      <c r="U8" s="32">
        <v>636005</v>
      </c>
      <c r="V8" s="32">
        <v>102189</v>
      </c>
    </row>
    <row r="9" spans="1:22" ht="16.8" x14ac:dyDescent="0.3">
      <c r="A9" s="223"/>
      <c r="B9" s="14">
        <v>293654</v>
      </c>
      <c r="C9" s="13">
        <v>425140</v>
      </c>
      <c r="D9" s="32">
        <v>216539</v>
      </c>
      <c r="E9" s="32">
        <v>5572016</v>
      </c>
      <c r="F9" s="32">
        <v>5832274</v>
      </c>
      <c r="G9" s="32">
        <v>9530218</v>
      </c>
      <c r="H9" s="32">
        <v>18689961</v>
      </c>
      <c r="I9" s="32">
        <v>512388</v>
      </c>
      <c r="J9" s="32">
        <v>348702</v>
      </c>
      <c r="K9" s="13">
        <v>249929</v>
      </c>
      <c r="L9" s="13">
        <v>62646</v>
      </c>
      <c r="M9" s="13">
        <v>492396</v>
      </c>
      <c r="N9" s="3"/>
      <c r="O9" s="32">
        <v>2441257</v>
      </c>
      <c r="P9" s="13">
        <v>8014440</v>
      </c>
      <c r="Q9" s="13">
        <v>466872</v>
      </c>
      <c r="R9" s="32">
        <v>159688</v>
      </c>
      <c r="S9" s="32">
        <v>449283</v>
      </c>
      <c r="T9" s="32">
        <v>90065</v>
      </c>
      <c r="U9" s="32">
        <v>440029</v>
      </c>
      <c r="V9" s="32">
        <v>138905</v>
      </c>
    </row>
    <row r="10" spans="1:22" ht="16.8" x14ac:dyDescent="0.3">
      <c r="A10" s="223"/>
      <c r="B10" s="14">
        <v>4171</v>
      </c>
      <c r="C10" s="13">
        <v>1339897</v>
      </c>
      <c r="D10" s="32">
        <v>367066</v>
      </c>
      <c r="E10" s="32">
        <v>1575868</v>
      </c>
      <c r="F10" s="32">
        <v>8809433</v>
      </c>
      <c r="G10" s="32">
        <v>5358844</v>
      </c>
      <c r="H10" s="32">
        <v>8931123</v>
      </c>
      <c r="I10" s="32">
        <v>205976</v>
      </c>
      <c r="J10" s="32">
        <v>238378</v>
      </c>
      <c r="K10" s="13">
        <v>275768</v>
      </c>
      <c r="L10" s="13">
        <v>314589</v>
      </c>
      <c r="M10" s="13">
        <v>594758</v>
      </c>
      <c r="N10" s="3"/>
      <c r="O10" s="32">
        <v>209930</v>
      </c>
      <c r="P10" s="13">
        <v>4749642</v>
      </c>
      <c r="Q10" s="13">
        <v>18468</v>
      </c>
      <c r="R10" s="32">
        <v>547634</v>
      </c>
      <c r="S10" s="32">
        <v>989124</v>
      </c>
      <c r="T10" s="32">
        <v>470705</v>
      </c>
      <c r="U10" s="32">
        <v>738402</v>
      </c>
      <c r="V10" s="32">
        <v>6767</v>
      </c>
    </row>
    <row r="11" spans="1:22" ht="16.8" x14ac:dyDescent="0.3">
      <c r="A11" s="223"/>
      <c r="B11" s="14">
        <v>108672</v>
      </c>
      <c r="C11" s="13">
        <v>186603</v>
      </c>
      <c r="D11" s="32">
        <v>466742</v>
      </c>
      <c r="E11" s="32">
        <v>4195838</v>
      </c>
      <c r="F11" s="32">
        <v>4369270</v>
      </c>
      <c r="G11" s="32">
        <v>7633605</v>
      </c>
      <c r="H11" s="32">
        <v>12897906</v>
      </c>
      <c r="I11" s="32">
        <v>119161</v>
      </c>
      <c r="J11" s="32">
        <v>219259</v>
      </c>
      <c r="K11" s="13">
        <v>619062</v>
      </c>
      <c r="L11" s="13">
        <v>499980</v>
      </c>
      <c r="M11" s="13">
        <v>130374</v>
      </c>
      <c r="N11" s="3"/>
      <c r="O11" s="32">
        <v>293019</v>
      </c>
      <c r="P11" s="13">
        <v>10084973</v>
      </c>
      <c r="Q11" s="13">
        <v>346292</v>
      </c>
      <c r="R11" s="32">
        <v>1093989</v>
      </c>
      <c r="S11" s="32">
        <v>21533</v>
      </c>
      <c r="T11" s="32">
        <v>1373799</v>
      </c>
      <c r="U11" s="32">
        <v>339615</v>
      </c>
      <c r="V11" s="32">
        <v>891302</v>
      </c>
    </row>
    <row r="12" spans="1:22" ht="16.8" x14ac:dyDescent="0.3">
      <c r="A12" s="223"/>
      <c r="B12" s="14">
        <v>210888</v>
      </c>
      <c r="C12" s="13">
        <v>267211</v>
      </c>
      <c r="D12" s="32">
        <v>114111</v>
      </c>
      <c r="E12" s="32"/>
      <c r="F12" s="32">
        <v>6169881</v>
      </c>
      <c r="G12" s="32">
        <v>8473237</v>
      </c>
      <c r="H12" s="32">
        <v>9075722</v>
      </c>
      <c r="I12" s="32">
        <v>163311</v>
      </c>
      <c r="J12" s="32">
        <v>22730</v>
      </c>
      <c r="K12" s="13">
        <v>152172</v>
      </c>
      <c r="L12" s="13">
        <v>226439</v>
      </c>
      <c r="M12" s="13">
        <v>280645</v>
      </c>
      <c r="N12" s="3"/>
      <c r="O12" s="32">
        <v>552708</v>
      </c>
      <c r="P12" s="13">
        <v>5737468</v>
      </c>
      <c r="Q12" s="13"/>
      <c r="R12" s="32">
        <v>145745</v>
      </c>
      <c r="S12" s="32">
        <v>831027</v>
      </c>
      <c r="T12" s="32">
        <v>370923</v>
      </c>
      <c r="U12" s="32">
        <v>137860</v>
      </c>
      <c r="V12" s="32">
        <v>534860</v>
      </c>
    </row>
    <row r="13" spans="1:22" ht="16.8" x14ac:dyDescent="0.3">
      <c r="A13" s="223"/>
      <c r="B13" s="14"/>
      <c r="C13" s="13"/>
      <c r="D13" s="32"/>
      <c r="E13" s="32"/>
      <c r="F13" s="32"/>
      <c r="G13" s="32"/>
      <c r="H13" s="32"/>
      <c r="I13" s="32"/>
      <c r="J13" s="32"/>
      <c r="K13" s="13"/>
      <c r="L13" s="13"/>
      <c r="M13" s="13"/>
      <c r="N13" s="3"/>
      <c r="O13" s="32">
        <v>333057</v>
      </c>
      <c r="P13" s="13"/>
      <c r="Q13" s="13"/>
      <c r="R13" s="32"/>
      <c r="S13" s="32"/>
      <c r="T13" s="32"/>
      <c r="U13" s="32"/>
      <c r="V13" s="32"/>
    </row>
    <row r="14" spans="1:22" ht="16.8" x14ac:dyDescent="0.3">
      <c r="A14" s="223"/>
      <c r="B14" s="14"/>
      <c r="C14" s="32"/>
      <c r="D14" s="32"/>
      <c r="E14" s="32"/>
      <c r="F14" s="32"/>
      <c r="G14" s="32"/>
      <c r="H14" s="32"/>
      <c r="I14" s="32"/>
      <c r="J14" s="32"/>
      <c r="K14" s="13"/>
      <c r="L14" s="13"/>
      <c r="M14" s="13"/>
      <c r="N14" s="3"/>
      <c r="O14" s="32">
        <v>110613</v>
      </c>
      <c r="P14" s="13"/>
      <c r="Q14" s="13"/>
      <c r="R14" s="32"/>
      <c r="S14" s="32"/>
      <c r="T14" s="32"/>
      <c r="U14" s="32"/>
      <c r="V14" s="32"/>
    </row>
    <row r="15" spans="1:22" ht="16.8" x14ac:dyDescent="0.3">
      <c r="A15" s="223"/>
      <c r="B15" s="14"/>
      <c r="C15" s="32"/>
      <c r="D15" s="32"/>
      <c r="E15" s="32"/>
      <c r="F15" s="32"/>
      <c r="G15" s="32"/>
      <c r="H15" s="32"/>
      <c r="I15" s="32"/>
      <c r="J15" s="32"/>
      <c r="K15" s="13"/>
      <c r="L15" s="13"/>
      <c r="M15" s="13"/>
      <c r="N15" s="3"/>
      <c r="O15" s="32">
        <v>2818156</v>
      </c>
      <c r="P15" s="13"/>
      <c r="Q15" s="13"/>
      <c r="R15" s="32"/>
      <c r="S15" s="32"/>
      <c r="T15" s="32"/>
      <c r="U15" s="32"/>
      <c r="V15" s="32"/>
    </row>
    <row r="16" spans="1:22" ht="16.8" x14ac:dyDescent="0.3">
      <c r="A16" s="223"/>
      <c r="B16" s="14"/>
      <c r="C16" s="32"/>
      <c r="D16" s="32"/>
      <c r="E16" s="32"/>
      <c r="F16" s="32"/>
      <c r="G16" s="32"/>
      <c r="H16" s="32"/>
      <c r="I16" s="32"/>
      <c r="J16" s="32"/>
      <c r="K16" s="13"/>
      <c r="L16" s="13"/>
      <c r="M16" s="13"/>
      <c r="N16" s="3"/>
      <c r="O16" s="32">
        <v>346885</v>
      </c>
      <c r="P16" s="13"/>
      <c r="Q16" s="13"/>
      <c r="R16" s="32"/>
      <c r="S16" s="32"/>
      <c r="T16" s="32"/>
      <c r="U16" s="32"/>
      <c r="V16" s="32"/>
    </row>
    <row r="17" spans="1:22" ht="16.8" x14ac:dyDescent="0.3">
      <c r="A17" s="223"/>
      <c r="B17" s="14"/>
      <c r="C17" s="32"/>
      <c r="D17" s="32"/>
      <c r="E17" s="32"/>
      <c r="F17" s="32"/>
      <c r="G17" s="32"/>
      <c r="H17" s="32"/>
      <c r="I17" s="32"/>
      <c r="J17" s="32"/>
      <c r="K17" s="13"/>
      <c r="L17" s="13"/>
      <c r="M17" s="13"/>
      <c r="N17" s="3"/>
      <c r="O17" s="32">
        <v>140177</v>
      </c>
      <c r="P17" s="13"/>
      <c r="Q17" s="13"/>
      <c r="R17" s="32"/>
      <c r="S17" s="32"/>
      <c r="T17" s="32"/>
      <c r="U17" s="32"/>
      <c r="V17" s="32"/>
    </row>
    <row r="18" spans="1:22" ht="16.8" x14ac:dyDescent="0.3">
      <c r="A18" s="223"/>
      <c r="B18" s="14"/>
      <c r="C18" s="32"/>
      <c r="D18" s="32"/>
      <c r="E18" s="32"/>
      <c r="F18" s="32"/>
      <c r="G18" s="32"/>
      <c r="H18" s="32"/>
      <c r="I18" s="32"/>
      <c r="J18" s="32"/>
      <c r="K18" s="13"/>
      <c r="L18" s="13"/>
      <c r="M18" s="13"/>
      <c r="N18" s="3"/>
      <c r="O18" s="32">
        <v>45057</v>
      </c>
      <c r="P18" s="13"/>
      <c r="Q18" s="13"/>
      <c r="R18" s="32"/>
      <c r="S18" s="32"/>
      <c r="T18" s="32"/>
      <c r="U18" s="32"/>
      <c r="V18" s="32"/>
    </row>
    <row r="19" spans="1:22" ht="16.8" x14ac:dyDescent="0.3">
      <c r="A19" s="223"/>
      <c r="B19" s="14"/>
      <c r="C19" s="32"/>
      <c r="D19" s="32"/>
      <c r="E19" s="32"/>
      <c r="F19" s="32"/>
      <c r="G19" s="32"/>
      <c r="H19" s="32"/>
      <c r="I19" s="32"/>
      <c r="J19" s="32"/>
      <c r="K19" s="13"/>
      <c r="L19" s="13"/>
      <c r="M19" s="13"/>
      <c r="N19" s="3"/>
      <c r="O19" s="32">
        <v>43237</v>
      </c>
      <c r="P19" s="13"/>
      <c r="Q19" s="13"/>
      <c r="R19" s="32"/>
      <c r="S19" s="32"/>
      <c r="T19" s="32"/>
      <c r="U19" s="32"/>
      <c r="V19" s="32"/>
    </row>
    <row r="20" spans="1:22" ht="16.8" x14ac:dyDescent="0.3">
      <c r="A20" s="223"/>
      <c r="B20" s="14"/>
      <c r="C20" s="32"/>
      <c r="D20" s="32"/>
      <c r="E20" s="32"/>
      <c r="F20" s="32"/>
      <c r="G20" s="32"/>
      <c r="H20" s="32"/>
      <c r="I20" s="32"/>
      <c r="J20" s="32"/>
      <c r="K20" s="13"/>
      <c r="L20" s="13"/>
      <c r="M20" s="13"/>
      <c r="N20" s="3"/>
      <c r="O20" s="32">
        <v>29101</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Atenolol-0.01mg/L</v>
      </c>
      <c r="J22" s="3" t="str">
        <f t="shared" si="0"/>
        <v>Atenolol-0.1mg/L</v>
      </c>
      <c r="K22" s="3" t="str">
        <f t="shared" si="0"/>
        <v>Atenolol-1mg/L</v>
      </c>
      <c r="L22" s="3" t="str">
        <f t="shared" si="0"/>
        <v>Atenolol-10mg/L</v>
      </c>
      <c r="M22" s="3" t="str">
        <f t="shared" si="0"/>
        <v>Atenolol-100mg/L</v>
      </c>
      <c r="N22" s="3" t="s">
        <v>41</v>
      </c>
      <c r="O22" s="3" t="str">
        <f t="shared" si="0"/>
        <v>Testo -30µg/L</v>
      </c>
      <c r="P22" s="3" t="str">
        <f t="shared" si="0"/>
        <v>Testo 30µg/L + EE2 -64ng/L</v>
      </c>
      <c r="Q22" s="3" t="str">
        <f t="shared" si="0"/>
        <v>Testo 30µg/L + FAD-10µg/L</v>
      </c>
      <c r="R22" s="3" t="str">
        <f t="shared" si="0"/>
        <v>Atenolol-0.01mg/L + Testostérone</v>
      </c>
      <c r="S22" s="3" t="str">
        <f t="shared" si="0"/>
        <v>Atenolol-0.1mg/L + Testostérone</v>
      </c>
      <c r="T22" s="3" t="str">
        <f t="shared" si="0"/>
        <v>Atenolol-1mg/L + Testostérone</v>
      </c>
      <c r="U22" s="3" t="str">
        <f t="shared" si="0"/>
        <v>Atenolol-10mg/L + Testostérone</v>
      </c>
      <c r="V22" s="3" t="str">
        <f t="shared" si="0"/>
        <v>Atenolol-100mg/L + Testostérone</v>
      </c>
    </row>
    <row r="23" spans="1:22" x14ac:dyDescent="0.3">
      <c r="A23" s="5" t="s">
        <v>0</v>
      </c>
      <c r="B23" s="5">
        <f t="shared" ref="B23:J23" si="1">AVERAGE(B5:B20)</f>
        <v>180746.75</v>
      </c>
      <c r="C23" s="5">
        <f t="shared" si="1"/>
        <v>347489.875</v>
      </c>
      <c r="D23" s="5">
        <f t="shared" si="1"/>
        <v>314529.25</v>
      </c>
      <c r="E23" s="5">
        <f t="shared" si="1"/>
        <v>2677556</v>
      </c>
      <c r="F23" s="5">
        <f t="shared" si="1"/>
        <v>6928386.25</v>
      </c>
      <c r="G23" s="5">
        <f t="shared" si="1"/>
        <v>8953168.375</v>
      </c>
      <c r="H23" s="5">
        <f t="shared" si="1"/>
        <v>12842013.5</v>
      </c>
      <c r="I23" s="5">
        <f t="shared" si="1"/>
        <v>166699.25</v>
      </c>
      <c r="J23" s="5">
        <f t="shared" si="1"/>
        <v>201618.625</v>
      </c>
      <c r="K23" s="5"/>
      <c r="L23" s="5">
        <f>AVERAGE(L5:L20)</f>
        <v>262307.5</v>
      </c>
      <c r="M23" s="5"/>
      <c r="N23" s="5" t="s">
        <v>0</v>
      </c>
      <c r="O23" s="5">
        <f>AVERAGE(O5:O20)</f>
        <v>709042.9375</v>
      </c>
      <c r="P23" s="5">
        <f>AVERAGE(P5:P20)</f>
        <v>6315428.25</v>
      </c>
      <c r="Q23" s="5">
        <f>AVERAGE(Q5:Q20)</f>
        <v>201901.71428571429</v>
      </c>
      <c r="R23" s="5">
        <f>AVERAGE(R5:R20)</f>
        <v>620346.375</v>
      </c>
      <c r="S23" s="5">
        <f>AVERAGE(S5:S20)</f>
        <v>781010.625</v>
      </c>
      <c r="T23" s="5">
        <f t="shared" ref="T23:V23" si="2">AVERAGE(T5:T20)</f>
        <v>529999.625</v>
      </c>
      <c r="U23" s="5">
        <f t="shared" si="2"/>
        <v>611103</v>
      </c>
      <c r="V23" s="5">
        <f t="shared" si="2"/>
        <v>576514.75</v>
      </c>
    </row>
    <row r="24" spans="1:22" x14ac:dyDescent="0.3">
      <c r="A24" s="3" t="s">
        <v>1</v>
      </c>
      <c r="B24" s="3">
        <f t="shared" ref="B24:J24" si="3">STDEV(B5:B20)</f>
        <v>130346.51685603264</v>
      </c>
      <c r="C24" s="3">
        <f t="shared" si="3"/>
        <v>418496.79785238078</v>
      </c>
      <c r="D24" s="3">
        <f t="shared" si="3"/>
        <v>251420.37239636842</v>
      </c>
      <c r="E24" s="3">
        <f t="shared" si="3"/>
        <v>1615171.5176846285</v>
      </c>
      <c r="F24" s="3">
        <f t="shared" si="3"/>
        <v>2777916.2465703241</v>
      </c>
      <c r="G24" s="3">
        <f t="shared" si="3"/>
        <v>2536544.956567605</v>
      </c>
      <c r="H24" s="3">
        <f t="shared" si="3"/>
        <v>4240582.3728444595</v>
      </c>
      <c r="I24" s="3">
        <f t="shared" si="3"/>
        <v>153082.84448507891</v>
      </c>
      <c r="J24" s="3">
        <f t="shared" si="3"/>
        <v>193340.90798966435</v>
      </c>
      <c r="K24" s="3"/>
      <c r="L24" s="3">
        <f>STDEV(L5:L20)</f>
        <v>171311.35741850693</v>
      </c>
      <c r="M24" s="3"/>
      <c r="N24" s="3" t="s">
        <v>1</v>
      </c>
      <c r="O24" s="3">
        <f>STDEV(O5:O20)</f>
        <v>942644.46243282116</v>
      </c>
      <c r="P24" s="3">
        <f>STDEV(P5:P20)</f>
        <v>2730842.2570323166</v>
      </c>
      <c r="Q24" s="3">
        <f>STDEV(Q5:Q20)</f>
        <v>159876.41603513039</v>
      </c>
      <c r="R24" s="3">
        <f>STDEV(R5:R20)</f>
        <v>737093.29124162474</v>
      </c>
      <c r="S24" s="3">
        <f>STDEV(S5:S20)</f>
        <v>902676.71980282187</v>
      </c>
      <c r="T24" s="3">
        <f t="shared" ref="T24:V24" si="4">STDEV(T5:T20)</f>
        <v>394994.7050187373</v>
      </c>
      <c r="U24" s="3">
        <f t="shared" si="4"/>
        <v>746530.69366159162</v>
      </c>
      <c r="V24" s="3">
        <f t="shared" si="4"/>
        <v>961891.85901976528</v>
      </c>
    </row>
    <row r="25" spans="1:22" ht="15" thickBot="1" x14ac:dyDescent="0.35"/>
    <row r="26" spans="1:22" ht="15" thickBot="1" x14ac:dyDescent="0.35">
      <c r="B26" s="221" t="s">
        <v>6</v>
      </c>
      <c r="C26" s="222"/>
      <c r="D26" s="222"/>
      <c r="E26" s="222"/>
      <c r="F26" s="222"/>
      <c r="G26" s="222"/>
      <c r="H26" s="222"/>
      <c r="I26" s="222"/>
      <c r="J26" s="222"/>
      <c r="K26" s="222"/>
      <c r="L26" s="222"/>
      <c r="M26" s="222"/>
      <c r="O26" s="221" t="s">
        <v>3</v>
      </c>
      <c r="P26" s="222"/>
      <c r="Q26" s="222"/>
      <c r="R26" s="222"/>
      <c r="S26" s="222"/>
      <c r="T26" s="222"/>
      <c r="U26" s="222"/>
      <c r="V26" s="222"/>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Atenolol-0.01mg/L</v>
      </c>
      <c r="J27" s="35" t="str">
        <f t="shared" si="5"/>
        <v>Atenolol-0.1mg/L</v>
      </c>
      <c r="K27" s="35" t="str">
        <f t="shared" si="5"/>
        <v>Atenolol-1mg/L</v>
      </c>
      <c r="L27" s="35" t="str">
        <f t="shared" si="5"/>
        <v>Atenolol-10mg/L</v>
      </c>
      <c r="M27" s="35" t="str">
        <f t="shared" si="5"/>
        <v>Atenolol-100mg/L</v>
      </c>
      <c r="N27" s="3"/>
      <c r="O27" s="36" t="str">
        <f>O4</f>
        <v>Testo -30µg/L</v>
      </c>
      <c r="P27" s="36" t="str">
        <f t="shared" ref="P27:V27" si="6">P4</f>
        <v>Testo 30µg/L + EE2 -64ng/L</v>
      </c>
      <c r="Q27" s="36" t="str">
        <f t="shared" si="6"/>
        <v>Testo 30µg/L + FAD-10µg/L</v>
      </c>
      <c r="R27" s="36" t="str">
        <f t="shared" si="6"/>
        <v>Atenolol-0.01mg/L + Testostérone</v>
      </c>
      <c r="S27" s="36" t="str">
        <f t="shared" si="6"/>
        <v>Atenolol-0.1mg/L + Testostérone</v>
      </c>
      <c r="T27" s="36" t="str">
        <f t="shared" si="6"/>
        <v>Atenolol-1mg/L + Testostérone</v>
      </c>
      <c r="U27" s="36" t="str">
        <f t="shared" si="6"/>
        <v>Atenolol-10mg/L + Testostérone</v>
      </c>
      <c r="V27" s="36" t="str">
        <f t="shared" si="6"/>
        <v>Atenolol-100mg/L + Testostérone</v>
      </c>
    </row>
    <row r="28" spans="1:22" x14ac:dyDescent="0.3">
      <c r="A28" s="224" t="s">
        <v>34</v>
      </c>
      <c r="B28" s="11">
        <f t="shared" ref="B28:M28" si="7">IF(B5="","",(B5/$O$23))</f>
        <v>6.7698297890457448E-2</v>
      </c>
      <c r="C28" s="11">
        <f t="shared" si="7"/>
        <v>0.19480625600336088</v>
      </c>
      <c r="D28" s="11">
        <f t="shared" si="7"/>
        <v>1.2095177240235893</v>
      </c>
      <c r="E28" s="11">
        <f t="shared" si="7"/>
        <v>3.2698880101319676</v>
      </c>
      <c r="F28" s="11">
        <f t="shared" si="7"/>
        <v>9.7974997459163049</v>
      </c>
      <c r="G28" s="11">
        <f t="shared" si="7"/>
        <v>12.73597764310289</v>
      </c>
      <c r="H28" s="11">
        <f t="shared" si="7"/>
        <v>14.057021758290908</v>
      </c>
      <c r="I28" s="11">
        <f t="shared" si="7"/>
        <v>3.8234637941090836E-3</v>
      </c>
      <c r="J28" s="11">
        <f t="shared" si="7"/>
        <v>5.7649541146441503E-2</v>
      </c>
      <c r="K28" s="11">
        <f t="shared" si="7"/>
        <v>3.5989357837726152E-2</v>
      </c>
      <c r="L28" s="11">
        <f t="shared" si="7"/>
        <v>0.43543202205578702</v>
      </c>
      <c r="M28" s="11">
        <f t="shared" si="7"/>
        <v>0.43840786440383944</v>
      </c>
      <c r="N28" s="6"/>
      <c r="O28" s="11">
        <f t="shared" ref="O28:V39" si="8">IF(O5="","",(O5/$O$23))</f>
        <v>0.76818196923370385</v>
      </c>
      <c r="P28" s="11">
        <f t="shared" si="8"/>
        <v>8.0323654588266731</v>
      </c>
      <c r="Q28" s="11">
        <f t="shared" si="8"/>
        <v>0.24693850081540372</v>
      </c>
      <c r="R28" s="11">
        <f t="shared" si="8"/>
        <v>2.4796805764672043E-2</v>
      </c>
      <c r="S28" s="11">
        <f t="shared" si="8"/>
        <v>0.131080919200327</v>
      </c>
      <c r="T28" s="11">
        <f t="shared" si="8"/>
        <v>0.88893347167709436</v>
      </c>
      <c r="U28" s="11">
        <f t="shared" si="8"/>
        <v>0.21361188722086383</v>
      </c>
      <c r="V28" s="11">
        <f t="shared" si="8"/>
        <v>0.12920797197842479</v>
      </c>
    </row>
    <row r="29" spans="1:22" x14ac:dyDescent="0.3">
      <c r="A29" s="224"/>
      <c r="B29" s="11">
        <f t="shared" ref="B29:M29" si="9">IF(B6="","",(B6/$O$23))</f>
        <v>0.339419500952296</v>
      </c>
      <c r="C29" s="11">
        <f t="shared" si="9"/>
        <v>4.2352865266357727E-3</v>
      </c>
      <c r="D29" s="11">
        <f t="shared" si="9"/>
        <v>0.16821689307073875</v>
      </c>
      <c r="E29" s="11">
        <f t="shared" si="9"/>
        <v>1.6051439762066595</v>
      </c>
      <c r="F29" s="11">
        <f t="shared" si="9"/>
        <v>18.064035790498231</v>
      </c>
      <c r="G29" s="11">
        <f t="shared" si="9"/>
        <v>9.6730517113429393</v>
      </c>
      <c r="H29" s="11">
        <f t="shared" si="9"/>
        <v>12.619397961354068</v>
      </c>
      <c r="I29" s="11">
        <f t="shared" si="9"/>
        <v>9.9290178741819848E-2</v>
      </c>
      <c r="J29" s="11">
        <f t="shared" si="9"/>
        <v>0.16846652534353745</v>
      </c>
      <c r="K29" s="11">
        <f t="shared" si="9"/>
        <v>0.82212369543558139</v>
      </c>
      <c r="L29" s="11">
        <f t="shared" si="9"/>
        <v>0.17823744277828027</v>
      </c>
      <c r="M29" s="11">
        <f t="shared" si="9"/>
        <v>0.81047701007528894</v>
      </c>
      <c r="N29" s="6"/>
      <c r="O29" s="11">
        <f t="shared" si="8"/>
        <v>1.0242257014230538</v>
      </c>
      <c r="P29" s="11">
        <f t="shared" si="8"/>
        <v>3.926838351732401</v>
      </c>
      <c r="Q29" s="11">
        <f t="shared" si="8"/>
        <v>0.31592303956909523</v>
      </c>
      <c r="R29" s="11">
        <f t="shared" si="8"/>
        <v>3.0505049632484353</v>
      </c>
      <c r="S29" s="11">
        <f t="shared" si="8"/>
        <v>0.64225447559725535</v>
      </c>
      <c r="T29" s="11">
        <f t="shared" si="8"/>
        <v>0.21357944912891824</v>
      </c>
      <c r="U29" s="11">
        <f t="shared" si="8"/>
        <v>3.331892717710061</v>
      </c>
      <c r="V29" s="11">
        <f t="shared" si="8"/>
        <v>2.1299133241842634E-2</v>
      </c>
    </row>
    <row r="30" spans="1:22" x14ac:dyDescent="0.3">
      <c r="A30" s="224"/>
      <c r="B30" s="11">
        <f t="shared" ref="B30:M30" si="10">IF(B7="","",(B7/$O$23))</f>
        <v>0.55849932219372822</v>
      </c>
      <c r="C30" s="11">
        <f t="shared" si="10"/>
        <v>0.24709081881236564</v>
      </c>
      <c r="D30" s="11">
        <f t="shared" si="10"/>
        <v>0.22654622379621403</v>
      </c>
      <c r="E30" s="11">
        <f t="shared" si="10"/>
        <v>2.2722502612897122</v>
      </c>
      <c r="F30" s="11">
        <f t="shared" si="10"/>
        <v>6.0171066861518527</v>
      </c>
      <c r="G30" s="11">
        <f t="shared" si="10"/>
        <v>16.011985169797985</v>
      </c>
      <c r="H30" s="11">
        <f t="shared" si="10"/>
        <v>25.640523356880625</v>
      </c>
      <c r="I30" s="11">
        <f t="shared" si="10"/>
        <v>0.14031167188658444</v>
      </c>
      <c r="J30" s="11">
        <f t="shared" si="10"/>
        <v>5.4108147717076727E-2</v>
      </c>
      <c r="K30" s="11">
        <f t="shared" si="10"/>
        <v>0.20330785679675428</v>
      </c>
      <c r="L30" s="11">
        <f t="shared" si="10"/>
        <v>0.68339161759156508</v>
      </c>
      <c r="M30" s="11">
        <f t="shared" si="10"/>
        <v>0.44546385457791826</v>
      </c>
      <c r="N30" s="6"/>
      <c r="O30" s="11">
        <f t="shared" si="8"/>
        <v>3.4139103176667631</v>
      </c>
      <c r="P30" s="11">
        <f t="shared" si="8"/>
        <v>5.128422846747557</v>
      </c>
      <c r="Q30" s="11">
        <f t="shared" si="8"/>
        <v>7.4302975480945402E-2</v>
      </c>
      <c r="R30" s="11">
        <f t="shared" si="8"/>
        <v>3.2864018196359229E-2</v>
      </c>
      <c r="S30" s="11">
        <f t="shared" si="8"/>
        <v>4.0383351255085307</v>
      </c>
      <c r="T30" s="11">
        <f t="shared" si="8"/>
        <v>0.80232517653417856</v>
      </c>
      <c r="U30" s="11">
        <f t="shared" si="8"/>
        <v>0.11705638066524003</v>
      </c>
      <c r="V30" s="11">
        <f t="shared" si="8"/>
        <v>3.9932405362968586</v>
      </c>
    </row>
    <row r="31" spans="1:22" x14ac:dyDescent="0.3">
      <c r="A31" s="224"/>
      <c r="B31" s="11">
        <f t="shared" ref="B31:M31" si="11">IF(B8="","",(B8/$O$23))</f>
        <v>0.20298488622912206</v>
      </c>
      <c r="C31" s="11">
        <f t="shared" si="11"/>
        <v>0.34517091568943242</v>
      </c>
      <c r="D31" s="11">
        <f t="shared" si="11"/>
        <v>0.30219890597246096</v>
      </c>
      <c r="E31" s="11">
        <f t="shared" si="11"/>
        <v>3.2881506558973377</v>
      </c>
      <c r="F31" s="11">
        <f t="shared" si="11"/>
        <v>8.7791862393382907</v>
      </c>
      <c r="G31" s="11">
        <f t="shared" si="11"/>
        <v>18.880794507596374</v>
      </c>
      <c r="H31" s="11">
        <f t="shared" si="11"/>
        <v>22.631121687182731</v>
      </c>
      <c r="I31" s="11">
        <f t="shared" si="11"/>
        <v>0.22588053773541747</v>
      </c>
      <c r="J31" s="11">
        <f t="shared" si="11"/>
        <v>0.82532237337178183</v>
      </c>
      <c r="K31" s="11">
        <f t="shared" si="11"/>
        <v>0.31928954937231852</v>
      </c>
      <c r="L31" s="11">
        <f t="shared" si="11"/>
        <v>0.10596537392349388</v>
      </c>
      <c r="M31" s="11">
        <f t="shared" si="11"/>
        <v>0.3559347208080752</v>
      </c>
      <c r="N31" s="6"/>
      <c r="O31" s="11">
        <f t="shared" si="8"/>
        <v>0.40898369430553705</v>
      </c>
      <c r="P31" s="11">
        <f t="shared" si="8"/>
        <v>13.8511244955458</v>
      </c>
      <c r="Q31" s="11">
        <f t="shared" si="8"/>
        <v>0.18320893295689869</v>
      </c>
      <c r="R31" s="11">
        <f t="shared" si="8"/>
        <v>1.1450533628649253</v>
      </c>
      <c r="S31" s="11">
        <f t="shared" si="8"/>
        <v>0.76925806767520333</v>
      </c>
      <c r="T31" s="11">
        <f t="shared" si="8"/>
        <v>0.82349455740823874</v>
      </c>
      <c r="U31" s="11">
        <f t="shared" si="8"/>
        <v>0.89699081164601546</v>
      </c>
      <c r="V31" s="11">
        <f t="shared" si="8"/>
        <v>0.14412244251428002</v>
      </c>
    </row>
    <row r="32" spans="1:22" x14ac:dyDescent="0.3">
      <c r="A32" s="224"/>
      <c r="B32" s="11">
        <f t="shared" ref="B32:M32" si="12">IF(B9="","",(B9/$O$23))</f>
        <v>0.4141554544431239</v>
      </c>
      <c r="C32" s="11">
        <f t="shared" si="12"/>
        <v>0.59959697433697379</v>
      </c>
      <c r="D32" s="11">
        <f t="shared" si="12"/>
        <v>0.30539617355683768</v>
      </c>
      <c r="E32" s="11">
        <f t="shared" si="12"/>
        <v>7.8585029274055778</v>
      </c>
      <c r="F32" s="11">
        <f t="shared" si="12"/>
        <v>8.2255582723436973</v>
      </c>
      <c r="G32" s="11">
        <f t="shared" si="12"/>
        <v>13.440960336763808</v>
      </c>
      <c r="H32" s="11">
        <f t="shared" si="12"/>
        <v>26.359420581634382</v>
      </c>
      <c r="I32" s="11">
        <f t="shared" si="12"/>
        <v>0.72264735025303029</v>
      </c>
      <c r="J32" s="11">
        <f t="shared" si="12"/>
        <v>0.49179250163534699</v>
      </c>
      <c r="K32" s="11">
        <f t="shared" si="12"/>
        <v>0.35248782095089976</v>
      </c>
      <c r="L32" s="11">
        <f t="shared" si="12"/>
        <v>8.8352900348859342E-2</v>
      </c>
      <c r="M32" s="11">
        <f t="shared" si="12"/>
        <v>0.69445159659318945</v>
      </c>
      <c r="N32" s="6"/>
      <c r="O32" s="11">
        <f t="shared" si="8"/>
        <v>3.4430312621229655</v>
      </c>
      <c r="P32" s="11">
        <f t="shared" si="8"/>
        <v>11.303180070106826</v>
      </c>
      <c r="Q32" s="11">
        <f t="shared" si="8"/>
        <v>0.65845377664452087</v>
      </c>
      <c r="R32" s="11">
        <f t="shared" si="8"/>
        <v>0.22521626202644462</v>
      </c>
      <c r="S32" s="11">
        <f t="shared" si="8"/>
        <v>0.63364709841708278</v>
      </c>
      <c r="T32" s="11">
        <f t="shared" si="8"/>
        <v>0.12702333700348012</v>
      </c>
      <c r="U32" s="11">
        <f t="shared" si="8"/>
        <v>0.62059570264036368</v>
      </c>
      <c r="V32" s="11">
        <f t="shared" si="8"/>
        <v>0.19590492007403995</v>
      </c>
    </row>
    <row r="33" spans="1:22" x14ac:dyDescent="0.3">
      <c r="A33" s="224"/>
      <c r="B33" s="11">
        <f t="shared" ref="B33:M33" si="13">IF(B10="","",(B10/$O$23))</f>
        <v>5.8825774567425266E-3</v>
      </c>
      <c r="C33" s="11">
        <f t="shared" si="13"/>
        <v>1.8897261775490148</v>
      </c>
      <c r="D33" s="11">
        <f t="shared" si="13"/>
        <v>0.51769220252616932</v>
      </c>
      <c r="E33" s="11">
        <f t="shared" si="13"/>
        <v>2.2225283077444091</v>
      </c>
      <c r="F33" s="11">
        <f t="shared" si="13"/>
        <v>12.424399897502681</v>
      </c>
      <c r="G33" s="11">
        <f t="shared" si="13"/>
        <v>7.5578554084392104</v>
      </c>
      <c r="H33" s="11">
        <f t="shared" si="13"/>
        <v>12.596025610931354</v>
      </c>
      <c r="I33" s="11">
        <f t="shared" si="13"/>
        <v>0.29049862724286707</v>
      </c>
      <c r="J33" s="11">
        <f t="shared" si="13"/>
        <v>0.33619684703509228</v>
      </c>
      <c r="K33" s="11">
        <f t="shared" si="13"/>
        <v>0.38892990172404052</v>
      </c>
      <c r="L33" s="11">
        <f t="shared" si="13"/>
        <v>0.44368116987273426</v>
      </c>
      <c r="M33" s="11">
        <f t="shared" si="13"/>
        <v>0.83881802997297328</v>
      </c>
      <c r="N33" s="6"/>
      <c r="O33" s="11">
        <f t="shared" si="8"/>
        <v>0.29607515835386206</v>
      </c>
      <c r="P33" s="11">
        <f t="shared" si="8"/>
        <v>6.6986662567244029</v>
      </c>
      <c r="Q33" s="11">
        <f t="shared" si="8"/>
        <v>2.6046377480489324E-2</v>
      </c>
      <c r="R33" s="11">
        <f t="shared" si="8"/>
        <v>0.77235661063191963</v>
      </c>
      <c r="S33" s="11">
        <f t="shared" si="8"/>
        <v>1.3950128372867405</v>
      </c>
      <c r="T33" s="11">
        <f t="shared" si="8"/>
        <v>0.66385965518484558</v>
      </c>
      <c r="U33" s="11">
        <f t="shared" si="8"/>
        <v>1.0414066073396295</v>
      </c>
      <c r="V33" s="11">
        <f t="shared" si="8"/>
        <v>9.5438507911236332E-3</v>
      </c>
    </row>
    <row r="34" spans="1:22" x14ac:dyDescent="0.3">
      <c r="A34" s="224"/>
      <c r="B34" s="11">
        <f t="shared" ref="B34:M34" si="14">IF(B11="","",(B11/$O$23))</f>
        <v>0.15326575338746676</v>
      </c>
      <c r="C34" s="11">
        <f t="shared" si="14"/>
        <v>0.26317588136190978</v>
      </c>
      <c r="D34" s="11">
        <f t="shared" si="14"/>
        <v>0.65827043090743709</v>
      </c>
      <c r="E34" s="11">
        <f t="shared" si="14"/>
        <v>5.9176077753401222</v>
      </c>
      <c r="F34" s="11">
        <f t="shared" si="14"/>
        <v>6.1622079128317955</v>
      </c>
      <c r="G34" s="11">
        <f t="shared" si="14"/>
        <v>10.766068733319836</v>
      </c>
      <c r="H34" s="11">
        <f t="shared" si="14"/>
        <v>18.19058524928894</v>
      </c>
      <c r="I34" s="11">
        <f t="shared" si="14"/>
        <v>0.16805893366648195</v>
      </c>
      <c r="J34" s="11">
        <f t="shared" si="14"/>
        <v>0.30923233051736027</v>
      </c>
      <c r="K34" s="11">
        <f t="shared" si="14"/>
        <v>0.87309522069670142</v>
      </c>
      <c r="L34" s="11">
        <f t="shared" si="14"/>
        <v>0.70514770482429356</v>
      </c>
      <c r="M34" s="11">
        <f t="shared" si="14"/>
        <v>0.18387320866587153</v>
      </c>
      <c r="N34" s="6"/>
      <c r="O34" s="11">
        <f t="shared" si="8"/>
        <v>0.41325988103506073</v>
      </c>
      <c r="P34" s="11">
        <f t="shared" si="8"/>
        <v>14.22336006273245</v>
      </c>
      <c r="Q34" s="11">
        <f t="shared" si="8"/>
        <v>0.48839355374017812</v>
      </c>
      <c r="R34" s="11">
        <f t="shared" si="8"/>
        <v>1.5429093812812993</v>
      </c>
      <c r="S34" s="11">
        <f t="shared" si="8"/>
        <v>3.0369105820195832E-2</v>
      </c>
      <c r="T34" s="11">
        <f t="shared" si="8"/>
        <v>1.9375399250768224</v>
      </c>
      <c r="U34" s="11">
        <f t="shared" si="8"/>
        <v>0.4789766346131894</v>
      </c>
      <c r="V34" s="11">
        <f t="shared" si="8"/>
        <v>1.2570494011866524</v>
      </c>
    </row>
    <row r="35" spans="1:22" x14ac:dyDescent="0.3">
      <c r="A35" s="224"/>
      <c r="B35" s="11">
        <f t="shared" ref="B35:M35" si="15">IF(B12="","",(B12/$O$23))</f>
        <v>0.29742627540098726</v>
      </c>
      <c r="C35" s="11">
        <f t="shared" si="15"/>
        <v>0.37686152116845534</v>
      </c>
      <c r="D35" s="11">
        <f t="shared" si="15"/>
        <v>0.16093665695668818</v>
      </c>
      <c r="E35" s="11" t="str">
        <f t="shared" si="15"/>
        <v/>
      </c>
      <c r="F35" s="11">
        <f t="shared" si="15"/>
        <v>8.7017029204948528</v>
      </c>
      <c r="G35" s="11">
        <f t="shared" si="15"/>
        <v>11.950245255774796</v>
      </c>
      <c r="H35" s="11">
        <f t="shared" si="15"/>
        <v>12.799961074289666</v>
      </c>
      <c r="I35" s="11">
        <f t="shared" si="15"/>
        <v>0.23032596668378774</v>
      </c>
      <c r="J35" s="11">
        <f t="shared" si="15"/>
        <v>3.2057296953190512E-2</v>
      </c>
      <c r="K35" s="11">
        <f t="shared" si="15"/>
        <v>0.21461605771935355</v>
      </c>
      <c r="L35" s="11">
        <f t="shared" si="15"/>
        <v>0.31935865661168089</v>
      </c>
      <c r="M35" s="11">
        <f t="shared" si="15"/>
        <v>0.39580818756833042</v>
      </c>
      <c r="N35" s="6"/>
      <c r="O35" s="11">
        <f t="shared" si="8"/>
        <v>0.77951273578548264</v>
      </c>
      <c r="P35" s="11">
        <f t="shared" si="8"/>
        <v>8.0918484573439535</v>
      </c>
      <c r="Q35" s="11" t="str">
        <f t="shared" si="8"/>
        <v/>
      </c>
      <c r="R35" s="11">
        <f t="shared" si="8"/>
        <v>0.20555172654829526</v>
      </c>
      <c r="S35" s="11">
        <f t="shared" si="8"/>
        <v>1.1720404450118369</v>
      </c>
      <c r="T35" s="11">
        <f t="shared" si="8"/>
        <v>0.52313192951026322</v>
      </c>
      <c r="U35" s="11">
        <f t="shared" si="8"/>
        <v>0.19443110241825093</v>
      </c>
      <c r="V35" s="11">
        <f t="shared" si="8"/>
        <v>0.75434077643570074</v>
      </c>
    </row>
    <row r="36" spans="1:22" x14ac:dyDescent="0.3">
      <c r="A36" s="224"/>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0.46972754735322358</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4"/>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0.15600324627731024</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4"/>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si="8"/>
        <v>3.9745914541317888</v>
      </c>
      <c r="P38" s="11" t="str">
        <f t="shared" si="8"/>
        <v/>
      </c>
      <c r="Q38" s="11" t="str">
        <f t="shared" si="8"/>
        <v/>
      </c>
      <c r="R38" s="11" t="str">
        <f t="shared" si="8"/>
        <v/>
      </c>
      <c r="S38" s="11" t="str">
        <f t="shared" si="8"/>
        <v/>
      </c>
      <c r="T38" s="11" t="str">
        <f t="shared" si="8"/>
        <v/>
      </c>
      <c r="U38" s="11" t="str">
        <f t="shared" si="8"/>
        <v/>
      </c>
      <c r="V38" s="11" t="str">
        <f t="shared" si="8"/>
        <v/>
      </c>
    </row>
    <row r="39" spans="1:22" x14ac:dyDescent="0.3">
      <c r="A39" s="224"/>
      <c r="B39" s="11" t="str">
        <f t="shared" ref="B39:M39" si="19">IF(B16="","",(B16/$O$23))</f>
        <v/>
      </c>
      <c r="C39" s="11" t="str">
        <f t="shared" si="19"/>
        <v/>
      </c>
      <c r="D39" s="11" t="str">
        <f t="shared" si="19"/>
        <v/>
      </c>
      <c r="E39" s="11" t="str">
        <f t="shared" si="19"/>
        <v/>
      </c>
      <c r="F39" s="11" t="str">
        <f t="shared" si="19"/>
        <v/>
      </c>
      <c r="G39" s="11" t="str">
        <f t="shared" si="19"/>
        <v/>
      </c>
      <c r="H39" s="11" t="str">
        <f t="shared" si="19"/>
        <v/>
      </c>
      <c r="I39" s="11" t="str">
        <f t="shared" si="19"/>
        <v/>
      </c>
      <c r="J39" s="11" t="str">
        <f t="shared" si="19"/>
        <v/>
      </c>
      <c r="K39" s="11" t="str">
        <f t="shared" si="19"/>
        <v/>
      </c>
      <c r="L39" s="11" t="str">
        <f t="shared" si="19"/>
        <v/>
      </c>
      <c r="M39" s="11" t="str">
        <f t="shared" si="19"/>
        <v/>
      </c>
      <c r="N39" s="6"/>
      <c r="O39" s="11">
        <f t="shared" si="8"/>
        <v>0.48922989237164499</v>
      </c>
      <c r="P39" s="11" t="str">
        <f t="shared" si="8"/>
        <v/>
      </c>
      <c r="Q39" s="11" t="str">
        <f t="shared" ref="Q39:V39" si="20">IF(Q16="","",(Q16/$O$23))</f>
        <v/>
      </c>
      <c r="R39" s="11" t="str">
        <f t="shared" si="20"/>
        <v/>
      </c>
      <c r="S39" s="11" t="str">
        <f t="shared" si="20"/>
        <v/>
      </c>
      <c r="T39" s="11" t="str">
        <f t="shared" si="20"/>
        <v/>
      </c>
      <c r="U39" s="11" t="str">
        <f t="shared" si="20"/>
        <v/>
      </c>
      <c r="V39" s="11" t="str">
        <f t="shared" si="20"/>
        <v/>
      </c>
    </row>
    <row r="40" spans="1:22" x14ac:dyDescent="0.3">
      <c r="A40" s="224"/>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ref="O40:V43" si="22">IF(O17="","",(O17/$O$23))</f>
        <v>0.19769888759381374</v>
      </c>
      <c r="P40" s="11" t="str">
        <f t="shared" si="22"/>
        <v/>
      </c>
      <c r="Q40" s="11" t="str">
        <f t="shared" si="22"/>
        <v/>
      </c>
      <c r="R40" s="11" t="str">
        <f t="shared" si="22"/>
        <v/>
      </c>
      <c r="S40" s="11" t="str">
        <f t="shared" si="22"/>
        <v/>
      </c>
      <c r="T40" s="11" t="str">
        <f t="shared" si="22"/>
        <v/>
      </c>
      <c r="U40" s="11" t="str">
        <f t="shared" si="22"/>
        <v/>
      </c>
      <c r="V40" s="11" t="str">
        <f t="shared" si="22"/>
        <v/>
      </c>
    </row>
    <row r="41" spans="1:22" x14ac:dyDescent="0.3">
      <c r="A41" s="224"/>
      <c r="B41" s="11" t="str">
        <f t="shared" ref="B41:M41" si="23">IF(B18="","",(B18/$O$23))</f>
        <v/>
      </c>
      <c r="C41" s="11" t="str">
        <f t="shared" si="23"/>
        <v/>
      </c>
      <c r="D41" s="11" t="str">
        <f t="shared" si="23"/>
        <v/>
      </c>
      <c r="E41" s="11" t="str">
        <f t="shared" si="23"/>
        <v/>
      </c>
      <c r="F41" s="11" t="str">
        <f t="shared" si="23"/>
        <v/>
      </c>
      <c r="G41" s="11" t="str">
        <f t="shared" si="23"/>
        <v/>
      </c>
      <c r="H41" s="11" t="str">
        <f t="shared" si="23"/>
        <v/>
      </c>
      <c r="I41" s="11" t="str">
        <f t="shared" si="23"/>
        <v/>
      </c>
      <c r="J41" s="11" t="str">
        <f t="shared" si="23"/>
        <v/>
      </c>
      <c r="K41" s="11" t="str">
        <f t="shared" si="23"/>
        <v/>
      </c>
      <c r="L41" s="11" t="str">
        <f t="shared" si="23"/>
        <v/>
      </c>
      <c r="M41" s="11" t="str">
        <f t="shared" si="23"/>
        <v/>
      </c>
      <c r="N41" s="6"/>
      <c r="O41" s="11">
        <f t="shared" si="22"/>
        <v>6.3546222121421247E-2</v>
      </c>
      <c r="P41" s="11" t="str">
        <f t="shared" si="22"/>
        <v/>
      </c>
      <c r="Q41" s="11" t="str">
        <f t="shared" si="22"/>
        <v/>
      </c>
      <c r="R41" s="11" t="str">
        <f t="shared" si="22"/>
        <v/>
      </c>
      <c r="S41" s="11" t="str">
        <f t="shared" si="22"/>
        <v/>
      </c>
      <c r="T41" s="11" t="str">
        <f t="shared" si="22"/>
        <v/>
      </c>
      <c r="U41" s="11" t="str">
        <f t="shared" si="22"/>
        <v/>
      </c>
      <c r="V41" s="11" t="str">
        <f t="shared" si="22"/>
        <v/>
      </c>
    </row>
    <row r="42" spans="1:22" x14ac:dyDescent="0.3">
      <c r="A42" s="224"/>
      <c r="B42" s="11" t="str">
        <f t="shared" ref="B42:M42" si="24">IF(B19="","",(B19/$O$23))</f>
        <v/>
      </c>
      <c r="C42" s="11" t="str">
        <f t="shared" si="24"/>
        <v/>
      </c>
      <c r="D42" s="11" t="str">
        <f t="shared" si="24"/>
        <v/>
      </c>
      <c r="E42" s="11" t="str">
        <f t="shared" si="24"/>
        <v/>
      </c>
      <c r="F42" s="11" t="str">
        <f t="shared" si="24"/>
        <v/>
      </c>
      <c r="G42" s="11" t="str">
        <f t="shared" si="24"/>
        <v/>
      </c>
      <c r="H42" s="11" t="str">
        <f t="shared" si="24"/>
        <v/>
      </c>
      <c r="I42" s="11" t="str">
        <f t="shared" si="24"/>
        <v/>
      </c>
      <c r="J42" s="11" t="str">
        <f t="shared" si="24"/>
        <v/>
      </c>
      <c r="K42" s="11" t="str">
        <f t="shared" si="24"/>
        <v/>
      </c>
      <c r="L42" s="11" t="str">
        <f t="shared" si="24"/>
        <v/>
      </c>
      <c r="M42" s="11" t="str">
        <f t="shared" si="24"/>
        <v/>
      </c>
      <c r="N42" s="6"/>
      <c r="O42" s="11">
        <f t="shared" si="22"/>
        <v>6.0979381802248045E-2</v>
      </c>
      <c r="P42" s="11" t="str">
        <f t="shared" si="22"/>
        <v/>
      </c>
      <c r="Q42" s="11" t="str">
        <f t="shared" si="22"/>
        <v/>
      </c>
      <c r="R42" s="11" t="str">
        <f t="shared" si="22"/>
        <v/>
      </c>
      <c r="S42" s="11" t="str">
        <f t="shared" si="22"/>
        <v/>
      </c>
      <c r="T42" s="11" t="str">
        <f t="shared" si="22"/>
        <v/>
      </c>
      <c r="U42" s="11" t="str">
        <f t="shared" si="22"/>
        <v/>
      </c>
      <c r="V42" s="11" t="str">
        <f t="shared" si="22"/>
        <v/>
      </c>
    </row>
    <row r="43" spans="1:22" x14ac:dyDescent="0.3">
      <c r="A43" s="224"/>
      <c r="B43" s="11" t="str">
        <f t="shared" ref="B43:M43" si="25">IF(B20="","",(B20/$O$23))</f>
        <v/>
      </c>
      <c r="C43" s="11" t="str">
        <f t="shared" si="25"/>
        <v/>
      </c>
      <c r="D43" s="11" t="str">
        <f t="shared" si="25"/>
        <v/>
      </c>
      <c r="E43" s="11" t="str">
        <f t="shared" si="25"/>
        <v/>
      </c>
      <c r="F43" s="11" t="str">
        <f t="shared" si="25"/>
        <v/>
      </c>
      <c r="G43" s="11" t="str">
        <f t="shared" si="25"/>
        <v/>
      </c>
      <c r="H43" s="11" t="str">
        <f t="shared" si="25"/>
        <v/>
      </c>
      <c r="I43" s="11" t="str">
        <f t="shared" si="25"/>
        <v/>
      </c>
      <c r="J43" s="11" t="str">
        <f t="shared" si="25"/>
        <v/>
      </c>
      <c r="K43" s="11" t="str">
        <f t="shared" si="25"/>
        <v/>
      </c>
      <c r="L43" s="11" t="str">
        <f t="shared" si="25"/>
        <v/>
      </c>
      <c r="M43" s="11" t="str">
        <f t="shared" si="25"/>
        <v/>
      </c>
      <c r="N43" s="6"/>
      <c r="O43" s="11">
        <f t="shared" si="22"/>
        <v>4.1042648422120416E-2</v>
      </c>
      <c r="P43" s="11" t="str">
        <f t="shared" si="22"/>
        <v/>
      </c>
      <c r="Q43" s="11" t="str">
        <f t="shared" si="22"/>
        <v/>
      </c>
      <c r="R43" s="11" t="str">
        <f t="shared" si="22"/>
        <v/>
      </c>
      <c r="S43" s="11" t="str">
        <f t="shared" si="22"/>
        <v/>
      </c>
      <c r="T43" s="11" t="str">
        <f t="shared" si="22"/>
        <v/>
      </c>
      <c r="U43" s="11" t="str">
        <f t="shared" si="22"/>
        <v/>
      </c>
      <c r="V43" s="11" t="str">
        <f t="shared" si="22"/>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6">B4</f>
        <v>Témoin solvant</v>
      </c>
      <c r="C45" s="7" t="str">
        <f t="shared" si="26"/>
        <v>EE2-33.8ng/L</v>
      </c>
      <c r="D45" s="7" t="str">
        <f t="shared" si="26"/>
        <v>EE2-50.6ng/L</v>
      </c>
      <c r="E45" s="7" t="str">
        <f t="shared" si="26"/>
        <v>EE2-76ng/L</v>
      </c>
      <c r="F45" s="7" t="str">
        <f t="shared" si="26"/>
        <v>EE2-114ng/L</v>
      </c>
      <c r="G45" s="7" t="str">
        <f t="shared" si="26"/>
        <v>EE2-170.9ng/L</v>
      </c>
      <c r="H45" s="7" t="str">
        <f t="shared" si="26"/>
        <v>EE2-488ng/L</v>
      </c>
      <c r="I45" s="7" t="str">
        <f t="shared" si="26"/>
        <v>Atenolol-0.01mg/L</v>
      </c>
      <c r="J45" s="7" t="str">
        <f t="shared" si="26"/>
        <v>Atenolol-0.1mg/L</v>
      </c>
      <c r="K45" s="7" t="str">
        <f t="shared" si="26"/>
        <v>Atenolol-1mg/L</v>
      </c>
      <c r="L45" s="7" t="str">
        <f t="shared" si="26"/>
        <v>Atenolol-10mg/L</v>
      </c>
      <c r="M45" s="7" t="str">
        <f t="shared" si="26"/>
        <v>Atenolol-100mg/L</v>
      </c>
      <c r="N45" s="7"/>
      <c r="O45" s="7" t="str">
        <f t="shared" si="26"/>
        <v>Testo -30µg/L</v>
      </c>
      <c r="P45" s="7" t="str">
        <f t="shared" si="26"/>
        <v>Testo 30µg/L + EE2 -64ng/L</v>
      </c>
      <c r="Q45" s="7" t="str">
        <f t="shared" si="26"/>
        <v>Testo 30µg/L + FAD-10µg/L</v>
      </c>
      <c r="R45" s="7" t="str">
        <f t="shared" si="26"/>
        <v>Atenolol-0.01mg/L + Testostérone</v>
      </c>
      <c r="S45" s="7" t="str">
        <f t="shared" si="26"/>
        <v>Atenolol-0.1mg/L + Testostérone</v>
      </c>
      <c r="T45" s="7" t="str">
        <f t="shared" si="26"/>
        <v>Atenolol-1mg/L + Testostérone</v>
      </c>
      <c r="U45" s="7" t="str">
        <f t="shared" si="26"/>
        <v>Atenolol-10mg/L + Testostérone</v>
      </c>
      <c r="V45" s="7" t="str">
        <f t="shared" si="26"/>
        <v>Atenolol-100mg/L + Testostérone</v>
      </c>
    </row>
    <row r="46" spans="1:22" x14ac:dyDescent="0.3">
      <c r="A46" s="8" t="s">
        <v>0</v>
      </c>
      <c r="B46" s="10">
        <f t="shared" ref="B46:H46" si="27">AVERAGE(B28:B43)</f>
        <v>0.25491650849424052</v>
      </c>
      <c r="C46" s="10">
        <f t="shared" si="27"/>
        <v>0.49008297893101854</v>
      </c>
      <c r="D46" s="10">
        <f t="shared" si="27"/>
        <v>0.44359690135126695</v>
      </c>
      <c r="E46" s="10">
        <f t="shared" si="27"/>
        <v>3.7762959877165407</v>
      </c>
      <c r="F46" s="10">
        <f t="shared" si="27"/>
        <v>9.7714621831347142</v>
      </c>
      <c r="G46" s="10">
        <f t="shared" si="27"/>
        <v>12.627117345767232</v>
      </c>
      <c r="H46" s="10">
        <f t="shared" si="27"/>
        <v>18.111757159981583</v>
      </c>
      <c r="I46" s="10">
        <f>AVERAGE(I28:I43)</f>
        <v>0.23510459125051225</v>
      </c>
      <c r="J46" s="9">
        <f>AVERAGE(J28:J43)</f>
        <v>0.28435319546497845</v>
      </c>
      <c r="K46" s="9">
        <f t="shared" ref="K46:M46" si="28">AVERAGE(K28:K43)</f>
        <v>0.40122993256667194</v>
      </c>
      <c r="L46" s="9">
        <f t="shared" si="28"/>
        <v>0.36994586100083682</v>
      </c>
      <c r="M46" s="9">
        <f t="shared" si="28"/>
        <v>0.5204043090831858</v>
      </c>
      <c r="N46" s="8" t="s">
        <v>0</v>
      </c>
      <c r="O46" s="10">
        <f t="shared" ref="O46:V46" si="29">AVERAGE(O28:O43)</f>
        <v>0.99999999999999989</v>
      </c>
      <c r="P46" s="10">
        <f t="shared" si="29"/>
        <v>8.9069757499700088</v>
      </c>
      <c r="Q46" s="10">
        <f t="shared" si="29"/>
        <v>0.28475245095536161</v>
      </c>
      <c r="R46" s="10">
        <f t="shared" si="29"/>
        <v>0.87490664132029372</v>
      </c>
      <c r="S46" s="10">
        <f t="shared" si="29"/>
        <v>1.1014997593146465</v>
      </c>
      <c r="T46" s="10">
        <f t="shared" si="29"/>
        <v>0.74748593769048011</v>
      </c>
      <c r="U46" s="10">
        <f t="shared" si="29"/>
        <v>0.86187023053170175</v>
      </c>
      <c r="V46" s="10">
        <f t="shared" si="29"/>
        <v>0.81308862906486523</v>
      </c>
    </row>
    <row r="47" spans="1:22" x14ac:dyDescent="0.3">
      <c r="A47" s="8" t="s">
        <v>1</v>
      </c>
      <c r="B47" s="8">
        <f t="shared" ref="B47:M47" si="30">STDEV(B28:B43)</f>
        <v>0.18383444776365554</v>
      </c>
      <c r="C47" s="8">
        <f t="shared" si="30"/>
        <v>0.59022772207272811</v>
      </c>
      <c r="D47" s="8">
        <f t="shared" si="30"/>
        <v>0.35459118072996582</v>
      </c>
      <c r="E47" s="8">
        <f t="shared" si="30"/>
        <v>2.2779600955895969</v>
      </c>
      <c r="F47" s="8">
        <f t="shared" si="30"/>
        <v>3.9178392444961379</v>
      </c>
      <c r="G47" s="8">
        <f t="shared" si="30"/>
        <v>3.5774208054467787</v>
      </c>
      <c r="H47" s="8">
        <f t="shared" si="30"/>
        <v>5.9807130831825859</v>
      </c>
      <c r="I47" s="8">
        <f t="shared" si="30"/>
        <v>0.21590066890001119</v>
      </c>
      <c r="J47" s="8">
        <f t="shared" si="30"/>
        <v>0.27267870218320078</v>
      </c>
      <c r="K47" s="8">
        <f t="shared" si="30"/>
        <v>0.29675586025178802</v>
      </c>
      <c r="L47" s="8">
        <f t="shared" si="30"/>
        <v>0.24160928535940304</v>
      </c>
      <c r="M47" s="8">
        <f t="shared" si="30"/>
        <v>0.23421267410345861</v>
      </c>
      <c r="N47" s="8" t="s">
        <v>1</v>
      </c>
      <c r="O47" s="8">
        <f t="shared" ref="O47:V47" si="31">STDEV(O28:O43)</f>
        <v>1.3294603367131363</v>
      </c>
      <c r="P47" s="8">
        <f t="shared" si="31"/>
        <v>3.8514483575013618</v>
      </c>
      <c r="Q47" s="8">
        <f t="shared" si="31"/>
        <v>0.22548199492520912</v>
      </c>
      <c r="R47" s="8">
        <f t="shared" si="31"/>
        <v>1.0395608675555348</v>
      </c>
      <c r="S47" s="8">
        <f t="shared" si="31"/>
        <v>1.2730917580048837</v>
      </c>
      <c r="T47" s="8">
        <f t="shared" si="31"/>
        <v>0.55708150258352629</v>
      </c>
      <c r="U47" s="8">
        <f t="shared" si="31"/>
        <v>1.052870925269729</v>
      </c>
      <c r="V47" s="8">
        <f t="shared" si="31"/>
        <v>1.3566059375914243</v>
      </c>
    </row>
    <row r="48" spans="1:22" x14ac:dyDescent="0.3">
      <c r="A48" s="8" t="s">
        <v>2</v>
      </c>
      <c r="B48" s="8">
        <f t="shared" ref="B48:M48" si="32" xml:space="preserve"> B47/SQRT(COUNT(B28:B43))</f>
        <v>6.4995292314682485E-2</v>
      </c>
      <c r="C48" s="8">
        <f t="shared" si="32"/>
        <v>0.20867701236095745</v>
      </c>
      <c r="D48" s="8">
        <f t="shared" si="32"/>
        <v>0.12536691422155172</v>
      </c>
      <c r="E48" s="8">
        <f t="shared" si="32"/>
        <v>0.86098798706557078</v>
      </c>
      <c r="F48" s="8">
        <f t="shared" si="32"/>
        <v>1.3851653486909996</v>
      </c>
      <c r="G48" s="8">
        <f t="shared" si="32"/>
        <v>1.2648092553446288</v>
      </c>
      <c r="H48" s="8">
        <f t="shared" si="32"/>
        <v>2.1145013887247552</v>
      </c>
      <c r="I48" s="8">
        <f t="shared" si="32"/>
        <v>7.6332413520954726E-2</v>
      </c>
      <c r="J48" s="8">
        <f t="shared" si="32"/>
        <v>9.6406479699444145E-2</v>
      </c>
      <c r="K48" s="8">
        <f t="shared" si="32"/>
        <v>0.10491904057044336</v>
      </c>
      <c r="L48" s="8">
        <f t="shared" si="32"/>
        <v>8.5421782037634758E-2</v>
      </c>
      <c r="M48" s="8">
        <f t="shared" si="32"/>
        <v>8.2806685049195236E-2</v>
      </c>
      <c r="N48" s="8" t="s">
        <v>2</v>
      </c>
      <c r="O48" s="8">
        <f t="shared" ref="O48:V48" si="33" xml:space="preserve"> O47/SQRT(COUNT(O28:O43))</f>
        <v>0.33236508417828409</v>
      </c>
      <c r="P48" s="8">
        <f t="shared" si="33"/>
        <v>1.3616926254895017</v>
      </c>
      <c r="Q48" s="8">
        <f t="shared" si="33"/>
        <v>8.5224183384975907E-2</v>
      </c>
      <c r="R48" s="8">
        <f t="shared" si="33"/>
        <v>0.36754026945234453</v>
      </c>
      <c r="S48" s="8">
        <f t="shared" si="33"/>
        <v>0.45010590757897817</v>
      </c>
      <c r="T48" s="8">
        <f t="shared" si="33"/>
        <v>0.19695805407520131</v>
      </c>
      <c r="U48" s="8">
        <f t="shared" si="33"/>
        <v>0.37224608548619004</v>
      </c>
      <c r="V48" s="8">
        <f t="shared" si="33"/>
        <v>0.47963262893441516</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5" t="s">
        <v>44</v>
      </c>
      <c r="B50" s="216"/>
      <c r="C50" s="216"/>
      <c r="D50" s="216"/>
      <c r="E50" s="216"/>
      <c r="F50" s="216"/>
      <c r="G50" s="216"/>
      <c r="H50" s="216"/>
      <c r="I50" s="216"/>
      <c r="J50" s="216"/>
      <c r="K50" s="216"/>
      <c r="L50" s="216"/>
      <c r="M50" s="216"/>
      <c r="N50" s="216"/>
      <c r="O50" s="216"/>
      <c r="P50" s="216"/>
      <c r="Q50" s="216"/>
      <c r="R50" s="216"/>
      <c r="S50" s="216"/>
      <c r="T50" s="216"/>
      <c r="U50" s="216"/>
      <c r="V50" s="216"/>
    </row>
    <row r="51" spans="1:22" ht="15" thickBot="1" x14ac:dyDescent="0.35"/>
    <row r="52" spans="1:22" x14ac:dyDescent="0.3">
      <c r="A52" s="45" t="str">
        <f t="shared" ref="A52:H52" si="34">A27</f>
        <v>Noms des groupes</v>
      </c>
      <c r="B52" s="46" t="str">
        <f t="shared" si="34"/>
        <v>Témoin solvant</v>
      </c>
      <c r="C52" s="46" t="str">
        <f t="shared" si="34"/>
        <v>EE2-33.8ng/L</v>
      </c>
      <c r="D52" s="46" t="str">
        <f t="shared" si="34"/>
        <v>EE2-50.6ng/L</v>
      </c>
      <c r="E52" s="46" t="str">
        <f t="shared" si="34"/>
        <v>EE2-76ng/L</v>
      </c>
      <c r="F52" s="46" t="str">
        <f t="shared" si="34"/>
        <v>EE2-114ng/L</v>
      </c>
      <c r="G52" s="46" t="str">
        <f t="shared" si="34"/>
        <v>EE2-170.9ng/L</v>
      </c>
      <c r="H52" s="46" t="str">
        <f t="shared" si="34"/>
        <v>EE2-488ng/L</v>
      </c>
      <c r="I52" s="46" t="str">
        <f>I4</f>
        <v>Atenolol-0.01mg/L</v>
      </c>
      <c r="J52" s="46" t="str">
        <f>J4</f>
        <v>Atenolol-0.1mg/L</v>
      </c>
      <c r="K52" s="46" t="str">
        <f t="shared" ref="K52:M52" si="35">K4</f>
        <v>Atenolol-1mg/L</v>
      </c>
      <c r="L52" s="46" t="str">
        <f t="shared" si="35"/>
        <v>Atenolol-10mg/L</v>
      </c>
      <c r="M52" s="46" t="str">
        <f t="shared" si="35"/>
        <v>Atenolol-100mg/L</v>
      </c>
      <c r="N52" s="47"/>
      <c r="O52" s="46" t="str">
        <f>O27</f>
        <v>Testo -30µg/L</v>
      </c>
      <c r="P52" s="46" t="str">
        <f>P27</f>
        <v>Testo 30µg/L + EE2 -64ng/L</v>
      </c>
      <c r="Q52" s="46" t="str">
        <f>Q27</f>
        <v>Testo 30µg/L + FAD-10µg/L</v>
      </c>
      <c r="R52" s="46" t="str">
        <f>R27</f>
        <v>Atenolol-0.01mg/L + Testostérone</v>
      </c>
      <c r="S52" s="46" t="str">
        <f t="shared" ref="S52:V52" si="36">S27</f>
        <v>Atenolol-0.1mg/L + Testostérone</v>
      </c>
      <c r="T52" s="46" t="str">
        <f t="shared" si="36"/>
        <v>Atenolol-1mg/L + Testostérone</v>
      </c>
      <c r="U52" s="46" t="str">
        <f t="shared" si="36"/>
        <v>Atenolol-10mg/L + Testostérone</v>
      </c>
      <c r="V52" s="46" t="str">
        <f t="shared" si="36"/>
        <v>Atenolol-100mg/L + Testostérone</v>
      </c>
    </row>
    <row r="53" spans="1:22" s="3" customFormat="1" x14ac:dyDescent="0.3">
      <c r="A53" s="61" t="s">
        <v>32</v>
      </c>
      <c r="B53" s="141">
        <f t="shared" ref="B53:V53" si="37">B46</f>
        <v>0.25491650849424052</v>
      </c>
      <c r="C53" s="141">
        <f t="shared" si="37"/>
        <v>0.49008297893101854</v>
      </c>
      <c r="D53" s="141">
        <f t="shared" si="37"/>
        <v>0.44359690135126695</v>
      </c>
      <c r="E53" s="141">
        <f t="shared" si="37"/>
        <v>3.7762959877165407</v>
      </c>
      <c r="F53" s="141">
        <f t="shared" si="37"/>
        <v>9.7714621831347142</v>
      </c>
      <c r="G53" s="141">
        <f t="shared" si="37"/>
        <v>12.627117345767232</v>
      </c>
      <c r="H53" s="141">
        <f t="shared" si="37"/>
        <v>18.111757159981583</v>
      </c>
      <c r="I53" s="141">
        <f t="shared" si="37"/>
        <v>0.23510459125051225</v>
      </c>
      <c r="J53" s="141">
        <f t="shared" si="37"/>
        <v>0.28435319546497845</v>
      </c>
      <c r="K53" s="141">
        <f t="shared" si="37"/>
        <v>0.40122993256667194</v>
      </c>
      <c r="L53" s="141">
        <f t="shared" si="37"/>
        <v>0.36994586100083682</v>
      </c>
      <c r="M53" s="141">
        <f t="shared" si="37"/>
        <v>0.5204043090831858</v>
      </c>
      <c r="N53" s="141"/>
      <c r="O53" s="141">
        <f t="shared" si="37"/>
        <v>0.99999999999999989</v>
      </c>
      <c r="P53" s="141">
        <f t="shared" si="37"/>
        <v>8.9069757499700088</v>
      </c>
      <c r="Q53" s="141">
        <f t="shared" si="37"/>
        <v>0.28475245095536161</v>
      </c>
      <c r="R53" s="141">
        <f t="shared" si="37"/>
        <v>0.87490664132029372</v>
      </c>
      <c r="S53" s="141">
        <f t="shared" si="37"/>
        <v>1.1014997593146465</v>
      </c>
      <c r="T53" s="141">
        <f t="shared" si="37"/>
        <v>0.74748593769048011</v>
      </c>
      <c r="U53" s="141">
        <f t="shared" si="37"/>
        <v>0.86187023053170175</v>
      </c>
      <c r="V53" s="141">
        <f t="shared" si="37"/>
        <v>0.81308862906486523</v>
      </c>
    </row>
    <row r="54" spans="1:22" s="3" customFormat="1" x14ac:dyDescent="0.3">
      <c r="A54" s="61" t="s">
        <v>2</v>
      </c>
      <c r="B54" s="141">
        <f t="shared" ref="B54:V54" si="38">B48</f>
        <v>6.4995292314682485E-2</v>
      </c>
      <c r="C54" s="141">
        <f t="shared" si="38"/>
        <v>0.20867701236095745</v>
      </c>
      <c r="D54" s="141">
        <f t="shared" si="38"/>
        <v>0.12536691422155172</v>
      </c>
      <c r="E54" s="141">
        <f t="shared" si="38"/>
        <v>0.86098798706557078</v>
      </c>
      <c r="F54" s="141">
        <f t="shared" si="38"/>
        <v>1.3851653486909996</v>
      </c>
      <c r="G54" s="141">
        <f t="shared" si="38"/>
        <v>1.2648092553446288</v>
      </c>
      <c r="H54" s="141">
        <f t="shared" si="38"/>
        <v>2.1145013887247552</v>
      </c>
      <c r="I54" s="141">
        <f t="shared" si="38"/>
        <v>7.6332413520954726E-2</v>
      </c>
      <c r="J54" s="141">
        <f t="shared" si="38"/>
        <v>9.6406479699444145E-2</v>
      </c>
      <c r="K54" s="141">
        <f t="shared" si="38"/>
        <v>0.10491904057044336</v>
      </c>
      <c r="L54" s="141">
        <f t="shared" si="38"/>
        <v>8.5421782037634758E-2</v>
      </c>
      <c r="M54" s="141">
        <f t="shared" si="38"/>
        <v>8.2806685049195236E-2</v>
      </c>
      <c r="N54" s="141"/>
      <c r="O54" s="141">
        <f t="shared" si="38"/>
        <v>0.33236508417828409</v>
      </c>
      <c r="P54" s="141">
        <f t="shared" si="38"/>
        <v>1.3616926254895017</v>
      </c>
      <c r="Q54" s="141">
        <f t="shared" si="38"/>
        <v>8.5224183384975907E-2</v>
      </c>
      <c r="R54" s="141">
        <f t="shared" si="38"/>
        <v>0.36754026945234453</v>
      </c>
      <c r="S54" s="141">
        <f t="shared" si="38"/>
        <v>0.45010590757897817</v>
      </c>
      <c r="T54" s="141">
        <f t="shared" si="38"/>
        <v>0.19695805407520131</v>
      </c>
      <c r="U54" s="141">
        <f t="shared" si="38"/>
        <v>0.37224608548619004</v>
      </c>
      <c r="V54" s="141">
        <f t="shared" si="38"/>
        <v>0.47963262893441516</v>
      </c>
    </row>
    <row r="55" spans="1:22" s="3" customFormat="1" x14ac:dyDescent="0.3">
      <c r="A55" s="61" t="s">
        <v>79</v>
      </c>
      <c r="B55" s="141">
        <f>(B53*100/$B53)-100</f>
        <v>0</v>
      </c>
      <c r="C55" s="141">
        <f t="shared" ref="C55:M55" si="39">(C53*100/$B53)-100</f>
        <v>92.252350318885391</v>
      </c>
      <c r="D55" s="141">
        <f t="shared" si="39"/>
        <v>74.016545249084743</v>
      </c>
      <c r="E55" s="141">
        <f t="shared" si="39"/>
        <v>1381.3854191015882</v>
      </c>
      <c r="F55" s="141">
        <f t="shared" si="39"/>
        <v>3733.2010119130778</v>
      </c>
      <c r="G55" s="141">
        <f t="shared" si="39"/>
        <v>4853.4325651775216</v>
      </c>
      <c r="H55" s="141">
        <f t="shared" si="39"/>
        <v>7004.9761613970923</v>
      </c>
      <c r="I55" s="141">
        <f t="shared" si="39"/>
        <v>-7.7719239765030466</v>
      </c>
      <c r="J55" s="141">
        <f t="shared" si="39"/>
        <v>11.547579693687439</v>
      </c>
      <c r="K55" s="141">
        <f t="shared" si="39"/>
        <v>57.396606024727959</v>
      </c>
      <c r="L55" s="141">
        <f t="shared" si="39"/>
        <v>45.124324503760107</v>
      </c>
      <c r="M55" s="141">
        <f t="shared" si="39"/>
        <v>104.14696253182976</v>
      </c>
      <c r="N55" s="141"/>
      <c r="O55" s="141">
        <f>(O53*100/$O53)-100</f>
        <v>0</v>
      </c>
      <c r="P55" s="141">
        <f t="shared" ref="P55:V55" si="40">(P53*100/$O53)-100</f>
        <v>790.69757499700097</v>
      </c>
      <c r="Q55" s="141">
        <f t="shared" si="40"/>
        <v>-71.524754904463833</v>
      </c>
      <c r="R55" s="141">
        <f t="shared" si="40"/>
        <v>-12.50933586797062</v>
      </c>
      <c r="S55" s="141">
        <f t="shared" si="40"/>
        <v>10.149975931464667</v>
      </c>
      <c r="T55" s="141">
        <f t="shared" si="40"/>
        <v>-25.251406230951972</v>
      </c>
      <c r="U55" s="141">
        <f t="shared" si="40"/>
        <v>-13.812976946829806</v>
      </c>
      <c r="V55" s="141">
        <f t="shared" si="40"/>
        <v>-18.691137093513461</v>
      </c>
    </row>
    <row r="56" spans="1:22" s="3" customFormat="1" x14ac:dyDescent="0.3">
      <c r="A56" s="61" t="s">
        <v>81</v>
      </c>
      <c r="B56" s="141" t="e">
        <f ca="1">[1]!SWTEST(B28:B43)</f>
        <v>#NAME?</v>
      </c>
      <c r="C56" s="141" t="e">
        <f ca="1">[1]!SWTEST(C28:C43)</f>
        <v>#NAME?</v>
      </c>
      <c r="D56" s="141" t="e">
        <f ca="1">[1]!SWTEST(D28:D43)</f>
        <v>#NAME?</v>
      </c>
      <c r="E56" s="141" t="e">
        <f ca="1">[1]!SWTEST(E28:E43)</f>
        <v>#NAME?</v>
      </c>
      <c r="F56" s="141" t="e">
        <f ca="1">[1]!SWTEST(F28:F43)</f>
        <v>#NAME?</v>
      </c>
      <c r="G56" s="141" t="e">
        <f ca="1">[1]!SWTEST(G28:G43)</f>
        <v>#NAME?</v>
      </c>
      <c r="H56" s="141" t="e">
        <f ca="1">[1]!SWTEST(H28:H43)</f>
        <v>#NAME?</v>
      </c>
      <c r="I56" s="141" t="e">
        <f ca="1">[1]!SWTEST(I28:I43)</f>
        <v>#NAME?</v>
      </c>
      <c r="J56" s="141" t="e">
        <f ca="1">[1]!SWTEST(J28:J43)</f>
        <v>#NAME?</v>
      </c>
      <c r="K56" s="141" t="e">
        <f ca="1">[1]!SWTEST(K28:K43)</f>
        <v>#NAME?</v>
      </c>
      <c r="L56" s="141" t="e">
        <f ca="1">[1]!SWTEST(L28:L43)</f>
        <v>#NAME?</v>
      </c>
      <c r="M56" s="141" t="e">
        <f ca="1">[1]!SWTEST(M28:M43)</f>
        <v>#NAME?</v>
      </c>
      <c r="N56" s="141"/>
      <c r="O56" s="141" t="e">
        <f ca="1">[1]!SWTEST(O28:O43)</f>
        <v>#NAME?</v>
      </c>
      <c r="P56" s="141" t="e">
        <f ca="1">[1]!SWTEST(P28:P43)</f>
        <v>#NAME?</v>
      </c>
      <c r="Q56" s="141" t="e">
        <f ca="1">[1]!SWTEST(Q28:Q43)</f>
        <v>#NAME?</v>
      </c>
      <c r="R56" s="141" t="e">
        <f ca="1">[1]!SWTEST(R28:R43)</f>
        <v>#NAME?</v>
      </c>
      <c r="S56" s="141" t="e">
        <f ca="1">[1]!SWTEST(S28:S43)</f>
        <v>#NAME?</v>
      </c>
      <c r="T56" s="141" t="e">
        <f ca="1">[1]!SWTEST(T28:T43)</f>
        <v>#NAME?</v>
      </c>
      <c r="U56" s="141" t="e">
        <f ca="1">[1]!SWTEST(U28:U43)</f>
        <v>#NAME?</v>
      </c>
      <c r="V56" s="141" t="e">
        <f ca="1">[1]!SWTEST(V28:V43)</f>
        <v>#NAME?</v>
      </c>
    </row>
    <row r="57" spans="1:22" s="3" customFormat="1" x14ac:dyDescent="0.3">
      <c r="A57" s="61" t="s">
        <v>85</v>
      </c>
      <c r="B57" s="141" t="e">
        <f ca="1">IF(B56&gt;0.05,"Oui","Non")</f>
        <v>#NAME?</v>
      </c>
      <c r="C57" s="141" t="e">
        <f t="shared" ref="C57:V57" ca="1" si="41">IF(C56&gt;0.05,"Oui","Non")</f>
        <v>#NAME?</v>
      </c>
      <c r="D57" s="141" t="e">
        <f t="shared" ca="1" si="41"/>
        <v>#NAME?</v>
      </c>
      <c r="E57" s="141" t="e">
        <f t="shared" ca="1" si="41"/>
        <v>#NAME?</v>
      </c>
      <c r="F57" s="141" t="e">
        <f t="shared" ca="1" si="41"/>
        <v>#NAME?</v>
      </c>
      <c r="G57" s="141" t="e">
        <f t="shared" ca="1" si="41"/>
        <v>#NAME?</v>
      </c>
      <c r="H57" s="141" t="e">
        <f t="shared" ca="1" si="41"/>
        <v>#NAME?</v>
      </c>
      <c r="I57" s="141" t="e">
        <f t="shared" ca="1" si="41"/>
        <v>#NAME?</v>
      </c>
      <c r="J57" s="141" t="e">
        <f t="shared" ca="1" si="41"/>
        <v>#NAME?</v>
      </c>
      <c r="K57" s="141" t="e">
        <f t="shared" ca="1" si="41"/>
        <v>#NAME?</v>
      </c>
      <c r="L57" s="141" t="e">
        <f t="shared" ca="1" si="41"/>
        <v>#NAME?</v>
      </c>
      <c r="M57" s="141" t="e">
        <f t="shared" ca="1" si="41"/>
        <v>#NAME?</v>
      </c>
      <c r="N57" s="141"/>
      <c r="O57" s="141" t="e">
        <f t="shared" ca="1" si="41"/>
        <v>#NAME?</v>
      </c>
      <c r="P57" s="141" t="e">
        <f t="shared" ca="1" si="41"/>
        <v>#NAME?</v>
      </c>
      <c r="Q57" s="141" t="e">
        <f t="shared" ca="1" si="41"/>
        <v>#NAME?</v>
      </c>
      <c r="R57" s="141" t="e">
        <f t="shared" ca="1" si="41"/>
        <v>#NAME?</v>
      </c>
      <c r="S57" s="141" t="e">
        <f t="shared" ca="1" si="41"/>
        <v>#NAME?</v>
      </c>
      <c r="T57" s="141" t="e">
        <f t="shared" ca="1" si="41"/>
        <v>#NAME?</v>
      </c>
      <c r="U57" s="141" t="e">
        <f t="shared" ca="1" si="41"/>
        <v>#NAME?</v>
      </c>
      <c r="V57" s="141" t="e">
        <f t="shared" ca="1" si="41"/>
        <v>#NAME?</v>
      </c>
    </row>
    <row r="58" spans="1:22" s="3" customFormat="1" x14ac:dyDescent="0.3">
      <c r="A58" s="61"/>
      <c r="B58" s="141"/>
      <c r="C58" s="141"/>
      <c r="D58" s="141"/>
      <c r="E58" s="141"/>
      <c r="F58" s="141"/>
      <c r="G58" s="141"/>
      <c r="H58" s="141"/>
      <c r="I58" s="141"/>
      <c r="J58" s="141"/>
      <c r="K58" s="141"/>
      <c r="L58" s="141"/>
      <c r="M58" s="141"/>
      <c r="N58" s="148"/>
      <c r="O58" s="149"/>
      <c r="P58" s="141"/>
      <c r="Q58" s="141"/>
      <c r="R58" s="141"/>
      <c r="S58" s="141"/>
      <c r="T58" s="141"/>
      <c r="U58" s="141"/>
      <c r="V58" s="141"/>
    </row>
    <row r="59" spans="1:22" s="3" customFormat="1" x14ac:dyDescent="0.3">
      <c r="A59" s="61" t="s">
        <v>82</v>
      </c>
      <c r="B59" s="150"/>
      <c r="C59" s="150" t="e">
        <f t="shared" ref="C59:O59" ca="1" si="42">IF($B57="Non",IF(C57="Non","MW",IF(C57="Oui","MW","")),IF($B57="Oui",IF(C57="Oui","T-Test Welch",IF(C57="Non","MW",""))))</f>
        <v>#NAME?</v>
      </c>
      <c r="D59" s="150" t="e">
        <f t="shared" ca="1" si="42"/>
        <v>#NAME?</v>
      </c>
      <c r="E59" s="150" t="e">
        <f t="shared" ca="1" si="42"/>
        <v>#NAME?</v>
      </c>
      <c r="F59" s="150" t="e">
        <f t="shared" ca="1" si="42"/>
        <v>#NAME?</v>
      </c>
      <c r="G59" s="150" t="e">
        <f t="shared" ca="1" si="42"/>
        <v>#NAME?</v>
      </c>
      <c r="H59" s="150" t="e">
        <f t="shared" ca="1" si="42"/>
        <v>#NAME?</v>
      </c>
      <c r="I59" s="150" t="e">
        <f t="shared" ca="1" si="42"/>
        <v>#NAME?</v>
      </c>
      <c r="J59" s="150" t="e">
        <f t="shared" ca="1" si="42"/>
        <v>#NAME?</v>
      </c>
      <c r="K59" s="150" t="e">
        <f t="shared" ca="1" si="42"/>
        <v>#NAME?</v>
      </c>
      <c r="L59" s="150" t="e">
        <f t="shared" ca="1" si="42"/>
        <v>#NAME?</v>
      </c>
      <c r="M59" s="150" t="e">
        <f t="shared" ca="1" si="42"/>
        <v>#NAME?</v>
      </c>
      <c r="N59" s="150"/>
      <c r="O59" s="150" t="e">
        <f t="shared" ca="1" si="42"/>
        <v>#NAME?</v>
      </c>
      <c r="P59" s="150" t="e">
        <f ca="1">IF($O57="Non",IF(P57="Non","MW",IF(P57="Oui","MW","")),IF($O57="Oui",IF(P57="Oui","T-Test Welch",IF(P57="Non","MW",""))))</f>
        <v>#NAME?</v>
      </c>
      <c r="Q59" s="150" t="e">
        <f t="shared" ref="Q59:V59" ca="1" si="43">IF($O57="Non",IF(Q57="Non","MW",IF(Q57="Oui","MW","")),IF($O57="Oui",IF(Q57="Oui","T-Test Welch",IF(Q57="Non","MW",""))))</f>
        <v>#NAME?</v>
      </c>
      <c r="R59" s="150" t="e">
        <f t="shared" ca="1" si="43"/>
        <v>#NAME?</v>
      </c>
      <c r="S59" s="150" t="e">
        <f t="shared" ca="1" si="43"/>
        <v>#NAME?</v>
      </c>
      <c r="T59" s="150" t="e">
        <f t="shared" ca="1" si="43"/>
        <v>#NAME?</v>
      </c>
      <c r="U59" s="150" t="e">
        <f t="shared" ca="1" si="43"/>
        <v>#NAME?</v>
      </c>
      <c r="V59" s="150" t="e">
        <f t="shared" ca="1" si="43"/>
        <v>#NAME?</v>
      </c>
    </row>
    <row r="60" spans="1:22" s="3" customFormat="1" x14ac:dyDescent="0.3">
      <c r="A60" s="61" t="s">
        <v>83</v>
      </c>
      <c r="B60" s="151"/>
      <c r="C60" s="151" t="e">
        <f ca="1">IF(C59="MW",[1]!MTEST($B28:$B43,C28:C43,2), IF(C59="T-Test Welch",_xlfn.T.TEST($B28:$B43,C28:C43,2,3),""))</f>
        <v>#NAME?</v>
      </c>
      <c r="D60" s="151" t="e">
        <f ca="1">IF(D59="MW",[1]!MTEST($B28:$B43,D28:D43,2), IF(D59="T-Test Welch",_xlfn.T.TEST($B28:$B43,D28:D43,2,3),""))</f>
        <v>#NAME?</v>
      </c>
      <c r="E60" s="151" t="e">
        <f ca="1">IF(E59="MW",[1]!MTEST($B28:$B43,E28:E43,2), IF(E59="T-Test Welch",_xlfn.T.TEST($B28:$B43,E28:E43,2,3),""))</f>
        <v>#NAME?</v>
      </c>
      <c r="F60" s="151" t="e">
        <f ca="1">IF(F59="MW",[1]!MTEST($B28:$B43,F28:F43,2), IF(F59="T-Test Welch",_xlfn.T.TEST($B28:$B43,F28:F43,2,3),""))</f>
        <v>#NAME?</v>
      </c>
      <c r="G60" s="151" t="e">
        <f ca="1">IF(G59="MW",[1]!MTEST($B28:$B43,G28:G43,2), IF(G59="T-Test Welch",_xlfn.T.TEST($B28:$B43,G28:G43,2,3),""))</f>
        <v>#NAME?</v>
      </c>
      <c r="H60" s="151" t="e">
        <f ca="1">IF(H59="MW",[1]!MTEST($B28:$B43,H28:H43,2), IF(H59="T-Test Welch",_xlfn.T.TEST($B28:$B43,H28:H43,2,3),""))</f>
        <v>#NAME?</v>
      </c>
      <c r="I60" s="151" t="e">
        <f ca="1">IF(I59="MW",[1]!MTEST($B28:$B43,I28:I43,2), IF(I59="T-Test Welch",_xlfn.T.TEST($B28:$B43,I28:I43,2,3),""))</f>
        <v>#NAME?</v>
      </c>
      <c r="J60" s="151" t="e">
        <f ca="1">IF(J59="MW",[1]!MTEST($B28:$B43,J28:J43,2), IF(J59="T-Test Welch",_xlfn.T.TEST($B28:$B43,J28:J43,2,3),""))</f>
        <v>#NAME?</v>
      </c>
      <c r="K60" s="151" t="e">
        <f ca="1">IF(K59="MW",[1]!MTEST($B28:$B43,K28:K43,2), IF(K59="T-Test Welch",_xlfn.T.TEST($B28:$B43,K28:K43,2,3),""))</f>
        <v>#NAME?</v>
      </c>
      <c r="L60" s="151" t="e">
        <f ca="1">IF(L59="MW",[1]!MTEST($B28:$B43,L28:L43,2), IF(L59="T-Test Welch",_xlfn.T.TEST($B28:$B43,L28:L43,2,3),""))</f>
        <v>#NAME?</v>
      </c>
      <c r="M60" s="151" t="e">
        <f ca="1">IF(M59="MW",[1]!MTEST($B28:$B43,M28:M43,2), IF(M59="T-Test Welch",_xlfn.T.TEST($B28:$B43,M28:M43,2,3),""))</f>
        <v>#NAME?</v>
      </c>
      <c r="N60" s="151"/>
      <c r="O60" s="151" t="e">
        <f ca="1">IF(O59="MW",[1]!MTEST($B28:$B43,O28:O43,2), IF(O59="T-Test Welch",_xlfn.T.TEST($B28:$B43,O28:O43,2,3),""))</f>
        <v>#NAME?</v>
      </c>
      <c r="P60" s="151" t="e">
        <f ca="1">IF(P59="MW",[1]!MTEST($O28:$O43,P28:P43,2), IF(P59="T-Test Welch",_xlfn.T.TEST($O28:$O43,P28:P43,2,3),""))</f>
        <v>#NAME?</v>
      </c>
      <c r="Q60" s="151" t="e">
        <f ca="1">IF(Q59="MW",[1]!MTEST($O28:$O43,Q28:Q43,2), IF(Q59="T-Test Welch",_xlfn.T.TEST($O28:$O43,Q28:Q43,2,3),""))</f>
        <v>#NAME?</v>
      </c>
      <c r="R60" s="151" t="e">
        <f ca="1">IF(R59="MW",[1]!MTEST($O28:$O43,R28:R43,2), IF(R59="T-Test Welch",_xlfn.T.TEST($O28:$O43,R28:R43,2,3),""))</f>
        <v>#NAME?</v>
      </c>
      <c r="S60" s="151" t="e">
        <f ca="1">IF(S59="MW",[1]!MTEST($O28:$O43,S28:S43,2), IF(S59="T-Test Welch",_xlfn.T.TEST($O28:$O43,S28:S43,2,3),""))</f>
        <v>#NAME?</v>
      </c>
      <c r="T60" s="151" t="e">
        <f ca="1">IF(T59="MW",[1]!MTEST($O28:$O43,T28:T43,2), IF(T59="T-Test Welch",_xlfn.T.TEST($O28:$O43,T28:T43,2,3),""))</f>
        <v>#NAME?</v>
      </c>
      <c r="U60" s="151" t="e">
        <f ca="1">IF(U59="MW",[1]!MTEST($O28:$O43,U28:U43,2), IF(U59="T-Test Welch",_xlfn.T.TEST($O28:$O43,U28:U43,2,3),""))</f>
        <v>#NAME?</v>
      </c>
      <c r="V60" s="151" t="e">
        <f ca="1">IF(V59="MW",[1]!MTEST($O28:$O43,V28:V43,2), IF(V59="T-Test Welch",_xlfn.T.TEST($O28:$O43,V28:V43,2,3),""))</f>
        <v>#NAME?</v>
      </c>
    </row>
    <row r="61" spans="1:22" s="3" customFormat="1" ht="15" thickBot="1" x14ac:dyDescent="0.35">
      <c r="A61" s="62" t="s">
        <v>84</v>
      </c>
      <c r="B61" s="142"/>
      <c r="C61" s="142" t="e">
        <f t="shared" ref="C61:O61" ca="1" si="44">IF(C60&gt;0.05,"NS",IF(C60&gt;0.01,"*",IF(C60&gt;0.001,"**","***")))</f>
        <v>#NAME?</v>
      </c>
      <c r="D61" s="142" t="e">
        <f t="shared" ca="1" si="44"/>
        <v>#NAME?</v>
      </c>
      <c r="E61" s="142" t="e">
        <f t="shared" ca="1" si="44"/>
        <v>#NAME?</v>
      </c>
      <c r="F61" s="142" t="e">
        <f t="shared" ca="1" si="44"/>
        <v>#NAME?</v>
      </c>
      <c r="G61" s="142" t="e">
        <f t="shared" ca="1" si="44"/>
        <v>#NAME?</v>
      </c>
      <c r="H61" s="142" t="e">
        <f t="shared" ca="1" si="44"/>
        <v>#NAME?</v>
      </c>
      <c r="I61" s="142" t="e">
        <f t="shared" ca="1" si="44"/>
        <v>#NAME?</v>
      </c>
      <c r="J61" s="142" t="e">
        <f t="shared" ca="1" si="44"/>
        <v>#NAME?</v>
      </c>
      <c r="K61" s="142" t="e">
        <f t="shared" ca="1" si="44"/>
        <v>#NAME?</v>
      </c>
      <c r="L61" s="142" t="e">
        <f t="shared" ca="1" si="44"/>
        <v>#NAME?</v>
      </c>
      <c r="M61" s="142" t="e">
        <f t="shared" ca="1" si="44"/>
        <v>#NAME?</v>
      </c>
      <c r="N61" s="142"/>
      <c r="O61" s="142" t="e">
        <f t="shared" ca="1" si="44"/>
        <v>#NAME?</v>
      </c>
      <c r="P61" s="142" t="e">
        <f ca="1">IF(P60&gt;0.05,"NS",IF(P60&gt;0.01,"*",IF(P60&gt;0.001,"**","***")))</f>
        <v>#NAME?</v>
      </c>
      <c r="Q61" s="142" t="e">
        <f t="shared" ref="Q61:V61" ca="1" si="45">IF(Q60&gt;0.05,"NS",IF(Q60&gt;0.01,"*",IF(Q60&gt;0.001,"**","***")))</f>
        <v>#NAME?</v>
      </c>
      <c r="R61" s="142" t="e">
        <f t="shared" ca="1" si="45"/>
        <v>#NAME?</v>
      </c>
      <c r="S61" s="142" t="e">
        <f t="shared" ca="1" si="45"/>
        <v>#NAME?</v>
      </c>
      <c r="T61" s="142" t="e">
        <f t="shared" ca="1" si="45"/>
        <v>#NAME?</v>
      </c>
      <c r="U61" s="142" t="e">
        <f t="shared" ca="1" si="45"/>
        <v>#NAME?</v>
      </c>
      <c r="V61" s="142" t="e">
        <f t="shared" ca="1" si="45"/>
        <v>#NAME?</v>
      </c>
    </row>
    <row r="63" spans="1:22" x14ac:dyDescent="0.3">
      <c r="A63" s="2" t="s">
        <v>39</v>
      </c>
    </row>
    <row r="64" spans="1:22" x14ac:dyDescent="0.3">
      <c r="A64" s="1" t="s">
        <v>23</v>
      </c>
      <c r="B64" s="1">
        <f>B46+(3*B47)</f>
        <v>0.80641985178520714</v>
      </c>
    </row>
    <row r="65" spans="1:22" x14ac:dyDescent="0.3">
      <c r="A65" s="1" t="s">
        <v>24</v>
      </c>
      <c r="B65" s="1">
        <f>B46+(10*B47)</f>
        <v>2.093260986130796</v>
      </c>
    </row>
    <row r="66" spans="1:22" ht="15" thickBot="1" x14ac:dyDescent="0.35"/>
    <row r="67" spans="1:22" ht="26.4" thickBot="1" x14ac:dyDescent="0.55000000000000004">
      <c r="A67" s="215" t="s">
        <v>45</v>
      </c>
      <c r="B67" s="216"/>
      <c r="C67" s="216"/>
      <c r="D67" s="216"/>
      <c r="E67" s="216"/>
      <c r="F67" s="216"/>
      <c r="G67" s="216"/>
      <c r="H67" s="216"/>
      <c r="I67" s="216"/>
      <c r="J67" s="216"/>
      <c r="K67" s="216"/>
      <c r="L67" s="216"/>
      <c r="M67" s="216"/>
      <c r="N67" s="216"/>
      <c r="O67" s="216"/>
      <c r="P67" s="216"/>
      <c r="Q67" s="216"/>
      <c r="R67" s="216"/>
      <c r="S67" s="216"/>
      <c r="T67" s="216"/>
      <c r="U67" s="216"/>
      <c r="V67" s="216"/>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16"/>
  <sheetViews>
    <sheetView showGridLines="0" topLeftCell="A2" zoomScale="70" zoomScaleNormal="70" workbookViewId="0">
      <selection activeCell="B94" sqref="B94:V94"/>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1" t="s">
        <v>6</v>
      </c>
      <c r="C3" s="222"/>
      <c r="D3" s="222"/>
      <c r="E3" s="222"/>
      <c r="F3" s="222"/>
      <c r="G3" s="222"/>
      <c r="H3" s="222"/>
      <c r="I3" s="222"/>
      <c r="J3" s="222"/>
      <c r="K3" s="222"/>
      <c r="L3" s="222"/>
      <c r="M3" s="222"/>
      <c r="N3" s="72"/>
      <c r="O3" s="221" t="s">
        <v>3</v>
      </c>
      <c r="P3" s="222"/>
      <c r="Q3" s="222"/>
      <c r="R3" s="222"/>
      <c r="S3" s="222"/>
      <c r="T3" s="222"/>
      <c r="U3" s="222"/>
      <c r="V3" s="222"/>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Atenolol-0.01mg/L</v>
      </c>
      <c r="J4" s="35" t="str">
        <f>'R1'!J4</f>
        <v>Atenolol-0.1mg/L</v>
      </c>
      <c r="K4" s="35" t="str">
        <f>'R1'!K4</f>
        <v>Atenolol-1mg/L</v>
      </c>
      <c r="L4" s="35" t="str">
        <f>'R1'!L4</f>
        <v>Atenolol-10mg/L</v>
      </c>
      <c r="M4" s="35" t="str">
        <f>'R1'!M4</f>
        <v>Atenolol-100mg/L</v>
      </c>
      <c r="O4" s="35" t="str">
        <f>'R1'!O4</f>
        <v>Testo -30µg/L</v>
      </c>
      <c r="P4" s="35" t="str">
        <f>'R1'!P4</f>
        <v>Testo 30µg/L + EE2 -64ng/L</v>
      </c>
      <c r="Q4" s="35" t="str">
        <f>'R1'!Q4</f>
        <v>Testo 30µg/L + FAD-10µg/L</v>
      </c>
      <c r="R4" s="35" t="str">
        <f>'R1'!R4</f>
        <v>Atenolol-0.01mg/L + Testostérone</v>
      </c>
      <c r="S4" s="35" t="str">
        <f>'R1'!S4</f>
        <v>Atenolol-0.1mg/L + Testostérone</v>
      </c>
      <c r="T4" s="35" t="str">
        <f>'R1'!T4</f>
        <v>Atenolol-1mg/L + Testostérone</v>
      </c>
      <c r="U4" s="35" t="str">
        <f>'R1'!U4</f>
        <v>Atenolol-10mg/L + Testostérone</v>
      </c>
      <c r="V4" s="35" t="str">
        <f>'R1'!V4</f>
        <v>Atenolol-100mg/L + Testostérone</v>
      </c>
    </row>
    <row r="5" spans="1:22" s="1" customFormat="1" x14ac:dyDescent="0.3">
      <c r="A5" s="34"/>
      <c r="B5" s="35"/>
      <c r="C5" s="194" t="s">
        <v>165</v>
      </c>
      <c r="D5" s="35"/>
      <c r="E5" s="35"/>
      <c r="F5" s="35"/>
      <c r="G5" s="35"/>
      <c r="H5" s="35"/>
      <c r="I5" s="35"/>
      <c r="J5" s="35"/>
      <c r="K5" s="35"/>
      <c r="L5" s="35"/>
      <c r="M5" s="35"/>
      <c r="O5" s="35"/>
      <c r="P5" s="35"/>
      <c r="Q5" s="35"/>
      <c r="R5" s="35"/>
      <c r="S5" s="35"/>
      <c r="T5" s="35"/>
      <c r="U5" s="35"/>
      <c r="V5" s="35"/>
    </row>
    <row r="6" spans="1:22" s="1" customFormat="1" x14ac:dyDescent="0.3">
      <c r="A6" s="71" t="s">
        <v>4</v>
      </c>
      <c r="B6" s="53">
        <f>'R1'!B28</f>
        <v>4.1289558236548424E-3</v>
      </c>
      <c r="C6" s="53">
        <f>'R1'!C28</f>
        <v>2.7577070206457797E-3</v>
      </c>
      <c r="D6" s="53">
        <f>'R1'!D28</f>
        <v>4.7775973327489715E-2</v>
      </c>
      <c r="E6" s="53">
        <f>'R1'!E28</f>
        <v>3.9956861297142932</v>
      </c>
      <c r="F6" s="53">
        <f>'R1'!F28</f>
        <v>0.4280801816324305</v>
      </c>
      <c r="G6" s="53">
        <f>'R1'!G28</f>
        <v>1.9283440449638327</v>
      </c>
      <c r="H6" s="53">
        <f>'R1'!H28</f>
        <v>7.8291286306223551</v>
      </c>
      <c r="I6" s="53">
        <f>'R1'!I28</f>
        <v>8.6133316522927692E-4</v>
      </c>
      <c r="J6" s="53">
        <f>'R1'!J28</f>
        <v>4.4383473370016038E-2</v>
      </c>
      <c r="K6" s="53">
        <f>'R1'!K28</f>
        <v>6.1904719021074042E-2</v>
      </c>
      <c r="L6" s="53">
        <f>'R1'!L28</f>
        <v>1.541754345940137E-3</v>
      </c>
      <c r="M6" s="53">
        <f>'R1'!M28</f>
        <v>1.9584923067378707E-2</v>
      </c>
      <c r="N6"/>
      <c r="O6" s="53">
        <f>'R1'!O28</f>
        <v>0.32854016636297867</v>
      </c>
      <c r="P6" s="53">
        <f>'R1'!P28</f>
        <v>5.7416764977521089</v>
      </c>
      <c r="Q6" s="53">
        <f>'R1'!Q28</f>
        <v>6.5904795068147184E-3</v>
      </c>
      <c r="R6" s="53">
        <f>'R1'!R28</f>
        <v>0.4644370865565785</v>
      </c>
      <c r="S6" s="53">
        <f>'R1'!S28</f>
        <v>0.90900587463639992</v>
      </c>
      <c r="T6" s="53">
        <f>'R1'!T28</f>
        <v>0.36105789483690404</v>
      </c>
      <c r="U6" s="53">
        <f>'R1'!U28</f>
        <v>1.0018257301269486</v>
      </c>
      <c r="V6" s="53">
        <f>'R1'!V28</f>
        <v>1.9398183475571378</v>
      </c>
    </row>
    <row r="7" spans="1:22" s="1" customFormat="1" x14ac:dyDescent="0.3">
      <c r="A7" s="225" t="s">
        <v>34</v>
      </c>
      <c r="B7" s="53">
        <f>'R1'!B29</f>
        <v>1.2785514233310419E-2</v>
      </c>
      <c r="C7" s="53">
        <f>'R1'!C29</f>
        <v>2.0399026997711584E-2</v>
      </c>
      <c r="D7" s="53">
        <f>'R1'!D29</f>
        <v>2.917005626482793E-3</v>
      </c>
      <c r="E7" s="53">
        <f>'R1'!E29</f>
        <v>4.2479094559532353E-2</v>
      </c>
      <c r="F7" s="53">
        <f>'R1'!F29</f>
        <v>7.585335322564668E-2</v>
      </c>
      <c r="G7" s="53">
        <f>'R1'!G29</f>
        <v>5.5318826353512822</v>
      </c>
      <c r="H7" s="53">
        <f>'R1'!H29</f>
        <v>5.3690690537442674</v>
      </c>
      <c r="I7" s="53">
        <f>'R1'!I29</f>
        <v>2.0737636597053577E-2</v>
      </c>
      <c r="J7" s="53">
        <f>'R1'!J29</f>
        <v>1.4769142098959255E-3</v>
      </c>
      <c r="K7" s="53">
        <f>'R1'!K29</f>
        <v>6.1181871578507095E-2</v>
      </c>
      <c r="L7" s="53">
        <f>'R1'!L29</f>
        <v>1.8331347103857286E-4</v>
      </c>
      <c r="M7" s="53">
        <f>'R1'!M29</f>
        <v>1.7482821866735508E-3</v>
      </c>
      <c r="N7"/>
      <c r="O7" s="53">
        <f>'R1'!O29</f>
        <v>3.6165402384075742</v>
      </c>
      <c r="P7" s="53">
        <f>'R1'!P29</f>
        <v>0.48784037319100521</v>
      </c>
      <c r="Q7" s="53">
        <f>'R1'!Q29</f>
        <v>1.3592413704082828E-3</v>
      </c>
      <c r="R7" s="53">
        <f>'R1'!R29</f>
        <v>5.3645206382750922E-2</v>
      </c>
      <c r="S7" s="53">
        <f>'R1'!S29</f>
        <v>0.67499462167081425</v>
      </c>
      <c r="T7" s="53">
        <f>'R1'!T29</f>
        <v>0.83502968337400851</v>
      </c>
      <c r="U7" s="53">
        <f>'R1'!U29</f>
        <v>1.1424423718281616</v>
      </c>
      <c r="V7" s="53">
        <f>'R1'!V29</f>
        <v>0.41471991162529603</v>
      </c>
    </row>
    <row r="8" spans="1:22" s="1" customFormat="1" x14ac:dyDescent="0.3">
      <c r="A8" s="226"/>
      <c r="B8" s="53">
        <f>'R1'!B30</f>
        <v>1.729070294512303E-4</v>
      </c>
      <c r="C8" s="53">
        <f>'R1'!C30</f>
        <v>6.2862912142616273E-2</v>
      </c>
      <c r="D8" s="53">
        <f>'R1'!D30</f>
        <v>2.7633104891928106E-3</v>
      </c>
      <c r="E8" s="53">
        <f>'R1'!E30</f>
        <v>1.7908685476309836E-2</v>
      </c>
      <c r="F8" s="53">
        <f>'R1'!F30</f>
        <v>4.5516438675540156</v>
      </c>
      <c r="G8" s="53">
        <f>'R1'!G30</f>
        <v>1.9643599388021185</v>
      </c>
      <c r="H8" s="53">
        <f>'R1'!H30</f>
        <v>4.3379371831163489</v>
      </c>
      <c r="I8" s="53">
        <f>'R1'!I30</f>
        <v>7.7728113702381775E-4</v>
      </c>
      <c r="J8" s="53">
        <f>'R1'!J30</f>
        <v>5.3425070118403289E-3</v>
      </c>
      <c r="K8" s="53">
        <f>'R1'!K30</f>
        <v>8.3811879553443585E-4</v>
      </c>
      <c r="L8" s="53">
        <f>'R1'!L30</f>
        <v>1.6490207438404371E-4</v>
      </c>
      <c r="M8" s="53">
        <f>'R1'!M30</f>
        <v>1.9347976397389985E-2</v>
      </c>
      <c r="N8"/>
      <c r="O8" s="53">
        <f>'R1'!O30</f>
        <v>1.0216724152250244E-2</v>
      </c>
      <c r="P8" s="53">
        <f>'R1'!P30</f>
        <v>10.972086921804596</v>
      </c>
      <c r="Q8" s="53">
        <f>'R1'!Q30</f>
        <v>4.6184588260133025E-2</v>
      </c>
      <c r="R8" s="53">
        <f>'R1'!R30</f>
        <v>1.2750676668858023</v>
      </c>
      <c r="S8" s="53">
        <f>'R1'!S30</f>
        <v>2.7104777857493788E-2</v>
      </c>
      <c r="T8" s="53">
        <f>'R1'!T30</f>
        <v>1.4487175561672676</v>
      </c>
      <c r="U8" s="53">
        <f>'R1'!U30</f>
        <v>1.4528449109999089</v>
      </c>
      <c r="V8" s="53">
        <f>'R1'!V30</f>
        <v>0.11882315153079756</v>
      </c>
    </row>
    <row r="9" spans="1:22" s="1" customFormat="1" x14ac:dyDescent="0.3">
      <c r="A9" s="226"/>
      <c r="B9" s="53">
        <f>'R1'!B31</f>
        <v>9.495477700696732E-3</v>
      </c>
      <c r="C9" s="53">
        <f>'R1'!C31</f>
        <v>6.5432502719183173E-3</v>
      </c>
      <c r="D9" s="53">
        <f>'R1'!D31</f>
        <v>1.3813350463937177E-2</v>
      </c>
      <c r="E9" s="53">
        <f>'R1'!E31</f>
        <v>2.4182168762463964E-2</v>
      </c>
      <c r="F9" s="53">
        <f>'R1'!F31</f>
        <v>0.20457783367904733</v>
      </c>
      <c r="G9" s="53">
        <f>'R1'!G31</f>
        <v>1.1506490517630412</v>
      </c>
      <c r="H9" s="53">
        <f>'R1'!H31</f>
        <v>5.1495283580536348</v>
      </c>
      <c r="I9" s="53">
        <f>'R1'!I31</f>
        <v>3.3177336771461535E-2</v>
      </c>
      <c r="J9" s="53">
        <f>'R1'!J31</f>
        <v>4.4462722425181185E-2</v>
      </c>
      <c r="K9" s="53">
        <f>'R1'!K31</f>
        <v>7.9505213727297189E-3</v>
      </c>
      <c r="L9" s="53">
        <f>'R1'!L31</f>
        <v>7.1996565874276178E-2</v>
      </c>
      <c r="M9" s="53">
        <f>'R1'!M31</f>
        <v>5.2112257487384687E-3</v>
      </c>
      <c r="N9"/>
      <c r="O9" s="53">
        <f>'R1'!O31</f>
        <v>6.0629529678871219E-3</v>
      </c>
      <c r="P9" s="53">
        <f>'R1'!P31</f>
        <v>5.1447381929414311</v>
      </c>
      <c r="Q9" s="53">
        <f>'R1'!Q31</f>
        <v>3.327659821429465E-3</v>
      </c>
      <c r="R9" s="53">
        <f>'R1'!R31</f>
        <v>1.2867244824546393</v>
      </c>
      <c r="S9" s="53">
        <f>'R1'!S31</f>
        <v>2.3564530444345051</v>
      </c>
      <c r="T9" s="53">
        <f>'R1'!T31</f>
        <v>6.9066752319685886E-3</v>
      </c>
      <c r="U9" s="53">
        <f>'R1'!U31</f>
        <v>2.2654383063116068</v>
      </c>
      <c r="V9" s="53">
        <f>'R1'!V31</f>
        <v>0.48121627287290836</v>
      </c>
    </row>
    <row r="10" spans="1:22" s="1" customFormat="1" x14ac:dyDescent="0.3">
      <c r="A10" s="226"/>
      <c r="B10" s="53">
        <f>'R1'!B32</f>
        <v>5.7395527831727842E-4</v>
      </c>
      <c r="C10" s="53">
        <f>'R1'!C32</f>
        <v>2.0086833750091307E-2</v>
      </c>
      <c r="D10" s="53">
        <f>'R1'!D32</f>
        <v>5.1231712429994167E-3</v>
      </c>
      <c r="E10" s="53">
        <f>'R1'!E32</f>
        <v>7.3020399627369337E-2</v>
      </c>
      <c r="F10" s="53">
        <f>'R1'!F32</f>
        <v>2.9520673296770703E-2</v>
      </c>
      <c r="G10" s="53">
        <f>'R1'!G32</f>
        <v>0.39664392258808201</v>
      </c>
      <c r="H10" s="53">
        <f>'R1'!H32</f>
        <v>5.1968496499333083</v>
      </c>
      <c r="I10" s="53">
        <f>'R1'!I32</f>
        <v>5.8087956445039481E-2</v>
      </c>
      <c r="J10" s="53">
        <f>'R1'!J32</f>
        <v>3.2875549965428602E-2</v>
      </c>
      <c r="K10" s="53">
        <f>'R1'!K32</f>
        <v>4.6668087546191089E-2</v>
      </c>
      <c r="L10" s="53">
        <f>'R1'!L32</f>
        <v>3.2061446035095725E-2</v>
      </c>
      <c r="M10" s="53">
        <f>'R1'!M32</f>
        <v>1.4285642812901185E-2</v>
      </c>
      <c r="N10"/>
      <c r="O10" s="53">
        <f>'R1'!O32</f>
        <v>0.14586949321630088</v>
      </c>
      <c r="P10" s="53">
        <f>'R1'!P32</f>
        <v>5.8509185185629908</v>
      </c>
      <c r="Q10" s="53">
        <f>'R1'!Q32</f>
        <v>6.6273023001237764E-3</v>
      </c>
      <c r="R10" s="53">
        <f>'R1'!R32</f>
        <v>8.8422733672143053E-3</v>
      </c>
      <c r="S10" s="53">
        <f>'R1'!S32</f>
        <v>0.41509934649548069</v>
      </c>
      <c r="T10" s="53">
        <f>'R1'!T32</f>
        <v>0.73862360801336024</v>
      </c>
      <c r="U10" s="53">
        <f>'R1'!U32</f>
        <v>0.76510560036662689</v>
      </c>
      <c r="V10" s="53">
        <f>'R1'!V32</f>
        <v>1.8678401930795163</v>
      </c>
    </row>
    <row r="11" spans="1:22" s="1" customFormat="1" x14ac:dyDescent="0.3">
      <c r="A11" s="226"/>
      <c r="B11" s="53">
        <f>'R1'!B33</f>
        <v>2.2446694503897913E-2</v>
      </c>
      <c r="C11" s="53">
        <f>'R1'!C33</f>
        <v>2.7764386155029963E-2</v>
      </c>
      <c r="D11" s="53">
        <f>'R1'!D33</f>
        <v>1.2831142477193382E-2</v>
      </c>
      <c r="E11" s="53">
        <f>'R1'!E33</f>
        <v>0.14183899833997243</v>
      </c>
      <c r="F11" s="53">
        <f>'R1'!F33</f>
        <v>4.3630663380632608</v>
      </c>
      <c r="G11" s="53">
        <f>'R1'!G33</f>
        <v>2.325117647824003</v>
      </c>
      <c r="H11" s="53">
        <f>'R1'!H33</f>
        <v>6.1915597755010348</v>
      </c>
      <c r="I11" s="53">
        <f>'R1'!I33</f>
        <v>5.7667696304012179E-3</v>
      </c>
      <c r="J11" s="53">
        <f>'R1'!J33</f>
        <v>4.7069135795057143E-3</v>
      </c>
      <c r="K11" s="53">
        <f>'R1'!K33</f>
        <v>8.6989846715116656E-3</v>
      </c>
      <c r="L11" s="53">
        <f>'R1'!L33</f>
        <v>1.3558792892800644E-2</v>
      </c>
      <c r="M11" s="53">
        <f>'R1'!M33</f>
        <v>1.846743133999946E-3</v>
      </c>
      <c r="N11"/>
      <c r="O11" s="53">
        <f>'R1'!O33</f>
        <v>2.4617686347849319</v>
      </c>
      <c r="P11" s="53">
        <f>'R1'!P33</f>
        <v>6.8538985632106275</v>
      </c>
      <c r="Q11" s="53">
        <f>'R1'!Q33</f>
        <v>0.12956740222197541</v>
      </c>
      <c r="R11" s="53">
        <f>'R1'!R33</f>
        <v>0.72548587575709367</v>
      </c>
      <c r="S11" s="53">
        <f>'R1'!S33</f>
        <v>0.38034823555781028</v>
      </c>
      <c r="T11" s="53">
        <f>'R1'!T33</f>
        <v>0.69800566550694876</v>
      </c>
      <c r="U11" s="53">
        <f>'R1'!U33</f>
        <v>0.88207080182633046</v>
      </c>
      <c r="V11" s="53">
        <f>'R1'!V33</f>
        <v>0.69475005028112402</v>
      </c>
    </row>
    <row r="12" spans="1:22" s="1" customFormat="1" x14ac:dyDescent="0.3">
      <c r="A12" s="226"/>
      <c r="B12" s="53">
        <f>'R1'!B34</f>
        <v>5.878038505835112E-3</v>
      </c>
      <c r="C12" s="53">
        <f>'R1'!C34</f>
        <v>9.4250340961054887E-3</v>
      </c>
      <c r="D12" s="53">
        <f>'R1'!D34</f>
        <v>2.4458339712281903E-2</v>
      </c>
      <c r="E12" s="53">
        <f>'R1'!E34</f>
        <v>0.12853956599134864</v>
      </c>
      <c r="F12" s="53">
        <f>'R1'!F34</f>
        <v>0.29095930380905782</v>
      </c>
      <c r="G12" s="53">
        <f>'R1'!G34</f>
        <v>2.9750879794592855</v>
      </c>
      <c r="H12" s="53">
        <f>'R1'!H34</f>
        <v>8.2067807973135363</v>
      </c>
      <c r="I12" s="53">
        <f>'R1'!I34</f>
        <v>6.2438649524055391E-5</v>
      </c>
      <c r="J12" s="53">
        <f>'R1'!J34</f>
        <v>1.0871529476746106E-2</v>
      </c>
      <c r="K12" s="53">
        <f>'R1'!K34</f>
        <v>1.2847952882834475E-3</v>
      </c>
      <c r="L12" s="53">
        <f>'R1'!L34</f>
        <v>1.4276036866820562E-2</v>
      </c>
      <c r="M12" s="53">
        <f>'R1'!M34</f>
        <v>3.1059225660683962E-4</v>
      </c>
      <c r="N12"/>
      <c r="O12" s="53">
        <f>'R1'!O34</f>
        <v>0</v>
      </c>
      <c r="P12" s="53">
        <f>'R1'!P34</f>
        <v>5.5565074781289621</v>
      </c>
      <c r="Q12" s="53">
        <f>'R1'!Q34</f>
        <v>8.6445509770547973E-3</v>
      </c>
      <c r="R12" s="53">
        <f>'R1'!R34</f>
        <v>2.6149378465270003</v>
      </c>
      <c r="S12" s="53">
        <f>'R1'!S34</f>
        <v>2.4059925093632959</v>
      </c>
      <c r="T12" s="53">
        <f>'R1'!T34</f>
        <v>0.74795258264865949</v>
      </c>
      <c r="U12" s="53">
        <f>'R1'!U34</f>
        <v>0.22455499954471819</v>
      </c>
      <c r="V12" s="53">
        <f>'R1'!V34</f>
        <v>2.1121770375862661</v>
      </c>
    </row>
    <row r="13" spans="1:22" s="1" customFormat="1" x14ac:dyDescent="0.3">
      <c r="A13" s="226"/>
      <c r="B13" s="53">
        <f>'R1'!B35</f>
        <v>1.1927383050108016E-2</v>
      </c>
      <c r="C13" s="53">
        <f>'R1'!C35</f>
        <v>0.18826053327009418</v>
      </c>
      <c r="D13" s="53">
        <f>'R1'!D35</f>
        <v>1.6812006632105272E-2</v>
      </c>
      <c r="E13" s="53">
        <f>'R1'!E35</f>
        <v>0.51213220983788965</v>
      </c>
      <c r="F13" s="53">
        <f>'R1'!F35</f>
        <v>0.62898053895361228</v>
      </c>
      <c r="G13" s="53">
        <f>'R1'!G35</f>
        <v>5.6057155379179715</v>
      </c>
      <c r="H13" s="53">
        <f>'R1'!H35</f>
        <v>7.4710677909626062</v>
      </c>
      <c r="I13" s="53">
        <f>'R1'!I35</f>
        <v>4.6423135921135179E-2</v>
      </c>
      <c r="J13" s="53">
        <f>'R1'!J35</f>
        <v>1.4219201685843537E-2</v>
      </c>
      <c r="K13" s="53">
        <f>'R1'!K35</f>
        <v>1.9519282435827779E-2</v>
      </c>
      <c r="L13" s="53">
        <f>'R1'!L35</f>
        <v>5.6723111606084165E-3</v>
      </c>
      <c r="M13" s="53">
        <f>'R1'!M35</f>
        <v>4.7949680852447664E-4</v>
      </c>
      <c r="N13"/>
      <c r="O13" s="53">
        <f>'R1'!O35</f>
        <v>1.8403167560720086</v>
      </c>
      <c r="P13" s="53">
        <f>'R1'!P35</f>
        <v>8.1560702074584164</v>
      </c>
      <c r="Q13" s="53">
        <f>'R1'!Q35</f>
        <v>9.533901485019227E-4</v>
      </c>
      <c r="R13" s="53">
        <f>'R1'!R35</f>
        <v>4.9698763534627932E-2</v>
      </c>
      <c r="S13" s="53">
        <f>'R1'!S35</f>
        <v>0.54535037188019386</v>
      </c>
      <c r="T13" s="53">
        <f>'R1'!T35</f>
        <v>0.26638889472583527</v>
      </c>
      <c r="U13" s="53">
        <f>'R1'!U35</f>
        <v>0.98746404024090917</v>
      </c>
      <c r="V13" s="53">
        <f>'R1'!V35</f>
        <v>3.6493885715257743</v>
      </c>
    </row>
    <row r="14" spans="1:22" s="1" customFormat="1" x14ac:dyDescent="0.3">
      <c r="A14" s="226"/>
      <c r="B14" s="53" t="str">
        <f>'R1'!B36</f>
        <v/>
      </c>
      <c r="C14" s="53" t="str">
        <f>'R1'!C36</f>
        <v/>
      </c>
      <c r="D14" s="53" t="str">
        <f>'R1'!D36</f>
        <v/>
      </c>
      <c r="E14" s="53" t="str">
        <f>'R1'!E36</f>
        <v/>
      </c>
      <c r="F14" s="53" t="str">
        <f>'R1'!F36</f>
        <v/>
      </c>
      <c r="G14" s="53" t="str">
        <f>'R1'!G36</f>
        <v/>
      </c>
      <c r="H14" s="53" t="str">
        <f>'R1'!H36</f>
        <v/>
      </c>
      <c r="I14" s="53">
        <f>'R1'!I36</f>
        <v>8.0850046178584543E-5</v>
      </c>
      <c r="J14" s="53" t="str">
        <f>'R1'!J36</f>
        <v/>
      </c>
      <c r="K14" s="53" t="str">
        <f>'R1'!K36</f>
        <v/>
      </c>
      <c r="L14" s="53" t="str">
        <f>'R1'!L36</f>
        <v/>
      </c>
      <c r="M14" s="53" t="str">
        <f>'R1'!M36</f>
        <v/>
      </c>
      <c r="N14"/>
      <c r="O14" s="53">
        <f>'R1'!O36</f>
        <v>0.82583199000181107</v>
      </c>
      <c r="P14" s="53" t="str">
        <f>'R1'!P36</f>
        <v/>
      </c>
      <c r="Q14" s="53" t="str">
        <f>'R1'!Q36</f>
        <v/>
      </c>
      <c r="R14" s="53" t="str">
        <f>'R1'!R36</f>
        <v/>
      </c>
      <c r="S14" s="53" t="str">
        <f>'R1'!S36</f>
        <v/>
      </c>
      <c r="T14" s="53" t="str">
        <f>'R1'!T36</f>
        <v/>
      </c>
      <c r="U14" s="53" t="str">
        <f>'R1'!U36</f>
        <v/>
      </c>
      <c r="V14" s="53" t="str">
        <f>'R1'!V36</f>
        <v/>
      </c>
    </row>
    <row r="15" spans="1:22" s="1" customFormat="1" x14ac:dyDescent="0.3">
      <c r="A15" s="226"/>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2.7833372857798979</v>
      </c>
      <c r="P15" s="53" t="str">
        <f>'R1'!P37</f>
        <v/>
      </c>
      <c r="Q15" s="53" t="str">
        <f>'R1'!Q37</f>
        <v/>
      </c>
      <c r="R15" s="53" t="str">
        <f>'R1'!R37</f>
        <v/>
      </c>
      <c r="S15" s="53" t="str">
        <f>'R1'!S37</f>
        <v/>
      </c>
      <c r="T15" s="53" t="str">
        <f>'R1'!T37</f>
        <v/>
      </c>
      <c r="U15" s="53" t="str">
        <f>'R1'!U37</f>
        <v/>
      </c>
      <c r="V15" s="53" t="str">
        <f>'R1'!V37</f>
        <v/>
      </c>
    </row>
    <row r="16" spans="1:22" s="1" customFormat="1" x14ac:dyDescent="0.3">
      <c r="A16" s="226"/>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5.428160031059226E-3</v>
      </c>
      <c r="P16" s="53" t="str">
        <f>'R1'!P38</f>
        <v/>
      </c>
      <c r="Q16" s="53" t="str">
        <f>'R1'!Q38</f>
        <v/>
      </c>
      <c r="R16" s="53" t="str">
        <f>'R1'!R38</f>
        <v/>
      </c>
      <c r="S16" s="53" t="str">
        <f>'R1'!S38</f>
        <v/>
      </c>
      <c r="T16" s="53" t="str">
        <f>'R1'!T38</f>
        <v/>
      </c>
      <c r="U16" s="53" t="str">
        <f>'R1'!U38</f>
        <v/>
      </c>
      <c r="V16" s="53" t="str">
        <f>'R1'!V38</f>
        <v/>
      </c>
    </row>
    <row r="17" spans="1:22" s="1" customFormat="1" x14ac:dyDescent="0.3">
      <c r="A17" s="226"/>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7.2541703314351585E-2</v>
      </c>
      <c r="P17" s="53" t="str">
        <f>'R1'!P39</f>
        <v/>
      </c>
      <c r="Q17" s="53" t="str">
        <f>'R1'!Q39</f>
        <v/>
      </c>
      <c r="R17" s="53" t="str">
        <f>'R1'!R39</f>
        <v/>
      </c>
      <c r="S17" s="53" t="str">
        <f>'R1'!S39</f>
        <v/>
      </c>
      <c r="T17" s="53" t="str">
        <f>'R1'!T39</f>
        <v/>
      </c>
      <c r="U17" s="53" t="str">
        <f>'R1'!U39</f>
        <v/>
      </c>
      <c r="V17" s="53" t="str">
        <f>'R1'!V39</f>
        <v/>
      </c>
    </row>
    <row r="18" spans="1:22" s="1" customFormat="1" x14ac:dyDescent="0.3">
      <c r="A18" s="226"/>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0.67016683326979398</v>
      </c>
      <c r="P18" s="53" t="str">
        <f>'R1'!P40</f>
        <v/>
      </c>
      <c r="Q18" s="53" t="str">
        <f>'R1'!Q40</f>
        <v/>
      </c>
      <c r="R18" s="53" t="str">
        <f>'R1'!R40</f>
        <v/>
      </c>
      <c r="S18" s="53" t="str">
        <f>'R1'!S40</f>
        <v/>
      </c>
      <c r="T18" s="53" t="str">
        <f>'R1'!T40</f>
        <v/>
      </c>
      <c r="U18" s="53" t="str">
        <f>'R1'!U40</f>
        <v/>
      </c>
      <c r="V18" s="53" t="str">
        <f>'R1'!V40</f>
        <v/>
      </c>
    </row>
    <row r="19" spans="1:22" s="1" customFormat="1" x14ac:dyDescent="0.3">
      <c r="A19" s="226"/>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1.6246368502102801</v>
      </c>
      <c r="P19" s="53" t="str">
        <f>'R1'!P41</f>
        <v/>
      </c>
      <c r="Q19" s="53" t="str">
        <f>'R1'!Q41</f>
        <v/>
      </c>
      <c r="R19" s="53" t="str">
        <f>'R1'!R41</f>
        <v/>
      </c>
      <c r="S19" s="53" t="str">
        <f>'R1'!S41</f>
        <v/>
      </c>
      <c r="T19" s="53" t="str">
        <f>'R1'!T41</f>
        <v/>
      </c>
      <c r="U19" s="53" t="str">
        <f>'R1'!U41</f>
        <v/>
      </c>
      <c r="V19" s="53" t="str">
        <f>'R1'!V41</f>
        <v/>
      </c>
    </row>
    <row r="20" spans="1:22" s="1" customFormat="1" x14ac:dyDescent="0.3">
      <c r="A20" s="226"/>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0.53479904060613515</v>
      </c>
      <c r="P20" s="53" t="str">
        <f>'R1'!P42</f>
        <v/>
      </c>
      <c r="Q20" s="53" t="str">
        <f>'R1'!Q42</f>
        <v/>
      </c>
      <c r="R20" s="53" t="str">
        <f>'R1'!R42</f>
        <v/>
      </c>
      <c r="S20" s="53" t="str">
        <f>'R1'!S42</f>
        <v/>
      </c>
      <c r="T20" s="53" t="str">
        <f>'R1'!T42</f>
        <v/>
      </c>
      <c r="U20" s="53" t="str">
        <f>'R1'!U42</f>
        <v/>
      </c>
      <c r="V20" s="53" t="str">
        <f>'R1'!V42</f>
        <v/>
      </c>
    </row>
    <row r="21" spans="1:22" s="1" customFormat="1" x14ac:dyDescent="0.3">
      <c r="A21" s="227"/>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1.0739431708227394</v>
      </c>
      <c r="P21" s="53" t="str">
        <f>'R1'!P43</f>
        <v/>
      </c>
      <c r="Q21" s="53" t="str">
        <f>'R1'!Q43</f>
        <v/>
      </c>
      <c r="R21" s="53" t="str">
        <f>'R1'!R43</f>
        <v/>
      </c>
      <c r="S21" s="53" t="str">
        <f>'R1'!S43</f>
        <v/>
      </c>
      <c r="T21" s="53" t="str">
        <f>'R1'!T43</f>
        <v/>
      </c>
      <c r="U21" s="53" t="str">
        <f>'R1'!U43</f>
        <v/>
      </c>
      <c r="V21" s="53" t="str">
        <f>'R1'!V43</f>
        <v/>
      </c>
    </row>
    <row r="22" spans="1:22" x14ac:dyDescent="0.3">
      <c r="A22" s="39" t="s">
        <v>5</v>
      </c>
      <c r="B22" s="54">
        <f>'R2'!B28</f>
        <v>0.4356564441431337</v>
      </c>
      <c r="C22" s="54">
        <f>'R2'!C28</f>
        <v>6.3765994803745299E-2</v>
      </c>
      <c r="D22" s="54">
        <f>'R2'!D28</f>
        <v>5.8711886893276721E-2</v>
      </c>
      <c r="E22" s="54">
        <f>'R2'!E28</f>
        <v>1.0972315118842131</v>
      </c>
      <c r="F22" s="54">
        <f>'R2'!F28</f>
        <v>3.2964474391522818</v>
      </c>
      <c r="G22" s="54">
        <f>'R2'!G28</f>
        <v>6.5894527245079644</v>
      </c>
      <c r="H22" s="54">
        <f>'R2'!H28</f>
        <v>12.267702120643374</v>
      </c>
      <c r="I22" s="54">
        <f>'R2'!I28</f>
        <v>1.471817485442518E-2</v>
      </c>
      <c r="J22" s="54">
        <f>'R2'!J28</f>
        <v>6.2716884525360159E-2</v>
      </c>
      <c r="K22" s="54">
        <f>'R2'!K28</f>
        <v>0.11151199907915685</v>
      </c>
      <c r="L22" s="54">
        <f>'R2'!L28</f>
        <v>6.6354310673045883E-2</v>
      </c>
      <c r="M22" s="54">
        <f>'R2'!M28</f>
        <v>9.7546835251796429E-3</v>
      </c>
      <c r="O22" s="54">
        <f>'R2'!O28</f>
        <v>0.17854912483606655</v>
      </c>
      <c r="P22" s="54">
        <f>'R2'!P28</f>
        <v>8.4927378707193331</v>
      </c>
      <c r="Q22" s="54">
        <f>'R2'!Q28</f>
        <v>0.62074272572602351</v>
      </c>
      <c r="R22" s="54">
        <f>'R2'!R28</f>
        <v>0.6598239980306847</v>
      </c>
      <c r="S22" s="54">
        <f>'R2'!S28</f>
        <v>0.18352665535395227</v>
      </c>
      <c r="T22" s="54">
        <f>'R2'!T28</f>
        <v>0.19047605373084658</v>
      </c>
      <c r="U22" s="54">
        <f>'R2'!U28</f>
        <v>9.7083542026670147E-2</v>
      </c>
      <c r="V22" s="54">
        <f>'R2'!V28</f>
        <v>0.19129160296185402</v>
      </c>
    </row>
    <row r="23" spans="1:22" x14ac:dyDescent="0.3">
      <c r="A23" s="225" t="s">
        <v>34</v>
      </c>
      <c r="B23" s="54">
        <f>'R2'!B29</f>
        <v>0.10971243035345971</v>
      </c>
      <c r="C23" s="54">
        <f>'R2'!C29</f>
        <v>6.479213186435559E-2</v>
      </c>
      <c r="D23" s="54">
        <f>'R2'!D29</f>
        <v>0.25382597803489171</v>
      </c>
      <c r="E23" s="54">
        <f>'R2'!E29</f>
        <v>4.4578827132678391</v>
      </c>
      <c r="F23" s="54">
        <f>'R2'!F29</f>
        <v>1.3059010778028701</v>
      </c>
      <c r="G23" s="54">
        <f>'R2'!G29</f>
        <v>7.9329762752867925</v>
      </c>
      <c r="H23" s="54">
        <f>'R2'!H29</f>
        <v>11.552714321575753</v>
      </c>
      <c r="I23" s="54">
        <f>'R2'!I29</f>
        <v>0.9112926686639008</v>
      </c>
      <c r="J23" s="54">
        <f>'R2'!J29</f>
        <v>4.8696840233315358E-2</v>
      </c>
      <c r="K23" s="54">
        <f>'R2'!K29</f>
        <v>0.10326206131823036</v>
      </c>
      <c r="L23" s="54">
        <f>'R2'!L29</f>
        <v>0.16534590606490557</v>
      </c>
      <c r="M23" s="54">
        <f>'R2'!M29</f>
        <v>6.2538203942666827E-4</v>
      </c>
      <c r="O23" s="54">
        <f>'R2'!O29</f>
        <v>0.27716293842451745</v>
      </c>
      <c r="P23" s="54">
        <f>'R2'!P29</f>
        <v>7.9746777707076637</v>
      </c>
      <c r="Q23" s="54">
        <f>'R2'!Q29</f>
        <v>7.1453088729187805E-2</v>
      </c>
      <c r="R23" s="54">
        <f>'R2'!R29</f>
        <v>7.1880645837775425E-2</v>
      </c>
      <c r="S23" s="54">
        <f>'R2'!S29</f>
        <v>0.91105910761652309</v>
      </c>
      <c r="T23" s="54">
        <f>'R2'!T29</f>
        <v>0.64078047678520444</v>
      </c>
      <c r="U23" s="54">
        <f>'R2'!U29</f>
        <v>0.56609837466877289</v>
      </c>
      <c r="V23" s="54">
        <f>'R2'!V29</f>
        <v>0.27374886300519841</v>
      </c>
    </row>
    <row r="24" spans="1:22" x14ac:dyDescent="0.3">
      <c r="A24" s="226"/>
      <c r="B24" s="54">
        <f>'R2'!B30</f>
        <v>7.4811007393946097E-2</v>
      </c>
      <c r="C24" s="54">
        <f>'R2'!C30</f>
        <v>0.25871416826143073</v>
      </c>
      <c r="D24" s="54">
        <f>'R2'!D30</f>
        <v>0.18141184302878904</v>
      </c>
      <c r="E24" s="54">
        <f>'R2'!E30</f>
        <v>2.62416302305849</v>
      </c>
      <c r="F24" s="54">
        <f>'R2'!F30</f>
        <v>2.4269558165196101</v>
      </c>
      <c r="G24" s="54">
        <f>'R2'!G30</f>
        <v>7.2734471002175516</v>
      </c>
      <c r="H24" s="54">
        <f>'R2'!H30</f>
        <v>10.8851343099663</v>
      </c>
      <c r="I24" s="54">
        <f>'R2'!I30</f>
        <v>9.2702038881054327E-2</v>
      </c>
      <c r="J24" s="54">
        <f>'R2'!J30</f>
        <v>0.27753816764817346</v>
      </c>
      <c r="K24" s="54">
        <f>'R2'!K30</f>
        <v>0.17246249841560576</v>
      </c>
      <c r="L24" s="54">
        <f>'R2'!L30</f>
        <v>0.17385748325049016</v>
      </c>
      <c r="M24" s="54">
        <f>'R2'!M30</f>
        <v>0.15546997500146972</v>
      </c>
      <c r="O24" s="54">
        <f>'R2'!O30</f>
        <v>0.14156990195780475</v>
      </c>
      <c r="P24" s="54">
        <f>'R2'!P30</f>
        <v>11.295989889231599</v>
      </c>
      <c r="Q24" s="54">
        <f>'R2'!Q30</f>
        <v>0.23209841917938231</v>
      </c>
      <c r="R24" s="54">
        <f>'R2'!R30</f>
        <v>0.62150594707209927</v>
      </c>
      <c r="S24" s="54">
        <f>'R2'!S30</f>
        <v>4.3063169089982187</v>
      </c>
      <c r="T24" s="54">
        <f>'R2'!T30</f>
        <v>7.1376511336604942E-2</v>
      </c>
      <c r="U24" s="54">
        <f>'R2'!U30</f>
        <v>1.2610063051112936</v>
      </c>
      <c r="V24" s="54">
        <f>'R2'!V30</f>
        <v>0.19981977191583156</v>
      </c>
    </row>
    <row r="25" spans="1:22" x14ac:dyDescent="0.3">
      <c r="A25" s="226"/>
      <c r="B25" s="54">
        <f>'R2'!B31</f>
        <v>9.8581906341541389E-2</v>
      </c>
      <c r="C25" s="54">
        <f>'R2'!C31</f>
        <v>4.117438770192601E-2</v>
      </c>
      <c r="D25" s="54">
        <f>'R2'!D31</f>
        <v>0.10791924307714447</v>
      </c>
      <c r="E25" s="54">
        <f>'R2'!E31</f>
        <v>2.1653291547602782</v>
      </c>
      <c r="F25" s="54">
        <f>'R2'!F31</f>
        <v>3.8968920506843427</v>
      </c>
      <c r="G25" s="54">
        <f>'R2'!G31</f>
        <v>7.7599522093255793</v>
      </c>
      <c r="H25" s="54">
        <f>'R2'!H31</f>
        <v>25.224941543929457</v>
      </c>
      <c r="I25" s="54">
        <f>'R2'!I31</f>
        <v>0.16970060712311738</v>
      </c>
      <c r="J25" s="54">
        <f>'R2'!J31</f>
        <v>3.1557543483395512E-2</v>
      </c>
      <c r="K25" s="54">
        <f>'R2'!K31</f>
        <v>0.13338888385020281</v>
      </c>
      <c r="L25" s="54">
        <f>'R2'!L31</f>
        <v>0.10390148254629722</v>
      </c>
      <c r="M25" s="54">
        <f>'R2'!M31</f>
        <v>6.6752513114476747E-2</v>
      </c>
      <c r="O25" s="54">
        <f>'R2'!O31</f>
        <v>0.15324412545706134</v>
      </c>
      <c r="P25" s="54">
        <f>'R2'!P31</f>
        <v>8.2135392499419879</v>
      </c>
      <c r="Q25" s="54">
        <f>'R2'!Q31</f>
        <v>4.4935613967620684E-2</v>
      </c>
      <c r="R25" s="54">
        <f>'R2'!R31</f>
        <v>0.23429619034651031</v>
      </c>
      <c r="S25" s="54">
        <f>'R2'!S31</f>
        <v>2.7112417287442097</v>
      </c>
      <c r="T25" s="54">
        <f>'R2'!T31</f>
        <v>1.7264373157805185E-2</v>
      </c>
      <c r="U25" s="54">
        <f>'R2'!U31</f>
        <v>0.3688579845931072</v>
      </c>
      <c r="V25" s="54">
        <f>'R2'!V31</f>
        <v>3.9496066514485055E-2</v>
      </c>
    </row>
    <row r="26" spans="1:22" x14ac:dyDescent="0.3">
      <c r="A26" s="226"/>
      <c r="B26" s="54">
        <f>'R2'!B32</f>
        <v>0.1987374781006605</v>
      </c>
      <c r="C26" s="54">
        <f>'R2'!C32</f>
        <v>4.3975843980582206E-2</v>
      </c>
      <c r="D26" s="54">
        <f>'R2'!D32</f>
        <v>0.11010042247587952</v>
      </c>
      <c r="E26" s="54">
        <f>'R2'!E32</f>
        <v>4.7999092557897889</v>
      </c>
      <c r="F26" s="54">
        <f>'R2'!F32</f>
        <v>7.3347026328344551</v>
      </c>
      <c r="G26" s="54">
        <f>'R2'!G32</f>
        <v>10.693544055173373</v>
      </c>
      <c r="H26" s="54">
        <f>'R2'!H32</f>
        <v>14.835624154009261</v>
      </c>
      <c r="I26" s="54">
        <f>'R2'!I32</f>
        <v>0.11821762608966239</v>
      </c>
      <c r="J26" s="54">
        <f>'R2'!J32</f>
        <v>0.15872451418624117</v>
      </c>
      <c r="K26" s="54">
        <f>'R2'!K32</f>
        <v>2.166374436169034E-2</v>
      </c>
      <c r="L26" s="54">
        <f>'R2'!L32</f>
        <v>1.6405430071000805E-2</v>
      </c>
      <c r="M26" s="54">
        <f>'R2'!M32</f>
        <v>1.5071707150182705E-2</v>
      </c>
      <c r="O26" s="54">
        <f>'R2'!O32</f>
        <v>1.5684224187655453</v>
      </c>
      <c r="P26" s="54">
        <f>'R2'!P32</f>
        <v>9.3006242573089732</v>
      </c>
      <c r="Q26" s="54">
        <f>'R2'!Q32</f>
        <v>0.33591183772420924</v>
      </c>
      <c r="R26" s="54">
        <f>'R2'!R32</f>
        <v>6.2137448921483207E-2</v>
      </c>
      <c r="S26" s="54">
        <f>'R2'!S32</f>
        <v>0.18027211616918085</v>
      </c>
      <c r="T26" s="54">
        <f>'R2'!T32</f>
        <v>4.1749802992692366</v>
      </c>
      <c r="U26" s="54">
        <f>'R2'!U32</f>
        <v>0.71064713719805073</v>
      </c>
      <c r="V26" s="54">
        <f>'R2'!V32</f>
        <v>1.7898842381151687</v>
      </c>
    </row>
    <row r="27" spans="1:22" x14ac:dyDescent="0.3">
      <c r="A27" s="226"/>
      <c r="B27" s="54">
        <f>'R2'!B33</f>
        <v>0.18954691470084123</v>
      </c>
      <c r="C27" s="54">
        <f>'R2'!C33</f>
        <v>0.12363547661489956</v>
      </c>
      <c r="D27" s="54">
        <f>'R2'!D33</f>
        <v>5.6091663777066619E-2</v>
      </c>
      <c r="E27" s="54">
        <f>'R2'!E33</f>
        <v>0.85354438062729165</v>
      </c>
      <c r="F27" s="54">
        <f>'R2'!F33</f>
        <v>11.776986531233167</v>
      </c>
      <c r="G27" s="54">
        <f>'R2'!G33</f>
        <v>3.3582390135172657</v>
      </c>
      <c r="H27" s="54">
        <f>'R2'!H33</f>
        <v>11.366316013999942</v>
      </c>
      <c r="I27" s="54">
        <f>'R2'!I33</f>
        <v>0.22258240186108591</v>
      </c>
      <c r="J27" s="54">
        <f>'R2'!J33</f>
        <v>0.62911773989483533</v>
      </c>
      <c r="K27" s="54">
        <f>'R2'!K33</f>
        <v>4.5476760875206211E-2</v>
      </c>
      <c r="L27" s="54">
        <f>'R2'!L33</f>
        <v>0.15582223100735088</v>
      </c>
      <c r="M27" s="54">
        <f>'R2'!M33</f>
        <v>0.4201074045791845</v>
      </c>
      <c r="O27" s="54">
        <f>'R2'!O33</f>
        <v>0.57435086500945209</v>
      </c>
      <c r="P27" s="54">
        <f>'R2'!P33</f>
        <v>5.6969457665345145</v>
      </c>
      <c r="Q27" s="54">
        <f>'R2'!Q33</f>
        <v>0.49778368274560586</v>
      </c>
      <c r="R27" s="54">
        <f>'R2'!R33</f>
        <v>0.87016805626715366</v>
      </c>
      <c r="S27" s="54">
        <f>'R2'!S33</f>
        <v>5.7116524547800529E-2</v>
      </c>
      <c r="T27" s="54">
        <f>'R2'!T33</f>
        <v>0.18070605472715037</v>
      </c>
      <c r="U27" s="54">
        <f>'R2'!U33</f>
        <v>7.7315088131405529E-2</v>
      </c>
      <c r="V27" s="54">
        <f>'R2'!V33</f>
        <v>0.1356951396568232</v>
      </c>
    </row>
    <row r="28" spans="1:22" x14ac:dyDescent="0.3">
      <c r="A28" s="226"/>
      <c r="B28" s="54">
        <f>'R2'!B34</f>
        <v>9.2569304733910712E-3</v>
      </c>
      <c r="C28" s="54">
        <f>'R2'!C34</f>
        <v>7.0158930794537513E-2</v>
      </c>
      <c r="D28" s="54">
        <f>'R2'!D34</f>
        <v>6.2420785274039776E-2</v>
      </c>
      <c r="E28" s="54">
        <f>'R2'!E34</f>
        <v>3.7879696437643626</v>
      </c>
      <c r="F28" s="54">
        <f>'R2'!F34</f>
        <v>7.8691987938741592</v>
      </c>
      <c r="G28" s="54">
        <f>'R2'!G34</f>
        <v>5.0389825991435933</v>
      </c>
      <c r="H28" s="54">
        <f>'R2'!H34</f>
        <v>18.264388393515585</v>
      </c>
      <c r="I28" s="54">
        <f>'R2'!I34</f>
        <v>0.1225468013503466</v>
      </c>
      <c r="J28" s="54">
        <f>'R2'!J34</f>
        <v>3.5288138792057042E-2</v>
      </c>
      <c r="K28" s="54">
        <f>'R2'!K34</f>
        <v>0.12377459221142507</v>
      </c>
      <c r="L28" s="54">
        <f>'R2'!L34</f>
        <v>5.3907931798578806E-2</v>
      </c>
      <c r="M28" s="54">
        <f>'R2'!M34</f>
        <v>0.50445484992944911</v>
      </c>
      <c r="O28" s="54">
        <f>'R2'!O34</f>
        <v>0.10381469483470331</v>
      </c>
      <c r="P28" s="54">
        <f>'R2'!P34</f>
        <v>7.4155862274602224</v>
      </c>
      <c r="Q28" s="54">
        <f>'R2'!Q34</f>
        <v>0.13486427494729919</v>
      </c>
      <c r="R28" s="54">
        <f>'R2'!R34</f>
        <v>0.73751559167562264</v>
      </c>
      <c r="S28" s="54">
        <f>'R2'!S34</f>
        <v>5.0717207107626415E-2</v>
      </c>
      <c r="T28" s="54">
        <f>'R2'!T34</f>
        <v>0.9994523918749153</v>
      </c>
      <c r="U28" s="54">
        <f>'R2'!U34</f>
        <v>0.11052925587434352</v>
      </c>
      <c r="V28" s="54">
        <f>'R2'!V34</f>
        <v>1.7289898955332807E-2</v>
      </c>
    </row>
    <row r="29" spans="1:22" x14ac:dyDescent="0.3">
      <c r="A29" s="226"/>
      <c r="B29" s="54">
        <f>'R2'!B35</f>
        <v>0.11224969462770505</v>
      </c>
      <c r="C29" s="54">
        <f>'R2'!C35</f>
        <v>5.648348476911557E-2</v>
      </c>
      <c r="D29" s="54" t="str">
        <f>'R2'!D35</f>
        <v/>
      </c>
      <c r="E29" s="54">
        <f>'R2'!E35</f>
        <v>0.45585373143686231</v>
      </c>
      <c r="F29" s="54">
        <f>'R2'!F35</f>
        <v>6.3664274500597742</v>
      </c>
      <c r="G29" s="54">
        <f>'R2'!G35</f>
        <v>10.47191631813982</v>
      </c>
      <c r="H29" s="54">
        <f>'R2'!H35</f>
        <v>18.341833663214381</v>
      </c>
      <c r="I29" s="54">
        <f>'R2'!I35</f>
        <v>2.8194519659131691E-2</v>
      </c>
      <c r="J29" s="54">
        <f>'R2'!J35</f>
        <v>4.1894215192204869E-2</v>
      </c>
      <c r="K29" s="54" t="str">
        <f>'R2'!K35</f>
        <v/>
      </c>
      <c r="L29" s="54">
        <f>'R2'!L35</f>
        <v>0.28971142048909504</v>
      </c>
      <c r="M29" s="54">
        <f>'R2'!M35</f>
        <v>2.4430740813684251E-2</v>
      </c>
      <c r="O29" s="54">
        <f>'R2'!O35</f>
        <v>1.7042643317581523</v>
      </c>
      <c r="P29" s="54" t="str">
        <f>'R2'!P35</f>
        <v/>
      </c>
      <c r="Q29" s="54">
        <f>'R2'!Q35</f>
        <v>0.33495079144729439</v>
      </c>
      <c r="R29" s="54">
        <f>'R2'!R35</f>
        <v>0.12834115738911614</v>
      </c>
      <c r="S29" s="54">
        <f>'R2'!S35</f>
        <v>1.5255199345709995</v>
      </c>
      <c r="T29" s="54">
        <f>'R2'!T35</f>
        <v>0.48657019989172273</v>
      </c>
      <c r="U29" s="54">
        <f>'R2'!U35</f>
        <v>0.2105993162117451</v>
      </c>
      <c r="V29" s="54" t="str">
        <f>'R2'!V35</f>
        <v/>
      </c>
    </row>
    <row r="30" spans="1:22" x14ac:dyDescent="0.3">
      <c r="A30" s="226"/>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6.6757618273982258E-2</v>
      </c>
      <c r="P30" s="54" t="str">
        <f>'R2'!P36</f>
        <v/>
      </c>
      <c r="Q30" s="54" t="str">
        <f>'R2'!Q36</f>
        <v/>
      </c>
      <c r="R30" s="54" t="str">
        <f>'R2'!R36</f>
        <v/>
      </c>
      <c r="S30" s="54" t="str">
        <f>'R2'!S36</f>
        <v/>
      </c>
      <c r="T30" s="54" t="str">
        <f>'R2'!T36</f>
        <v/>
      </c>
      <c r="U30" s="54" t="str">
        <f>'R2'!U36</f>
        <v/>
      </c>
      <c r="V30" s="54" t="str">
        <f>'R2'!V36</f>
        <v/>
      </c>
    </row>
    <row r="31" spans="1:22" s="1" customFormat="1" x14ac:dyDescent="0.3">
      <c r="A31" s="226"/>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0.27854771294039082</v>
      </c>
      <c r="P31" s="54" t="str">
        <f>'R2'!P37</f>
        <v/>
      </c>
      <c r="Q31" s="54" t="str">
        <f>'R2'!Q37</f>
        <v/>
      </c>
      <c r="R31" s="54" t="str">
        <f>'R2'!R37</f>
        <v/>
      </c>
      <c r="S31" s="54" t="str">
        <f>'R2'!S37</f>
        <v/>
      </c>
      <c r="T31" s="54" t="str">
        <f>'R2'!T37</f>
        <v/>
      </c>
      <c r="U31" s="54" t="str">
        <f>'R2'!U37</f>
        <v/>
      </c>
      <c r="V31" s="54" t="str">
        <f>'R2'!V37</f>
        <v/>
      </c>
    </row>
    <row r="32" spans="1:22" s="1" customFormat="1" x14ac:dyDescent="0.3">
      <c r="A32" s="226"/>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0.57325197942588813</v>
      </c>
      <c r="P32" s="54" t="str">
        <f>'R2'!P38</f>
        <v/>
      </c>
      <c r="Q32" s="54" t="str">
        <f>'R2'!Q38</f>
        <v/>
      </c>
      <c r="R32" s="54" t="str">
        <f>'R2'!R38</f>
        <v/>
      </c>
      <c r="S32" s="54" t="str">
        <f>'R2'!S38</f>
        <v/>
      </c>
      <c r="T32" s="54" t="str">
        <f>'R2'!T38</f>
        <v/>
      </c>
      <c r="U32" s="54" t="str">
        <f>'R2'!U38</f>
        <v/>
      </c>
      <c r="V32" s="54" t="str">
        <f>'R2'!V38</f>
        <v/>
      </c>
    </row>
    <row r="33" spans="1:22" s="1" customFormat="1" x14ac:dyDescent="0.3">
      <c r="A33" s="226"/>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1.8371835409338468</v>
      </c>
      <c r="P33" s="54" t="str">
        <f>'R2'!P39</f>
        <v/>
      </c>
      <c r="Q33" s="54" t="str">
        <f>'R2'!Q39</f>
        <v/>
      </c>
      <c r="R33" s="54" t="str">
        <f>'R2'!R39</f>
        <v/>
      </c>
      <c r="S33" s="54" t="str">
        <f>'R2'!S39</f>
        <v/>
      </c>
      <c r="T33" s="54" t="str">
        <f>'R2'!T39</f>
        <v/>
      </c>
      <c r="U33" s="54" t="str">
        <f>'R2'!U39</f>
        <v/>
      </c>
      <c r="V33" s="54" t="str">
        <f>'R2'!V39</f>
        <v/>
      </c>
    </row>
    <row r="34" spans="1:22" s="1" customFormat="1" x14ac:dyDescent="0.3">
      <c r="A34" s="226"/>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3.4165003700841801E-2</v>
      </c>
      <c r="P34" s="54" t="str">
        <f>'R2'!P40</f>
        <v/>
      </c>
      <c r="Q34" s="54" t="str">
        <f>'R2'!Q40</f>
        <v/>
      </c>
      <c r="R34" s="54" t="str">
        <f>'R2'!R40</f>
        <v/>
      </c>
      <c r="S34" s="54" t="str">
        <f>'R2'!S40</f>
        <v/>
      </c>
      <c r="T34" s="54" t="str">
        <f>'R2'!T40</f>
        <v/>
      </c>
      <c r="U34" s="54" t="str">
        <f>'R2'!U40</f>
        <v/>
      </c>
      <c r="V34" s="54" t="str">
        <f>'R2'!V40</f>
        <v/>
      </c>
    </row>
    <row r="35" spans="1:22" s="1" customFormat="1" x14ac:dyDescent="0.3">
      <c r="A35" s="226"/>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2.1324251254573007E-2</v>
      </c>
      <c r="P35" s="54" t="str">
        <f>'R2'!P41</f>
        <v/>
      </c>
      <c r="Q35" s="54" t="str">
        <f>'R2'!Q41</f>
        <v/>
      </c>
      <c r="R35" s="54" t="str">
        <f>'R2'!R41</f>
        <v/>
      </c>
      <c r="S35" s="54" t="str">
        <f>'R2'!S41</f>
        <v/>
      </c>
      <c r="T35" s="54" t="str">
        <f>'R2'!T41</f>
        <v/>
      </c>
      <c r="U35" s="54" t="str">
        <f>'R2'!U41</f>
        <v/>
      </c>
      <c r="V35" s="54" t="str">
        <f>'R2'!V41</f>
        <v/>
      </c>
    </row>
    <row r="36" spans="1:22" x14ac:dyDescent="0.3">
      <c r="A36" s="226"/>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6.8330007401683601E-2</v>
      </c>
      <c r="P36" s="54" t="str">
        <f>'R2'!P42</f>
        <v/>
      </c>
      <c r="Q36" s="54" t="str">
        <f>'R2'!Q42</f>
        <v/>
      </c>
      <c r="R36" s="54" t="str">
        <f>'R2'!R42</f>
        <v/>
      </c>
      <c r="S36" s="54" t="str">
        <f>'R2'!S42</f>
        <v/>
      </c>
      <c r="T36" s="54" t="str">
        <f>'R2'!T42</f>
        <v/>
      </c>
      <c r="U36" s="54" t="str">
        <f>'R2'!U42</f>
        <v/>
      </c>
      <c r="V36" s="54" t="str">
        <f>'R2'!V42</f>
        <v/>
      </c>
    </row>
    <row r="37" spans="1:22" x14ac:dyDescent="0.3">
      <c r="A37" s="227"/>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8.419061485025491</v>
      </c>
      <c r="P37" s="54" t="str">
        <f>'R2'!P43</f>
        <v/>
      </c>
      <c r="Q37" s="54" t="str">
        <f>'R2'!Q43</f>
        <v/>
      </c>
      <c r="R37" s="54" t="str">
        <f>'R2'!R43</f>
        <v/>
      </c>
      <c r="S37" s="54" t="str">
        <f>'R2'!S43</f>
        <v/>
      </c>
      <c r="T37" s="54" t="str">
        <f>'R2'!T43</f>
        <v/>
      </c>
      <c r="U37" s="54" t="str">
        <f>'R2'!U43</f>
        <v/>
      </c>
      <c r="V37" s="54" t="str">
        <f>'R2'!V43</f>
        <v/>
      </c>
    </row>
    <row r="38" spans="1:22" s="1" customFormat="1" x14ac:dyDescent="0.3">
      <c r="A38" s="154" t="s">
        <v>116</v>
      </c>
      <c r="B38" s="155">
        <f>'R3'!B28</f>
        <v>6.7698297890457448E-2</v>
      </c>
      <c r="C38" s="155">
        <f>'R3'!C28</f>
        <v>0.19480625600336088</v>
      </c>
      <c r="D38" s="155">
        <f>'R3'!D28</f>
        <v>1.2095177240235893</v>
      </c>
      <c r="E38" s="155">
        <f>'R3'!E28</f>
        <v>3.2698880101319676</v>
      </c>
      <c r="F38" s="155">
        <f>'R3'!F28</f>
        <v>9.7974997459163049</v>
      </c>
      <c r="G38" s="155">
        <f>'R3'!G28</f>
        <v>12.73597764310289</v>
      </c>
      <c r="H38" s="155">
        <f>'R3'!H28</f>
        <v>14.057021758290908</v>
      </c>
      <c r="I38" s="155">
        <f>'R3'!I28</f>
        <v>3.8234637941090836E-3</v>
      </c>
      <c r="J38" s="155">
        <f>'R3'!J28</f>
        <v>5.7649541146441503E-2</v>
      </c>
      <c r="K38" s="155">
        <f>'R3'!K28</f>
        <v>3.5989357837726152E-2</v>
      </c>
      <c r="L38" s="155">
        <f>'R3'!L28</f>
        <v>0.43543202205578702</v>
      </c>
      <c r="M38" s="155">
        <f>'R3'!M28</f>
        <v>0.43840786440383944</v>
      </c>
      <c r="N38"/>
      <c r="O38" s="155">
        <f>'R3'!O28</f>
        <v>0.76818196923370385</v>
      </c>
      <c r="P38" s="155">
        <f>'R3'!P28</f>
        <v>8.0323654588266731</v>
      </c>
      <c r="Q38" s="155">
        <f>'R3'!Q28</f>
        <v>0.24693850081540372</v>
      </c>
      <c r="R38" s="155">
        <f>'R3'!R28</f>
        <v>2.4796805764672043E-2</v>
      </c>
      <c r="S38" s="155">
        <f>'R3'!S28</f>
        <v>0.131080919200327</v>
      </c>
      <c r="T38" s="155">
        <f>'R3'!T28</f>
        <v>0.88893347167709436</v>
      </c>
      <c r="U38" s="155">
        <f>'R3'!U28</f>
        <v>0.21361188722086383</v>
      </c>
      <c r="V38" s="155">
        <f>'R3'!V28</f>
        <v>0.12920797197842479</v>
      </c>
    </row>
    <row r="39" spans="1:22" s="1" customFormat="1" x14ac:dyDescent="0.3">
      <c r="A39" s="225" t="s">
        <v>34</v>
      </c>
      <c r="B39" s="155">
        <f>'R3'!B29</f>
        <v>0.339419500952296</v>
      </c>
      <c r="C39" s="155">
        <f>'R3'!C29</f>
        <v>4.2352865266357727E-3</v>
      </c>
      <c r="D39" s="155">
        <f>'R3'!D29</f>
        <v>0.16821689307073875</v>
      </c>
      <c r="E39" s="155">
        <f>'R3'!E29</f>
        <v>1.6051439762066595</v>
      </c>
      <c r="F39" s="155">
        <f>'R3'!F29</f>
        <v>18.064035790498231</v>
      </c>
      <c r="G39" s="155">
        <f>'R3'!G29</f>
        <v>9.6730517113429393</v>
      </c>
      <c r="H39" s="155">
        <f>'R3'!H29</f>
        <v>12.619397961354068</v>
      </c>
      <c r="I39" s="155">
        <f>'R3'!I29</f>
        <v>9.9290178741819848E-2</v>
      </c>
      <c r="J39" s="155">
        <f>'R3'!J29</f>
        <v>0.16846652534353745</v>
      </c>
      <c r="K39" s="155">
        <f>'R3'!K29</f>
        <v>0.82212369543558139</v>
      </c>
      <c r="L39" s="155">
        <f>'R3'!L29</f>
        <v>0.17823744277828027</v>
      </c>
      <c r="M39" s="155">
        <f>'R3'!M29</f>
        <v>0.81047701007528894</v>
      </c>
      <c r="N39"/>
      <c r="O39" s="155">
        <f>'R3'!O29</f>
        <v>1.0242257014230538</v>
      </c>
      <c r="P39" s="155">
        <f>'R3'!P29</f>
        <v>3.926838351732401</v>
      </c>
      <c r="Q39" s="155">
        <f>'R3'!Q29</f>
        <v>0.31592303956909523</v>
      </c>
      <c r="R39" s="155">
        <f>'R3'!R29</f>
        <v>3.0505049632484353</v>
      </c>
      <c r="S39" s="155">
        <f>'R3'!S29</f>
        <v>0.64225447559725535</v>
      </c>
      <c r="T39" s="155">
        <f>'R3'!T29</f>
        <v>0.21357944912891824</v>
      </c>
      <c r="U39" s="155">
        <f>'R3'!U29</f>
        <v>3.331892717710061</v>
      </c>
      <c r="V39" s="155">
        <f>'R3'!V29</f>
        <v>2.1299133241842634E-2</v>
      </c>
    </row>
    <row r="40" spans="1:22" s="1" customFormat="1" x14ac:dyDescent="0.3">
      <c r="A40" s="226"/>
      <c r="B40" s="155">
        <f>'R3'!B30</f>
        <v>0.55849932219372822</v>
      </c>
      <c r="C40" s="155">
        <f>'R3'!C30</f>
        <v>0.24709081881236564</v>
      </c>
      <c r="D40" s="155">
        <f>'R3'!D30</f>
        <v>0.22654622379621403</v>
      </c>
      <c r="E40" s="155">
        <f>'R3'!E30</f>
        <v>2.2722502612897122</v>
      </c>
      <c r="F40" s="155">
        <f>'R3'!F30</f>
        <v>6.0171066861518527</v>
      </c>
      <c r="G40" s="155">
        <f>'R3'!G30</f>
        <v>16.011985169797985</v>
      </c>
      <c r="H40" s="155">
        <f>'R3'!H30</f>
        <v>25.640523356880625</v>
      </c>
      <c r="I40" s="155">
        <f>'R3'!I30</f>
        <v>0.14031167188658444</v>
      </c>
      <c r="J40" s="155">
        <f>'R3'!J30</f>
        <v>5.4108147717076727E-2</v>
      </c>
      <c r="K40" s="155">
        <f>'R3'!K30</f>
        <v>0.20330785679675428</v>
      </c>
      <c r="L40" s="155">
        <f>'R3'!L30</f>
        <v>0.68339161759156508</v>
      </c>
      <c r="M40" s="155">
        <f>'R3'!M30</f>
        <v>0.44546385457791826</v>
      </c>
      <c r="N40"/>
      <c r="O40" s="155">
        <f>'R3'!O30</f>
        <v>3.4139103176667631</v>
      </c>
      <c r="P40" s="155">
        <f>'R3'!P30</f>
        <v>5.128422846747557</v>
      </c>
      <c r="Q40" s="155">
        <f>'R3'!Q30</f>
        <v>7.4302975480945402E-2</v>
      </c>
      <c r="R40" s="155">
        <f>'R3'!R30</f>
        <v>3.2864018196359229E-2</v>
      </c>
      <c r="S40" s="155">
        <f>'R3'!S30</f>
        <v>4.0383351255085307</v>
      </c>
      <c r="T40" s="155">
        <f>'R3'!T30</f>
        <v>0.80232517653417856</v>
      </c>
      <c r="U40" s="155">
        <f>'R3'!U30</f>
        <v>0.11705638066524003</v>
      </c>
      <c r="V40" s="155">
        <f>'R3'!V30</f>
        <v>3.9932405362968586</v>
      </c>
    </row>
    <row r="41" spans="1:22" s="1" customFormat="1" x14ac:dyDescent="0.3">
      <c r="A41" s="226"/>
      <c r="B41" s="155">
        <f>'R3'!B31</f>
        <v>0.20298488622912206</v>
      </c>
      <c r="C41" s="155">
        <f>'R3'!C31</f>
        <v>0.34517091568943242</v>
      </c>
      <c r="D41" s="155">
        <f>'R3'!D31</f>
        <v>0.30219890597246096</v>
      </c>
      <c r="E41" s="155">
        <f>'R3'!E31</f>
        <v>3.2881506558973377</v>
      </c>
      <c r="F41" s="155">
        <f>'R3'!F31</f>
        <v>8.7791862393382907</v>
      </c>
      <c r="G41" s="155">
        <f>'R3'!G31</f>
        <v>18.880794507596374</v>
      </c>
      <c r="H41" s="155">
        <f>'R3'!H31</f>
        <v>22.631121687182731</v>
      </c>
      <c r="I41" s="155">
        <f>'R3'!I31</f>
        <v>0.22588053773541747</v>
      </c>
      <c r="J41" s="155">
        <f>'R3'!J31</f>
        <v>0.82532237337178183</v>
      </c>
      <c r="K41" s="155">
        <f>'R3'!K31</f>
        <v>0.31928954937231852</v>
      </c>
      <c r="L41" s="155">
        <f>'R3'!L31</f>
        <v>0.10596537392349388</v>
      </c>
      <c r="M41" s="155">
        <f>'R3'!M31</f>
        <v>0.3559347208080752</v>
      </c>
      <c r="N41"/>
      <c r="O41" s="155">
        <f>'R3'!O31</f>
        <v>0.40898369430553705</v>
      </c>
      <c r="P41" s="155">
        <f>'R3'!P31</f>
        <v>13.8511244955458</v>
      </c>
      <c r="Q41" s="155">
        <f>'R3'!Q31</f>
        <v>0.18320893295689869</v>
      </c>
      <c r="R41" s="155">
        <f>'R3'!R31</f>
        <v>1.1450533628649253</v>
      </c>
      <c r="S41" s="155">
        <f>'R3'!S31</f>
        <v>0.76925806767520333</v>
      </c>
      <c r="T41" s="155">
        <f>'R3'!T31</f>
        <v>0.82349455740823874</v>
      </c>
      <c r="U41" s="155">
        <f>'R3'!U31</f>
        <v>0.89699081164601546</v>
      </c>
      <c r="V41" s="155">
        <f>'R3'!V31</f>
        <v>0.14412244251428002</v>
      </c>
    </row>
    <row r="42" spans="1:22" s="1" customFormat="1" x14ac:dyDescent="0.3">
      <c r="A42" s="226"/>
      <c r="B42" s="155">
        <f>'R3'!B32</f>
        <v>0.4141554544431239</v>
      </c>
      <c r="C42" s="155">
        <f>'R3'!C32</f>
        <v>0.59959697433697379</v>
      </c>
      <c r="D42" s="155">
        <f>'R3'!D32</f>
        <v>0.30539617355683768</v>
      </c>
      <c r="E42" s="155">
        <f>'R3'!E32</f>
        <v>7.8585029274055778</v>
      </c>
      <c r="F42" s="155">
        <f>'R3'!F32</f>
        <v>8.2255582723436973</v>
      </c>
      <c r="G42" s="155">
        <f>'R3'!G32</f>
        <v>13.440960336763808</v>
      </c>
      <c r="H42" s="155">
        <f>'R3'!H32</f>
        <v>26.359420581634382</v>
      </c>
      <c r="I42" s="155">
        <f>'R3'!I32</f>
        <v>0.72264735025303029</v>
      </c>
      <c r="J42" s="155">
        <f>'R3'!J32</f>
        <v>0.49179250163534699</v>
      </c>
      <c r="K42" s="155">
        <f>'R3'!K32</f>
        <v>0.35248782095089976</v>
      </c>
      <c r="L42" s="155">
        <f>'R3'!L32</f>
        <v>8.8352900348859342E-2</v>
      </c>
      <c r="M42" s="155">
        <f>'R3'!M32</f>
        <v>0.69445159659318945</v>
      </c>
      <c r="N42"/>
      <c r="O42" s="155">
        <f>'R3'!O32</f>
        <v>3.4430312621229655</v>
      </c>
      <c r="P42" s="155">
        <f>'R3'!P32</f>
        <v>11.303180070106826</v>
      </c>
      <c r="Q42" s="155">
        <f>'R3'!Q32</f>
        <v>0.65845377664452087</v>
      </c>
      <c r="R42" s="155">
        <f>'R3'!R32</f>
        <v>0.22521626202644462</v>
      </c>
      <c r="S42" s="155">
        <f>'R3'!S32</f>
        <v>0.63364709841708278</v>
      </c>
      <c r="T42" s="155">
        <f>'R3'!T32</f>
        <v>0.12702333700348012</v>
      </c>
      <c r="U42" s="155">
        <f>'R3'!U32</f>
        <v>0.62059570264036368</v>
      </c>
      <c r="V42" s="155">
        <f>'R3'!V32</f>
        <v>0.19590492007403995</v>
      </c>
    </row>
    <row r="43" spans="1:22" s="1" customFormat="1" x14ac:dyDescent="0.3">
      <c r="A43" s="226"/>
      <c r="B43" s="155">
        <f>'R3'!B33</f>
        <v>5.8825774567425266E-3</v>
      </c>
      <c r="C43" s="155">
        <f>'R3'!C33</f>
        <v>1.8897261775490148</v>
      </c>
      <c r="D43" s="155">
        <f>'R3'!D33</f>
        <v>0.51769220252616932</v>
      </c>
      <c r="E43" s="155">
        <f>'R3'!E33</f>
        <v>2.2225283077444091</v>
      </c>
      <c r="F43" s="155">
        <f>'R3'!F33</f>
        <v>12.424399897502681</v>
      </c>
      <c r="G43" s="155">
        <f>'R3'!G33</f>
        <v>7.5578554084392104</v>
      </c>
      <c r="H43" s="155">
        <f>'R3'!H33</f>
        <v>12.596025610931354</v>
      </c>
      <c r="I43" s="155">
        <f>'R3'!I33</f>
        <v>0.29049862724286707</v>
      </c>
      <c r="J43" s="155">
        <f>'R3'!J33</f>
        <v>0.33619684703509228</v>
      </c>
      <c r="K43" s="155">
        <f>'R3'!K33</f>
        <v>0.38892990172404052</v>
      </c>
      <c r="L43" s="155">
        <f>'R3'!L33</f>
        <v>0.44368116987273426</v>
      </c>
      <c r="M43" s="155">
        <f>'R3'!M33</f>
        <v>0.83881802997297328</v>
      </c>
      <c r="N43"/>
      <c r="O43" s="155">
        <f>'R3'!O33</f>
        <v>0.29607515835386206</v>
      </c>
      <c r="P43" s="155">
        <f>'R3'!P33</f>
        <v>6.6986662567244029</v>
      </c>
      <c r="Q43" s="155">
        <f>'R3'!Q33</f>
        <v>2.6046377480489324E-2</v>
      </c>
      <c r="R43" s="155">
        <f>'R3'!R33</f>
        <v>0.77235661063191963</v>
      </c>
      <c r="S43" s="155">
        <f>'R3'!S33</f>
        <v>1.3950128372867405</v>
      </c>
      <c r="T43" s="155">
        <f>'R3'!T33</f>
        <v>0.66385965518484558</v>
      </c>
      <c r="U43" s="155">
        <f>'R3'!U33</f>
        <v>1.0414066073396295</v>
      </c>
      <c r="V43" s="155">
        <f>'R3'!V33</f>
        <v>9.5438507911236332E-3</v>
      </c>
    </row>
    <row r="44" spans="1:22" s="1" customFormat="1" x14ac:dyDescent="0.3">
      <c r="A44" s="226"/>
      <c r="B44" s="155">
        <f>'R3'!B34</f>
        <v>0.15326575338746676</v>
      </c>
      <c r="C44" s="155">
        <f>'R3'!C34</f>
        <v>0.26317588136190978</v>
      </c>
      <c r="D44" s="155">
        <f>'R3'!D34</f>
        <v>0.65827043090743709</v>
      </c>
      <c r="E44" s="155">
        <f>'R3'!E34</f>
        <v>5.9176077753401222</v>
      </c>
      <c r="F44" s="155">
        <f>'R3'!F34</f>
        <v>6.1622079128317955</v>
      </c>
      <c r="G44" s="155">
        <f>'R3'!G34</f>
        <v>10.766068733319836</v>
      </c>
      <c r="H44" s="155">
        <f>'R3'!H34</f>
        <v>18.19058524928894</v>
      </c>
      <c r="I44" s="155">
        <f>'R3'!I34</f>
        <v>0.16805893366648195</v>
      </c>
      <c r="J44" s="155">
        <f>'R3'!J34</f>
        <v>0.30923233051736027</v>
      </c>
      <c r="K44" s="155">
        <f>'R3'!K34</f>
        <v>0.87309522069670142</v>
      </c>
      <c r="L44" s="155">
        <f>'R3'!L34</f>
        <v>0.70514770482429356</v>
      </c>
      <c r="M44" s="155">
        <f>'R3'!M34</f>
        <v>0.18387320866587153</v>
      </c>
      <c r="N44"/>
      <c r="O44" s="155">
        <f>'R3'!O34</f>
        <v>0.41325988103506073</v>
      </c>
      <c r="P44" s="155">
        <f>'R3'!P34</f>
        <v>14.22336006273245</v>
      </c>
      <c r="Q44" s="155">
        <f>'R3'!Q34</f>
        <v>0.48839355374017812</v>
      </c>
      <c r="R44" s="155">
        <f>'R3'!R34</f>
        <v>1.5429093812812993</v>
      </c>
      <c r="S44" s="155">
        <f>'R3'!S34</f>
        <v>3.0369105820195832E-2</v>
      </c>
      <c r="T44" s="155">
        <f>'R3'!T34</f>
        <v>1.9375399250768224</v>
      </c>
      <c r="U44" s="155">
        <f>'R3'!U34</f>
        <v>0.4789766346131894</v>
      </c>
      <c r="V44" s="155">
        <f>'R3'!V34</f>
        <v>1.2570494011866524</v>
      </c>
    </row>
    <row r="45" spans="1:22" s="1" customFormat="1" x14ac:dyDescent="0.3">
      <c r="A45" s="226"/>
      <c r="B45" s="155">
        <f>'R3'!B35</f>
        <v>0.29742627540098726</v>
      </c>
      <c r="C45" s="155">
        <f>'R3'!C35</f>
        <v>0.37686152116845534</v>
      </c>
      <c r="D45" s="155">
        <f>'R3'!D35</f>
        <v>0.16093665695668818</v>
      </c>
      <c r="E45" s="155" t="str">
        <f>'R3'!E35</f>
        <v/>
      </c>
      <c r="F45" s="155">
        <f>'R3'!F35</f>
        <v>8.7017029204948528</v>
      </c>
      <c r="G45" s="155">
        <f>'R3'!G35</f>
        <v>11.950245255774796</v>
      </c>
      <c r="H45" s="155">
        <f>'R3'!H35</f>
        <v>12.799961074289666</v>
      </c>
      <c r="I45" s="155">
        <f>'R3'!I35</f>
        <v>0.23032596668378774</v>
      </c>
      <c r="J45" s="155">
        <f>'R3'!J35</f>
        <v>3.2057296953190512E-2</v>
      </c>
      <c r="K45" s="155">
        <f>'R3'!K35</f>
        <v>0.21461605771935355</v>
      </c>
      <c r="L45" s="155">
        <f>'R3'!L35</f>
        <v>0.31935865661168089</v>
      </c>
      <c r="M45" s="155">
        <f>'R3'!M35</f>
        <v>0.39580818756833042</v>
      </c>
      <c r="N45"/>
      <c r="O45" s="155">
        <f>'R3'!O35</f>
        <v>0.77951273578548264</v>
      </c>
      <c r="P45" s="155">
        <f>'R3'!P35</f>
        <v>8.0918484573439535</v>
      </c>
      <c r="Q45" s="155" t="str">
        <f>'R3'!Q35</f>
        <v/>
      </c>
      <c r="R45" s="155">
        <f>'R3'!R35</f>
        <v>0.20555172654829526</v>
      </c>
      <c r="S45" s="155">
        <f>'R3'!S35</f>
        <v>1.1720404450118369</v>
      </c>
      <c r="T45" s="155">
        <f>'R3'!T35</f>
        <v>0.52313192951026322</v>
      </c>
      <c r="U45" s="155">
        <f>'R3'!U35</f>
        <v>0.19443110241825093</v>
      </c>
      <c r="V45" s="155">
        <f>'R3'!V35</f>
        <v>0.75434077643570074</v>
      </c>
    </row>
    <row r="46" spans="1:22" s="1" customFormat="1" x14ac:dyDescent="0.3">
      <c r="A46" s="226"/>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0.46972754735322358</v>
      </c>
      <c r="P46" s="155" t="str">
        <f>'R3'!P36</f>
        <v/>
      </c>
      <c r="Q46" s="155" t="str">
        <f>'R3'!Q36</f>
        <v/>
      </c>
      <c r="R46" s="155" t="str">
        <f>'R3'!R36</f>
        <v/>
      </c>
      <c r="S46" s="155" t="str">
        <f>'R3'!S36</f>
        <v/>
      </c>
      <c r="T46" s="155" t="str">
        <f>'R3'!T36</f>
        <v/>
      </c>
      <c r="U46" s="155" t="str">
        <f>'R3'!U36</f>
        <v/>
      </c>
      <c r="V46" s="155" t="str">
        <f>'R3'!V36</f>
        <v/>
      </c>
    </row>
    <row r="47" spans="1:22" s="1" customFormat="1" x14ac:dyDescent="0.3">
      <c r="A47" s="226"/>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0.15600324627731024</v>
      </c>
      <c r="P47" s="155" t="str">
        <f>'R3'!P37</f>
        <v/>
      </c>
      <c r="Q47" s="155" t="str">
        <f>'R3'!Q37</f>
        <v/>
      </c>
      <c r="R47" s="155" t="str">
        <f>'R3'!R37</f>
        <v/>
      </c>
      <c r="S47" s="155" t="str">
        <f>'R3'!S37</f>
        <v/>
      </c>
      <c r="T47" s="155" t="str">
        <f>'R3'!T37</f>
        <v/>
      </c>
      <c r="U47" s="155" t="str">
        <f>'R3'!U37</f>
        <v/>
      </c>
      <c r="V47" s="155" t="str">
        <f>'R3'!V37</f>
        <v/>
      </c>
    </row>
    <row r="48" spans="1:22" s="1" customFormat="1" x14ac:dyDescent="0.3">
      <c r="A48" s="226"/>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3.9745914541317888</v>
      </c>
      <c r="P48" s="155" t="str">
        <f>'R3'!P38</f>
        <v/>
      </c>
      <c r="Q48" s="155" t="str">
        <f>'R3'!Q38</f>
        <v/>
      </c>
      <c r="R48" s="155" t="str">
        <f>'R3'!R38</f>
        <v/>
      </c>
      <c r="S48" s="155" t="str">
        <f>'R3'!S38</f>
        <v/>
      </c>
      <c r="T48" s="155" t="str">
        <f>'R3'!T38</f>
        <v/>
      </c>
      <c r="U48" s="155" t="str">
        <f>'R3'!U38</f>
        <v/>
      </c>
      <c r="V48" s="155" t="str">
        <f>'R3'!V38</f>
        <v/>
      </c>
    </row>
    <row r="49" spans="1:24" s="1" customFormat="1" x14ac:dyDescent="0.3">
      <c r="A49" s="226"/>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0.48922989237164499</v>
      </c>
      <c r="P49" s="155" t="str">
        <f>'R3'!P39</f>
        <v/>
      </c>
      <c r="Q49" s="155" t="str">
        <f>'R3'!Q39</f>
        <v/>
      </c>
      <c r="R49" s="155" t="str">
        <f>'R3'!R39</f>
        <v/>
      </c>
      <c r="S49" s="155" t="str">
        <f>'R3'!S39</f>
        <v/>
      </c>
      <c r="T49" s="155" t="str">
        <f>'R3'!T39</f>
        <v/>
      </c>
      <c r="U49" s="155" t="str">
        <f>'R3'!U39</f>
        <v/>
      </c>
      <c r="V49" s="155" t="str">
        <f>'R3'!V39</f>
        <v/>
      </c>
    </row>
    <row r="50" spans="1:24" s="1" customFormat="1" x14ac:dyDescent="0.3">
      <c r="A50" s="226"/>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0.19769888759381374</v>
      </c>
      <c r="P50" s="155" t="str">
        <f>'R3'!P40</f>
        <v/>
      </c>
      <c r="Q50" s="155" t="str">
        <f>'R3'!Q40</f>
        <v/>
      </c>
      <c r="R50" s="155" t="str">
        <f>'R3'!R40</f>
        <v/>
      </c>
      <c r="S50" s="155" t="str">
        <f>'R3'!S40</f>
        <v/>
      </c>
      <c r="T50" s="155" t="str">
        <f>'R3'!T40</f>
        <v/>
      </c>
      <c r="U50" s="155" t="str">
        <f>'R3'!U40</f>
        <v/>
      </c>
      <c r="V50" s="155" t="str">
        <f>'R3'!V40</f>
        <v/>
      </c>
    </row>
    <row r="51" spans="1:24" s="1" customFormat="1" x14ac:dyDescent="0.3">
      <c r="A51" s="226"/>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6.3546222121421247E-2</v>
      </c>
      <c r="P51" s="155" t="str">
        <f>'R3'!P41</f>
        <v/>
      </c>
      <c r="Q51" s="155" t="str">
        <f>'R3'!Q41</f>
        <v/>
      </c>
      <c r="R51" s="155" t="str">
        <f>'R3'!R41</f>
        <v/>
      </c>
      <c r="S51" s="155" t="str">
        <f>'R3'!S41</f>
        <v/>
      </c>
      <c r="T51" s="155" t="str">
        <f>'R3'!T41</f>
        <v/>
      </c>
      <c r="U51" s="155" t="str">
        <f>'R3'!U41</f>
        <v/>
      </c>
      <c r="V51" s="155" t="str">
        <f>'R3'!V41</f>
        <v/>
      </c>
    </row>
    <row r="52" spans="1:24" s="1" customFormat="1" x14ac:dyDescent="0.3">
      <c r="A52" s="226"/>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6.0979381802248045E-2</v>
      </c>
      <c r="P52" s="155" t="str">
        <f>'R3'!P42</f>
        <v/>
      </c>
      <c r="Q52" s="155" t="str">
        <f>'R3'!Q42</f>
        <v/>
      </c>
      <c r="R52" s="155" t="str">
        <f>'R3'!R42</f>
        <v/>
      </c>
      <c r="S52" s="155" t="str">
        <f>'R3'!S42</f>
        <v/>
      </c>
      <c r="T52" s="155" t="str">
        <f>'R3'!T42</f>
        <v/>
      </c>
      <c r="U52" s="155" t="str">
        <f>'R3'!U42</f>
        <v/>
      </c>
      <c r="V52" s="155" t="str">
        <f>'R3'!V42</f>
        <v/>
      </c>
    </row>
    <row r="53" spans="1:24" s="1" customFormat="1" x14ac:dyDescent="0.3">
      <c r="A53" s="227"/>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4.1042648422120416E-2</v>
      </c>
      <c r="P53" s="155" t="str">
        <f>'R3'!P43</f>
        <v/>
      </c>
      <c r="Q53" s="155" t="str">
        <f>'R3'!Q43</f>
        <v/>
      </c>
      <c r="R53" s="155" t="str">
        <f>'R3'!R43</f>
        <v/>
      </c>
      <c r="S53" s="155" t="str">
        <f>'R3'!S43</f>
        <v/>
      </c>
      <c r="T53" s="155" t="str">
        <f>'R3'!T43</f>
        <v/>
      </c>
      <c r="U53" s="155" t="str">
        <f>'R3'!U43</f>
        <v/>
      </c>
      <c r="V53" s="155"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Atenolol-0.01mg/L</v>
      </c>
      <c r="J55" s="15" t="str">
        <f t="shared" si="0"/>
        <v>Atenolol-0.1mg/L</v>
      </c>
      <c r="K55" s="15" t="str">
        <f t="shared" si="0"/>
        <v>Atenolol-1mg/L</v>
      </c>
      <c r="L55" s="15" t="str">
        <f t="shared" si="0"/>
        <v>Atenolol-10mg/L</v>
      </c>
      <c r="M55" s="15" t="str">
        <f t="shared" si="0"/>
        <v>Atenolol-100mg/L</v>
      </c>
      <c r="O55" s="15" t="str">
        <f t="shared" ref="O55:V55" si="1">O4</f>
        <v>Testo -30µg/L</v>
      </c>
      <c r="P55" s="15" t="str">
        <f t="shared" si="1"/>
        <v>Testo 30µg/L + EE2 -64ng/L</v>
      </c>
      <c r="Q55" s="15" t="str">
        <f t="shared" si="1"/>
        <v>Testo 30µg/L + FAD-10µg/L</v>
      </c>
      <c r="R55" s="15" t="str">
        <f t="shared" si="1"/>
        <v>Atenolol-0.01mg/L + Testostérone</v>
      </c>
      <c r="S55" s="15" t="str">
        <f t="shared" si="1"/>
        <v>Atenolol-0.1mg/L + Testostérone</v>
      </c>
      <c r="T55" s="15" t="str">
        <f t="shared" si="1"/>
        <v>Atenolol-1mg/L + Testostérone</v>
      </c>
      <c r="U55" s="15" t="str">
        <f t="shared" si="1"/>
        <v>Atenolol-10mg/L + Testostérone</v>
      </c>
      <c r="V55" s="15" t="str">
        <f t="shared" si="1"/>
        <v>Atenolol-100mg/L + Testostérone</v>
      </c>
    </row>
    <row r="56" spans="1:24" x14ac:dyDescent="0.3">
      <c r="A56" t="s">
        <v>48</v>
      </c>
      <c r="B56" s="9">
        <f t="shared" ref="B56:V56" si="2">AVERAGE(B6:B53)</f>
        <v>0.13897057500891144</v>
      </c>
      <c r="C56" s="9">
        <f t="shared" si="2"/>
        <v>0.20756099724762309</v>
      </c>
      <c r="D56" s="9">
        <f t="shared" si="2"/>
        <v>0.19590223188447417</v>
      </c>
      <c r="E56" s="9">
        <f t="shared" si="2"/>
        <v>2.2439888078658301</v>
      </c>
      <c r="F56" s="9">
        <f t="shared" si="2"/>
        <v>5.5424121394771744</v>
      </c>
      <c r="G56" s="9">
        <f t="shared" si="2"/>
        <v>7.5838854091716401</v>
      </c>
      <c r="H56" s="9">
        <f t="shared" si="2"/>
        <v>13.224359709998078</v>
      </c>
      <c r="I56" s="9">
        <f t="shared" si="2"/>
        <v>0.14907065227399474</v>
      </c>
      <c r="J56" s="9">
        <f t="shared" si="2"/>
        <v>0.15494576747499447</v>
      </c>
      <c r="K56" s="9">
        <f t="shared" si="2"/>
        <v>0.1795402774501979</v>
      </c>
      <c r="L56" s="9">
        <f t="shared" si="2"/>
        <v>0.17184700860951763</v>
      </c>
      <c r="M56" s="9">
        <f t="shared" si="2"/>
        <v>0.22594652546794802</v>
      </c>
      <c r="N56" s="9"/>
      <c r="O56" s="9">
        <f t="shared" si="2"/>
        <v>1.0000000000000002</v>
      </c>
      <c r="P56" s="9">
        <f t="shared" si="2"/>
        <v>7.7569410341180216</v>
      </c>
      <c r="Q56" s="9">
        <f t="shared" si="2"/>
        <v>0.19431574807654764</v>
      </c>
      <c r="R56" s="9">
        <f t="shared" si="2"/>
        <v>0.7026567236486877</v>
      </c>
      <c r="S56" s="9">
        <f t="shared" si="2"/>
        <v>1.1021715433134032</v>
      </c>
      <c r="T56" s="9">
        <f t="shared" si="2"/>
        <v>0.7435073509500949</v>
      </c>
      <c r="U56" s="9">
        <f t="shared" si="2"/>
        <v>0.79245190038809221</v>
      </c>
      <c r="V56" s="9">
        <f t="shared" si="2"/>
        <v>0.88828991955228009</v>
      </c>
    </row>
    <row r="57" spans="1:24" x14ac:dyDescent="0.3">
      <c r="A57" t="s">
        <v>1</v>
      </c>
      <c r="B57" s="3">
        <f>STDEV(B6:B53)</f>
        <v>0.16139714560331228</v>
      </c>
      <c r="C57" s="3">
        <f t="shared" ref="C57:V57" si="3">STDEV(C6:C53)</f>
        <v>0.38838699666946919</v>
      </c>
      <c r="D57" s="3">
        <f t="shared" si="3"/>
        <v>0.27853845692522256</v>
      </c>
      <c r="E57" s="3">
        <f t="shared" si="3"/>
        <v>2.1573288473149814</v>
      </c>
      <c r="F57" s="3">
        <f t="shared" si="3"/>
        <v>4.6770608658814332</v>
      </c>
      <c r="G57" s="3">
        <f t="shared" si="3"/>
        <v>4.8912843610445185</v>
      </c>
      <c r="H57" s="3">
        <f t="shared" si="3"/>
        <v>6.7870508701529353</v>
      </c>
      <c r="I57" s="3">
        <f t="shared" si="3"/>
        <v>0.22055065297912965</v>
      </c>
      <c r="J57" s="3">
        <f t="shared" si="3"/>
        <v>0.21917285471638964</v>
      </c>
      <c r="K57" s="3">
        <f t="shared" si="3"/>
        <v>0.23947866209277527</v>
      </c>
      <c r="L57" s="3">
        <f t="shared" si="3"/>
        <v>0.20700112033015033</v>
      </c>
      <c r="M57" s="3">
        <f t="shared" si="3"/>
        <v>0.27872516174080197</v>
      </c>
      <c r="N57" s="3"/>
      <c r="O57" s="3">
        <f t="shared" si="3"/>
        <v>1.5344282559629918</v>
      </c>
      <c r="P57" s="3">
        <f t="shared" si="3"/>
        <v>3.1478198677370592</v>
      </c>
      <c r="Q57" s="3">
        <f t="shared" si="3"/>
        <v>0.2089596334508903</v>
      </c>
      <c r="R57" s="3">
        <f t="shared" si="3"/>
        <v>0.80512038865444102</v>
      </c>
      <c r="S57" s="3">
        <f t="shared" si="3"/>
        <v>1.2204797192838761</v>
      </c>
      <c r="T57" s="3">
        <f t="shared" si="3"/>
        <v>0.8626468066047388</v>
      </c>
      <c r="U57" s="3">
        <f t="shared" si="3"/>
        <v>0.75743267306888329</v>
      </c>
      <c r="V57" s="3">
        <f t="shared" si="3"/>
        <v>1.1546355552494107</v>
      </c>
      <c r="W57" s="3"/>
      <c r="X57" s="3"/>
    </row>
    <row r="58" spans="1:24" x14ac:dyDescent="0.3">
      <c r="A58" t="s">
        <v>2</v>
      </c>
      <c r="B58" s="3">
        <f xml:space="preserve"> B57/SQRT(COUNT(B6:B53))</f>
        <v>3.2945054389149714E-2</v>
      </c>
      <c r="C58" s="3">
        <f t="shared" ref="C58:V58" si="4" xml:space="preserve"> C57/SQRT(COUNT(C6:C53))</f>
        <v>7.9279163714352438E-2</v>
      </c>
      <c r="D58" s="3">
        <f t="shared" si="4"/>
        <v>5.8079283138124542E-2</v>
      </c>
      <c r="E58" s="3">
        <f t="shared" si="4"/>
        <v>0.44983416052630792</v>
      </c>
      <c r="F58" s="3">
        <f t="shared" si="4"/>
        <v>0.95470105144576511</v>
      </c>
      <c r="G58" s="3">
        <f t="shared" si="4"/>
        <v>0.99842923928452665</v>
      </c>
      <c r="H58" s="3">
        <f t="shared" si="4"/>
        <v>1.385400957515605</v>
      </c>
      <c r="I58" s="3">
        <f t="shared" si="4"/>
        <v>4.4110130595825928E-2</v>
      </c>
      <c r="J58" s="3">
        <f t="shared" si="4"/>
        <v>4.473847162702535E-2</v>
      </c>
      <c r="K58" s="3">
        <f t="shared" si="4"/>
        <v>4.9934752905447244E-2</v>
      </c>
      <c r="L58" s="3">
        <f t="shared" si="4"/>
        <v>4.2253926749444143E-2</v>
      </c>
      <c r="M58" s="3">
        <f t="shared" si="4"/>
        <v>5.6894535394973064E-2</v>
      </c>
      <c r="N58" s="3"/>
      <c r="O58" s="3">
        <f t="shared" si="4"/>
        <v>0.22147564165810035</v>
      </c>
      <c r="P58" s="3">
        <f t="shared" si="4"/>
        <v>0.65636581527841154</v>
      </c>
      <c r="Q58" s="3">
        <f t="shared" si="4"/>
        <v>4.3571095530593518E-2</v>
      </c>
      <c r="R58" s="3">
        <f t="shared" si="4"/>
        <v>0.16434451114288828</v>
      </c>
      <c r="S58" s="3">
        <f t="shared" si="4"/>
        <v>0.24912937947172895</v>
      </c>
      <c r="T58" s="3">
        <f t="shared" si="4"/>
        <v>0.17608704203524767</v>
      </c>
      <c r="U58" s="3">
        <f t="shared" si="4"/>
        <v>0.15461029696092285</v>
      </c>
      <c r="V58" s="3">
        <f t="shared" si="4"/>
        <v>0.24075815625229607</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28" t="s">
        <v>46</v>
      </c>
      <c r="B60" s="229"/>
      <c r="C60" s="229"/>
      <c r="D60" s="229"/>
      <c r="E60" s="229"/>
      <c r="F60" s="229"/>
      <c r="G60" s="229"/>
      <c r="H60" s="229"/>
      <c r="I60" s="229"/>
      <c r="J60" s="229"/>
      <c r="K60" s="229"/>
      <c r="L60" s="229"/>
      <c r="M60" s="229"/>
      <c r="N60" s="229"/>
      <c r="O60" s="229"/>
      <c r="P60" s="229"/>
      <c r="Q60" s="229"/>
      <c r="R60" s="229"/>
      <c r="S60" s="229"/>
      <c r="T60" s="229"/>
      <c r="U60" s="229"/>
      <c r="V60" s="229"/>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Atenolol-0.01mg/L</v>
      </c>
      <c r="J62" s="3" t="str">
        <f t="shared" si="6"/>
        <v>Atenolol-0.1mg/L</v>
      </c>
      <c r="K62" s="3" t="str">
        <f t="shared" si="6"/>
        <v>Atenolol-1mg/L</v>
      </c>
      <c r="L62" s="3" t="str">
        <f t="shared" si="6"/>
        <v>Atenolol-10mg/L</v>
      </c>
      <c r="M62" s="3" t="str">
        <f t="shared" si="6"/>
        <v>Atenolol-100mg/L</v>
      </c>
      <c r="N62" s="3"/>
      <c r="O62" s="3" t="str">
        <f t="shared" si="6"/>
        <v>Testo -30µg/L</v>
      </c>
      <c r="P62" s="3" t="str">
        <f t="shared" si="6"/>
        <v>Testo 30µg/L + EE2 -64ng/L</v>
      </c>
      <c r="Q62" s="3" t="str">
        <f t="shared" si="6"/>
        <v>Testo 30µg/L + FAD-10µg/L</v>
      </c>
      <c r="R62" s="3" t="str">
        <f t="shared" si="6"/>
        <v>Atenolol-0.01mg/L + Testostérone</v>
      </c>
      <c r="S62" s="3" t="str">
        <f t="shared" si="6"/>
        <v>Atenolol-0.1mg/L + Testostérone</v>
      </c>
      <c r="T62" s="3" t="str">
        <f t="shared" si="6"/>
        <v>Atenolol-1mg/L + Testostérone</v>
      </c>
      <c r="U62" s="3" t="str">
        <f t="shared" si="6"/>
        <v>Atenolol-10mg/L + Testostérone</v>
      </c>
      <c r="V62" s="3" t="str">
        <f t="shared" si="6"/>
        <v>Atenolol-100mg/L + Testostérone</v>
      </c>
    </row>
    <row r="63" spans="1:24" s="1" customFormat="1" x14ac:dyDescent="0.3">
      <c r="A63" s="1" t="s">
        <v>49</v>
      </c>
      <c r="B63" s="3">
        <f>COUNT(B6:B53)</f>
        <v>24</v>
      </c>
      <c r="C63" s="3">
        <f t="shared" ref="C63:V63" si="7">COUNT(C6:C53)</f>
        <v>24</v>
      </c>
      <c r="D63" s="3">
        <f t="shared" si="7"/>
        <v>23</v>
      </c>
      <c r="E63" s="3">
        <f t="shared" si="7"/>
        <v>23</v>
      </c>
      <c r="F63" s="3">
        <f t="shared" si="7"/>
        <v>24</v>
      </c>
      <c r="G63" s="3">
        <f t="shared" si="7"/>
        <v>24</v>
      </c>
      <c r="H63" s="3">
        <f t="shared" si="7"/>
        <v>24</v>
      </c>
      <c r="I63" s="3">
        <f t="shared" si="7"/>
        <v>25</v>
      </c>
      <c r="J63" s="3">
        <f t="shared" si="7"/>
        <v>24</v>
      </c>
      <c r="K63" s="3">
        <f t="shared" si="7"/>
        <v>23</v>
      </c>
      <c r="L63" s="3">
        <f t="shared" si="7"/>
        <v>24</v>
      </c>
      <c r="M63" s="3">
        <f t="shared" si="7"/>
        <v>24</v>
      </c>
      <c r="N63" s="3"/>
      <c r="O63" s="3">
        <f t="shared" si="7"/>
        <v>48</v>
      </c>
      <c r="P63" s="3">
        <f t="shared" si="7"/>
        <v>23</v>
      </c>
      <c r="Q63" s="3">
        <f t="shared" si="7"/>
        <v>23</v>
      </c>
      <c r="R63" s="3">
        <f t="shared" si="7"/>
        <v>24</v>
      </c>
      <c r="S63" s="3">
        <f t="shared" si="7"/>
        <v>24</v>
      </c>
      <c r="T63" s="3">
        <f t="shared" si="7"/>
        <v>24</v>
      </c>
      <c r="U63" s="3">
        <f t="shared" si="7"/>
        <v>24</v>
      </c>
      <c r="V63" s="3">
        <f t="shared" si="7"/>
        <v>23</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28" t="s">
        <v>58</v>
      </c>
      <c r="B65" s="229"/>
      <c r="C65" s="229"/>
      <c r="D65" s="229"/>
      <c r="E65" s="229"/>
      <c r="F65" s="229"/>
      <c r="G65" s="229"/>
      <c r="H65" s="229"/>
      <c r="I65" s="229"/>
      <c r="J65" s="229"/>
      <c r="K65" s="229"/>
      <c r="L65" s="229"/>
      <c r="M65" s="229"/>
      <c r="N65" s="229"/>
      <c r="O65" s="229"/>
      <c r="P65" s="229"/>
      <c r="Q65" s="229"/>
      <c r="R65" s="229"/>
      <c r="S65" s="229"/>
      <c r="T65" s="229"/>
      <c r="U65" s="229"/>
      <c r="V65" s="229"/>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28" t="s">
        <v>53</v>
      </c>
      <c r="B70" s="229"/>
      <c r="C70" s="229"/>
      <c r="D70" s="229"/>
      <c r="E70" s="229"/>
      <c r="F70" s="229"/>
      <c r="G70" s="229"/>
      <c r="H70" s="229"/>
      <c r="I70" s="229"/>
      <c r="J70" s="229"/>
      <c r="K70" s="229"/>
      <c r="L70" s="229"/>
      <c r="M70" s="229"/>
      <c r="N70" s="229"/>
      <c r="O70" s="229"/>
      <c r="P70" s="229"/>
      <c r="Q70" s="229"/>
      <c r="R70" s="229"/>
      <c r="S70" s="229"/>
      <c r="T70" s="229"/>
      <c r="U70" s="229"/>
      <c r="V70" s="229"/>
    </row>
    <row r="71" spans="1:22" ht="15" thickBot="1" x14ac:dyDescent="0.35"/>
    <row r="72" spans="1:22" s="48" customFormat="1" ht="26.4" thickBot="1" x14ac:dyDescent="0.35">
      <c r="A72" s="228" t="s">
        <v>54</v>
      </c>
      <c r="B72" s="229"/>
      <c r="C72" s="229"/>
      <c r="D72" s="229"/>
      <c r="E72" s="229"/>
      <c r="F72" s="229"/>
      <c r="G72" s="229"/>
      <c r="H72" s="229"/>
      <c r="I72" s="229"/>
      <c r="J72" s="229"/>
      <c r="K72" s="229"/>
      <c r="L72" s="229"/>
      <c r="M72" s="229"/>
      <c r="N72" s="229"/>
      <c r="O72" s="229"/>
      <c r="P72" s="229"/>
      <c r="Q72" s="229"/>
      <c r="R72" s="229"/>
      <c r="S72" s="229"/>
      <c r="T72" s="229"/>
      <c r="U72" s="229"/>
      <c r="V72" s="229"/>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Atenolol-0.01mg/L</v>
      </c>
      <c r="J74" s="46" t="str">
        <f t="shared" si="9"/>
        <v>Atenolol-0.1mg/L</v>
      </c>
      <c r="K74" s="46" t="str">
        <f t="shared" si="9"/>
        <v>Atenolol-1mg/L</v>
      </c>
      <c r="L74" s="46" t="str">
        <f t="shared" si="9"/>
        <v>Atenolol-10mg/L</v>
      </c>
      <c r="M74" s="46" t="str">
        <f t="shared" si="9"/>
        <v>Atenolol-100mg/L</v>
      </c>
      <c r="N74" s="46"/>
      <c r="O74" s="46" t="str">
        <f t="shared" ref="O74:V74" si="10">O4</f>
        <v>Testo -30µg/L</v>
      </c>
      <c r="P74" s="46" t="str">
        <f t="shared" si="10"/>
        <v>Testo 30µg/L + EE2 -64ng/L</v>
      </c>
      <c r="Q74" s="46" t="str">
        <f t="shared" si="10"/>
        <v>Testo 30µg/L + FAD-10µg/L</v>
      </c>
      <c r="R74" s="46" t="str">
        <f t="shared" si="10"/>
        <v>Atenolol-0.01mg/L + Testostérone</v>
      </c>
      <c r="S74" s="46" t="str">
        <f t="shared" si="10"/>
        <v>Atenolol-0.1mg/L + Testostérone</v>
      </c>
      <c r="T74" s="46" t="str">
        <f t="shared" si="10"/>
        <v>Atenolol-1mg/L + Testostérone</v>
      </c>
      <c r="U74" s="46" t="str">
        <f t="shared" si="10"/>
        <v>Atenolol-10mg/L + Testostérone</v>
      </c>
      <c r="V74" s="46" t="str">
        <f t="shared" si="10"/>
        <v>Atenolol-100mg/L + Testostérone</v>
      </c>
    </row>
    <row r="75" spans="1:22" s="3" customFormat="1" x14ac:dyDescent="0.3">
      <c r="A75" s="61" t="s">
        <v>32</v>
      </c>
      <c r="B75" s="141">
        <f>B56</f>
        <v>0.13897057500891144</v>
      </c>
      <c r="C75" s="141">
        <f t="shared" ref="C75:V75" si="11">C56</f>
        <v>0.20756099724762309</v>
      </c>
      <c r="D75" s="141">
        <f t="shared" si="11"/>
        <v>0.19590223188447417</v>
      </c>
      <c r="E75" s="141">
        <f t="shared" si="11"/>
        <v>2.2439888078658301</v>
      </c>
      <c r="F75" s="141">
        <f t="shared" si="11"/>
        <v>5.5424121394771744</v>
      </c>
      <c r="G75" s="141">
        <f t="shared" si="11"/>
        <v>7.5838854091716401</v>
      </c>
      <c r="H75" s="141">
        <f t="shared" si="11"/>
        <v>13.224359709998078</v>
      </c>
      <c r="I75" s="141">
        <f t="shared" si="11"/>
        <v>0.14907065227399474</v>
      </c>
      <c r="J75" s="141">
        <f t="shared" si="11"/>
        <v>0.15494576747499447</v>
      </c>
      <c r="K75" s="141">
        <f t="shared" si="11"/>
        <v>0.1795402774501979</v>
      </c>
      <c r="L75" s="141">
        <f t="shared" si="11"/>
        <v>0.17184700860951763</v>
      </c>
      <c r="M75" s="141">
        <f t="shared" si="11"/>
        <v>0.22594652546794802</v>
      </c>
      <c r="N75" s="141"/>
      <c r="O75" s="141">
        <f t="shared" si="11"/>
        <v>1.0000000000000002</v>
      </c>
      <c r="P75" s="141">
        <f t="shared" si="11"/>
        <v>7.7569410341180216</v>
      </c>
      <c r="Q75" s="141">
        <f t="shared" si="11"/>
        <v>0.19431574807654764</v>
      </c>
      <c r="R75" s="141">
        <f t="shared" si="11"/>
        <v>0.7026567236486877</v>
      </c>
      <c r="S75" s="141">
        <f t="shared" si="11"/>
        <v>1.1021715433134032</v>
      </c>
      <c r="T75" s="141">
        <f t="shared" si="11"/>
        <v>0.7435073509500949</v>
      </c>
      <c r="U75" s="141">
        <f t="shared" si="11"/>
        <v>0.79245190038809221</v>
      </c>
      <c r="V75" s="141">
        <f t="shared" si="11"/>
        <v>0.88828991955228009</v>
      </c>
    </row>
    <row r="76" spans="1:22" s="3" customFormat="1" x14ac:dyDescent="0.3">
      <c r="A76" s="61" t="s">
        <v>2</v>
      </c>
      <c r="B76" s="141">
        <f>B58</f>
        <v>3.2945054389149714E-2</v>
      </c>
      <c r="C76" s="141">
        <f t="shared" ref="C76:V76" si="12">C58</f>
        <v>7.9279163714352438E-2</v>
      </c>
      <c r="D76" s="141">
        <f t="shared" si="12"/>
        <v>5.8079283138124542E-2</v>
      </c>
      <c r="E76" s="141">
        <f t="shared" si="12"/>
        <v>0.44983416052630792</v>
      </c>
      <c r="F76" s="141">
        <f t="shared" si="12"/>
        <v>0.95470105144576511</v>
      </c>
      <c r="G76" s="141">
        <f t="shared" si="12"/>
        <v>0.99842923928452665</v>
      </c>
      <c r="H76" s="141">
        <f t="shared" si="12"/>
        <v>1.385400957515605</v>
      </c>
      <c r="I76" s="141">
        <f t="shared" si="12"/>
        <v>4.4110130595825928E-2</v>
      </c>
      <c r="J76" s="141">
        <f t="shared" si="12"/>
        <v>4.473847162702535E-2</v>
      </c>
      <c r="K76" s="141">
        <f t="shared" si="12"/>
        <v>4.9934752905447244E-2</v>
      </c>
      <c r="L76" s="141">
        <f t="shared" si="12"/>
        <v>4.2253926749444143E-2</v>
      </c>
      <c r="M76" s="141">
        <f t="shared" si="12"/>
        <v>5.6894535394973064E-2</v>
      </c>
      <c r="N76" s="141"/>
      <c r="O76" s="141">
        <f t="shared" si="12"/>
        <v>0.22147564165810035</v>
      </c>
      <c r="P76" s="141">
        <f t="shared" si="12"/>
        <v>0.65636581527841154</v>
      </c>
      <c r="Q76" s="141">
        <f t="shared" si="12"/>
        <v>4.3571095530593518E-2</v>
      </c>
      <c r="R76" s="141">
        <f t="shared" si="12"/>
        <v>0.16434451114288828</v>
      </c>
      <c r="S76" s="141">
        <f t="shared" si="12"/>
        <v>0.24912937947172895</v>
      </c>
      <c r="T76" s="141">
        <f t="shared" si="12"/>
        <v>0.17608704203524767</v>
      </c>
      <c r="U76" s="141">
        <f t="shared" si="12"/>
        <v>0.15461029696092285</v>
      </c>
      <c r="V76" s="141">
        <f t="shared" si="12"/>
        <v>0.24075815625229607</v>
      </c>
    </row>
    <row r="77" spans="1:22" s="3" customFormat="1" x14ac:dyDescent="0.3">
      <c r="A77" s="61" t="s">
        <v>79</v>
      </c>
      <c r="B77" s="141">
        <f>(B75*100/$B$75)-100</f>
        <v>0</v>
      </c>
      <c r="C77" s="141">
        <f t="shared" ref="C77:M77" si="13">(C75*100/$B$75)-100</f>
        <v>49.356075726327902</v>
      </c>
      <c r="D77" s="141">
        <f t="shared" si="13"/>
        <v>40.966698793548204</v>
      </c>
      <c r="E77" s="141">
        <f t="shared" si="13"/>
        <v>1514.7222588104964</v>
      </c>
      <c r="F77" s="141">
        <f t="shared" si="13"/>
        <v>3888.1911254391584</v>
      </c>
      <c r="G77" s="141">
        <f t="shared" si="13"/>
        <v>5357.1879037597182</v>
      </c>
      <c r="H77" s="141">
        <f t="shared" si="13"/>
        <v>9415.9422842929671</v>
      </c>
      <c r="I77" s="141">
        <f t="shared" si="13"/>
        <v>7.2677811575836415</v>
      </c>
      <c r="J77" s="141">
        <f t="shared" si="13"/>
        <v>11.49537768341149</v>
      </c>
      <c r="K77" s="141">
        <f t="shared" si="13"/>
        <v>29.193016175319798</v>
      </c>
      <c r="L77" s="141">
        <f t="shared" si="13"/>
        <v>23.65711849324795</v>
      </c>
      <c r="M77" s="141">
        <f t="shared" si="13"/>
        <v>62.585875069927056</v>
      </c>
      <c r="N77" s="141"/>
      <c r="O77" s="141">
        <f>(O75*100/$O$75)-100</f>
        <v>0</v>
      </c>
      <c r="P77" s="141">
        <f t="shared" ref="P77:V77" si="14">(P75*100/$O$75)-100</f>
        <v>675.69410341180196</v>
      </c>
      <c r="Q77" s="141">
        <f t="shared" si="14"/>
        <v>-80.568425192345245</v>
      </c>
      <c r="R77" s="141">
        <f t="shared" si="14"/>
        <v>-29.734327635131251</v>
      </c>
      <c r="S77" s="141">
        <f t="shared" si="14"/>
        <v>10.217154331340282</v>
      </c>
      <c r="T77" s="141">
        <f t="shared" si="14"/>
        <v>-25.649264904990517</v>
      </c>
      <c r="U77" s="141">
        <f t="shared" si="14"/>
        <v>-20.754809961190787</v>
      </c>
      <c r="V77" s="141">
        <f t="shared" si="14"/>
        <v>-11.171008044772009</v>
      </c>
    </row>
    <row r="78" spans="1:22" s="3" customFormat="1" x14ac:dyDescent="0.3">
      <c r="A78" s="61" t="s">
        <v>81</v>
      </c>
      <c r="B78" s="141" t="e">
        <f ca="1">[1]!DPTEST(B6:B53)</f>
        <v>#NAME?</v>
      </c>
      <c r="C78" s="141" t="e">
        <f ca="1">[1]!DPTEST(C6:C53)</f>
        <v>#NAME?</v>
      </c>
      <c r="D78" s="141" t="e">
        <f ca="1">[1]!DPTEST(D6:D53)</f>
        <v>#NAME?</v>
      </c>
      <c r="E78" s="141" t="e">
        <f ca="1">[1]!DPTEST(E6:E53)</f>
        <v>#NAME?</v>
      </c>
      <c r="F78" s="141" t="e">
        <f ca="1">[1]!DPTEST(F6:F53)</f>
        <v>#NAME?</v>
      </c>
      <c r="G78" s="141" t="e">
        <f ca="1">[1]!DPTEST(G6:G53)</f>
        <v>#NAME?</v>
      </c>
      <c r="H78" s="141" t="e">
        <f ca="1">[1]!DPTEST(H6:H53)</f>
        <v>#NAME?</v>
      </c>
      <c r="I78" s="141" t="e">
        <f ca="1">[1]!DPTEST(I6:I53)</f>
        <v>#NAME?</v>
      </c>
      <c r="J78" s="141" t="e">
        <f ca="1">[1]!DPTEST(J6:J53)</f>
        <v>#NAME?</v>
      </c>
      <c r="K78" s="141" t="e">
        <f ca="1">[1]!DPTEST(K6:K53)</f>
        <v>#NAME?</v>
      </c>
      <c r="L78" s="141" t="e">
        <f ca="1">[1]!DPTEST(L6:L53)</f>
        <v>#NAME?</v>
      </c>
      <c r="M78" s="141" t="e">
        <f ca="1">[1]!DPTEST(M6:M53)</f>
        <v>#NAME?</v>
      </c>
      <c r="N78" s="141"/>
      <c r="O78" s="141" t="e">
        <f ca="1">[1]!DPTEST(O6:O53)</f>
        <v>#NAME?</v>
      </c>
      <c r="P78" s="141" t="e">
        <f ca="1">[1]!DPTEST(P6:P53)</f>
        <v>#NAME?</v>
      </c>
      <c r="Q78" s="141" t="e">
        <f ca="1">[1]!DPTEST(Q6:Q53)</f>
        <v>#NAME?</v>
      </c>
      <c r="R78" s="141" t="e">
        <f ca="1">[1]!DPTEST(R6:R53)</f>
        <v>#NAME?</v>
      </c>
      <c r="S78" s="141" t="e">
        <f ca="1">[1]!DPTEST(S6:S53)</f>
        <v>#NAME?</v>
      </c>
      <c r="T78" s="141" t="e">
        <f ca="1">[1]!DPTEST(T6:T53)</f>
        <v>#NAME?</v>
      </c>
      <c r="U78" s="141" t="e">
        <f ca="1">[1]!DPTEST(U6:U53)</f>
        <v>#NAME?</v>
      </c>
      <c r="V78" s="141" t="e">
        <f ca="1">[1]!DPTEST(V6:V53)</f>
        <v>#NAME?</v>
      </c>
    </row>
    <row r="79" spans="1:22" s="3" customFormat="1" x14ac:dyDescent="0.3">
      <c r="A79" s="61" t="s">
        <v>85</v>
      </c>
      <c r="B79" s="141" t="e">
        <f ca="1">IF(B78&gt;0.05,"Oui","Non")</f>
        <v>#NAME?</v>
      </c>
      <c r="C79" s="141" t="e">
        <f t="shared" ref="C79:V79" ca="1" si="15">IF(C78&gt;0.05,"Oui","Non")</f>
        <v>#NAME?</v>
      </c>
      <c r="D79" s="141" t="e">
        <f t="shared" ca="1" si="15"/>
        <v>#NAME?</v>
      </c>
      <c r="E79" s="141" t="e">
        <f t="shared" ca="1" si="15"/>
        <v>#NAME?</v>
      </c>
      <c r="F79" s="141" t="e">
        <f t="shared" ca="1" si="15"/>
        <v>#NAME?</v>
      </c>
      <c r="G79" s="141" t="e">
        <f t="shared" ca="1" si="15"/>
        <v>#NAME?</v>
      </c>
      <c r="H79" s="141" t="e">
        <f t="shared" ca="1" si="15"/>
        <v>#NAME?</v>
      </c>
      <c r="I79" s="141" t="e">
        <f t="shared" ca="1" si="15"/>
        <v>#NAME?</v>
      </c>
      <c r="J79" s="141" t="e">
        <f t="shared" ca="1" si="15"/>
        <v>#NAME?</v>
      </c>
      <c r="K79" s="141" t="e">
        <f t="shared" ca="1" si="15"/>
        <v>#NAME?</v>
      </c>
      <c r="L79" s="141" t="e">
        <f t="shared" ca="1" si="15"/>
        <v>#NAME?</v>
      </c>
      <c r="M79" s="141" t="e">
        <f t="shared" ca="1" si="15"/>
        <v>#NAME?</v>
      </c>
      <c r="N79" s="141"/>
      <c r="O79" s="141" t="e">
        <f t="shared" ca="1" si="15"/>
        <v>#NAME?</v>
      </c>
      <c r="P79" s="141" t="e">
        <f t="shared" ca="1" si="15"/>
        <v>#NAME?</v>
      </c>
      <c r="Q79" s="141" t="e">
        <f t="shared" ca="1" si="15"/>
        <v>#NAME?</v>
      </c>
      <c r="R79" s="141" t="e">
        <f t="shared" ca="1" si="15"/>
        <v>#NAME?</v>
      </c>
      <c r="S79" s="141" t="e">
        <f t="shared" ca="1" si="15"/>
        <v>#NAME?</v>
      </c>
      <c r="T79" s="141" t="e">
        <f t="shared" ca="1" si="15"/>
        <v>#NAME?</v>
      </c>
      <c r="U79" s="141" t="e">
        <f t="shared" ca="1" si="15"/>
        <v>#NAME?</v>
      </c>
      <c r="V79" s="141" t="e">
        <f t="shared" ca="1" si="15"/>
        <v>#NAME?</v>
      </c>
    </row>
    <row r="80" spans="1:22" s="3" customFormat="1" x14ac:dyDescent="0.3">
      <c r="A80" s="61" t="s">
        <v>122</v>
      </c>
      <c r="B80" s="141"/>
      <c r="C80" s="141"/>
      <c r="D80" s="141"/>
      <c r="E80" s="141"/>
      <c r="F80" s="141"/>
      <c r="G80" s="141"/>
      <c r="H80" s="141"/>
      <c r="I80" s="141"/>
      <c r="J80" s="141"/>
      <c r="K80" s="141"/>
      <c r="L80" s="141"/>
      <c r="M80" s="141"/>
      <c r="N80" s="141"/>
      <c r="O80" s="141"/>
      <c r="P80" s="141"/>
      <c r="Q80" s="141"/>
      <c r="R80" s="141"/>
      <c r="S80" s="141"/>
      <c r="T80" s="141"/>
      <c r="U80" s="141"/>
      <c r="V80" s="141"/>
    </row>
    <row r="81" spans="1:22" s="3" customFormat="1" x14ac:dyDescent="0.3">
      <c r="A81" s="61" t="s">
        <v>82</v>
      </c>
      <c r="B81" s="141"/>
      <c r="C81" s="141" t="s">
        <v>174</v>
      </c>
      <c r="D81" s="141" t="s">
        <v>174</v>
      </c>
      <c r="E81" s="141" t="s">
        <v>174</v>
      </c>
      <c r="F81" s="141" t="s">
        <v>174</v>
      </c>
      <c r="G81" s="141" t="s">
        <v>174</v>
      </c>
      <c r="H81" s="141" t="s">
        <v>174</v>
      </c>
      <c r="I81" s="141" t="s">
        <v>174</v>
      </c>
      <c r="J81" s="141" t="s">
        <v>174</v>
      </c>
      <c r="K81" s="141" t="s">
        <v>174</v>
      </c>
      <c r="L81" s="141" t="s">
        <v>174</v>
      </c>
      <c r="M81" s="141" t="s">
        <v>174</v>
      </c>
      <c r="N81" s="141"/>
      <c r="O81" s="141" t="e">
        <f ca="1">IF($B79="Non",IF(O79="Non","Mann Withney",IF(O79="Oui","Mann Withney","")),IF($B79="Oui",IF(O79="Oui","T-Test Welch",IF(O79="Non","Mann Withney",""))))</f>
        <v>#NAME?</v>
      </c>
      <c r="P81" s="141" t="e">
        <f t="shared" ref="P81:Q81" ca="1" si="16">IF($O79="Non",IF(P79="Non","Mann Withney",IF(P$79="Oui","Mann Withney","")),IF($O79="Oui",IF(P79="Oui","T-Test Welch",IF(P79="Non","Mann Withney",""))))</f>
        <v>#NAME?</v>
      </c>
      <c r="Q81" s="141" t="e">
        <f t="shared" ca="1" si="16"/>
        <v>#NAME?</v>
      </c>
      <c r="R81" s="141" t="s">
        <v>174</v>
      </c>
      <c r="S81" s="141" t="s">
        <v>174</v>
      </c>
      <c r="T81" s="141" t="s">
        <v>174</v>
      </c>
      <c r="U81" s="141" t="s">
        <v>174</v>
      </c>
      <c r="V81" s="141" t="s">
        <v>174</v>
      </c>
    </row>
    <row r="82" spans="1:22" s="3" customFormat="1" x14ac:dyDescent="0.3">
      <c r="A82" s="61" t="s">
        <v>83</v>
      </c>
      <c r="B82" s="141"/>
      <c r="C82" s="141" t="s">
        <v>170</v>
      </c>
      <c r="D82" s="141" t="s">
        <v>170</v>
      </c>
      <c r="E82" s="141">
        <v>0.01</v>
      </c>
      <c r="F82" s="141" t="s">
        <v>173</v>
      </c>
      <c r="G82" s="141" t="s">
        <v>173</v>
      </c>
      <c r="H82" s="141" t="s">
        <v>173</v>
      </c>
      <c r="I82" s="141" t="s">
        <v>170</v>
      </c>
      <c r="J82" s="141" t="s">
        <v>170</v>
      </c>
      <c r="K82" s="141" t="s">
        <v>170</v>
      </c>
      <c r="L82" s="141" t="s">
        <v>170</v>
      </c>
      <c r="M82" s="141" t="s">
        <v>170</v>
      </c>
      <c r="N82" s="141"/>
      <c r="O82" s="141" t="e">
        <f ca="1">IF(O81="Mann Withney",[1]!MTEST($B6:$B53,O6:O53,2), IF(O81="T-Test Welch",_xlfn.T.TEST($B6:$B53,O6:O53,2,3),""))</f>
        <v>#NAME?</v>
      </c>
      <c r="P82" s="141" t="e">
        <f ca="1">IF(P81="Mann Withney",[1]!MTEST($O6:$O53,P6:P53,2), IF(P81="T-Test Welch",_xlfn.T.TEST($O6:$O53,P6:P53,2,3),""))</f>
        <v>#NAME?</v>
      </c>
      <c r="Q82" s="141" t="e">
        <f ca="1">IF(Q81="Mann Withney",[1]!MTEST($O6:$O53,Q6:Q53,2), IF(Q81="T-Test Welch",_xlfn.T.TEST($O6:$O53,Q6:Q53,2,3),""))</f>
        <v>#NAME?</v>
      </c>
      <c r="R82" s="141" t="s">
        <v>170</v>
      </c>
      <c r="S82" s="141" t="s">
        <v>170</v>
      </c>
      <c r="T82" s="141" t="s">
        <v>170</v>
      </c>
      <c r="U82" s="141" t="s">
        <v>170</v>
      </c>
      <c r="V82" s="141" t="s">
        <v>170</v>
      </c>
    </row>
    <row r="83" spans="1:22" s="3" customFormat="1" ht="15" thickBot="1" x14ac:dyDescent="0.35">
      <c r="A83" s="62" t="s">
        <v>84</v>
      </c>
      <c r="B83" s="142"/>
      <c r="C83" s="142" t="s">
        <v>169</v>
      </c>
      <c r="D83" s="142" t="s">
        <v>169</v>
      </c>
      <c r="E83" s="142" t="s">
        <v>171</v>
      </c>
      <c r="F83" s="142" t="s">
        <v>172</v>
      </c>
      <c r="G83" s="142" t="s">
        <v>172</v>
      </c>
      <c r="H83" s="142" t="s">
        <v>172</v>
      </c>
      <c r="I83" s="142" t="s">
        <v>169</v>
      </c>
      <c r="J83" s="142" t="s">
        <v>169</v>
      </c>
      <c r="K83" s="142" t="s">
        <v>169</v>
      </c>
      <c r="L83" s="142" t="s">
        <v>169</v>
      </c>
      <c r="M83" s="142" t="s">
        <v>169</v>
      </c>
      <c r="N83" s="142"/>
      <c r="O83" s="142" t="e">
        <f t="shared" ref="O83" ca="1" si="17">IF(O82&gt;0.05,"NS",IF(O82&gt;0.01,"*",IF(O82&gt;0.001,"**","***")))</f>
        <v>#NAME?</v>
      </c>
      <c r="P83" s="142" t="e">
        <f t="shared" ref="P83" ca="1" si="18">IF(P82&gt;0.05,"NS",IF(P82&gt;0.01,"*",IF(P82&gt;0.001,"**","***")))</f>
        <v>#NAME?</v>
      </c>
      <c r="Q83" s="142" t="e">
        <f t="shared" ref="Q83" ca="1" si="19">IF(Q82&gt;0.05,"NS",IF(Q82&gt;0.01,"*",IF(Q82&gt;0.001,"**","***")))</f>
        <v>#NAME?</v>
      </c>
      <c r="R83" s="142" t="s">
        <v>169</v>
      </c>
      <c r="S83" s="142" t="s">
        <v>169</v>
      </c>
      <c r="T83" s="142" t="s">
        <v>169</v>
      </c>
      <c r="U83" s="142" t="s">
        <v>169</v>
      </c>
      <c r="V83" s="142" t="s">
        <v>169</v>
      </c>
    </row>
    <row r="84" spans="1:22" s="1" customFormat="1" x14ac:dyDescent="0.3"/>
    <row r="85" spans="1:22" s="1" customFormat="1" x14ac:dyDescent="0.3">
      <c r="A85" s="2" t="s">
        <v>39</v>
      </c>
    </row>
    <row r="86" spans="1:22" x14ac:dyDescent="0.3">
      <c r="A86" s="1" t="s">
        <v>23</v>
      </c>
      <c r="B86" s="1">
        <f>B56+(3*B57)</f>
        <v>0.62316201181884823</v>
      </c>
    </row>
    <row r="87" spans="1:22" x14ac:dyDescent="0.3">
      <c r="A87" s="1" t="s">
        <v>24</v>
      </c>
      <c r="B87" s="1">
        <f>B56+(10*B57)</f>
        <v>1.7529420310420343</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28" t="s">
        <v>57</v>
      </c>
      <c r="B93" s="229"/>
      <c r="C93" s="229"/>
      <c r="D93" s="229"/>
      <c r="E93" s="229"/>
      <c r="F93" s="229"/>
      <c r="G93" s="229"/>
      <c r="H93" s="229"/>
      <c r="I93" s="229"/>
      <c r="J93" s="229"/>
      <c r="K93" s="229"/>
      <c r="L93" s="229"/>
      <c r="M93" s="229"/>
      <c r="N93" s="229"/>
      <c r="O93" s="229"/>
      <c r="P93" s="229"/>
      <c r="Q93" s="229"/>
      <c r="R93" s="229"/>
      <c r="S93" s="229"/>
      <c r="T93" s="229"/>
      <c r="U93" s="229"/>
      <c r="V93" s="229"/>
    </row>
    <row r="94" spans="1:22" x14ac:dyDescent="0.3">
      <c r="B94" s="1">
        <f t="shared" ref="B94:V94" si="20">B75/$B$75</f>
        <v>1</v>
      </c>
      <c r="C94" s="1">
        <f t="shared" si="20"/>
        <v>1.493560757263279</v>
      </c>
      <c r="D94" s="1">
        <f t="shared" si="20"/>
        <v>1.4096669879354822</v>
      </c>
      <c r="E94" s="1">
        <f t="shared" si="20"/>
        <v>16.147222588104963</v>
      </c>
      <c r="F94" s="1">
        <f t="shared" si="20"/>
        <v>39.881911254391582</v>
      </c>
      <c r="G94" s="1">
        <f t="shared" si="20"/>
        <v>54.571879037597178</v>
      </c>
      <c r="H94" s="1">
        <f>H75/$B$75</f>
        <v>95.159422842929672</v>
      </c>
      <c r="I94" s="1">
        <f t="shared" si="20"/>
        <v>1.0726778115758364</v>
      </c>
      <c r="J94" s="1">
        <f t="shared" si="20"/>
        <v>1.1149537768341149</v>
      </c>
      <c r="K94" s="1">
        <f t="shared" si="20"/>
        <v>1.2919301617531982</v>
      </c>
      <c r="L94" s="1">
        <f t="shared" si="20"/>
        <v>1.2365711849324794</v>
      </c>
      <c r="M94" s="1">
        <f t="shared" si="20"/>
        <v>1.6258587506992705</v>
      </c>
      <c r="N94" s="1">
        <f t="shared" si="20"/>
        <v>0</v>
      </c>
      <c r="O94" s="1">
        <f t="shared" si="20"/>
        <v>7.195767880616998</v>
      </c>
      <c r="P94" s="1">
        <f t="shared" si="20"/>
        <v>55.81714714514645</v>
      </c>
      <c r="Q94" s="1">
        <f t="shared" si="20"/>
        <v>1.3982510187072854</v>
      </c>
      <c r="R94" s="1">
        <f t="shared" si="20"/>
        <v>5.0561546831308002</v>
      </c>
      <c r="S94" s="1">
        <f t="shared" si="20"/>
        <v>7.9309705903046508</v>
      </c>
      <c r="T94" s="1">
        <f t="shared" si="20"/>
        <v>5.350106314969322</v>
      </c>
      <c r="U94" s="1">
        <f t="shared" si="20"/>
        <v>5.7022999317465333</v>
      </c>
      <c r="V94" s="1">
        <f t="shared" si="20"/>
        <v>6.3919280717901525</v>
      </c>
    </row>
    <row r="97" spans="5:27" x14ac:dyDescent="0.3">
      <c r="E97" s="1"/>
      <c r="F97" s="1"/>
    </row>
    <row r="98" spans="5:27" x14ac:dyDescent="0.3">
      <c r="E98" s="1"/>
      <c r="F98" s="1"/>
    </row>
    <row r="99" spans="5:27" x14ac:dyDescent="0.3">
      <c r="E99" s="1"/>
      <c r="F99" s="1"/>
    </row>
    <row r="100" spans="5:27" x14ac:dyDescent="0.3">
      <c r="E100" s="1"/>
      <c r="F100" s="1"/>
      <c r="H100" s="1"/>
      <c r="I100" s="1"/>
      <c r="J100" s="1"/>
      <c r="K100" s="1"/>
      <c r="L100" s="1"/>
      <c r="M100" s="1"/>
      <c r="N100" s="1"/>
      <c r="O100" s="1"/>
      <c r="P100" s="1"/>
      <c r="Q100" s="1"/>
      <c r="R100" s="1"/>
      <c r="S100" s="1"/>
      <c r="T100" s="1"/>
      <c r="U100" s="1"/>
      <c r="V100" s="1"/>
      <c r="W100" s="1"/>
      <c r="X100" s="1"/>
      <c r="Y100" s="1"/>
      <c r="Z100" s="1"/>
      <c r="AA100" s="1"/>
    </row>
    <row r="101" spans="5:27" x14ac:dyDescent="0.3">
      <c r="E101" s="1"/>
      <c r="F101" s="1"/>
      <c r="H101" s="1"/>
      <c r="I101" s="1"/>
      <c r="J101" s="1"/>
      <c r="K101" s="1"/>
      <c r="L101" s="1"/>
      <c r="M101" s="1"/>
      <c r="N101" s="1"/>
      <c r="O101" s="1"/>
      <c r="P101" s="1"/>
      <c r="Q101" s="1"/>
      <c r="R101" s="1"/>
      <c r="S101" s="1"/>
      <c r="T101" s="1"/>
      <c r="U101" s="1"/>
      <c r="V101" s="1"/>
      <c r="W101" s="1"/>
      <c r="X101" s="1"/>
      <c r="Y101" s="1"/>
      <c r="Z101" s="1"/>
      <c r="AA101" s="1"/>
    </row>
    <row r="102" spans="5:27" x14ac:dyDescent="0.3">
      <c r="E102" s="1"/>
      <c r="F102" s="1"/>
    </row>
    <row r="103" spans="5:27" x14ac:dyDescent="0.3">
      <c r="E103" s="1"/>
      <c r="F103" s="1"/>
    </row>
    <row r="104" spans="5:27" x14ac:dyDescent="0.3">
      <c r="E104" s="1"/>
      <c r="F104" s="1"/>
    </row>
    <row r="105" spans="5:27" x14ac:dyDescent="0.3">
      <c r="E105" s="1"/>
      <c r="F105" s="1"/>
    </row>
    <row r="106" spans="5:27" x14ac:dyDescent="0.3">
      <c r="E106" s="1"/>
      <c r="F106" s="1"/>
    </row>
    <row r="107" spans="5:27" x14ac:dyDescent="0.3">
      <c r="E107" s="1"/>
      <c r="F107" s="1"/>
    </row>
    <row r="112" spans="5:27" x14ac:dyDescent="0.3">
      <c r="E112" s="1"/>
      <c r="F112" s="1"/>
    </row>
    <row r="113" spans="5:6" x14ac:dyDescent="0.3">
      <c r="E113" s="1"/>
      <c r="F113" s="1"/>
    </row>
    <row r="114" spans="5:6" x14ac:dyDescent="0.3">
      <c r="E114" s="1"/>
      <c r="F114" s="1"/>
    </row>
    <row r="115" spans="5:6" x14ac:dyDescent="0.3">
      <c r="E115" s="1"/>
      <c r="F115" s="1"/>
    </row>
    <row r="116" spans="5:6" x14ac:dyDescent="0.3">
      <c r="E116" s="1"/>
      <c r="F116"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28" t="s">
        <v>104</v>
      </c>
      <c r="B1" s="229"/>
      <c r="C1" s="229"/>
      <c r="D1" s="229"/>
      <c r="E1" s="229"/>
      <c r="F1" s="229"/>
      <c r="G1" s="229"/>
      <c r="H1" s="229"/>
      <c r="I1" s="229"/>
      <c r="J1" s="229"/>
      <c r="K1" s="229"/>
      <c r="L1" s="229"/>
      <c r="M1" s="229"/>
      <c r="N1" s="229"/>
      <c r="O1" s="230"/>
    </row>
    <row r="2" spans="1:15" s="48" customFormat="1" ht="26.4" thickBot="1" x14ac:dyDescent="0.35">
      <c r="A2" s="228" t="s">
        <v>105</v>
      </c>
      <c r="B2" s="229"/>
      <c r="C2" s="229"/>
      <c r="D2" s="229"/>
      <c r="E2" s="229"/>
      <c r="F2" s="229"/>
      <c r="G2" s="229"/>
      <c r="H2" s="229"/>
      <c r="I2" s="229"/>
      <c r="J2" s="229"/>
      <c r="K2" s="229"/>
      <c r="L2" s="229"/>
      <c r="M2" s="229"/>
      <c r="N2" s="229"/>
      <c r="O2" s="230"/>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6"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8">
        <f>IF(F6="NS","NC",ROUND(B6,2-(1+INT(LOG10(ABS(B6))))))</f>
        <v>64</v>
      </c>
      <c r="H6" s="120"/>
      <c r="I6" s="120"/>
      <c r="J6" s="121"/>
      <c r="K6" s="122"/>
      <c r="L6" s="124"/>
      <c r="M6" s="121"/>
      <c r="N6" s="91"/>
      <c r="O6"/>
    </row>
    <row r="7" spans="1:15" s="76" customFormat="1" ht="15.6" x14ac:dyDescent="0.3">
      <c r="A7" s="79" t="str">
        <f>'Page de garde'!A15</f>
        <v>Atenolol-0.01mg/L</v>
      </c>
      <c r="B7" s="98"/>
      <c r="C7" s="80"/>
      <c r="D7" s="80"/>
      <c r="E7" s="81"/>
      <c r="F7" s="97" t="str">
        <f>HLOOKUP(A7,'pooled normalised values'!$B$74:$V$83,10,FALSE)</f>
        <v>ns</v>
      </c>
      <c r="G7" s="128" t="str">
        <f>IF(F7="NS","NC",ROUND(B7,2-(1+INT(LOG10(ABS(B7))))))</f>
        <v>NC</v>
      </c>
      <c r="H7" s="119" t="str">
        <f>IF(VLOOKUP(A7,liste_groupe[],4,FALSE)="%",VLOOKUP(A7,liste_groupe[],3,FALSE)/100,IF(ISBLANK(VLOOKUP(A7,liste_groupe[],4,FALSE)),"Non","Non"))</f>
        <v>Non</v>
      </c>
      <c r="I7" s="128" t="str">
        <f>IF(F7="NS","NC",IF(H7="Non",G7,G7*(1/H7)))</f>
        <v>NC</v>
      </c>
      <c r="J7" s="129">
        <v>64</v>
      </c>
      <c r="K7" s="130">
        <f>IF(F7="NS",0,ROUND(I7/J7*100,0))</f>
        <v>0</v>
      </c>
      <c r="L7" s="125">
        <v>1</v>
      </c>
      <c r="M7" s="131">
        <f>IF(K7&gt;100,125,K7)</f>
        <v>0</v>
      </c>
      <c r="N7" s="92" t="str">
        <f>IF(H7="Non",CONCATENATE(VLOOKUP(A7,liste_groupe[],5,FALSE),"-",VLOOKUP(A7,liste_groupe[],3,FALSE),VLOOKUP(A7,liste_groupe[],4,FALSE)," : ",ROUND(K7,0),"%"),CONCATENATE(VLOOKUP(A7,liste_groupe[],5,FALSE)," : ",ROUND(K7,0),"%"))</f>
        <v>Atenolol-0.01mg/L : 0%</v>
      </c>
      <c r="O7"/>
    </row>
    <row r="8" spans="1:15" s="76" customFormat="1" ht="15.6" x14ac:dyDescent="0.3">
      <c r="A8" s="79" t="str">
        <f>'Page de garde'!A16</f>
        <v>Atenolol-0.1mg/L</v>
      </c>
      <c r="B8" s="98"/>
      <c r="C8" s="82"/>
      <c r="D8" s="80"/>
      <c r="E8" s="81"/>
      <c r="F8" s="97" t="str">
        <f>HLOOKUP(A8,'pooled normalised values'!$B$74:$V$83,10,FALSE)</f>
        <v>ns</v>
      </c>
      <c r="G8" s="128" t="str">
        <f t="shared" ref="G8:G13" si="0">IF(F8="NS","NC",ROUND(B8,2-(1+INT(LOG10(ABS(B8))))))</f>
        <v>NC</v>
      </c>
      <c r="H8" s="119" t="str">
        <f>IF(VLOOKUP(A8,liste_groupe[],4,FALSE)="%",VLOOKUP(A8,liste_groupe[],3,FALSE)/100,IF(ISBLANK(VLOOKUP(A8,liste_groupe[],4,FALSE)),"Non","Non"))</f>
        <v>Non</v>
      </c>
      <c r="I8" s="128" t="str">
        <f t="shared" ref="I8:I26" si="1">IF(F8="NS","NC",IF(H8="Non",G8,G8*(1/H8)))</f>
        <v>NC</v>
      </c>
      <c r="J8" s="129">
        <v>64</v>
      </c>
      <c r="K8" s="130">
        <f t="shared" ref="K8:K26" si="2">IF(F8="NS",0,ROUND(I8/J8*100,0))</f>
        <v>0</v>
      </c>
      <c r="L8" s="125"/>
      <c r="M8" s="131">
        <f t="shared" ref="M8:M26" si="3">IF(K8&gt;100,125,K8)</f>
        <v>0</v>
      </c>
      <c r="N8" s="92" t="str">
        <f>IF(H8="Non",CONCATENATE(VLOOKUP(A8,liste_groupe[],5,FALSE),"-",VLOOKUP(A8,liste_groupe[],3,FALSE),VLOOKUP(A8,liste_groupe[],4,FALSE)," : ",ROUND(K8,0),"%"),CONCATENATE(VLOOKUP(A8,liste_groupe[],5,FALSE)," : ",ROUND(K8,0),"%"))</f>
        <v>Atenolol-0.1mg/L : 0%</v>
      </c>
      <c r="O8"/>
    </row>
    <row r="9" spans="1:15" s="76" customFormat="1" ht="15.6" x14ac:dyDescent="0.3">
      <c r="A9" s="79" t="str">
        <f>'Page de garde'!A17</f>
        <v>Atenolol-1mg/L</v>
      </c>
      <c r="B9" s="98"/>
      <c r="C9" s="82"/>
      <c r="D9" s="80"/>
      <c r="E9" s="81"/>
      <c r="F9" s="97" t="str">
        <f>HLOOKUP(A9,'pooled normalised values'!$B$74:$V$83,10,FALSE)</f>
        <v>ns</v>
      </c>
      <c r="G9" s="128" t="str">
        <f t="shared" si="0"/>
        <v>NC</v>
      </c>
      <c r="H9" s="119" t="str">
        <f>IF(VLOOKUP(A9,liste_groupe[],4,FALSE)="%",VLOOKUP(A9,liste_groupe[],3,FALSE)/100,IF(ISBLANK(VLOOKUP(A9,liste_groupe[],4,FALSE)),"Non","Non"))</f>
        <v>Non</v>
      </c>
      <c r="I9" s="128" t="str">
        <f t="shared" si="1"/>
        <v>NC</v>
      </c>
      <c r="J9" s="129">
        <v>64</v>
      </c>
      <c r="K9" s="130">
        <f t="shared" si="2"/>
        <v>0</v>
      </c>
      <c r="L9" s="125"/>
      <c r="M9" s="131">
        <f t="shared" si="3"/>
        <v>0</v>
      </c>
      <c r="N9" s="92" t="str">
        <f>IF(H9="Non",CONCATENATE(VLOOKUP(A9,liste_groupe[],5,FALSE),"-",VLOOKUP(A9,liste_groupe[],3,FALSE),VLOOKUP(A9,liste_groupe[],4,FALSE)," : ",ROUND(K9,0),"%"),CONCATENATE(VLOOKUP(A9,liste_groupe[],5,FALSE)," : ",ROUND(K9,0),"%"))</f>
        <v>Atenolol-1mg/L : 0%</v>
      </c>
      <c r="O9"/>
    </row>
    <row r="10" spans="1:15" s="76" customFormat="1" ht="15.6" x14ac:dyDescent="0.3">
      <c r="A10" s="79" t="str">
        <f>'Page de garde'!A18</f>
        <v>Atenolol-10mg/L</v>
      </c>
      <c r="B10" s="99"/>
      <c r="C10" s="79"/>
      <c r="D10" s="84"/>
      <c r="E10" s="81"/>
      <c r="F10" s="97" t="str">
        <f>HLOOKUP(A10,'pooled normalised values'!$B$74:$V$83,10,FALSE)</f>
        <v>ns</v>
      </c>
      <c r="G10" s="128" t="str">
        <f t="shared" si="0"/>
        <v>NC</v>
      </c>
      <c r="H10" s="119" t="str">
        <f>IF(VLOOKUP(A10,liste_groupe[],4,FALSE)="%",VLOOKUP(A10,liste_groupe[],3,FALSE)/100,IF(ISBLANK(VLOOKUP(A10,liste_groupe[],4,FALSE)),"Non","Non"))</f>
        <v>Non</v>
      </c>
      <c r="I10" s="128" t="str">
        <f t="shared" si="1"/>
        <v>NC</v>
      </c>
      <c r="J10" s="129">
        <v>64</v>
      </c>
      <c r="K10" s="130">
        <f t="shared" si="2"/>
        <v>0</v>
      </c>
      <c r="L10" s="125"/>
      <c r="M10" s="131">
        <f t="shared" si="3"/>
        <v>0</v>
      </c>
      <c r="N10" s="92" t="str">
        <f>IF(H10="Non",CONCATENATE(VLOOKUP(A10,liste_groupe[],5,FALSE),"-",VLOOKUP(A10,liste_groupe[],3,FALSE),VLOOKUP(A10,liste_groupe[],4,FALSE)," : ",ROUND(K10,0),"%"),CONCATENATE(VLOOKUP(A10,liste_groupe[],5,FALSE)," : ",ROUND(K10,0),"%"))</f>
        <v>Atenolol-10mg/L : 0%</v>
      </c>
      <c r="O10"/>
    </row>
    <row r="11" spans="1:15" s="76" customFormat="1" ht="15.6" x14ac:dyDescent="0.3">
      <c r="A11" s="79" t="str">
        <f>'Page de garde'!A19</f>
        <v>Atenolol-100mg/L</v>
      </c>
      <c r="B11" s="99"/>
      <c r="C11" s="79"/>
      <c r="D11" s="84"/>
      <c r="E11" s="81"/>
      <c r="F11" s="97" t="str">
        <f>HLOOKUP(A11,'pooled normalised values'!$B$74:$V$83,10,FALSE)</f>
        <v>ns</v>
      </c>
      <c r="G11" s="128" t="str">
        <f t="shared" si="0"/>
        <v>NC</v>
      </c>
      <c r="H11" s="119" t="str">
        <f>IF(VLOOKUP(A11,liste_groupe[],4,FALSE)="%",VLOOKUP(A11,liste_groupe[],3,FALSE)/100,IF(ISBLANK(VLOOKUP(A11,liste_groupe[],4,FALSE)),"Non","Non"))</f>
        <v>Non</v>
      </c>
      <c r="I11" s="128" t="str">
        <f t="shared" si="1"/>
        <v>NC</v>
      </c>
      <c r="J11" s="129">
        <v>64</v>
      </c>
      <c r="K11" s="130">
        <f t="shared" si="2"/>
        <v>0</v>
      </c>
      <c r="L11" s="125"/>
      <c r="M11" s="131">
        <f t="shared" si="3"/>
        <v>0</v>
      </c>
      <c r="N11" s="92" t="str">
        <f>IF(H11="Non",CONCATENATE(VLOOKUP(A11,liste_groupe[],5,FALSE),"-",VLOOKUP(A11,liste_groupe[],3,FALSE),VLOOKUP(A11,liste_groupe[],4,FALSE)," : ",ROUND(K11,0),"%"),CONCATENATE(VLOOKUP(A11,liste_groupe[],5,FALSE)," : ",ROUND(K11,0),"%"))</f>
        <v>Atenolol-100mg/L : 0%</v>
      </c>
      <c r="O11"/>
    </row>
    <row r="12" spans="1:15" s="76" customFormat="1" ht="15.6" x14ac:dyDescent="0.3">
      <c r="A12" s="79" t="str">
        <f>'Page de garde'!A20</f>
        <v xml:space="preserve"> </v>
      </c>
      <c r="B12" s="99"/>
      <c r="C12" s="79"/>
      <c r="D12" s="84"/>
      <c r="E12" s="81"/>
      <c r="F12" s="97" t="e">
        <f>HLOOKUP(A12,'pooled normalised values'!$B$74:$V$83,10,FALSE)</f>
        <v>#N/A</v>
      </c>
      <c r="G12" s="128" t="e">
        <f t="shared" si="0"/>
        <v>#N/A</v>
      </c>
      <c r="H12" s="119" t="str">
        <f>IF(VLOOKUP(A12,liste_groupe[],4,FALSE)="%",VLOOKUP(A12,liste_groupe[],3,FALSE)/100,IF(ISBLANK(VLOOKUP(A12,liste_groupe[],4,FALSE)),"Non","Non"))</f>
        <v>Non</v>
      </c>
      <c r="I12" s="128" t="e">
        <f t="shared" si="1"/>
        <v>#N/A</v>
      </c>
      <c r="J12" s="129">
        <v>64</v>
      </c>
      <c r="K12" s="130" t="e">
        <f t="shared" si="2"/>
        <v>#N/A</v>
      </c>
      <c r="L12" s="125"/>
      <c r="M12" s="131"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8" t="e">
        <f t="shared" si="0"/>
        <v>#N/A</v>
      </c>
      <c r="H13" s="119" t="str">
        <f>IF(VLOOKUP(A13,liste_groupe[],4,FALSE)="%",VLOOKUP(A13,liste_groupe[],3,FALSE)/100,IF(ISBLANK(VLOOKUP(A13,liste_groupe[],4,FALSE)),"Non","Non"))</f>
        <v>Non</v>
      </c>
      <c r="I13" s="128" t="e">
        <f t="shared" si="1"/>
        <v>#N/A</v>
      </c>
      <c r="J13" s="129">
        <v>64</v>
      </c>
      <c r="K13" s="130" t="e">
        <f t="shared" si="2"/>
        <v>#N/A</v>
      </c>
      <c r="L13" s="125"/>
      <c r="M13" s="131"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8" t="e">
        <f t="shared" ref="G14:G25" si="4">IF(F14="NS","NC",ROUND(B14,2-(1+INT(LOG10(ABS(B14))))))</f>
        <v>#N/A</v>
      </c>
      <c r="H14" s="119" t="str">
        <f>IF(VLOOKUP(A14,liste_groupe[],4,FALSE)="%",VLOOKUP(A14,liste_groupe[],3,FALSE)/100,IF(ISBLANK(VLOOKUP(A14,liste_groupe[],4,FALSE)),"Non","Non"))</f>
        <v>Non</v>
      </c>
      <c r="I14" s="128" t="e">
        <f t="shared" si="1"/>
        <v>#N/A</v>
      </c>
      <c r="J14" s="129">
        <v>64</v>
      </c>
      <c r="K14" s="130" t="e">
        <f t="shared" si="2"/>
        <v>#N/A</v>
      </c>
      <c r="L14" s="125"/>
      <c r="M14" s="131"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8" t="e">
        <f t="shared" si="4"/>
        <v>#N/A</v>
      </c>
      <c r="H15" s="119" t="str">
        <f>IF(VLOOKUP(A15,liste_groupe[],4,FALSE)="%",VLOOKUP(A15,liste_groupe[],3,FALSE)/100,IF(ISBLANK(VLOOKUP(A15,liste_groupe[],4,FALSE)),"Non","Non"))</f>
        <v>Non</v>
      </c>
      <c r="I15" s="128" t="e">
        <f t="shared" si="1"/>
        <v>#N/A</v>
      </c>
      <c r="J15" s="129">
        <v>64</v>
      </c>
      <c r="K15" s="130" t="e">
        <f t="shared" si="2"/>
        <v>#N/A</v>
      </c>
      <c r="L15" s="125"/>
      <c r="M15" s="131"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8" t="e">
        <f t="shared" si="4"/>
        <v>#N/A</v>
      </c>
      <c r="H16" s="119" t="str">
        <f>IF(VLOOKUP(A16,liste_groupe[],4,FALSE)="%",VLOOKUP(A16,liste_groupe[],3,FALSE)/100,IF(ISBLANK(VLOOKUP(A16,liste_groupe[],4,FALSE)),"Non","Non"))</f>
        <v>Non</v>
      </c>
      <c r="I16" s="128" t="e">
        <f t="shared" si="1"/>
        <v>#N/A</v>
      </c>
      <c r="J16" s="129">
        <v>64</v>
      </c>
      <c r="K16" s="130" t="e">
        <f t="shared" si="2"/>
        <v>#N/A</v>
      </c>
      <c r="L16" s="125"/>
      <c r="M16" s="131"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8" t="e">
        <f t="shared" si="4"/>
        <v>#N/A</v>
      </c>
      <c r="H17" s="119" t="str">
        <f>IF(VLOOKUP(A17,liste_groupe[],4,FALSE)="%",VLOOKUP(A17,liste_groupe[],3,FALSE)/100,IF(ISBLANK(VLOOKUP(A17,liste_groupe[],4,FALSE)),"Non","Non"))</f>
        <v>Non</v>
      </c>
      <c r="I17" s="128" t="e">
        <f t="shared" si="1"/>
        <v>#N/A</v>
      </c>
      <c r="J17" s="129">
        <v>64</v>
      </c>
      <c r="K17" s="130" t="e">
        <f t="shared" si="2"/>
        <v>#N/A</v>
      </c>
      <c r="L17" s="125"/>
      <c r="M17" s="131"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8" t="e">
        <f t="shared" si="4"/>
        <v>#N/A</v>
      </c>
      <c r="H18" s="119" t="str">
        <f>IF(VLOOKUP(A18,liste_groupe[],4,FALSE)="%",VLOOKUP(A18,liste_groupe[],3,FALSE)/100,IF(ISBLANK(VLOOKUP(A18,liste_groupe[],4,FALSE)),"Non","Non"))</f>
        <v>Non</v>
      </c>
      <c r="I18" s="128" t="e">
        <f t="shared" si="1"/>
        <v>#N/A</v>
      </c>
      <c r="J18" s="129">
        <v>64</v>
      </c>
      <c r="K18" s="130" t="e">
        <f t="shared" si="2"/>
        <v>#N/A</v>
      </c>
      <c r="L18" s="125"/>
      <c r="M18" s="131"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8" t="e">
        <f t="shared" si="4"/>
        <v>#N/A</v>
      </c>
      <c r="H19" s="119" t="str">
        <f>IF(VLOOKUP(A19,liste_groupe[],4,FALSE)="%",VLOOKUP(A19,liste_groupe[],3,FALSE)/100,IF(ISBLANK(VLOOKUP(A19,liste_groupe[],4,FALSE)),"Non","Non"))</f>
        <v>Non</v>
      </c>
      <c r="I19" s="128" t="e">
        <f t="shared" si="1"/>
        <v>#N/A</v>
      </c>
      <c r="J19" s="129">
        <v>64</v>
      </c>
      <c r="K19" s="130" t="e">
        <f t="shared" si="2"/>
        <v>#N/A</v>
      </c>
      <c r="L19" s="125"/>
      <c r="M19" s="131"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8" t="e">
        <f t="shared" si="4"/>
        <v>#N/A</v>
      </c>
      <c r="H20" s="119" t="str">
        <f>IF(VLOOKUP(A20,liste_groupe[],4,FALSE)="%",VLOOKUP(A20,liste_groupe[],3,FALSE)/100,IF(ISBLANK(VLOOKUP(A20,liste_groupe[],4,FALSE)),"Non","Non"))</f>
        <v>Non</v>
      </c>
      <c r="I20" s="128" t="e">
        <f t="shared" si="1"/>
        <v>#N/A</v>
      </c>
      <c r="J20" s="129">
        <v>64</v>
      </c>
      <c r="K20" s="130" t="e">
        <f t="shared" si="2"/>
        <v>#N/A</v>
      </c>
      <c r="L20" s="125"/>
      <c r="M20" s="131"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8" t="e">
        <f t="shared" si="4"/>
        <v>#N/A</v>
      </c>
      <c r="H21" s="119" t="str">
        <f>IF(VLOOKUP(A21,liste_groupe[],4,FALSE)="%",VLOOKUP(A21,liste_groupe[],3,FALSE)/100,IF(ISBLANK(VLOOKUP(A21,liste_groupe[],4,FALSE)),"Non","Non"))</f>
        <v>Non</v>
      </c>
      <c r="I21" s="128" t="e">
        <f t="shared" si="1"/>
        <v>#N/A</v>
      </c>
      <c r="J21" s="129">
        <v>64</v>
      </c>
      <c r="K21" s="130" t="e">
        <f t="shared" si="2"/>
        <v>#N/A</v>
      </c>
      <c r="L21" s="125"/>
      <c r="M21" s="131"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8" t="e">
        <f t="shared" si="4"/>
        <v>#N/A</v>
      </c>
      <c r="H22" s="119" t="str">
        <f>IF(VLOOKUP(A22,liste_groupe[],4,FALSE)="%",VLOOKUP(A22,liste_groupe[],3,FALSE)/100,IF(ISBLANK(VLOOKUP(A22,liste_groupe[],4,FALSE)),"Non","Non"))</f>
        <v>Non</v>
      </c>
      <c r="I22" s="128" t="e">
        <f t="shared" si="1"/>
        <v>#N/A</v>
      </c>
      <c r="J22" s="129">
        <v>64</v>
      </c>
      <c r="K22" s="130" t="e">
        <f t="shared" si="2"/>
        <v>#N/A</v>
      </c>
      <c r="L22" s="125"/>
      <c r="M22" s="131"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8" t="e">
        <f t="shared" si="4"/>
        <v>#N/A</v>
      </c>
      <c r="H23" s="119" t="str">
        <f>IF(VLOOKUP(A23,liste_groupe[],4,FALSE)="%",VLOOKUP(A23,liste_groupe[],3,FALSE)/100,IF(ISBLANK(VLOOKUP(A23,liste_groupe[],4,FALSE)),"Non","Non"))</f>
        <v>Non</v>
      </c>
      <c r="I23" s="128" t="e">
        <f t="shared" si="1"/>
        <v>#N/A</v>
      </c>
      <c r="J23" s="129">
        <v>64</v>
      </c>
      <c r="K23" s="130" t="e">
        <f t="shared" si="2"/>
        <v>#N/A</v>
      </c>
      <c r="L23" s="125"/>
      <c r="M23" s="131"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8" t="e">
        <f t="shared" si="4"/>
        <v>#N/A</v>
      </c>
      <c r="H24" s="119" t="str">
        <f>IF(VLOOKUP(A24,liste_groupe[],4,FALSE)="%",VLOOKUP(A24,liste_groupe[],3,FALSE)/100,IF(ISBLANK(VLOOKUP(A24,liste_groupe[],4,FALSE)),"Non","Non"))</f>
        <v>Non</v>
      </c>
      <c r="I24" s="128" t="e">
        <f t="shared" si="1"/>
        <v>#N/A</v>
      </c>
      <c r="J24" s="129">
        <v>64</v>
      </c>
      <c r="K24" s="130" t="e">
        <f t="shared" si="2"/>
        <v>#N/A</v>
      </c>
      <c r="L24" s="125"/>
      <c r="M24" s="131"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8" t="e">
        <f t="shared" si="4"/>
        <v>#N/A</v>
      </c>
      <c r="H25" s="119" t="str">
        <f>IF(VLOOKUP(A25,liste_groupe[],4,FALSE)="%",VLOOKUP(A25,liste_groupe[],3,FALSE)/100,IF(ISBLANK(VLOOKUP(A25,liste_groupe[],4,FALSE)),"Non","Non"))</f>
        <v>Non</v>
      </c>
      <c r="I25" s="128" t="e">
        <f t="shared" si="1"/>
        <v>#N/A</v>
      </c>
      <c r="J25" s="129">
        <v>64</v>
      </c>
      <c r="K25" s="130" t="e">
        <f t="shared" si="2"/>
        <v>#N/A</v>
      </c>
      <c r="L25" s="125"/>
      <c r="M25" s="131"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8" t="e">
        <f t="shared" ref="G26" si="5">IF(F26="NS","NC",ROUND(B26,2-(1+INT(LOG10(ABS(B26))))))</f>
        <v>#N/A</v>
      </c>
      <c r="H26" s="119" t="str">
        <f>IF(VLOOKUP(A26,liste_groupe[],4,FALSE)="%",VLOOKUP(A26,liste_groupe[],3,FALSE)/100,IF(ISBLANK(VLOOKUP(A26,liste_groupe[],4,FALSE)),"Non","Non"))</f>
        <v>Non</v>
      </c>
      <c r="I26" s="128" t="e">
        <f t="shared" si="1"/>
        <v>#N/A</v>
      </c>
      <c r="J26" s="129">
        <v>64</v>
      </c>
      <c r="K26" s="130" t="e">
        <f t="shared" si="2"/>
        <v>#N/A</v>
      </c>
      <c r="L26" s="125"/>
      <c r="M26" s="131"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6"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3"/>
      <c r="H29" s="120"/>
      <c r="I29" s="120"/>
      <c r="J29" s="121"/>
      <c r="K29" s="122"/>
      <c r="L29" s="124"/>
      <c r="M29" s="121"/>
      <c r="N29" s="91"/>
      <c r="O29"/>
    </row>
    <row r="30" spans="1:15" s="76" customFormat="1" ht="15.6" x14ac:dyDescent="0.3">
      <c r="A30" s="83" t="s">
        <v>31</v>
      </c>
      <c r="B30" s="99"/>
      <c r="C30" s="79"/>
      <c r="D30" s="79"/>
      <c r="E30" s="81"/>
      <c r="F30" s="90"/>
      <c r="G30" s="132" t="e">
        <f>IF(F30="NS","NC",ROUND(B30-$B$29,2-(1+INT(LOG10(ABS(B30-$B$29))))))</f>
        <v>#NUM!</v>
      </c>
      <c r="H30" s="120"/>
      <c r="I30" s="133"/>
      <c r="J30" s="134"/>
      <c r="K30" s="135"/>
      <c r="L30" s="134"/>
      <c r="M30" s="134"/>
      <c r="N30" s="136"/>
      <c r="O30"/>
    </row>
    <row r="31" spans="1:15" s="76" customFormat="1" ht="15.6" x14ac:dyDescent="0.3">
      <c r="A31" s="83" t="s">
        <v>30</v>
      </c>
      <c r="B31" s="99"/>
      <c r="C31" s="79"/>
      <c r="D31" s="79"/>
      <c r="E31" s="81"/>
      <c r="F31" s="90"/>
      <c r="G31" s="132" t="e">
        <f t="shared" ref="G31:G51" si="6">IF(F31="NS","NC",ROUND(B31-$B$29,2-(1+INT(LOG10(ABS(B31-$B$29))))))</f>
        <v>#NUM!</v>
      </c>
      <c r="H31" s="120"/>
      <c r="I31" s="133"/>
      <c r="J31" s="134"/>
      <c r="K31" s="135"/>
      <c r="L31" s="134"/>
      <c r="M31" s="134"/>
      <c r="N31" s="136"/>
    </row>
    <row r="32" spans="1:15" s="76" customFormat="1" ht="15.6" x14ac:dyDescent="0.3">
      <c r="A32" s="127" t="str">
        <f>'Page de garde'!A39</f>
        <v>Atenolol-0.01mg/L + Testostérone</v>
      </c>
      <c r="B32" s="99"/>
      <c r="C32" s="79"/>
      <c r="D32" s="79"/>
      <c r="E32" s="81"/>
      <c r="F32" s="93" t="str">
        <f>HLOOKUP(A32,'pooled normalised values'!$B$74:$V$83,10,FALSE)</f>
        <v>ns</v>
      </c>
      <c r="G32" s="132" t="str">
        <f t="shared" si="6"/>
        <v>NC</v>
      </c>
      <c r="H32" s="123" t="str">
        <f>IF(VLOOKUP(A32,liste_groupe[],4,FALSE)="%",VLOOKUP(A32,liste_groupe[],3,FALSE)/100,IF(ISBLANK(VLOOKUP(A32,liste_groupe[],4,FALSE)),"Non","Non"))</f>
        <v>Non</v>
      </c>
      <c r="I32" s="132" t="str">
        <f>IF(F32="NS","NC",IF(H32="Non",G32,G32*(1/H32)))</f>
        <v>NC</v>
      </c>
      <c r="J32" s="137" t="e">
        <f>IF(G32&lt;0,$G$31,$G$30)</f>
        <v>#NUM!</v>
      </c>
      <c r="K32" s="138">
        <f>IF(F32="NS",0,IF(I32&lt;0,-ROUND(I32/J32*100,0),ROUND(I32/J32*100,0)))</f>
        <v>0</v>
      </c>
      <c r="L32" s="139">
        <v>1</v>
      </c>
      <c r="M32" s="131">
        <f>IF(I32&lt;0,IF(K32&lt;-100,-125,K32),IF(K32&gt;100,125,K32))</f>
        <v>0</v>
      </c>
      <c r="N32" s="140" t="str">
        <f>IF(H32="Non",CONCATENATE(VLOOKUP(A32,liste_groupe[],5,FALSE),"-",VLOOKUP(A32,liste_groupe[],3,FALSE),VLOOKUP(A32,liste_groupe[],4,FALSE)," : ",ROUND(K32,0),"%"),CONCATENATE(VLOOKUP(A32,liste_groupe[],5,FALSE)," : ",ROUND(K32,0),"%"))</f>
        <v>Atenolol-0.01mg/L : 0%</v>
      </c>
    </row>
    <row r="33" spans="1:14" s="76" customFormat="1" ht="15.6" x14ac:dyDescent="0.3">
      <c r="A33" s="127" t="str">
        <f>'Page de garde'!A40</f>
        <v>Atenolol-0.1mg/L + Testostérone</v>
      </c>
      <c r="B33" s="98"/>
      <c r="C33" s="86"/>
      <c r="D33" s="86"/>
      <c r="E33" s="81"/>
      <c r="F33" s="93" t="str">
        <f>HLOOKUP(A33,'pooled normalised values'!$B$74:$V$83,10,FALSE)</f>
        <v>ns</v>
      </c>
      <c r="G33" s="132" t="str">
        <f>IF(F33="NS","NC",ROUND(B33-$B$29,2-(1+INT(LOG10(ABS(B33-$B$29))))))</f>
        <v>NC</v>
      </c>
      <c r="H33" s="123" t="str">
        <f>IF(VLOOKUP(A33,liste_groupe[],4,FALSE)="%",VLOOKUP(A33,liste_groupe[],3,FALSE)/100,IF(ISBLANK(VLOOKUP(A33,liste_groupe[],4,FALSE)),"Non","Non"))</f>
        <v>Non</v>
      </c>
      <c r="I33" s="132" t="str">
        <f t="shared" ref="I33:I51" si="7">IF(F33="NS","NC",IF(H33="Non",G33,G33*(1/H33)))</f>
        <v>NC</v>
      </c>
      <c r="J33" s="137" t="e">
        <f t="shared" ref="J33:J51" si="8">IF(G33&lt;0,$G$31,$G$30)</f>
        <v>#NUM!</v>
      </c>
      <c r="K33" s="138">
        <f t="shared" ref="K33:K51" si="9">IF(F33="NS",0,IF(I33&lt;0,-ROUND(I33/J33*100,0),ROUND(I33/J33*100,0)))</f>
        <v>0</v>
      </c>
      <c r="L33" s="139"/>
      <c r="M33" s="131">
        <f t="shared" ref="M33:M51" si="10">IF(I33&lt;0,IF(K33&lt;-100,-125,K33),IF(K33&gt;100,125,K33))</f>
        <v>0</v>
      </c>
      <c r="N33" s="140" t="str">
        <f>IF(H33="Non",CONCATENATE(VLOOKUP(A33,liste_groupe[],5,FALSE),"-",VLOOKUP(A33,liste_groupe[],3,FALSE),VLOOKUP(A33,liste_groupe[],4,FALSE)," : ",ROUND(K33,0),"%"),CONCATENATE(VLOOKUP(A33,liste_groupe[],5,FALSE)," : ",ROUND(K33,0),"%"))</f>
        <v>Atenolol-0.1mg/L : 0%</v>
      </c>
    </row>
    <row r="34" spans="1:14" s="76" customFormat="1" ht="15.6" x14ac:dyDescent="0.3">
      <c r="A34" s="127" t="str">
        <f>'Page de garde'!A41</f>
        <v>Atenolol-1mg/L + Testostérone</v>
      </c>
      <c r="B34" s="99"/>
      <c r="C34" s="79"/>
      <c r="D34" s="79"/>
      <c r="E34" s="81"/>
      <c r="F34" s="93" t="str">
        <f>HLOOKUP(A34,'pooled normalised values'!$B$74:$V$83,10,FALSE)</f>
        <v>ns</v>
      </c>
      <c r="G34" s="132" t="str">
        <f t="shared" si="6"/>
        <v>NC</v>
      </c>
      <c r="H34" s="123" t="str">
        <f>IF(VLOOKUP(A34,liste_groupe[],4,FALSE)="%",VLOOKUP(A34,liste_groupe[],3,FALSE)/100,IF(ISBLANK(VLOOKUP(A34,liste_groupe[],4,FALSE)),"Non","Non"))</f>
        <v>Non</v>
      </c>
      <c r="I34" s="132" t="str">
        <f t="shared" si="7"/>
        <v>NC</v>
      </c>
      <c r="J34" s="137" t="e">
        <f t="shared" si="8"/>
        <v>#NUM!</v>
      </c>
      <c r="K34" s="138">
        <f t="shared" si="9"/>
        <v>0</v>
      </c>
      <c r="L34" s="139"/>
      <c r="M34" s="131">
        <f t="shared" si="10"/>
        <v>0</v>
      </c>
      <c r="N34" s="140" t="str">
        <f>IF(H34="Non",CONCATENATE(VLOOKUP(A34,liste_groupe[],5,FALSE),"-",VLOOKUP(A34,liste_groupe[],3,FALSE),VLOOKUP(A34,liste_groupe[],4,FALSE)," : ",ROUND(K34,0),"%"),CONCATENATE(VLOOKUP(A34,liste_groupe[],5,FALSE)," : ",ROUND(K34,0),"%"))</f>
        <v>Atenolol-1mg/L : 0%</v>
      </c>
    </row>
    <row r="35" spans="1:14" s="76" customFormat="1" ht="15.6" x14ac:dyDescent="0.3">
      <c r="A35" s="127" t="str">
        <f>'Page de garde'!A42</f>
        <v>Atenolol-10mg/L + Testostérone</v>
      </c>
      <c r="B35" s="98"/>
      <c r="C35" s="86"/>
      <c r="D35" s="86"/>
      <c r="E35" s="81"/>
      <c r="F35" s="93" t="str">
        <f>HLOOKUP(A35,'pooled normalised values'!$B$74:$V$83,10,FALSE)</f>
        <v>ns</v>
      </c>
      <c r="G35" s="132" t="str">
        <f t="shared" si="6"/>
        <v>NC</v>
      </c>
      <c r="H35" s="123" t="str">
        <f>IF(VLOOKUP(A35,liste_groupe[],4,FALSE)="%",VLOOKUP(A35,liste_groupe[],3,FALSE)/100,IF(ISBLANK(VLOOKUP(A35,liste_groupe[],4,FALSE)),"Non","Non"))</f>
        <v>Non</v>
      </c>
      <c r="I35" s="132" t="str">
        <f t="shared" si="7"/>
        <v>NC</v>
      </c>
      <c r="J35" s="137" t="e">
        <f t="shared" si="8"/>
        <v>#NUM!</v>
      </c>
      <c r="K35" s="138">
        <f t="shared" si="9"/>
        <v>0</v>
      </c>
      <c r="L35" s="139"/>
      <c r="M35" s="131">
        <f t="shared" si="10"/>
        <v>0</v>
      </c>
      <c r="N35" s="140" t="str">
        <f>IF(H35="Non",CONCATENATE(VLOOKUP(A35,liste_groupe[],5,FALSE),"-",VLOOKUP(A35,liste_groupe[],3,FALSE),VLOOKUP(A35,liste_groupe[],4,FALSE)," : ",ROUND(K35,0),"%"),CONCATENATE(VLOOKUP(A35,liste_groupe[],5,FALSE)," : ",ROUND(K35,0),"%"))</f>
        <v>Atenolol-10mg/L : 0%</v>
      </c>
    </row>
    <row r="36" spans="1:14" s="76" customFormat="1" ht="15.6" x14ac:dyDescent="0.3">
      <c r="A36" s="127" t="str">
        <f>'Page de garde'!A43</f>
        <v>Atenolol-100mg/L + Testostérone</v>
      </c>
      <c r="B36" s="98"/>
      <c r="C36" s="86"/>
      <c r="D36" s="86"/>
      <c r="E36" s="81"/>
      <c r="F36" s="93" t="str">
        <f>HLOOKUP(A36,'pooled normalised values'!$B$74:$V$83,10,FALSE)</f>
        <v>ns</v>
      </c>
      <c r="G36" s="132" t="str">
        <f t="shared" si="6"/>
        <v>NC</v>
      </c>
      <c r="H36" s="123" t="str">
        <f>IF(VLOOKUP(A36,liste_groupe[],4,FALSE)="%",VLOOKUP(A36,liste_groupe[],3,FALSE)/100,IF(ISBLANK(VLOOKUP(A36,liste_groupe[],4,FALSE)),"Non","Non"))</f>
        <v>Non</v>
      </c>
      <c r="I36" s="132" t="str">
        <f t="shared" si="7"/>
        <v>NC</v>
      </c>
      <c r="J36" s="137" t="e">
        <f t="shared" si="8"/>
        <v>#NUM!</v>
      </c>
      <c r="K36" s="138">
        <f t="shared" si="9"/>
        <v>0</v>
      </c>
      <c r="L36" s="139"/>
      <c r="M36" s="131">
        <f t="shared" si="10"/>
        <v>0</v>
      </c>
      <c r="N36" s="140" t="str">
        <f>IF(H36="Non",CONCATENATE(VLOOKUP(A36,liste_groupe[],5,FALSE),"-",VLOOKUP(A36,liste_groupe[],3,FALSE),VLOOKUP(A36,liste_groupe[],4,FALSE)," : ",ROUND(K36,0),"%"),CONCATENATE(VLOOKUP(A36,liste_groupe[],5,FALSE)," : ",ROUND(K36,0),"%"))</f>
        <v>Atenolol-100mg/L : 0%</v>
      </c>
    </row>
    <row r="37" spans="1:14" s="76" customFormat="1" ht="15.6" x14ac:dyDescent="0.3">
      <c r="A37" s="127" t="str">
        <f>'Page de garde'!A44</f>
        <v>0-00 + Testostérone</v>
      </c>
      <c r="B37" s="98"/>
      <c r="C37" s="86"/>
      <c r="D37" s="86"/>
      <c r="E37" s="81"/>
      <c r="F37" s="93" t="e">
        <f>HLOOKUP(A37,'pooled normalised values'!$B$74:$V$83,10,FALSE)</f>
        <v>#N/A</v>
      </c>
      <c r="G37" s="132" t="e">
        <f t="shared" si="6"/>
        <v>#N/A</v>
      </c>
      <c r="H37" s="123" t="str">
        <f>IF(VLOOKUP(A37,liste_groupe[],4,FALSE)="%",VLOOKUP(A37,liste_groupe[],3,FALSE)/100,IF(ISBLANK(VLOOKUP(A37,liste_groupe[],4,FALSE)),"Non","Non"))</f>
        <v>Non</v>
      </c>
      <c r="I37" s="132" t="e">
        <f t="shared" si="7"/>
        <v>#N/A</v>
      </c>
      <c r="J37" s="137" t="e">
        <f t="shared" si="8"/>
        <v>#N/A</v>
      </c>
      <c r="K37" s="138" t="e">
        <f t="shared" si="9"/>
        <v>#N/A</v>
      </c>
      <c r="L37" s="139"/>
      <c r="M37" s="131" t="e">
        <f t="shared" si="10"/>
        <v>#N/A</v>
      </c>
      <c r="N37" s="140" t="e">
        <f>IF(H37="Non",CONCATENATE(VLOOKUP(A37,liste_groupe[],5,FALSE),"-",VLOOKUP(A37,liste_groupe[],3,FALSE),VLOOKUP(A37,liste_groupe[],4,FALSE)," : ",ROUND(K37,0),"%"),CONCATENATE(VLOOKUP(A37,liste_groupe[],5,FALSE)," : ",ROUND(K37,0),"%"))</f>
        <v>#N/A</v>
      </c>
    </row>
    <row r="38" spans="1:14" s="76" customFormat="1" ht="15.6" x14ac:dyDescent="0.3">
      <c r="A38" s="127" t="str">
        <f>'Page de garde'!A45</f>
        <v>0-00 + Testostérone</v>
      </c>
      <c r="B38" s="98"/>
      <c r="C38" s="86"/>
      <c r="D38" s="86"/>
      <c r="E38" s="81"/>
      <c r="F38" s="93" t="e">
        <f>HLOOKUP(A38,'pooled normalised values'!$B$74:$V$83,10,FALSE)</f>
        <v>#N/A</v>
      </c>
      <c r="G38" s="132" t="e">
        <f t="shared" si="6"/>
        <v>#N/A</v>
      </c>
      <c r="H38" s="123" t="str">
        <f>IF(VLOOKUP(A38,liste_groupe[],4,FALSE)="%",VLOOKUP(A38,liste_groupe[],3,FALSE)/100,IF(ISBLANK(VLOOKUP(A38,liste_groupe[],4,FALSE)),"Non","Non"))</f>
        <v>Non</v>
      </c>
      <c r="I38" s="132" t="e">
        <f t="shared" si="7"/>
        <v>#N/A</v>
      </c>
      <c r="J38" s="137" t="e">
        <f t="shared" si="8"/>
        <v>#N/A</v>
      </c>
      <c r="K38" s="138" t="e">
        <f t="shared" si="9"/>
        <v>#N/A</v>
      </c>
      <c r="L38" s="139"/>
      <c r="M38" s="131" t="e">
        <f t="shared" si="10"/>
        <v>#N/A</v>
      </c>
      <c r="N38" s="140" t="e">
        <f>IF(H38="Non",CONCATENATE(VLOOKUP(A38,liste_groupe[],5,FALSE),"-",VLOOKUP(A38,liste_groupe[],3,FALSE),VLOOKUP(A38,liste_groupe[],4,FALSE)," : ",ROUND(K38,0),"%"),CONCATENATE(VLOOKUP(A38,liste_groupe[],5,FALSE)," : ",ROUND(K38,0),"%"))</f>
        <v>#N/A</v>
      </c>
    </row>
    <row r="39" spans="1:14" s="76" customFormat="1" ht="15.6" x14ac:dyDescent="0.3">
      <c r="A39" s="127" t="str">
        <f>'Page de garde'!A46</f>
        <v>0-00 + Testostérone</v>
      </c>
      <c r="B39" s="98"/>
      <c r="C39" s="86"/>
      <c r="D39" s="86"/>
      <c r="E39" s="81"/>
      <c r="F39" s="93" t="e">
        <f>HLOOKUP(A39,'pooled normalised values'!$B$74:$V$83,10,FALSE)</f>
        <v>#N/A</v>
      </c>
      <c r="G39" s="132" t="e">
        <f t="shared" ref="G39:G50" si="11">IF(F39="NS","NC",ROUND(B39-$B$29,2-(1+INT(LOG10(ABS(B39-$B$29))))))</f>
        <v>#N/A</v>
      </c>
      <c r="H39" s="123" t="str">
        <f>IF(VLOOKUP(A39,liste_groupe[],4,FALSE)="%",VLOOKUP(A39,liste_groupe[],3,FALSE)/100,IF(ISBLANK(VLOOKUP(A39,liste_groupe[],4,FALSE)),"Non","Non"))</f>
        <v>Non</v>
      </c>
      <c r="I39" s="132" t="e">
        <f t="shared" si="7"/>
        <v>#N/A</v>
      </c>
      <c r="J39" s="137" t="e">
        <f t="shared" ref="J39:J50" si="12">IF(G39&lt;0,$G$31,$G$30)</f>
        <v>#N/A</v>
      </c>
      <c r="K39" s="138" t="e">
        <f t="shared" si="9"/>
        <v>#N/A</v>
      </c>
      <c r="L39" s="139"/>
      <c r="M39" s="131" t="e">
        <f t="shared" si="10"/>
        <v>#N/A</v>
      </c>
      <c r="N39" s="140" t="e">
        <f>IF(H39="Non",CONCATENATE(VLOOKUP(A39,liste_groupe[],5,FALSE),"-",VLOOKUP(A39,liste_groupe[],3,FALSE),VLOOKUP(A39,liste_groupe[],4,FALSE)," : ",ROUND(K39,0),"%"),CONCATENATE(VLOOKUP(A39,liste_groupe[],5,FALSE)," : ",ROUND(K39,0),"%"))</f>
        <v>#N/A</v>
      </c>
    </row>
    <row r="40" spans="1:14" s="76" customFormat="1" ht="15.6" x14ac:dyDescent="0.3">
      <c r="A40" s="127" t="str">
        <f>'Page de garde'!A47</f>
        <v>0-00 + Testostérone</v>
      </c>
      <c r="B40" s="98"/>
      <c r="C40" s="86"/>
      <c r="D40" s="86"/>
      <c r="E40" s="81"/>
      <c r="F40" s="93" t="e">
        <f>HLOOKUP(A40,'pooled normalised values'!$B$74:$V$83,10,FALSE)</f>
        <v>#N/A</v>
      </c>
      <c r="G40" s="132" t="e">
        <f t="shared" si="11"/>
        <v>#N/A</v>
      </c>
      <c r="H40" s="123" t="str">
        <f>IF(VLOOKUP(A40,liste_groupe[],4,FALSE)="%",VLOOKUP(A40,liste_groupe[],3,FALSE)/100,IF(ISBLANK(VLOOKUP(A40,liste_groupe[],4,FALSE)),"Non","Non"))</f>
        <v>Non</v>
      </c>
      <c r="I40" s="132" t="e">
        <f t="shared" si="7"/>
        <v>#N/A</v>
      </c>
      <c r="J40" s="137" t="e">
        <f t="shared" si="12"/>
        <v>#N/A</v>
      </c>
      <c r="K40" s="138" t="e">
        <f t="shared" si="9"/>
        <v>#N/A</v>
      </c>
      <c r="L40" s="139"/>
      <c r="M40" s="131" t="e">
        <f t="shared" si="10"/>
        <v>#N/A</v>
      </c>
      <c r="N40" s="140" t="e">
        <f>IF(H40="Non",CONCATENATE(VLOOKUP(A40,liste_groupe[],5,FALSE),"-",VLOOKUP(A40,liste_groupe[],3,FALSE),VLOOKUP(A40,liste_groupe[],4,FALSE)," : ",ROUND(K40,0),"%"),CONCATENATE(VLOOKUP(A40,liste_groupe[],5,FALSE)," : ",ROUND(K40,0),"%"))</f>
        <v>#N/A</v>
      </c>
    </row>
    <row r="41" spans="1:14" s="76" customFormat="1" ht="15.6" x14ac:dyDescent="0.3">
      <c r="A41" s="127" t="str">
        <f>'Page de garde'!A48</f>
        <v>0-00 + Testostérone</v>
      </c>
      <c r="B41" s="98"/>
      <c r="C41" s="86"/>
      <c r="D41" s="86"/>
      <c r="E41" s="81"/>
      <c r="F41" s="93" t="e">
        <f>HLOOKUP(A41,'pooled normalised values'!$B$74:$V$83,10,FALSE)</f>
        <v>#N/A</v>
      </c>
      <c r="G41" s="132" t="e">
        <f t="shared" si="11"/>
        <v>#N/A</v>
      </c>
      <c r="H41" s="123" t="str">
        <f>IF(VLOOKUP(A41,liste_groupe[],4,FALSE)="%",VLOOKUP(A41,liste_groupe[],3,FALSE)/100,IF(ISBLANK(VLOOKUP(A41,liste_groupe[],4,FALSE)),"Non","Non"))</f>
        <v>Non</v>
      </c>
      <c r="I41" s="132" t="e">
        <f t="shared" si="7"/>
        <v>#N/A</v>
      </c>
      <c r="J41" s="137" t="e">
        <f t="shared" si="12"/>
        <v>#N/A</v>
      </c>
      <c r="K41" s="138" t="e">
        <f t="shared" si="9"/>
        <v>#N/A</v>
      </c>
      <c r="L41" s="139"/>
      <c r="M41" s="131" t="e">
        <f t="shared" si="10"/>
        <v>#N/A</v>
      </c>
      <c r="N41" s="140" t="e">
        <f>IF(H41="Non",CONCATENATE(VLOOKUP(A41,liste_groupe[],5,FALSE),"-",VLOOKUP(A41,liste_groupe[],3,FALSE),VLOOKUP(A41,liste_groupe[],4,FALSE)," : ",ROUND(K41,0),"%"),CONCATENATE(VLOOKUP(A41,liste_groupe[],5,FALSE)," : ",ROUND(K41,0),"%"))</f>
        <v>#N/A</v>
      </c>
    </row>
    <row r="42" spans="1:14" s="76" customFormat="1" ht="15.6" x14ac:dyDescent="0.3">
      <c r="A42" s="127" t="str">
        <f>'Page de garde'!A49</f>
        <v>0-00 + Testostérone</v>
      </c>
      <c r="B42" s="98"/>
      <c r="C42" s="86"/>
      <c r="D42" s="86"/>
      <c r="E42" s="81"/>
      <c r="F42" s="93" t="e">
        <f>HLOOKUP(A42,'pooled normalised values'!$B$74:$V$83,10,FALSE)</f>
        <v>#N/A</v>
      </c>
      <c r="G42" s="132" t="e">
        <f t="shared" si="11"/>
        <v>#N/A</v>
      </c>
      <c r="H42" s="123" t="str">
        <f>IF(VLOOKUP(A42,liste_groupe[],4,FALSE)="%",VLOOKUP(A42,liste_groupe[],3,FALSE)/100,IF(ISBLANK(VLOOKUP(A42,liste_groupe[],4,FALSE)),"Non","Non"))</f>
        <v>Non</v>
      </c>
      <c r="I42" s="132" t="e">
        <f t="shared" si="7"/>
        <v>#N/A</v>
      </c>
      <c r="J42" s="137" t="e">
        <f t="shared" si="12"/>
        <v>#N/A</v>
      </c>
      <c r="K42" s="138" t="e">
        <f t="shared" si="9"/>
        <v>#N/A</v>
      </c>
      <c r="L42" s="139"/>
      <c r="M42" s="131" t="e">
        <f t="shared" si="10"/>
        <v>#N/A</v>
      </c>
      <c r="N42" s="140" t="e">
        <f>IF(H42="Non",CONCATENATE(VLOOKUP(A42,liste_groupe[],5,FALSE),"-",VLOOKUP(A42,liste_groupe[],3,FALSE),VLOOKUP(A42,liste_groupe[],4,FALSE)," : ",ROUND(K42,0),"%"),CONCATENATE(VLOOKUP(A42,liste_groupe[],5,FALSE)," : ",ROUND(K42,0),"%"))</f>
        <v>#N/A</v>
      </c>
    </row>
    <row r="43" spans="1:14" s="76" customFormat="1" ht="15.6" x14ac:dyDescent="0.3">
      <c r="A43" s="127" t="str">
        <f>'Page de garde'!A50</f>
        <v>0-00 + Testostérone</v>
      </c>
      <c r="B43" s="98"/>
      <c r="C43" s="86"/>
      <c r="D43" s="86"/>
      <c r="E43" s="81"/>
      <c r="F43" s="93" t="e">
        <f>HLOOKUP(A43,'pooled normalised values'!$B$74:$V$83,10,FALSE)</f>
        <v>#N/A</v>
      </c>
      <c r="G43" s="132" t="e">
        <f t="shared" si="11"/>
        <v>#N/A</v>
      </c>
      <c r="H43" s="123" t="str">
        <f>IF(VLOOKUP(A43,liste_groupe[],4,FALSE)="%",VLOOKUP(A43,liste_groupe[],3,FALSE)/100,IF(ISBLANK(VLOOKUP(A43,liste_groupe[],4,FALSE)),"Non","Non"))</f>
        <v>Non</v>
      </c>
      <c r="I43" s="132" t="e">
        <f t="shared" si="7"/>
        <v>#N/A</v>
      </c>
      <c r="J43" s="137" t="e">
        <f t="shared" si="12"/>
        <v>#N/A</v>
      </c>
      <c r="K43" s="138" t="e">
        <f t="shared" si="9"/>
        <v>#N/A</v>
      </c>
      <c r="L43" s="139"/>
      <c r="M43" s="131" t="e">
        <f t="shared" si="10"/>
        <v>#N/A</v>
      </c>
      <c r="N43" s="140" t="e">
        <f>IF(H43="Non",CONCATENATE(VLOOKUP(A43,liste_groupe[],5,FALSE),"-",VLOOKUP(A43,liste_groupe[],3,FALSE),VLOOKUP(A43,liste_groupe[],4,FALSE)," : ",ROUND(K43,0),"%"),CONCATENATE(VLOOKUP(A43,liste_groupe[],5,FALSE)," : ",ROUND(K43,0),"%"))</f>
        <v>#N/A</v>
      </c>
    </row>
    <row r="44" spans="1:14" s="76" customFormat="1" ht="15.6" x14ac:dyDescent="0.3">
      <c r="A44" s="127" t="str">
        <f>'Page de garde'!A51</f>
        <v>0-00 + Testostérone</v>
      </c>
      <c r="B44" s="98"/>
      <c r="C44" s="86"/>
      <c r="D44" s="86"/>
      <c r="E44" s="81"/>
      <c r="F44" s="93" t="e">
        <f>HLOOKUP(A44,'pooled normalised values'!$B$74:$V$83,10,FALSE)</f>
        <v>#N/A</v>
      </c>
      <c r="G44" s="132" t="e">
        <f t="shared" si="11"/>
        <v>#N/A</v>
      </c>
      <c r="H44" s="123" t="str">
        <f>IF(VLOOKUP(A44,liste_groupe[],4,FALSE)="%",VLOOKUP(A44,liste_groupe[],3,FALSE)/100,IF(ISBLANK(VLOOKUP(A44,liste_groupe[],4,FALSE)),"Non","Non"))</f>
        <v>Non</v>
      </c>
      <c r="I44" s="132" t="e">
        <f t="shared" si="7"/>
        <v>#N/A</v>
      </c>
      <c r="J44" s="137" t="e">
        <f t="shared" si="12"/>
        <v>#N/A</v>
      </c>
      <c r="K44" s="138" t="e">
        <f t="shared" si="9"/>
        <v>#N/A</v>
      </c>
      <c r="L44" s="139"/>
      <c r="M44" s="131" t="e">
        <f t="shared" si="10"/>
        <v>#N/A</v>
      </c>
      <c r="N44" s="140" t="e">
        <f>IF(H44="Non",CONCATENATE(VLOOKUP(A44,liste_groupe[],5,FALSE),"-",VLOOKUP(A44,liste_groupe[],3,FALSE),VLOOKUP(A44,liste_groupe[],4,FALSE)," : ",ROUND(K44,0),"%"),CONCATENATE(VLOOKUP(A44,liste_groupe[],5,FALSE)," : ",ROUND(K44,0),"%"))</f>
        <v>#N/A</v>
      </c>
    </row>
    <row r="45" spans="1:14" s="76" customFormat="1" ht="15.6" x14ac:dyDescent="0.3">
      <c r="A45" s="127" t="str">
        <f>'Page de garde'!A52</f>
        <v>0-00 + Testostérone</v>
      </c>
      <c r="B45" s="98"/>
      <c r="C45" s="86"/>
      <c r="D45" s="86"/>
      <c r="E45" s="81"/>
      <c r="F45" s="93" t="e">
        <f>HLOOKUP(A45,'pooled normalised values'!$B$74:$V$83,10,FALSE)</f>
        <v>#N/A</v>
      </c>
      <c r="G45" s="132" t="e">
        <f t="shared" si="11"/>
        <v>#N/A</v>
      </c>
      <c r="H45" s="123" t="str">
        <f>IF(VLOOKUP(A45,liste_groupe[],4,FALSE)="%",VLOOKUP(A45,liste_groupe[],3,FALSE)/100,IF(ISBLANK(VLOOKUP(A45,liste_groupe[],4,FALSE)),"Non","Non"))</f>
        <v>Non</v>
      </c>
      <c r="I45" s="132" t="e">
        <f t="shared" si="7"/>
        <v>#N/A</v>
      </c>
      <c r="J45" s="137" t="e">
        <f t="shared" si="12"/>
        <v>#N/A</v>
      </c>
      <c r="K45" s="138" t="e">
        <f t="shared" si="9"/>
        <v>#N/A</v>
      </c>
      <c r="L45" s="139"/>
      <c r="M45" s="131" t="e">
        <f t="shared" si="10"/>
        <v>#N/A</v>
      </c>
      <c r="N45" s="140" t="e">
        <f>IF(H45="Non",CONCATENATE(VLOOKUP(A45,liste_groupe[],5,FALSE),"-",VLOOKUP(A45,liste_groupe[],3,FALSE),VLOOKUP(A45,liste_groupe[],4,FALSE)," : ",ROUND(K45,0),"%"),CONCATENATE(VLOOKUP(A45,liste_groupe[],5,FALSE)," : ",ROUND(K45,0),"%"))</f>
        <v>#N/A</v>
      </c>
    </row>
    <row r="46" spans="1:14" s="76" customFormat="1" ht="15.6" x14ac:dyDescent="0.3">
      <c r="A46" s="127" t="str">
        <f>'Page de garde'!A53</f>
        <v>0-00 + Testostérone</v>
      </c>
      <c r="B46" s="98"/>
      <c r="C46" s="86"/>
      <c r="D46" s="86"/>
      <c r="E46" s="81"/>
      <c r="F46" s="93" t="e">
        <f>HLOOKUP(A46,'pooled normalised values'!$B$74:$V$83,10,FALSE)</f>
        <v>#N/A</v>
      </c>
      <c r="G46" s="132" t="e">
        <f t="shared" si="11"/>
        <v>#N/A</v>
      </c>
      <c r="H46" s="123" t="str">
        <f>IF(VLOOKUP(A46,liste_groupe[],4,FALSE)="%",VLOOKUP(A46,liste_groupe[],3,FALSE)/100,IF(ISBLANK(VLOOKUP(A46,liste_groupe[],4,FALSE)),"Non","Non"))</f>
        <v>Non</v>
      </c>
      <c r="I46" s="132" t="e">
        <f t="shared" si="7"/>
        <v>#N/A</v>
      </c>
      <c r="J46" s="137" t="e">
        <f t="shared" si="12"/>
        <v>#N/A</v>
      </c>
      <c r="K46" s="138" t="e">
        <f t="shared" si="9"/>
        <v>#N/A</v>
      </c>
      <c r="L46" s="139"/>
      <c r="M46" s="131" t="e">
        <f t="shared" si="10"/>
        <v>#N/A</v>
      </c>
      <c r="N46" s="140" t="e">
        <f>IF(H46="Non",CONCATENATE(VLOOKUP(A46,liste_groupe[],5,FALSE),"-",VLOOKUP(A46,liste_groupe[],3,FALSE),VLOOKUP(A46,liste_groupe[],4,FALSE)," : ",ROUND(K46,0),"%"),CONCATENATE(VLOOKUP(A46,liste_groupe[],5,FALSE)," : ",ROUND(K46,0),"%"))</f>
        <v>#N/A</v>
      </c>
    </row>
    <row r="47" spans="1:14" s="76" customFormat="1" ht="15.6" x14ac:dyDescent="0.3">
      <c r="A47" s="127" t="str">
        <f>'Page de garde'!A54</f>
        <v>0-00 + Testostérone</v>
      </c>
      <c r="B47" s="98"/>
      <c r="C47" s="86"/>
      <c r="D47" s="86"/>
      <c r="E47" s="81"/>
      <c r="F47" s="93" t="e">
        <f>HLOOKUP(A47,'pooled normalised values'!$B$74:$V$83,10,FALSE)</f>
        <v>#N/A</v>
      </c>
      <c r="G47" s="132" t="e">
        <f t="shared" si="11"/>
        <v>#N/A</v>
      </c>
      <c r="H47" s="123" t="str">
        <f>IF(VLOOKUP(A47,liste_groupe[],4,FALSE)="%",VLOOKUP(A47,liste_groupe[],3,FALSE)/100,IF(ISBLANK(VLOOKUP(A47,liste_groupe[],4,FALSE)),"Non","Non"))</f>
        <v>Non</v>
      </c>
      <c r="I47" s="132" t="e">
        <f t="shared" si="7"/>
        <v>#N/A</v>
      </c>
      <c r="J47" s="137" t="e">
        <f t="shared" si="12"/>
        <v>#N/A</v>
      </c>
      <c r="K47" s="138" t="e">
        <f t="shared" si="9"/>
        <v>#N/A</v>
      </c>
      <c r="L47" s="139"/>
      <c r="M47" s="131" t="e">
        <f t="shared" si="10"/>
        <v>#N/A</v>
      </c>
      <c r="N47" s="140" t="e">
        <f>IF(H47="Non",CONCATENATE(VLOOKUP(A47,liste_groupe[],5,FALSE),"-",VLOOKUP(A47,liste_groupe[],3,FALSE),VLOOKUP(A47,liste_groupe[],4,FALSE)," : ",ROUND(K47,0),"%"),CONCATENATE(VLOOKUP(A47,liste_groupe[],5,FALSE)," : ",ROUND(K47,0),"%"))</f>
        <v>#N/A</v>
      </c>
    </row>
    <row r="48" spans="1:14" s="76" customFormat="1" ht="15.6" x14ac:dyDescent="0.3">
      <c r="A48" s="127" t="str">
        <f>'Page de garde'!A55</f>
        <v>0-00 + Testostérone</v>
      </c>
      <c r="B48" s="98"/>
      <c r="C48" s="86"/>
      <c r="D48" s="86"/>
      <c r="E48" s="81"/>
      <c r="F48" s="93" t="e">
        <f>HLOOKUP(A48,'pooled normalised values'!$B$74:$V$83,10,FALSE)</f>
        <v>#N/A</v>
      </c>
      <c r="G48" s="132" t="e">
        <f t="shared" si="11"/>
        <v>#N/A</v>
      </c>
      <c r="H48" s="123" t="str">
        <f>IF(VLOOKUP(A48,liste_groupe[],4,FALSE)="%",VLOOKUP(A48,liste_groupe[],3,FALSE)/100,IF(ISBLANK(VLOOKUP(A48,liste_groupe[],4,FALSE)),"Non","Non"))</f>
        <v>Non</v>
      </c>
      <c r="I48" s="132" t="e">
        <f t="shared" si="7"/>
        <v>#N/A</v>
      </c>
      <c r="J48" s="137" t="e">
        <f t="shared" si="12"/>
        <v>#N/A</v>
      </c>
      <c r="K48" s="138" t="e">
        <f t="shared" si="9"/>
        <v>#N/A</v>
      </c>
      <c r="L48" s="139"/>
      <c r="M48" s="131" t="e">
        <f t="shared" si="10"/>
        <v>#N/A</v>
      </c>
      <c r="N48" s="140" t="e">
        <f>IF(H48="Non",CONCATENATE(VLOOKUP(A48,liste_groupe[],5,FALSE),"-",VLOOKUP(A48,liste_groupe[],3,FALSE),VLOOKUP(A48,liste_groupe[],4,FALSE)," : ",ROUND(K48,0),"%"),CONCATENATE(VLOOKUP(A48,liste_groupe[],5,FALSE)," : ",ROUND(K48,0),"%"))</f>
        <v>#N/A</v>
      </c>
    </row>
    <row r="49" spans="1:15" s="76" customFormat="1" ht="15.6" x14ac:dyDescent="0.3">
      <c r="A49" s="127" t="str">
        <f>'Page de garde'!A56</f>
        <v>0-00 + Testostérone</v>
      </c>
      <c r="B49" s="98"/>
      <c r="C49" s="86"/>
      <c r="D49" s="86"/>
      <c r="E49" s="81"/>
      <c r="F49" s="93" t="e">
        <f>HLOOKUP(A49,'pooled normalised values'!$B$74:$V$83,10,FALSE)</f>
        <v>#N/A</v>
      </c>
      <c r="G49" s="132" t="e">
        <f t="shared" si="11"/>
        <v>#N/A</v>
      </c>
      <c r="H49" s="123" t="str">
        <f>IF(VLOOKUP(A49,liste_groupe[],4,FALSE)="%",VLOOKUP(A49,liste_groupe[],3,FALSE)/100,IF(ISBLANK(VLOOKUP(A49,liste_groupe[],4,FALSE)),"Non","Non"))</f>
        <v>Non</v>
      </c>
      <c r="I49" s="132" t="e">
        <f t="shared" si="7"/>
        <v>#N/A</v>
      </c>
      <c r="J49" s="137" t="e">
        <f t="shared" si="12"/>
        <v>#N/A</v>
      </c>
      <c r="K49" s="138" t="e">
        <f t="shared" si="9"/>
        <v>#N/A</v>
      </c>
      <c r="L49" s="139"/>
      <c r="M49" s="131" t="e">
        <f t="shared" si="10"/>
        <v>#N/A</v>
      </c>
      <c r="N49" s="140" t="e">
        <f>IF(H49="Non",CONCATENATE(VLOOKUP(A49,liste_groupe[],5,FALSE),"-",VLOOKUP(A49,liste_groupe[],3,FALSE),VLOOKUP(A49,liste_groupe[],4,FALSE)," : ",ROUND(K49,0),"%"),CONCATENATE(VLOOKUP(A49,liste_groupe[],5,FALSE)," : ",ROUND(K49,0),"%"))</f>
        <v>#N/A</v>
      </c>
    </row>
    <row r="50" spans="1:15" s="76" customFormat="1" ht="15.6" x14ac:dyDescent="0.3">
      <c r="A50" s="127" t="str">
        <f>'Page de garde'!A57</f>
        <v>0-00 + Testostérone</v>
      </c>
      <c r="B50" s="98"/>
      <c r="C50" s="86"/>
      <c r="D50" s="86"/>
      <c r="E50" s="81"/>
      <c r="F50" s="93" t="e">
        <f>HLOOKUP(A50,'pooled normalised values'!$B$74:$V$83,10,FALSE)</f>
        <v>#N/A</v>
      </c>
      <c r="G50" s="132" t="e">
        <f t="shared" si="11"/>
        <v>#N/A</v>
      </c>
      <c r="H50" s="123" t="str">
        <f>IF(VLOOKUP(A50,liste_groupe[],4,FALSE)="%",VLOOKUP(A50,liste_groupe[],3,FALSE)/100,IF(ISBLANK(VLOOKUP(A50,liste_groupe[],4,FALSE)),"Non","Non"))</f>
        <v>Non</v>
      </c>
      <c r="I50" s="132" t="e">
        <f t="shared" si="7"/>
        <v>#N/A</v>
      </c>
      <c r="J50" s="137" t="e">
        <f t="shared" si="12"/>
        <v>#N/A</v>
      </c>
      <c r="K50" s="138" t="e">
        <f t="shared" si="9"/>
        <v>#N/A</v>
      </c>
      <c r="L50" s="139"/>
      <c r="M50" s="131" t="e">
        <f t="shared" si="10"/>
        <v>#N/A</v>
      </c>
      <c r="N50" s="140" t="e">
        <f>IF(H50="Non",CONCATENATE(VLOOKUP(A50,liste_groupe[],5,FALSE),"-",VLOOKUP(A50,liste_groupe[],3,FALSE),VLOOKUP(A50,liste_groupe[],4,FALSE)," : ",ROUND(K50,0),"%"),CONCATENATE(VLOOKUP(A50,liste_groupe[],5,FALSE)," : ",ROUND(K50,0),"%"))</f>
        <v>#N/A</v>
      </c>
    </row>
    <row r="51" spans="1:15" s="76" customFormat="1" ht="15.6" x14ac:dyDescent="0.3">
      <c r="A51" s="127" t="str">
        <f>'Page de garde'!A58</f>
        <v>0-00 + Testostérone</v>
      </c>
      <c r="B51" s="98"/>
      <c r="C51" s="86"/>
      <c r="D51" s="86"/>
      <c r="E51" s="81"/>
      <c r="F51" s="93" t="e">
        <f>HLOOKUP(A51,'pooled normalised values'!$B$74:$V$83,10,FALSE)</f>
        <v>#N/A</v>
      </c>
      <c r="G51" s="132" t="e">
        <f t="shared" si="6"/>
        <v>#N/A</v>
      </c>
      <c r="H51" s="123" t="str">
        <f>IF(VLOOKUP(A51,liste_groupe[],4,FALSE)="%",VLOOKUP(A51,liste_groupe[],3,FALSE)/100,IF(ISBLANK(VLOOKUP(A51,liste_groupe[],4,FALSE)),"Non","Non"))</f>
        <v>Non</v>
      </c>
      <c r="I51" s="132" t="e">
        <f t="shared" si="7"/>
        <v>#N/A</v>
      </c>
      <c r="J51" s="137" t="e">
        <f t="shared" si="8"/>
        <v>#N/A</v>
      </c>
      <c r="K51" s="138" t="e">
        <f t="shared" si="9"/>
        <v>#N/A</v>
      </c>
      <c r="L51" s="139"/>
      <c r="M51" s="131" t="e">
        <f t="shared" si="10"/>
        <v>#N/A</v>
      </c>
      <c r="N51" s="140"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28" t="s">
        <v>60</v>
      </c>
      <c r="B53" s="229"/>
      <c r="C53" s="229"/>
      <c r="D53" s="229"/>
      <c r="E53" s="229"/>
      <c r="F53" s="229"/>
      <c r="G53" s="229"/>
      <c r="H53" s="229"/>
      <c r="I53" s="229"/>
      <c r="J53" s="229"/>
      <c r="K53" s="229"/>
      <c r="L53" s="229"/>
      <c r="M53" s="229"/>
      <c r="N53" s="229"/>
      <c r="O53" s="230"/>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9" customWidth="1"/>
    <col min="2" max="2" width="46.21875" style="179" customWidth="1"/>
    <col min="3" max="3" width="15.21875" style="179" customWidth="1"/>
    <col min="4" max="4" width="24.77734375" style="179" customWidth="1"/>
    <col min="5" max="5" width="24.44140625" style="179" customWidth="1"/>
    <col min="6" max="6" width="23.21875" style="179" customWidth="1"/>
    <col min="7" max="7" width="21.21875" style="179" customWidth="1"/>
    <col min="8" max="16384" width="11.44140625" style="179"/>
  </cols>
  <sheetData>
    <row r="1" spans="1:7" ht="29.4" thickBot="1" x14ac:dyDescent="0.35">
      <c r="A1" s="184" t="s">
        <v>131</v>
      </c>
      <c r="B1" s="185" t="s">
        <v>132</v>
      </c>
      <c r="C1" s="185" t="s">
        <v>138</v>
      </c>
      <c r="D1" s="185" t="s">
        <v>137</v>
      </c>
      <c r="E1" s="185" t="s">
        <v>139</v>
      </c>
      <c r="F1" s="186" t="s">
        <v>140</v>
      </c>
      <c r="G1" s="187" t="s">
        <v>141</v>
      </c>
    </row>
    <row r="2" spans="1:7" ht="57.6" x14ac:dyDescent="0.3">
      <c r="A2" s="180" t="s">
        <v>133</v>
      </c>
      <c r="B2" s="181" t="s">
        <v>134</v>
      </c>
      <c r="C2" s="181" t="s">
        <v>135</v>
      </c>
      <c r="D2" s="181" t="s">
        <v>142</v>
      </c>
      <c r="E2" s="181" t="s">
        <v>136</v>
      </c>
      <c r="F2" s="182" t="s">
        <v>135</v>
      </c>
      <c r="G2" s="183"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0.13897057500891144</v>
      </c>
      <c r="D2" s="17" t="s">
        <v>9</v>
      </c>
      <c r="E2" s="18"/>
      <c r="F2" s="19" t="str">
        <f>'pooled normalised values'!J74</f>
        <v>Atenolol-0.1mg/L</v>
      </c>
      <c r="G2" s="19" t="str">
        <f>'pooled normalised values'!K74</f>
        <v>Atenolol-1mg/L</v>
      </c>
      <c r="H2" s="19" t="str">
        <f>'pooled normalised values'!L74</f>
        <v>Atenolol-10mg/L</v>
      </c>
      <c r="I2" s="19" t="str">
        <f>'pooled normalised values'!M74</f>
        <v>Atenolol-100mg/L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Atenolol-0.01mg/L + Testostérone</v>
      </c>
      <c r="W2" s="19" t="str">
        <f>'pooled normalised values'!S74</f>
        <v>Atenolol-0.1mg/L + Testostérone</v>
      </c>
      <c r="X2" s="19" t="str">
        <f>'pooled normalised values'!T74</f>
        <v>Atenolol-1mg/L + Testostérone</v>
      </c>
      <c r="Y2" s="19" t="str">
        <f>'pooled normalised values'!U74</f>
        <v>Atenolol-10mg/L + Testostérone</v>
      </c>
      <c r="Z2" s="19" t="str">
        <f>'pooled normalised values'!V74</f>
        <v>Atenolol-100mg/L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0.15494576747499447</v>
      </c>
      <c r="G3" s="19">
        <f>HLOOKUP(G2,'pooled normalised values'!C74:W83,2,FALSE)</f>
        <v>0.1795402774501979</v>
      </c>
      <c r="H3" s="19">
        <f>HLOOKUP(H2,'pooled normalised values'!C74:X83,2,FALSE)</f>
        <v>0.17184700860951763</v>
      </c>
      <c r="I3" s="19">
        <f>HLOOKUP(I2,'pooled normalised values'!D74:Y83,2,FALSE)</f>
        <v>0.22594652546794802</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0.7026567236486877</v>
      </c>
      <c r="W3" s="19">
        <f>HLOOKUP(W2,'pooled normalised values'!N74:AM83,2,FALSE)</f>
        <v>1.1021715433134032</v>
      </c>
      <c r="X3" s="19">
        <f>HLOOKUP(X2,'pooled normalised values'!N74:AN83,2,FALSE)</f>
        <v>0.7435073509500949</v>
      </c>
      <c r="Y3" s="19">
        <f>HLOOKUP(Y2,'pooled normalised values'!N74:AO83,2,FALSE)</f>
        <v>0.79245190038809221</v>
      </c>
      <c r="Z3" s="19">
        <f>HLOOKUP(Z2,'pooled normalised values'!N74:AP83,2,FALSE)</f>
        <v>0.88828991955228009</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1.0000000000000002</v>
      </c>
      <c r="D4" s="21" t="s">
        <v>2</v>
      </c>
      <c r="E4" s="22"/>
      <c r="F4" s="19">
        <f>HLOOKUP(F2,'pooled normalised values'!B74:V83,3,FALSE)</f>
        <v>4.473847162702535E-2</v>
      </c>
      <c r="G4" s="19">
        <f>HLOOKUP(G2,'pooled normalised values'!C74:W83,3,FALSE)</f>
        <v>4.9934752905447244E-2</v>
      </c>
      <c r="H4" s="19">
        <f>HLOOKUP(H2,'pooled normalised values'!C74:X83,3,FALSE)</f>
        <v>4.2253926749444143E-2</v>
      </c>
      <c r="I4" s="19">
        <f>HLOOKUP(I2,'pooled normalised values'!D74:Y83,3,FALSE)</f>
        <v>5.6894535394973064E-2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0.16434451114288828</v>
      </c>
      <c r="W4" s="19">
        <f>HLOOKUP(W2,'pooled normalised values'!N74:AM83,3,FALSE)</f>
        <v>0.24912937947172895</v>
      </c>
      <c r="X4" s="19">
        <f>HLOOKUP(X2,'pooled normalised values'!N74:AN83,3,FALSE)</f>
        <v>0.17608704203524767</v>
      </c>
      <c r="Y4" s="19">
        <f>HLOOKUP(Y2,'pooled normalised values'!N74:AO83,3,FALSE)</f>
        <v>0.15461029696092285</v>
      </c>
      <c r="Z4" s="19">
        <f>HLOOKUP(Z2,'pooled normalised values'!N74:AP83,3,FALSE)</f>
        <v>0.24075815625229607</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7.7569410341180216</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0.19431574807654764</v>
      </c>
      <c r="D6" s="21" t="s">
        <v>12</v>
      </c>
      <c r="E6" s="24">
        <f>$B$2</f>
        <v>0.13897057500891144</v>
      </c>
      <c r="F6" s="24">
        <f>$B$2</f>
        <v>0.13897057500891144</v>
      </c>
      <c r="G6" s="24">
        <f t="shared" ref="G6:R6" si="0">$B$2</f>
        <v>0.13897057500891144</v>
      </c>
      <c r="H6" s="24">
        <f t="shared" si="0"/>
        <v>0.13897057500891144</v>
      </c>
      <c r="I6" s="24">
        <f t="shared" si="0"/>
        <v>0.13897057500891144</v>
      </c>
      <c r="J6" s="24">
        <f t="shared" si="0"/>
        <v>0.13897057500891144</v>
      </c>
      <c r="K6" s="24">
        <f t="shared" si="0"/>
        <v>0.13897057500891144</v>
      </c>
      <c r="L6" s="24">
        <f t="shared" si="0"/>
        <v>0.13897057500891144</v>
      </c>
      <c r="M6" s="24">
        <f t="shared" si="0"/>
        <v>0.13897057500891144</v>
      </c>
      <c r="N6" s="24">
        <f t="shared" si="0"/>
        <v>0.13897057500891144</v>
      </c>
      <c r="O6" s="24">
        <f t="shared" si="0"/>
        <v>0.13897057500891144</v>
      </c>
      <c r="P6" s="24">
        <f t="shared" si="0"/>
        <v>0.13897057500891144</v>
      </c>
      <c r="Q6" s="24">
        <f t="shared" si="0"/>
        <v>0.13897057500891144</v>
      </c>
      <c r="R6" s="24">
        <f t="shared" si="0"/>
        <v>0.13897057500891144</v>
      </c>
      <c r="S6" s="24">
        <f>$B$2</f>
        <v>0.13897057500891144</v>
      </c>
      <c r="T6" s="24">
        <f>$B$2</f>
        <v>0.13897057500891144</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0.19431574807654764</v>
      </c>
      <c r="V8" s="25">
        <f t="shared" ref="V8:AJ8" si="2">$B$6</f>
        <v>0.19431574807654764</v>
      </c>
      <c r="W8" s="25">
        <f t="shared" si="2"/>
        <v>0.19431574807654764</v>
      </c>
      <c r="X8" s="25">
        <f t="shared" si="2"/>
        <v>0.19431574807654764</v>
      </c>
      <c r="Y8" s="25">
        <f t="shared" si="2"/>
        <v>0.19431574807654764</v>
      </c>
      <c r="Z8" s="25">
        <f t="shared" si="2"/>
        <v>0.19431574807654764</v>
      </c>
      <c r="AA8" s="25">
        <f t="shared" si="2"/>
        <v>0.19431574807654764</v>
      </c>
      <c r="AB8" s="25">
        <f t="shared" si="2"/>
        <v>0.19431574807654764</v>
      </c>
      <c r="AC8" s="25">
        <f t="shared" si="2"/>
        <v>0.19431574807654764</v>
      </c>
      <c r="AD8" s="25">
        <f t="shared" si="2"/>
        <v>0.19431574807654764</v>
      </c>
      <c r="AE8" s="25">
        <f t="shared" si="2"/>
        <v>0.19431574807654764</v>
      </c>
      <c r="AF8" s="25">
        <f t="shared" si="2"/>
        <v>0.19431574807654764</v>
      </c>
      <c r="AG8" s="25">
        <f t="shared" si="2"/>
        <v>0.19431574807654764</v>
      </c>
      <c r="AH8" s="25">
        <f t="shared" si="2"/>
        <v>0.19431574807654764</v>
      </c>
      <c r="AI8" s="25">
        <f t="shared" si="2"/>
        <v>0.19431574807654764</v>
      </c>
      <c r="AJ8" s="25">
        <f t="shared" si="2"/>
        <v>0.19431574807654764</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7.5626252860414738</v>
      </c>
      <c r="V9" s="25">
        <f>$B$5-V8</f>
        <v>7.5626252860414738</v>
      </c>
      <c r="W9" s="25">
        <f t="shared" ref="W9:AH9" si="4">$B$5-W8</f>
        <v>7.5626252860414738</v>
      </c>
      <c r="X9" s="25">
        <f t="shared" si="4"/>
        <v>7.5626252860414738</v>
      </c>
      <c r="Y9" s="25">
        <f t="shared" si="4"/>
        <v>7.5626252860414738</v>
      </c>
      <c r="Z9" s="25">
        <f t="shared" si="4"/>
        <v>7.5626252860414738</v>
      </c>
      <c r="AA9" s="25">
        <f t="shared" si="4"/>
        <v>7.5626252860414738</v>
      </c>
      <c r="AB9" s="25">
        <f t="shared" si="4"/>
        <v>7.5626252860414738</v>
      </c>
      <c r="AC9" s="25">
        <f t="shared" si="4"/>
        <v>7.5626252860414738</v>
      </c>
      <c r="AD9" s="25">
        <f t="shared" si="4"/>
        <v>7.5626252860414738</v>
      </c>
      <c r="AE9" s="25">
        <f t="shared" si="4"/>
        <v>7.5626252860414738</v>
      </c>
      <c r="AF9" s="25">
        <f t="shared" si="4"/>
        <v>7.5626252860414738</v>
      </c>
      <c r="AG9" s="25">
        <f t="shared" si="4"/>
        <v>7.5626252860414738</v>
      </c>
      <c r="AH9" s="25">
        <f t="shared" si="4"/>
        <v>7.5626252860414738</v>
      </c>
      <c r="AI9" s="25">
        <f>$B$5-AI8</f>
        <v>7.5626252860414738</v>
      </c>
      <c r="AJ9" s="25">
        <f>$B$5-AJ8</f>
        <v>7.5626252860414738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-5.0626252860414738</v>
      </c>
      <c r="V10" s="25">
        <f>2.5-V9</f>
        <v>-5.0626252860414738</v>
      </c>
      <c r="W10" s="25">
        <f t="shared" ref="W10:AH10" si="6">2.5-W9</f>
        <v>-5.0626252860414738</v>
      </c>
      <c r="X10" s="25">
        <f t="shared" si="6"/>
        <v>-5.0626252860414738</v>
      </c>
      <c r="Y10" s="25">
        <f t="shared" si="6"/>
        <v>-5.0626252860414738</v>
      </c>
      <c r="Z10" s="25">
        <f t="shared" si="6"/>
        <v>-5.0626252860414738</v>
      </c>
      <c r="AA10" s="25">
        <f t="shared" si="6"/>
        <v>-5.0626252860414738</v>
      </c>
      <c r="AB10" s="25">
        <f t="shared" si="6"/>
        <v>-5.0626252860414738</v>
      </c>
      <c r="AC10" s="25">
        <f t="shared" si="6"/>
        <v>-5.0626252860414738</v>
      </c>
      <c r="AD10" s="25">
        <f t="shared" si="6"/>
        <v>-5.0626252860414738</v>
      </c>
      <c r="AE10" s="25">
        <f t="shared" si="6"/>
        <v>-5.0626252860414738</v>
      </c>
      <c r="AF10" s="25">
        <f t="shared" si="6"/>
        <v>-5.0626252860414738</v>
      </c>
      <c r="AG10" s="25">
        <f t="shared" si="6"/>
        <v>-5.0626252860414738</v>
      </c>
      <c r="AH10" s="25">
        <f t="shared" si="6"/>
        <v>-5.0626252860414738</v>
      </c>
      <c r="AI10" s="25">
        <f>2.5-AI9</f>
        <v>-5.0626252860414738</v>
      </c>
      <c r="AJ10" s="25">
        <f>2.5-AJ9</f>
        <v>-5.0626252860414738</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0.13897057500891144</v>
      </c>
      <c r="D2" s="17" t="s">
        <v>9</v>
      </c>
      <c r="E2" s="18"/>
      <c r="F2" s="19" t="str">
        <f>'pooled normalised values'!J74</f>
        <v>Atenolol-0.1mg/L</v>
      </c>
      <c r="G2" s="18"/>
      <c r="H2" s="20"/>
      <c r="I2" s="19" t="str">
        <f>'pooled normalised values'!R74</f>
        <v>Atenolol-0.01mg/L + Testostérone</v>
      </c>
      <c r="J2" s="20"/>
      <c r="K2" s="17" t="s">
        <v>9</v>
      </c>
    </row>
    <row r="3" spans="1:11" x14ac:dyDescent="0.25">
      <c r="A3" s="17" t="s">
        <v>71</v>
      </c>
      <c r="B3" s="63">
        <f>'summary results'!E6</f>
        <v>0</v>
      </c>
      <c r="D3" s="21" t="s">
        <v>10</v>
      </c>
      <c r="E3" s="22"/>
      <c r="F3" s="19">
        <f>HLOOKUP(F2,'pooled normalised values'!B74:V83,2,FALSE)</f>
        <v>0.15494576747499447</v>
      </c>
      <c r="G3" s="22"/>
      <c r="H3" s="20"/>
      <c r="I3" s="19">
        <f>HLOOKUP(I2,'pooled normalised values'!N74:AL83,2,FALSE)</f>
        <v>0.7026567236486877</v>
      </c>
      <c r="J3" s="20"/>
      <c r="K3" s="21" t="s">
        <v>10</v>
      </c>
    </row>
    <row r="4" spans="1:11" x14ac:dyDescent="0.25">
      <c r="A4" s="17" t="s">
        <v>72</v>
      </c>
      <c r="B4" s="63">
        <f>'pooled normalised values'!O75</f>
        <v>1.0000000000000002</v>
      </c>
      <c r="D4" s="21" t="s">
        <v>2</v>
      </c>
      <c r="E4" s="22"/>
      <c r="F4" s="19">
        <f>HLOOKUP(F2,'pooled normalised values'!B74:V83,3,FALSE)</f>
        <v>4.473847162702535E-2</v>
      </c>
      <c r="G4" s="22"/>
      <c r="H4" s="20"/>
      <c r="I4" s="19">
        <f>HLOOKUP(I2,'pooled normalised values'!N74:AL83,3,FALSE)</f>
        <v>0.16434451114288828</v>
      </c>
      <c r="J4" s="20"/>
      <c r="K4" s="21" t="s">
        <v>2</v>
      </c>
    </row>
    <row r="5" spans="1:11" x14ac:dyDescent="0.25">
      <c r="A5" s="17" t="s">
        <v>73</v>
      </c>
      <c r="B5" s="63">
        <f>'pooled normalised values'!P75</f>
        <v>7.7569410341180216</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0.19431574807654764</v>
      </c>
      <c r="D6" s="21" t="s">
        <v>12</v>
      </c>
      <c r="E6" s="24">
        <f>$B$2</f>
        <v>0.13897057500891144</v>
      </c>
      <c r="F6" s="24">
        <f>$B$2</f>
        <v>0.13897057500891144</v>
      </c>
      <c r="G6" s="24">
        <f>$B$2</f>
        <v>0.13897057500891144</v>
      </c>
      <c r="H6" s="25"/>
      <c r="I6" s="25"/>
      <c r="J6" s="25"/>
      <c r="K6" s="21" t="s">
        <v>12</v>
      </c>
    </row>
    <row r="7" spans="1:11" x14ac:dyDescent="0.25">
      <c r="B7" s="26"/>
      <c r="D7" s="26" t="s">
        <v>13</v>
      </c>
      <c r="E7" s="24"/>
      <c r="F7" s="24"/>
      <c r="G7" s="27"/>
      <c r="H7" s="25">
        <f t="shared" ref="H7:J7" si="0">$B$4</f>
        <v>1.0000000000000002</v>
      </c>
      <c r="I7" s="25">
        <f t="shared" si="0"/>
        <v>1.0000000000000002</v>
      </c>
      <c r="J7" s="25">
        <f t="shared" si="0"/>
        <v>1.0000000000000002</v>
      </c>
      <c r="K7" s="26" t="s">
        <v>13</v>
      </c>
    </row>
    <row r="8" spans="1:11" x14ac:dyDescent="0.25">
      <c r="D8" s="28" t="s">
        <v>14</v>
      </c>
      <c r="E8" s="24">
        <v>0</v>
      </c>
      <c r="F8" s="24">
        <v>0</v>
      </c>
      <c r="G8" s="27">
        <v>0</v>
      </c>
      <c r="H8" s="25">
        <f>$B$6</f>
        <v>0.19431574807654764</v>
      </c>
      <c r="I8" s="25">
        <f t="shared" ref="I8:J8" si="1">$B$6</f>
        <v>0.19431574807654764</v>
      </c>
      <c r="J8" s="25">
        <f t="shared" si="1"/>
        <v>0.19431574807654764</v>
      </c>
      <c r="K8" s="28" t="s">
        <v>14</v>
      </c>
    </row>
    <row r="9" spans="1:11" x14ac:dyDescent="0.25">
      <c r="D9" s="28" t="s">
        <v>15</v>
      </c>
      <c r="E9" s="29">
        <f>$B$3-E8</f>
        <v>0</v>
      </c>
      <c r="F9" s="29">
        <f>$B$3-F8</f>
        <v>0</v>
      </c>
      <c r="G9" s="29">
        <f>$B$3-G8</f>
        <v>0</v>
      </c>
      <c r="H9" s="25">
        <f>$B$5-H8</f>
        <v>7.5626252860414738</v>
      </c>
      <c r="I9" s="25">
        <f>$B$5-I8</f>
        <v>7.5626252860414738</v>
      </c>
      <c r="J9" s="25">
        <f>$B$5-J8</f>
        <v>7.5626252860414738</v>
      </c>
      <c r="K9" s="28" t="s">
        <v>15</v>
      </c>
    </row>
    <row r="10" spans="1:11" x14ac:dyDescent="0.25">
      <c r="D10" s="28" t="s">
        <v>16</v>
      </c>
      <c r="E10" s="27">
        <f t="shared" ref="E10:J10" si="2">2.5-E9</f>
        <v>2.5</v>
      </c>
      <c r="F10" s="27">
        <f t="shared" si="2"/>
        <v>2.5</v>
      </c>
      <c r="G10" s="27">
        <f t="shared" si="2"/>
        <v>2.5</v>
      </c>
      <c r="H10" s="25">
        <f t="shared" si="2"/>
        <v>-5.0626252860414738</v>
      </c>
      <c r="I10" s="25">
        <f t="shared" si="2"/>
        <v>-5.0626252860414738</v>
      </c>
      <c r="J10" s="25">
        <f t="shared" si="2"/>
        <v>-5.0626252860414738</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6" t="s">
        <v>102</v>
      </c>
      <c r="B1" s="146" t="s">
        <v>103</v>
      </c>
      <c r="C1" s="143" t="s">
        <v>86</v>
      </c>
      <c r="D1" s="143" t="s">
        <v>87</v>
      </c>
      <c r="E1" s="144" t="s">
        <v>88</v>
      </c>
      <c r="F1" s="144" t="s">
        <v>89</v>
      </c>
      <c r="G1" s="143" t="s">
        <v>90</v>
      </c>
      <c r="H1" s="143" t="s">
        <v>91</v>
      </c>
      <c r="I1" s="143" t="s">
        <v>92</v>
      </c>
      <c r="J1" s="143" t="s">
        <v>93</v>
      </c>
      <c r="K1" s="143" t="s">
        <v>94</v>
      </c>
      <c r="L1" s="143" t="s">
        <v>95</v>
      </c>
      <c r="M1" s="143" t="s">
        <v>96</v>
      </c>
      <c r="N1" s="143" t="s">
        <v>97</v>
      </c>
      <c r="Q1" s="231" t="s">
        <v>99</v>
      </c>
      <c r="R1" s="231"/>
      <c r="S1" s="231"/>
      <c r="U1" s="231" t="s">
        <v>98</v>
      </c>
      <c r="V1" s="231"/>
      <c r="W1" s="231"/>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8" t="s">
        <v>7</v>
      </c>
      <c r="R2" s="1" t="s">
        <v>130</v>
      </c>
      <c r="U2" s="118" t="s">
        <v>7</v>
      </c>
      <c r="V2" s="1"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8" t="s">
        <v>78</v>
      </c>
      <c r="R3" s="1" t="s">
        <v>106</v>
      </c>
      <c r="U3" s="118" t="s">
        <v>78</v>
      </c>
      <c r="V3" s="1"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8" t="s">
        <v>100</v>
      </c>
      <c r="U5" s="118"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5" t="s">
        <v>112</v>
      </c>
      <c r="U6" s="145"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7"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5E6138-2A08-4F87-A584-655E85E0D5B8}">
  <ds:schemaRefs>
    <ds:schemaRef ds:uri="http://schemas.microsoft.com/sharepoint/v3/contenttype/forms"/>
  </ds:schemaRefs>
</ds:datastoreItem>
</file>

<file path=customXml/itemProps2.xml><?xml version="1.0" encoding="utf-8"?>
<ds:datastoreItem xmlns:ds="http://schemas.openxmlformats.org/officeDocument/2006/customXml" ds:itemID="{EC9CE9A2-0BA9-4B4A-8971-7852BC394C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R4</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2022-12-22T12:40:07Z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2022-12-22T12:40:06Z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263d6aad-21d5-45d4-af71-4debd7d7f525</vt:lpwstr>
  </property>
  <property fmtid="{D5CDD505-2E9C-101B-9397-08002B2CF9AE}" pid="8" name="MSIP_Label_06530cf4-8573-4c29-a912-bbcdac835909_ContentBits">
    <vt:lpwstr>2</vt:lpwstr>
  </property>
</Properties>
</file>