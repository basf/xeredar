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pivotTables/pivotTable2.xml" ContentType="application/vnd.openxmlformats-officedocument.spreadsheetml.pivotTable+xml"/>
  <Override PartName="/xl/tables/table4.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pivotTables/pivotTable3.xml" ContentType="application/vnd.openxmlformats-officedocument.spreadsheetml.pivotTable+xml"/>
  <Override PartName="/xl/tables/table5.xml" ContentType="application/vnd.openxmlformats-officedocument.spreadsheetml.table+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6.xml" ContentType="application/vnd.openxmlformats-officedocument.spreadsheetml.table+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ml.chartshapes+xml"/>
  <Override PartName="/xl/charts/chart10.xml" ContentType="application/vnd.openxmlformats-officedocument.drawingml.chart+xml"/>
  <Override PartName="/xl/drawings/drawing11.xml" ContentType="application/vnd.openxmlformats-officedocument.drawingml.chartshapes+xml"/>
  <Override PartName="/xl/charts/chart11.xml" ContentType="application/vnd.openxmlformats-officedocument.drawingml.chart+xml"/>
  <Override PartName="/xl/drawings/drawing12.xml" ContentType="application/vnd.openxmlformats-officedocument.drawingml.chartshapes+xml"/>
  <Override PartName="/xl/charts/chart12.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hidePivotFieldList="1" defaultThemeVersion="124226"/>
  <xr:revisionPtr revIDLastSave="16" documentId="13_ncr:1_{5AFD5A01-DC49-4F69-AA55-D43CF8E8CEE2}" xr6:coauthVersionLast="47" xr6:coauthVersionMax="47" xr10:uidLastSave="{2CDF2FF5-0D6F-4B7C-838B-B5C8A22070B7}"/>
  <bookViews>
    <workbookView xWindow="-108" yWindow="-108" windowWidth="23256" windowHeight="12576" activeTab="6"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4"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91029"/>
  <pivotCaches>
    <pivotCache cacheId="0" r:id="rId20"/>
    <pivotCache cacheId="1" r:id="rId21"/>
    <pivotCache cacheId="2" r:id="rId22"/>
    <pivotCache cacheId="3" r:id="rId2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15" i="10"/>
  <c r="A7" i="22" s="1"/>
  <c r="A16" i="10"/>
  <c r="A8" i="22" s="1"/>
  <c r="A17" i="10"/>
  <c r="A9" i="22" s="1"/>
  <c r="A18" i="10"/>
  <c r="A10" i="22" s="1"/>
  <c r="A19" i="10"/>
  <c r="A11" i="22" s="1"/>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Q35" i="33"/>
  <c r="Q45" i="4" s="1"/>
  <c r="P35" i="33"/>
  <c r="P45" i="4" s="1"/>
  <c r="P34" i="33"/>
  <c r="P44" i="4" s="1"/>
  <c r="L31" i="33"/>
  <c r="L41" i="4" s="1"/>
  <c r="Q28" i="33"/>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T35" i="33" s="1"/>
  <c r="T45" i="4" s="1"/>
  <c r="L23" i="33"/>
  <c r="J23" i="33"/>
  <c r="I23" i="33"/>
  <c r="H23" i="33"/>
  <c r="G23" i="33"/>
  <c r="F23" i="33"/>
  <c r="E23" i="33"/>
  <c r="D23" i="33"/>
  <c r="C23" i="33"/>
  <c r="B23" i="33"/>
  <c r="A22" i="33"/>
  <c r="H22" i="33"/>
  <c r="G45" i="33"/>
  <c r="F27" i="33"/>
  <c r="F52" i="33" s="1"/>
  <c r="E45" i="33"/>
  <c r="D22" i="33"/>
  <c r="C45" i="33"/>
  <c r="B45" i="33"/>
  <c r="Q56" i="33"/>
  <c r="P56" i="33"/>
  <c r="P28" i="33" l="1"/>
  <c r="Q30" i="33"/>
  <c r="Q40" i="4" s="1"/>
  <c r="Q33" i="33"/>
  <c r="Q43" i="4" s="1"/>
  <c r="T28" i="33"/>
  <c r="P31" i="33"/>
  <c r="P41" i="4" s="1"/>
  <c r="Q34" i="33"/>
  <c r="Q44" i="4" s="1"/>
  <c r="L29" i="33"/>
  <c r="L39" i="4" s="1"/>
  <c r="Q31" i="33"/>
  <c r="Q41" i="4" s="1"/>
  <c r="D35" i="33"/>
  <c r="D45" i="4" s="1"/>
  <c r="P29" i="33"/>
  <c r="P39" i="4" s="1"/>
  <c r="C32" i="33"/>
  <c r="C42" i="4" s="1"/>
  <c r="Q29" i="33"/>
  <c r="Q39" i="4" s="1"/>
  <c r="P32" i="33"/>
  <c r="P42" i="4" s="1"/>
  <c r="C28" i="33"/>
  <c r="C30" i="33"/>
  <c r="C40" i="4" s="1"/>
  <c r="Q32" i="33"/>
  <c r="Q42" i="4" s="1"/>
  <c r="H28" i="33"/>
  <c r="P30" i="33"/>
  <c r="P40" i="4" s="1"/>
  <c r="P33" i="33"/>
  <c r="P43" i="4" s="1"/>
  <c r="O42" i="33"/>
  <c r="O52" i="4" s="1"/>
  <c r="O43" i="33"/>
  <c r="O53" i="4" s="1"/>
  <c r="H30" i="33"/>
  <c r="H40" i="4" s="1"/>
  <c r="T30" i="33"/>
  <c r="T40" i="4" s="1"/>
  <c r="H32" i="33"/>
  <c r="H42" i="4" s="1"/>
  <c r="T32" i="33"/>
  <c r="T42" i="4" s="1"/>
  <c r="K28" i="33"/>
  <c r="K38" i="4" s="1"/>
  <c r="D29" i="33"/>
  <c r="D39" i="4" s="1"/>
  <c r="K30" i="33"/>
  <c r="K40" i="4" s="1"/>
  <c r="D31" i="33"/>
  <c r="D41" i="4" s="1"/>
  <c r="K32" i="33"/>
  <c r="K42" i="4" s="1"/>
  <c r="G33" i="33"/>
  <c r="G43" i="4" s="1"/>
  <c r="T33" i="33"/>
  <c r="T43" i="4" s="1"/>
  <c r="O36" i="33"/>
  <c r="O46" i="4" s="1"/>
  <c r="O37" i="33"/>
  <c r="O47" i="4" s="1"/>
  <c r="O38" i="33"/>
  <c r="O48" i="4" s="1"/>
  <c r="O39" i="33"/>
  <c r="O49" i="4" s="1"/>
  <c r="O40" i="33"/>
  <c r="O50" i="4" s="1"/>
  <c r="O41" i="33"/>
  <c r="O51" i="4" s="1"/>
  <c r="G29" i="33"/>
  <c r="G39" i="4" s="1"/>
  <c r="U29" i="33"/>
  <c r="U39" i="4" s="1"/>
  <c r="G31" i="33"/>
  <c r="G41" i="4" s="1"/>
  <c r="U31" i="33"/>
  <c r="U41" i="4" s="1"/>
  <c r="K33" i="33"/>
  <c r="K43" i="4" s="1"/>
  <c r="C34" i="33"/>
  <c r="C44" i="4" s="1"/>
  <c r="O35" i="33"/>
  <c r="O45" i="4" s="1"/>
  <c r="G35" i="33"/>
  <c r="G45" i="4" s="1"/>
  <c r="D28" i="33"/>
  <c r="D38" i="4" s="1"/>
  <c r="L28" i="33"/>
  <c r="U28" i="33"/>
  <c r="H29" i="33"/>
  <c r="D30" i="33"/>
  <c r="D40" i="4" s="1"/>
  <c r="L30" i="33"/>
  <c r="L40" i="4" s="1"/>
  <c r="U30" i="33"/>
  <c r="U40" i="4" s="1"/>
  <c r="H31" i="33"/>
  <c r="H41" i="4" s="1"/>
  <c r="D32" i="33"/>
  <c r="D42" i="4" s="1"/>
  <c r="L32" i="33"/>
  <c r="L42" i="4" s="1"/>
  <c r="U32" i="33"/>
  <c r="U42" i="4" s="1"/>
  <c r="G34" i="33"/>
  <c r="G44" i="4" s="1"/>
  <c r="T34" i="33"/>
  <c r="T44" i="4" s="1"/>
  <c r="K35" i="33"/>
  <c r="K45" i="4" s="1"/>
  <c r="S35" i="33"/>
  <c r="S45" i="4" s="1"/>
  <c r="J35" i="33"/>
  <c r="J45" i="4" s="1"/>
  <c r="F35" i="33"/>
  <c r="F45" i="4" s="1"/>
  <c r="B35" i="33"/>
  <c r="B45" i="4" s="1"/>
  <c r="S34" i="33"/>
  <c r="S44" i="4" s="1"/>
  <c r="O34" i="33"/>
  <c r="O44" i="4" s="1"/>
  <c r="J34" i="33"/>
  <c r="J44" i="4" s="1"/>
  <c r="F34" i="33"/>
  <c r="F44" i="4" s="1"/>
  <c r="B34" i="33"/>
  <c r="B44" i="4" s="1"/>
  <c r="S33" i="33"/>
  <c r="S43" i="4" s="1"/>
  <c r="O33" i="33"/>
  <c r="O43" i="4" s="1"/>
  <c r="J33" i="33"/>
  <c r="J43" i="4" s="1"/>
  <c r="F33" i="33"/>
  <c r="F43" i="4" s="1"/>
  <c r="B33" i="33"/>
  <c r="B43" i="4" s="1"/>
  <c r="S32" i="33"/>
  <c r="S42" i="4" s="1"/>
  <c r="O32" i="33"/>
  <c r="O42" i="4" s="1"/>
  <c r="J32" i="33"/>
  <c r="J42" i="4" s="1"/>
  <c r="F32" i="33"/>
  <c r="F42" i="4" s="1"/>
  <c r="B32" i="33"/>
  <c r="B42" i="4" s="1"/>
  <c r="S31" i="33"/>
  <c r="S41" i="4" s="1"/>
  <c r="O31" i="33"/>
  <c r="O41" i="4" s="1"/>
  <c r="J31" i="33"/>
  <c r="J41" i="4" s="1"/>
  <c r="F31" i="33"/>
  <c r="F41" i="4" s="1"/>
  <c r="B31" i="33"/>
  <c r="B41" i="4" s="1"/>
  <c r="S30" i="33"/>
  <c r="S40" i="4" s="1"/>
  <c r="O30" i="33"/>
  <c r="O40" i="4" s="1"/>
  <c r="J30" i="33"/>
  <c r="J40" i="4" s="1"/>
  <c r="F30" i="33"/>
  <c r="F40" i="4" s="1"/>
  <c r="B30" i="33"/>
  <c r="B40" i="4" s="1"/>
  <c r="S29" i="33"/>
  <c r="S39" i="4" s="1"/>
  <c r="O29" i="33"/>
  <c r="O39" i="4" s="1"/>
  <c r="J29" i="33"/>
  <c r="J39" i="4" s="1"/>
  <c r="F29" i="33"/>
  <c r="F39" i="4" s="1"/>
  <c r="B29" i="33"/>
  <c r="B39" i="4" s="1"/>
  <c r="S28" i="33"/>
  <c r="S38" i="4" s="1"/>
  <c r="O28" i="33"/>
  <c r="O38" i="4" s="1"/>
  <c r="J28" i="33"/>
  <c r="J38" i="4" s="1"/>
  <c r="F28" i="33"/>
  <c r="F38" i="4" s="1"/>
  <c r="B28" i="33"/>
  <c r="B38" i="4" s="1"/>
  <c r="R35" i="33"/>
  <c r="R45" i="4" s="1"/>
  <c r="M35" i="33"/>
  <c r="M45" i="4" s="1"/>
  <c r="I35" i="33"/>
  <c r="I45" i="4" s="1"/>
  <c r="E35" i="33"/>
  <c r="E45" i="4" s="1"/>
  <c r="V34" i="33"/>
  <c r="V44" i="4" s="1"/>
  <c r="R34" i="33"/>
  <c r="R44" i="4" s="1"/>
  <c r="M34" i="33"/>
  <c r="M44" i="4" s="1"/>
  <c r="I34" i="33"/>
  <c r="I44" i="4" s="1"/>
  <c r="E34" i="33"/>
  <c r="E44" i="4" s="1"/>
  <c r="V33" i="33"/>
  <c r="V43" i="4" s="1"/>
  <c r="R33" i="33"/>
  <c r="R43" i="4" s="1"/>
  <c r="M33" i="33"/>
  <c r="M43" i="4" s="1"/>
  <c r="I33" i="33"/>
  <c r="I43" i="4" s="1"/>
  <c r="E33" i="33"/>
  <c r="E43" i="4" s="1"/>
  <c r="V32" i="33"/>
  <c r="V42" i="4" s="1"/>
  <c r="R32" i="33"/>
  <c r="R42" i="4" s="1"/>
  <c r="M32" i="33"/>
  <c r="M42" i="4" s="1"/>
  <c r="I32" i="33"/>
  <c r="I42" i="4" s="1"/>
  <c r="E32" i="33"/>
  <c r="E42" i="4" s="1"/>
  <c r="V31" i="33"/>
  <c r="V41" i="4" s="1"/>
  <c r="R31" i="33"/>
  <c r="R41" i="4" s="1"/>
  <c r="M31" i="33"/>
  <c r="M41" i="4" s="1"/>
  <c r="I31" i="33"/>
  <c r="I41" i="4" s="1"/>
  <c r="E31" i="33"/>
  <c r="E41" i="4" s="1"/>
  <c r="V30" i="33"/>
  <c r="V40" i="4" s="1"/>
  <c r="R30" i="33"/>
  <c r="R40" i="4" s="1"/>
  <c r="M30" i="33"/>
  <c r="M40" i="4" s="1"/>
  <c r="I30" i="33"/>
  <c r="I40" i="4" s="1"/>
  <c r="E30" i="33"/>
  <c r="E40" i="4" s="1"/>
  <c r="V29" i="33"/>
  <c r="V39" i="4" s="1"/>
  <c r="R29" i="33"/>
  <c r="R39" i="4" s="1"/>
  <c r="M29" i="33"/>
  <c r="M39" i="4" s="1"/>
  <c r="I29" i="33"/>
  <c r="I39" i="4" s="1"/>
  <c r="E29" i="33"/>
  <c r="E39" i="4" s="1"/>
  <c r="V28" i="33"/>
  <c r="V38" i="4" s="1"/>
  <c r="R28" i="33"/>
  <c r="R38" i="4" s="1"/>
  <c r="M28" i="33"/>
  <c r="M38" i="4" s="1"/>
  <c r="I28" i="33"/>
  <c r="I38" i="4" s="1"/>
  <c r="E28" i="33"/>
  <c r="E38" i="4" s="1"/>
  <c r="U35" i="33"/>
  <c r="U45" i="4" s="1"/>
  <c r="L35" i="33"/>
  <c r="L45" i="4" s="1"/>
  <c r="H35" i="33"/>
  <c r="H45" i="4" s="1"/>
  <c r="U33" i="33"/>
  <c r="U43" i="4" s="1"/>
  <c r="L33" i="33"/>
  <c r="L43" i="4" s="1"/>
  <c r="H33" i="33"/>
  <c r="H43" i="4" s="1"/>
  <c r="D33" i="33"/>
  <c r="D43" i="4" s="1"/>
  <c r="V35" i="33"/>
  <c r="V45" i="4" s="1"/>
  <c r="U34" i="33"/>
  <c r="U44" i="4" s="1"/>
  <c r="L34" i="33"/>
  <c r="L44" i="4" s="1"/>
  <c r="H34" i="33"/>
  <c r="H44" i="4" s="1"/>
  <c r="D34" i="33"/>
  <c r="D44" i="4" s="1"/>
  <c r="G28" i="33"/>
  <c r="G38" i="4" s="1"/>
  <c r="C29" i="33"/>
  <c r="K29" i="33"/>
  <c r="T29" i="33"/>
  <c r="G30" i="33"/>
  <c r="G40" i="4" s="1"/>
  <c r="C31" i="33"/>
  <c r="C41" i="4" s="1"/>
  <c r="K31" i="33"/>
  <c r="K41" i="4" s="1"/>
  <c r="T31" i="33"/>
  <c r="T41" i="4" s="1"/>
  <c r="G32" i="33"/>
  <c r="G42" i="4" s="1"/>
  <c r="C33" i="33"/>
  <c r="C43" i="4" s="1"/>
  <c r="K34" i="33"/>
  <c r="K44" i="4" s="1"/>
  <c r="C35" i="33"/>
  <c r="C45" i="4" s="1"/>
  <c r="H38" i="4"/>
  <c r="B22" i="33"/>
  <c r="E22" i="33"/>
  <c r="I45" i="33"/>
  <c r="I52" i="33"/>
  <c r="I27" i="33"/>
  <c r="C38" i="4"/>
  <c r="P46" i="33"/>
  <c r="P53" i="33" s="1"/>
  <c r="P38" i="4"/>
  <c r="P47" i="33"/>
  <c r="P48" i="33" s="1"/>
  <c r="P54" i="33" s="1"/>
  <c r="T38" i="4"/>
  <c r="B27" i="33"/>
  <c r="B52" i="33" s="1"/>
  <c r="L38" i="4"/>
  <c r="Q47" i="33"/>
  <c r="Q48" i="33" s="1"/>
  <c r="Q54" i="33" s="1"/>
  <c r="Q38" i="4"/>
  <c r="D27" i="33"/>
  <c r="D52" i="33" s="1"/>
  <c r="I22" i="33"/>
  <c r="E27" i="33"/>
  <c r="E52" i="33" s="1"/>
  <c r="D45" i="33"/>
  <c r="P57" i="33"/>
  <c r="Q57" i="33"/>
  <c r="Q46" i="33"/>
  <c r="Q53" i="33" s="1"/>
  <c r="F22" i="33"/>
  <c r="F45" i="33"/>
  <c r="G22" i="33"/>
  <c r="G27" i="33"/>
  <c r="G52" i="33" s="1"/>
  <c r="C22" i="33"/>
  <c r="C27" i="33"/>
  <c r="C52" i="33" s="1"/>
  <c r="H27" i="33"/>
  <c r="H52" i="33" s="1"/>
  <c r="H45" i="33"/>
  <c r="B56" i="33"/>
  <c r="K56" i="33"/>
  <c r="U56" i="33"/>
  <c r="V56" i="33"/>
  <c r="R56" i="33"/>
  <c r="T56" i="33"/>
  <c r="J56" i="33"/>
  <c r="M56" i="33"/>
  <c r="D56" i="33"/>
  <c r="I56" i="33"/>
  <c r="O56" i="33"/>
  <c r="L56" i="33"/>
  <c r="E56" i="33"/>
  <c r="F56" i="33"/>
  <c r="G56" i="33"/>
  <c r="C56" i="33"/>
  <c r="H56" i="33"/>
  <c r="S56" i="33"/>
  <c r="K46" i="33" l="1"/>
  <c r="K53" i="33" s="1"/>
  <c r="U46" i="33"/>
  <c r="U53" i="33" s="1"/>
  <c r="C47" i="33"/>
  <c r="C48" i="33" s="1"/>
  <c r="C54" i="33" s="1"/>
  <c r="L46" i="33"/>
  <c r="L53" i="33" s="1"/>
  <c r="E46" i="33"/>
  <c r="E53" i="33" s="1"/>
  <c r="G46" i="33"/>
  <c r="G53" i="33" s="1"/>
  <c r="C46" i="33"/>
  <c r="C53" i="33" s="1"/>
  <c r="T47" i="33"/>
  <c r="T48" i="33" s="1"/>
  <c r="T54" i="33" s="1"/>
  <c r="D46" i="33"/>
  <c r="D53" i="33" s="1"/>
  <c r="F46" i="33"/>
  <c r="F53" i="33" s="1"/>
  <c r="V46" i="33"/>
  <c r="V53" i="33" s="1"/>
  <c r="L47" i="33"/>
  <c r="L48" i="33" s="1"/>
  <c r="L54" i="33" s="1"/>
  <c r="G47" i="33"/>
  <c r="G48" i="33" s="1"/>
  <c r="G54" i="33" s="1"/>
  <c r="M46" i="33"/>
  <c r="M53" i="33" s="1"/>
  <c r="J47" i="33"/>
  <c r="J48" i="33" s="1"/>
  <c r="J54" i="33" s="1"/>
  <c r="T46" i="33"/>
  <c r="T53" i="33" s="1"/>
  <c r="C57" i="33"/>
  <c r="M57" i="33"/>
  <c r="O57" i="33"/>
  <c r="P59" i="33" s="1"/>
  <c r="L57" i="33"/>
  <c r="K57" i="33"/>
  <c r="G57" i="33"/>
  <c r="R57" i="33"/>
  <c r="B57" i="33"/>
  <c r="S57" i="33"/>
  <c r="D57" i="33"/>
  <c r="I57" i="33"/>
  <c r="J57" i="33"/>
  <c r="U57" i="33"/>
  <c r="T57" i="33"/>
  <c r="E57" i="33"/>
  <c r="V57" i="33"/>
  <c r="F57" i="33"/>
  <c r="H57" i="33"/>
  <c r="C39" i="4"/>
  <c r="K39" i="4"/>
  <c r="V47" i="33"/>
  <c r="V48" i="33" s="1"/>
  <c r="V54" i="33" s="1"/>
  <c r="M47" i="33"/>
  <c r="M48" i="33" s="1"/>
  <c r="M54" i="33" s="1"/>
  <c r="E47" i="33"/>
  <c r="E48" i="33" s="1"/>
  <c r="E54" i="33" s="1"/>
  <c r="H47" i="33"/>
  <c r="H48" i="33" s="1"/>
  <c r="H54" i="33" s="1"/>
  <c r="O46" i="33"/>
  <c r="O53" i="33" s="1"/>
  <c r="O55" i="33" s="1"/>
  <c r="J46" i="33"/>
  <c r="J53" i="33" s="1"/>
  <c r="R46" i="33"/>
  <c r="R53" i="33" s="1"/>
  <c r="B46" i="33"/>
  <c r="B53" i="33" s="1"/>
  <c r="M55" i="33" s="1"/>
  <c r="H46" i="33"/>
  <c r="H53" i="33" s="1"/>
  <c r="S47" i="33"/>
  <c r="S48" i="33" s="1"/>
  <c r="S54" i="33" s="1"/>
  <c r="O47" i="33"/>
  <c r="O48" i="33" s="1"/>
  <c r="O54" i="33" s="1"/>
  <c r="K47" i="33"/>
  <c r="K48" i="33" s="1"/>
  <c r="K54" i="33" s="1"/>
  <c r="I46" i="33"/>
  <c r="I53" i="33" s="1"/>
  <c r="R47" i="33"/>
  <c r="R48" i="33" s="1"/>
  <c r="R54" i="33" s="1"/>
  <c r="I47" i="33"/>
  <c r="I48" i="33" s="1"/>
  <c r="I54" i="33" s="1"/>
  <c r="B47" i="33"/>
  <c r="B48" i="33" s="1"/>
  <c r="B54" i="33" s="1"/>
  <c r="U47" i="33"/>
  <c r="U48" i="33" s="1"/>
  <c r="U54" i="33" s="1"/>
  <c r="D47" i="33"/>
  <c r="D48" i="33" s="1"/>
  <c r="D54" i="33" s="1"/>
  <c r="S46" i="33"/>
  <c r="S53" i="33" s="1"/>
  <c r="F47" i="33"/>
  <c r="F48" i="33" s="1"/>
  <c r="F54" i="33" s="1"/>
  <c r="U38" i="4"/>
  <c r="T39" i="4"/>
  <c r="H39" i="4"/>
  <c r="U55" i="33" l="1"/>
  <c r="R59" i="33"/>
  <c r="R60" i="33" s="1"/>
  <c r="S59" i="33"/>
  <c r="S60" i="33" s="1"/>
  <c r="V55" i="33"/>
  <c r="Q55" i="33"/>
  <c r="F59" i="33"/>
  <c r="F60" i="33" s="1"/>
  <c r="F61" i="33" s="1"/>
  <c r="S55" i="33"/>
  <c r="R55" i="33"/>
  <c r="P55" i="33"/>
  <c r="T59" i="33"/>
  <c r="T60" i="33" s="1"/>
  <c r="U59" i="33"/>
  <c r="U60" i="33" s="1"/>
  <c r="B64" i="33"/>
  <c r="T55" i="33"/>
  <c r="E59" i="33"/>
  <c r="E60" i="33" s="1"/>
  <c r="E61" i="33" s="1"/>
  <c r="H59" i="33"/>
  <c r="H60" i="33" s="1"/>
  <c r="H61" i="33" s="1"/>
  <c r="J59" i="33"/>
  <c r="J60" i="33" s="1"/>
  <c r="B65" i="33"/>
  <c r="D59" i="33"/>
  <c r="D60" i="33" s="1"/>
  <c r="V59" i="33"/>
  <c r="V60" i="33" s="1"/>
  <c r="C59" i="33"/>
  <c r="C60" i="33" s="1"/>
  <c r="C61" i="33" s="1"/>
  <c r="G59" i="33"/>
  <c r="G60" i="33" s="1"/>
  <c r="I59" i="33"/>
  <c r="I60" i="33" s="1"/>
  <c r="I61" i="33" s="1"/>
  <c r="L59" i="33"/>
  <c r="L60" i="33" s="1"/>
  <c r="L61" i="33" s="1"/>
  <c r="O59" i="33"/>
  <c r="O60" i="33" s="1"/>
  <c r="Q59" i="33"/>
  <c r="Q60" i="33" s="1"/>
  <c r="K59" i="33"/>
  <c r="K60" i="33" s="1"/>
  <c r="K61" i="33" s="1"/>
  <c r="M59" i="33"/>
  <c r="M60" i="33" s="1"/>
  <c r="M61" i="33" s="1"/>
  <c r="D55" i="33"/>
  <c r="B55" i="33"/>
  <c r="K55" i="33"/>
  <c r="L55" i="33"/>
  <c r="G55" i="33"/>
  <c r="F55" i="33"/>
  <c r="C55" i="33"/>
  <c r="J55" i="33"/>
  <c r="H55" i="33"/>
  <c r="I55" i="33"/>
  <c r="E55" i="33"/>
  <c r="P60" i="33"/>
  <c r="T61" i="33" l="1"/>
  <c r="V61" i="33"/>
  <c r="R61" i="33"/>
  <c r="S61" i="33"/>
  <c r="U61" i="33"/>
  <c r="J61" i="33"/>
  <c r="Q61" i="33"/>
  <c r="P61" i="33"/>
  <c r="O61" i="33"/>
  <c r="D61" i="33"/>
  <c r="G61" i="33"/>
  <c r="M4" i="33"/>
  <c r="L4" i="33" l="1"/>
  <c r="L22" i="33" s="1"/>
  <c r="K4" i="33"/>
  <c r="K22" i="33" s="1"/>
  <c r="J4" i="33"/>
  <c r="J52" i="33" s="1"/>
  <c r="M45" i="33"/>
  <c r="M52" i="33"/>
  <c r="M27" i="33"/>
  <c r="M22" i="33"/>
  <c r="K52" i="33" l="1"/>
  <c r="K45"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T34" i="23"/>
  <c r="T28" i="4" s="1"/>
  <c r="V35" i="23"/>
  <c r="V29" i="4" s="1"/>
  <c r="P36" i="23"/>
  <c r="P30" i="4" s="1"/>
  <c r="Q36" i="23"/>
  <c r="Q30" i="4" s="1"/>
  <c r="R36" i="23"/>
  <c r="R30" i="4" s="1"/>
  <c r="S36" i="23"/>
  <c r="S30" i="4" s="1"/>
  <c r="T36" i="23"/>
  <c r="T30" i="4" s="1"/>
  <c r="U36" i="23"/>
  <c r="U30" i="4" s="1"/>
  <c r="V36" i="23"/>
  <c r="V30" i="4" s="1"/>
  <c r="P37" i="23"/>
  <c r="P31" i="4" s="1"/>
  <c r="Q37" i="23"/>
  <c r="R37" i="23"/>
  <c r="R31" i="4" s="1"/>
  <c r="S37" i="23"/>
  <c r="S31" i="4" s="1"/>
  <c r="T37" i="23"/>
  <c r="T31" i="4" s="1"/>
  <c r="U37" i="23"/>
  <c r="U31" i="4" s="1"/>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U33" i="4" s="1"/>
  <c r="V39" i="23"/>
  <c r="V33" i="4" s="1"/>
  <c r="P40" i="23"/>
  <c r="P34" i="4" s="1"/>
  <c r="Q40" i="23"/>
  <c r="Q34" i="4" s="1"/>
  <c r="R40" i="23"/>
  <c r="R34" i="4" s="1"/>
  <c r="S40" i="23"/>
  <c r="S34" i="4" s="1"/>
  <c r="T40" i="23"/>
  <c r="T34" i="4" s="1"/>
  <c r="U40" i="23"/>
  <c r="U34" i="4" s="1"/>
  <c r="V40" i="23"/>
  <c r="V34" i="4" s="1"/>
  <c r="P41" i="23"/>
  <c r="P35" i="4" s="1"/>
  <c r="Q41" i="23"/>
  <c r="Q35" i="4" s="1"/>
  <c r="R41" i="23"/>
  <c r="R35" i="4" s="1"/>
  <c r="S41" i="23"/>
  <c r="S35" i="4" s="1"/>
  <c r="T41" i="23"/>
  <c r="T35" i="4" s="1"/>
  <c r="U41" i="23"/>
  <c r="U35" i="4" s="1"/>
  <c r="V41" i="23"/>
  <c r="V35" i="4" s="1"/>
  <c r="P42" i="23"/>
  <c r="P36" i="4" s="1"/>
  <c r="Q42" i="23"/>
  <c r="Q36" i="4" s="1"/>
  <c r="R42" i="23"/>
  <c r="R36" i="4" s="1"/>
  <c r="S42" i="23"/>
  <c r="S36" i="4" s="1"/>
  <c r="T42" i="23"/>
  <c r="T36" i="4" s="1"/>
  <c r="U42" i="23"/>
  <c r="U36" i="4" s="1"/>
  <c r="V42" i="23"/>
  <c r="V36" i="4" s="1"/>
  <c r="P43" i="23"/>
  <c r="Q43" i="23"/>
  <c r="Q37" i="4" s="1"/>
  <c r="R43" i="23"/>
  <c r="S43" i="23"/>
  <c r="T43" i="23"/>
  <c r="U43" i="23"/>
  <c r="U37" i="4" s="1"/>
  <c r="V43" i="23"/>
  <c r="L32" i="23"/>
  <c r="L26" i="4" s="1"/>
  <c r="L33" i="23"/>
  <c r="L27" i="4" s="1"/>
  <c r="L34" i="23"/>
  <c r="L28" i="4" s="1"/>
  <c r="L35" i="23"/>
  <c r="L29" i="4" s="1"/>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Q31" i="4"/>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G35" i="23"/>
  <c r="G29" i="4" s="1"/>
  <c r="H34" i="23"/>
  <c r="H28" i="4" s="1"/>
  <c r="J42" i="23"/>
  <c r="J36" i="4" s="1"/>
  <c r="J38" i="23"/>
  <c r="J32" i="4" s="1"/>
  <c r="E31" i="23"/>
  <c r="E25" i="4" s="1"/>
  <c r="F30" i="23"/>
  <c r="F24" i="4" s="1"/>
  <c r="J41" i="23"/>
  <c r="J35" i="4" s="1"/>
  <c r="J37" i="23"/>
  <c r="J31" i="4" s="1"/>
  <c r="H35" i="23"/>
  <c r="H29" i="4" s="1"/>
  <c r="J43" i="23"/>
  <c r="J39" i="23"/>
  <c r="J33" i="4" s="1"/>
  <c r="G34" i="23"/>
  <c r="G28" i="4" s="1"/>
  <c r="I32" i="23"/>
  <c r="I26" i="4" s="1"/>
  <c r="E35" i="23"/>
  <c r="E29" i="4" s="1"/>
  <c r="G28" i="23"/>
  <c r="P22" i="23"/>
  <c r="S23" i="1"/>
  <c r="T23" i="1"/>
  <c r="U23" i="1"/>
  <c r="V23" i="1"/>
  <c r="S24" i="1"/>
  <c r="T24" i="1"/>
  <c r="U24" i="1"/>
  <c r="V24" i="1"/>
  <c r="L23" i="1"/>
  <c r="M23" i="1"/>
  <c r="L24" i="1"/>
  <c r="M24" i="1"/>
  <c r="I23" i="1"/>
  <c r="I24" i="1"/>
  <c r="J32"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G29" i="1"/>
  <c r="H30" i="1"/>
  <c r="H8" i="4" s="1"/>
  <c r="F32" i="1"/>
  <c r="F10" i="4" s="1"/>
  <c r="C33" i="1"/>
  <c r="C11" i="4" s="1"/>
  <c r="H34" i="1"/>
  <c r="H12" i="4" s="1"/>
  <c r="E35" i="1"/>
  <c r="E13" i="4" s="1"/>
  <c r="H31" i="1"/>
  <c r="E32" i="1"/>
  <c r="E10" i="4" s="1"/>
  <c r="D35" i="1"/>
  <c r="D13" i="4" s="1"/>
  <c r="H35" i="1"/>
  <c r="H13" i="4" s="1"/>
  <c r="E30" i="1"/>
  <c r="E8" i="4" s="1"/>
  <c r="I30" i="1"/>
  <c r="I8" i="4" s="1"/>
  <c r="D33" i="1"/>
  <c r="D11" i="4" s="1"/>
  <c r="H33" i="1"/>
  <c r="H11" i="4" s="1"/>
  <c r="I34" i="1"/>
  <c r="I12" i="4" s="1"/>
  <c r="F35" i="1"/>
  <c r="F13" i="4" s="1"/>
  <c r="E29" i="1"/>
  <c r="I29" i="1"/>
  <c r="F30" i="1"/>
  <c r="H32" i="1"/>
  <c r="H10" i="4" s="1"/>
  <c r="E33" i="1"/>
  <c r="E11" i="4" s="1"/>
  <c r="I33" i="1"/>
  <c r="I11" i="4" s="1"/>
  <c r="F34" i="1"/>
  <c r="F12" i="4" s="1"/>
  <c r="C35" i="1"/>
  <c r="C13" i="4" s="1"/>
  <c r="G35" i="1"/>
  <c r="G13" i="4" s="1"/>
  <c r="F29" i="1"/>
  <c r="F7" i="4" s="1"/>
  <c r="G30" i="1"/>
  <c r="G8" i="4" s="1"/>
  <c r="F33" i="1"/>
  <c r="F11" i="4" s="1"/>
  <c r="G34" i="1"/>
  <c r="G12" i="4" s="1"/>
  <c r="O39" i="1"/>
  <c r="O17" i="4" s="1"/>
  <c r="O43" i="1"/>
  <c r="Q31" i="1"/>
  <c r="Q9" i="4" s="1"/>
  <c r="Q34" i="1"/>
  <c r="Q12" i="4" s="1"/>
  <c r="O42" i="1"/>
  <c r="O20" i="4" s="1"/>
  <c r="O32" i="1"/>
  <c r="O10" i="4" s="1"/>
  <c r="O40" i="1"/>
  <c r="O18" i="4" s="1"/>
  <c r="P28" i="1"/>
  <c r="P30" i="1"/>
  <c r="P8" i="4" s="1"/>
  <c r="P33" i="1"/>
  <c r="P11" i="4" s="1"/>
  <c r="P34" i="1"/>
  <c r="P12" i="4" s="1"/>
  <c r="O41" i="1"/>
  <c r="O19" i="4" s="1"/>
  <c r="B33" i="1"/>
  <c r="B11" i="4" s="1"/>
  <c r="Q28" i="1"/>
  <c r="Q33" i="1"/>
  <c r="Q11" i="4" s="1"/>
  <c r="Q35" i="1"/>
  <c r="Q13" i="4" s="1"/>
  <c r="O38" i="1"/>
  <c r="O16"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J33" i="23" l="1"/>
  <c r="J27" i="4" s="1"/>
  <c r="H32" i="23"/>
  <c r="H26" i="4" s="1"/>
  <c r="Q32" i="23"/>
  <c r="Q26" i="4" s="1"/>
  <c r="D32" i="23"/>
  <c r="D26" i="4" s="1"/>
  <c r="V35" i="1"/>
  <c r="V13" i="4" s="1"/>
  <c r="K33" i="23"/>
  <c r="K27" i="4" s="1"/>
  <c r="T31" i="23"/>
  <c r="T25" i="4" s="1"/>
  <c r="E34" i="23"/>
  <c r="E28" i="4" s="1"/>
  <c r="J29" i="23"/>
  <c r="J23" i="4" s="1"/>
  <c r="V34" i="1"/>
  <c r="V12" i="4" s="1"/>
  <c r="R29" i="23"/>
  <c r="R23" i="4" s="1"/>
  <c r="U33" i="23"/>
  <c r="U27" i="4" s="1"/>
  <c r="I35" i="23"/>
  <c r="I29" i="4" s="1"/>
  <c r="J28" i="23"/>
  <c r="J22" i="4" s="1"/>
  <c r="V31" i="1"/>
  <c r="V9" i="4" s="1"/>
  <c r="K29" i="23"/>
  <c r="K23" i="4" s="1"/>
  <c r="S28" i="23"/>
  <c r="S22" i="4" s="1"/>
  <c r="I28" i="23"/>
  <c r="I29" i="23"/>
  <c r="I23" i="4" s="1"/>
  <c r="V30" i="1"/>
  <c r="V8" i="4" s="1"/>
  <c r="G30" i="23"/>
  <c r="G24" i="4" s="1"/>
  <c r="J32" i="23"/>
  <c r="J26" i="4" s="1"/>
  <c r="M35" i="23"/>
  <c r="M29" i="4" s="1"/>
  <c r="P35" i="23"/>
  <c r="P29" i="4" s="1"/>
  <c r="M31" i="23"/>
  <c r="M25" i="4" s="1"/>
  <c r="R35" i="23"/>
  <c r="R29" i="4" s="1"/>
  <c r="V32" i="23"/>
  <c r="V26" i="4" s="1"/>
  <c r="U30" i="23"/>
  <c r="U24" i="4" s="1"/>
  <c r="L30" i="23"/>
  <c r="L24" i="4" s="1"/>
  <c r="R32" i="23"/>
  <c r="R26" i="4" s="1"/>
  <c r="V29" i="23"/>
  <c r="V23" i="4" s="1"/>
  <c r="I30" i="23"/>
  <c r="H28" i="23"/>
  <c r="E28" i="23"/>
  <c r="J31" i="23"/>
  <c r="J25" i="4" s="1"/>
  <c r="J35" i="23"/>
  <c r="J29" i="4" s="1"/>
  <c r="I34" i="23"/>
  <c r="I28" i="4" s="1"/>
  <c r="D28" i="23"/>
  <c r="D22" i="4" s="1"/>
  <c r="I31" i="23"/>
  <c r="I25" i="4" s="1"/>
  <c r="G31" i="23"/>
  <c r="G25" i="4" s="1"/>
  <c r="C28" i="23"/>
  <c r="K34" i="23"/>
  <c r="K28" i="4" s="1"/>
  <c r="M32" i="23"/>
  <c r="M26" i="4" s="1"/>
  <c r="L31" i="23"/>
  <c r="L25" i="4" s="1"/>
  <c r="K30" i="23"/>
  <c r="K24" i="4" s="1"/>
  <c r="M28" i="23"/>
  <c r="M22" i="4" s="1"/>
  <c r="U35" i="23"/>
  <c r="S34" i="23"/>
  <c r="S28" i="4" s="1"/>
  <c r="T33" i="23"/>
  <c r="U32" i="23"/>
  <c r="U26" i="4" s="1"/>
  <c r="S31" i="23"/>
  <c r="S25" i="4" s="1"/>
  <c r="T30" i="23"/>
  <c r="T24" i="4" s="1"/>
  <c r="U29" i="23"/>
  <c r="U23" i="4" s="1"/>
  <c r="V28" i="23"/>
  <c r="R28" i="23"/>
  <c r="K35" i="23"/>
  <c r="K29" i="4" s="1"/>
  <c r="M33" i="23"/>
  <c r="M27" i="4" s="1"/>
  <c r="K31" i="23"/>
  <c r="K25" i="4" s="1"/>
  <c r="M29" i="23"/>
  <c r="M23" i="4" s="1"/>
  <c r="L28" i="23"/>
  <c r="L22" i="4" s="1"/>
  <c r="T35" i="23"/>
  <c r="T29" i="4" s="1"/>
  <c r="V34" i="23"/>
  <c r="V28" i="4" s="1"/>
  <c r="R34" i="23"/>
  <c r="R28" i="4" s="1"/>
  <c r="S33" i="23"/>
  <c r="S27" i="4" s="1"/>
  <c r="T32" i="23"/>
  <c r="T26" i="4" s="1"/>
  <c r="V31" i="23"/>
  <c r="V25" i="4" s="1"/>
  <c r="R31" i="23"/>
  <c r="R25" i="4" s="1"/>
  <c r="S30" i="23"/>
  <c r="S24" i="4" s="1"/>
  <c r="T29" i="23"/>
  <c r="T23" i="4" s="1"/>
  <c r="U28" i="23"/>
  <c r="U47" i="23" s="1"/>
  <c r="U48" i="23" s="1"/>
  <c r="U54" i="23" s="1"/>
  <c r="G32" i="23"/>
  <c r="G26" i="4" s="1"/>
  <c r="D29" i="23"/>
  <c r="D23" i="4" s="1"/>
  <c r="H33" i="23"/>
  <c r="H27" i="4" s="1"/>
  <c r="J30" i="23"/>
  <c r="J34" i="23"/>
  <c r="J28" i="4" s="1"/>
  <c r="E29" i="23"/>
  <c r="E23" i="4" s="1"/>
  <c r="I33" i="23"/>
  <c r="I27" i="4" s="1"/>
  <c r="M34" i="23"/>
  <c r="M28" i="4" s="1"/>
  <c r="K32" i="23"/>
  <c r="K26" i="4" s="1"/>
  <c r="M30" i="23"/>
  <c r="M24" i="4" s="1"/>
  <c r="L29" i="23"/>
  <c r="L23" i="4" s="1"/>
  <c r="K28" i="23"/>
  <c r="S35" i="23"/>
  <c r="S29" i="4" s="1"/>
  <c r="U34" i="23"/>
  <c r="U28" i="4" s="1"/>
  <c r="V33" i="23"/>
  <c r="V27" i="4" s="1"/>
  <c r="R33" i="23"/>
  <c r="R27" i="4" s="1"/>
  <c r="S32" i="23"/>
  <c r="S26" i="4" s="1"/>
  <c r="U31" i="23"/>
  <c r="U25" i="4" s="1"/>
  <c r="V30" i="23"/>
  <c r="V24" i="4" s="1"/>
  <c r="R30" i="23"/>
  <c r="R24" i="4" s="1"/>
  <c r="S29" i="23"/>
  <c r="T28" i="23"/>
  <c r="F29" i="23"/>
  <c r="F23" i="4" s="1"/>
  <c r="F34" i="23"/>
  <c r="F28" i="4" s="1"/>
  <c r="F28" i="23"/>
  <c r="F22" i="4" s="1"/>
  <c r="H30" i="23"/>
  <c r="H24" i="4" s="1"/>
  <c r="V33" i="1"/>
  <c r="V11" i="4" s="1"/>
  <c r="V29" i="1"/>
  <c r="V7" i="4" s="1"/>
  <c r="V32" i="1"/>
  <c r="V10" i="4" s="1"/>
  <c r="V28" i="1"/>
  <c r="J35" i="1"/>
  <c r="J13" i="4" s="1"/>
  <c r="J31" i="1"/>
  <c r="J9" i="4" s="1"/>
  <c r="U35" i="1"/>
  <c r="U13" i="4" s="1"/>
  <c r="U34" i="1"/>
  <c r="U12" i="4" s="1"/>
  <c r="U33" i="1"/>
  <c r="U11" i="4" s="1"/>
  <c r="U32" i="1"/>
  <c r="U10" i="4" s="1"/>
  <c r="U31" i="1"/>
  <c r="U9" i="4" s="1"/>
  <c r="U30" i="1"/>
  <c r="U8" i="4" s="1"/>
  <c r="U29" i="1"/>
  <c r="U7" i="4" s="1"/>
  <c r="U28" i="1"/>
  <c r="J34" i="1"/>
  <c r="J12" i="4" s="1"/>
  <c r="J30" i="1"/>
  <c r="J8" i="4" s="1"/>
  <c r="T35" i="1"/>
  <c r="T13" i="4" s="1"/>
  <c r="T34" i="1"/>
  <c r="T12" i="4" s="1"/>
  <c r="T33" i="1"/>
  <c r="T11" i="4" s="1"/>
  <c r="T32" i="1"/>
  <c r="T10" i="4" s="1"/>
  <c r="T31" i="1"/>
  <c r="T9" i="4" s="1"/>
  <c r="T30" i="1"/>
  <c r="T8" i="4" s="1"/>
  <c r="T29" i="1"/>
  <c r="T7" i="4" s="1"/>
  <c r="T28" i="1"/>
  <c r="R33" i="1"/>
  <c r="R11" i="4" s="1"/>
  <c r="J33" i="1"/>
  <c r="J11" i="4" s="1"/>
  <c r="J29" i="1"/>
  <c r="J7" i="4" s="1"/>
  <c r="J28" i="1"/>
  <c r="S35" i="1"/>
  <c r="S13" i="4" s="1"/>
  <c r="S34" i="1"/>
  <c r="S12" i="4" s="1"/>
  <c r="S33" i="1"/>
  <c r="S11" i="4" s="1"/>
  <c r="S32" i="1"/>
  <c r="S10" i="4" s="1"/>
  <c r="S31" i="1"/>
  <c r="S9" i="4" s="1"/>
  <c r="S30" i="1"/>
  <c r="S8" i="4" s="1"/>
  <c r="S29" i="1"/>
  <c r="S7" i="4" s="1"/>
  <c r="S28" i="1"/>
  <c r="O40" i="23"/>
  <c r="O34" i="4" s="1"/>
  <c r="O33" i="23"/>
  <c r="O27" i="4" s="1"/>
  <c r="P31" i="23"/>
  <c r="P25" i="4" s="1"/>
  <c r="Q28" i="23"/>
  <c r="H31" i="23"/>
  <c r="H25" i="4" s="1"/>
  <c r="D35" i="23"/>
  <c r="D29" i="4" s="1"/>
  <c r="G33" i="23"/>
  <c r="G27" i="4" s="1"/>
  <c r="C30" i="23"/>
  <c r="C24" i="4" s="1"/>
  <c r="E32" i="23"/>
  <c r="E26" i="4" s="1"/>
  <c r="C34" i="23"/>
  <c r="C28" i="4" s="1"/>
  <c r="C33" i="23"/>
  <c r="C27" i="4" s="1"/>
  <c r="C31" i="23"/>
  <c r="C25" i="4" s="1"/>
  <c r="E33" i="23"/>
  <c r="E27" i="4" s="1"/>
  <c r="C35" i="23"/>
  <c r="C29" i="4" s="1"/>
  <c r="E30" i="23"/>
  <c r="O43" i="23"/>
  <c r="O37" i="4" s="1"/>
  <c r="O39" i="23"/>
  <c r="O33" i="4" s="1"/>
  <c r="O29" i="23"/>
  <c r="O23" i="4" s="1"/>
  <c r="Q33" i="23"/>
  <c r="Q27" i="4" s="1"/>
  <c r="P32" i="23"/>
  <c r="P26" i="4" s="1"/>
  <c r="Q29" i="23"/>
  <c r="Q23" i="4" s="1"/>
  <c r="P28" i="23"/>
  <c r="O42" i="23"/>
  <c r="O36" i="4" s="1"/>
  <c r="O36" i="23"/>
  <c r="O30" i="4" s="1"/>
  <c r="Q34" i="23"/>
  <c r="Q28" i="4" s="1"/>
  <c r="P33" i="23"/>
  <c r="P27" i="4" s="1"/>
  <c r="Q30" i="23"/>
  <c r="Q24" i="4" s="1"/>
  <c r="P29" i="23"/>
  <c r="P23" i="4" s="1"/>
  <c r="F33" i="23"/>
  <c r="F27" i="4" s="1"/>
  <c r="G29" i="23"/>
  <c r="H29" i="23"/>
  <c r="F31" i="23"/>
  <c r="D33" i="23"/>
  <c r="D27" i="4" s="1"/>
  <c r="F35" i="23"/>
  <c r="F29" i="4" s="1"/>
  <c r="C32" i="23"/>
  <c r="C26" i="4" s="1"/>
  <c r="C29" i="23"/>
  <c r="D30" i="23"/>
  <c r="F32" i="23"/>
  <c r="F26" i="4" s="1"/>
  <c r="D34" i="23"/>
  <c r="D28" i="4" s="1"/>
  <c r="D31" i="23"/>
  <c r="D25" i="4" s="1"/>
  <c r="O41" i="23"/>
  <c r="O35" i="4" s="1"/>
  <c r="O35" i="23"/>
  <c r="O29" i="4" s="1"/>
  <c r="Q35" i="23"/>
  <c r="Q29" i="4" s="1"/>
  <c r="P34" i="23"/>
  <c r="P28" i="4" s="1"/>
  <c r="Q31" i="23"/>
  <c r="Q25" i="4" s="1"/>
  <c r="P30" i="23"/>
  <c r="P24" i="4" s="1"/>
  <c r="M34" i="1"/>
  <c r="M12" i="4" s="1"/>
  <c r="L33" i="1"/>
  <c r="L11" i="4" s="1"/>
  <c r="K32" i="1"/>
  <c r="K10" i="4" s="1"/>
  <c r="M30" i="1"/>
  <c r="M8" i="4" s="1"/>
  <c r="L29" i="1"/>
  <c r="L7" i="4" s="1"/>
  <c r="K28" i="1"/>
  <c r="K6" i="4" s="1"/>
  <c r="M35" i="1"/>
  <c r="M13" i="4" s="1"/>
  <c r="L34" i="1"/>
  <c r="L12" i="4" s="1"/>
  <c r="K33" i="1"/>
  <c r="K11" i="4" s="1"/>
  <c r="M31" i="1"/>
  <c r="M9" i="4" s="1"/>
  <c r="L30" i="1"/>
  <c r="L8" i="4" s="1"/>
  <c r="K29" i="1"/>
  <c r="K7" i="4" s="1"/>
  <c r="L35" i="1"/>
  <c r="L13" i="4" s="1"/>
  <c r="K34" i="1"/>
  <c r="K12" i="4" s="1"/>
  <c r="M32" i="1"/>
  <c r="M10" i="4" s="1"/>
  <c r="L31" i="1"/>
  <c r="L9" i="4" s="1"/>
  <c r="K30" i="1"/>
  <c r="K8" i="4" s="1"/>
  <c r="M28" i="1"/>
  <c r="M6" i="4" s="1"/>
  <c r="K35" i="1"/>
  <c r="K13" i="4" s="1"/>
  <c r="M33" i="1"/>
  <c r="M11" i="4" s="1"/>
  <c r="L32" i="1"/>
  <c r="L10" i="4" s="1"/>
  <c r="K31" i="1"/>
  <c r="K9" i="4" s="1"/>
  <c r="M29" i="1"/>
  <c r="M7" i="4" s="1"/>
  <c r="L28" i="1"/>
  <c r="L6" i="4" s="1"/>
  <c r="O9" i="12"/>
  <c r="O10" i="12" s="1"/>
  <c r="E22" i="4"/>
  <c r="P6" i="4"/>
  <c r="Q6" i="4"/>
  <c r="H22" i="4"/>
  <c r="I22" i="4"/>
  <c r="C22" i="4"/>
  <c r="G22" i="4"/>
  <c r="U6"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O21" i="4"/>
  <c r="R21" i="4"/>
  <c r="Q21" i="4"/>
  <c r="S4" i="33"/>
  <c r="C27" i="23"/>
  <c r="C52" i="23" s="1"/>
  <c r="I27" i="23"/>
  <c r="V21" i="4"/>
  <c r="T21" i="4"/>
  <c r="B21" i="4"/>
  <c r="O37" i="23"/>
  <c r="O31" i="4" s="1"/>
  <c r="O34" i="23"/>
  <c r="O28" i="4" s="1"/>
  <c r="O38" i="23"/>
  <c r="T37" i="4"/>
  <c r="B38" i="23"/>
  <c r="F37" i="4"/>
  <c r="L37" i="4"/>
  <c r="P37" i="4"/>
  <c r="S37" i="4"/>
  <c r="J37" i="4"/>
  <c r="H37" i="4"/>
  <c r="M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B28" i="23"/>
  <c r="B30" i="23"/>
  <c r="B24" i="4" s="1"/>
  <c r="B34" i="23"/>
  <c r="B28" i="4" s="1"/>
  <c r="B35" i="23"/>
  <c r="O28" i="23"/>
  <c r="B31" i="23"/>
  <c r="B25" i="4" s="1"/>
  <c r="B29" i="23"/>
  <c r="B23" i="4" s="1"/>
  <c r="Q32" i="1"/>
  <c r="P32" i="1"/>
  <c r="P10" i="4" s="1"/>
  <c r="D4" i="4"/>
  <c r="O29" i="1"/>
  <c r="O7" i="4" s="1"/>
  <c r="B27" i="23"/>
  <c r="B52" i="23" s="1"/>
  <c r="K45" i="23"/>
  <c r="E27" i="23"/>
  <c r="E52" i="23" s="1"/>
  <c r="Q30" i="1"/>
  <c r="Q8" i="4" s="1"/>
  <c r="B29" i="1"/>
  <c r="B7" i="4" s="1"/>
  <c r="P35" i="1"/>
  <c r="P13" i="4" s="1"/>
  <c r="P31" i="1"/>
  <c r="P9" i="4" s="1"/>
  <c r="H22" i="23"/>
  <c r="R47" i="23"/>
  <c r="R48" i="23" s="1"/>
  <c r="R54" i="23" s="1"/>
  <c r="P37" i="1"/>
  <c r="F22" i="23"/>
  <c r="L47" i="23"/>
  <c r="L48" i="23" s="1"/>
  <c r="L54" i="23" s="1"/>
  <c r="O36" i="1"/>
  <c r="H45" i="23"/>
  <c r="R31" i="1"/>
  <c r="R9" i="4" s="1"/>
  <c r="V22" i="4"/>
  <c r="T27" i="4"/>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B32" i="1"/>
  <c r="D28" i="1"/>
  <c r="C32" i="1"/>
  <c r="B28" i="1"/>
  <c r="D32" i="1"/>
  <c r="B30" i="1"/>
  <c r="B8" i="4" s="1"/>
  <c r="C28" i="1"/>
  <c r="D31" i="1"/>
  <c r="D9" i="4" s="1"/>
  <c r="O28" i="1"/>
  <c r="C30" i="1"/>
  <c r="C8" i="4" s="1"/>
  <c r="C31" i="1"/>
  <c r="C9" i="4" s="1"/>
  <c r="D29" i="1"/>
  <c r="D7" i="4" s="1"/>
  <c r="D30" i="1"/>
  <c r="V6" i="4"/>
  <c r="G21" i="4"/>
  <c r="I21" i="4"/>
  <c r="F21" i="4"/>
  <c r="H21" i="4"/>
  <c r="E21" i="4"/>
  <c r="L52" i="23"/>
  <c r="E7" i="4"/>
  <c r="D17" i="4"/>
  <c r="F8" i="4"/>
  <c r="H9" i="4"/>
  <c r="J10" i="4"/>
  <c r="G7" i="4"/>
  <c r="C4" i="4"/>
  <c r="A47" i="22"/>
  <c r="G27" i="23"/>
  <c r="G52" i="23" s="1"/>
  <c r="A50" i="22"/>
  <c r="H50" i="22" s="1"/>
  <c r="K27" i="23"/>
  <c r="L22" i="1"/>
  <c r="I7" i="4"/>
  <c r="D27" i="1"/>
  <c r="D52" i="1" s="1"/>
  <c r="D45" i="1"/>
  <c r="D22" i="23"/>
  <c r="D45" i="23"/>
  <c r="D27" i="23"/>
  <c r="D52"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V56" i="1"/>
  <c r="F56" i="1"/>
  <c r="P56" i="1"/>
  <c r="R56" i="1"/>
  <c r="C56" i="23"/>
  <c r="I56" i="23"/>
  <c r="B56" i="1"/>
  <c r="H56" i="23"/>
  <c r="V56" i="23"/>
  <c r="T56" i="1"/>
  <c r="L78" i="4"/>
  <c r="T56" i="23"/>
  <c r="J56" i="23"/>
  <c r="H56" i="1"/>
  <c r="O56" i="1"/>
  <c r="K56" i="1"/>
  <c r="J56" i="1"/>
  <c r="E56" i="23"/>
  <c r="S56" i="1"/>
  <c r="L56" i="1"/>
  <c r="L56" i="23"/>
  <c r="I56" i="1"/>
  <c r="M56" i="1"/>
  <c r="G56" i="1"/>
  <c r="S56" i="23"/>
  <c r="P56" i="23"/>
  <c r="D56" i="23"/>
  <c r="M56" i="23"/>
  <c r="Q56" i="23"/>
  <c r="E56" i="1"/>
  <c r="R56" i="23"/>
  <c r="F56" i="23"/>
  <c r="O56" i="23"/>
  <c r="M78" i="4"/>
  <c r="G56" i="23"/>
  <c r="K56" i="23"/>
  <c r="C56" i="1"/>
  <c r="D56" i="1"/>
  <c r="U56" i="23"/>
  <c r="V78" i="4"/>
  <c r="U56" i="1"/>
  <c r="B56" i="23"/>
  <c r="Q56" i="1"/>
  <c r="T46" i="1" l="1"/>
  <c r="T53" i="1" s="1"/>
  <c r="I46" i="23"/>
  <c r="I53" i="23" s="1"/>
  <c r="S46" i="1"/>
  <c r="S53" i="1" s="1"/>
  <c r="J46" i="1"/>
  <c r="J53" i="1" s="1"/>
  <c r="T46" i="23"/>
  <c r="T53" i="23" s="1"/>
  <c r="V47" i="23"/>
  <c r="V48" i="23" s="1"/>
  <c r="V54" i="23" s="1"/>
  <c r="S46" i="23"/>
  <c r="S53" i="23" s="1"/>
  <c r="U46" i="23"/>
  <c r="U53" i="23" s="1"/>
  <c r="V46" i="23"/>
  <c r="V53" i="23" s="1"/>
  <c r="I47" i="23"/>
  <c r="I48" i="23" s="1"/>
  <c r="I54" i="23" s="1"/>
  <c r="T47" i="23"/>
  <c r="T48" i="23" s="1"/>
  <c r="T54" i="23" s="1"/>
  <c r="S47" i="23"/>
  <c r="S48" i="23" s="1"/>
  <c r="S54" i="23" s="1"/>
  <c r="L46" i="23"/>
  <c r="L53" i="23" s="1"/>
  <c r="R57" i="23"/>
  <c r="K57" i="23"/>
  <c r="J57" i="23"/>
  <c r="U57" i="23"/>
  <c r="V57" i="23"/>
  <c r="M57" i="23"/>
  <c r="S57" i="23"/>
  <c r="T57" i="23"/>
  <c r="L57" i="23"/>
  <c r="I57" i="23"/>
  <c r="J47" i="23"/>
  <c r="J48" i="23" s="1"/>
  <c r="J54" i="23" s="1"/>
  <c r="K22" i="4"/>
  <c r="K56" i="4" s="1"/>
  <c r="K75" i="4" s="1"/>
  <c r="J24" i="4"/>
  <c r="U22" i="4"/>
  <c r="U63" i="4" s="1"/>
  <c r="U64" i="4" s="1"/>
  <c r="S23" i="4"/>
  <c r="J46" i="23"/>
  <c r="J53" i="23" s="1"/>
  <c r="U29" i="4"/>
  <c r="K46" i="23"/>
  <c r="K53" i="23" s="1"/>
  <c r="M47" i="23"/>
  <c r="M48" i="23" s="1"/>
  <c r="M54" i="23" s="1"/>
  <c r="M46" i="23"/>
  <c r="M53" i="23" s="1"/>
  <c r="R46" i="23"/>
  <c r="R53" i="23" s="1"/>
  <c r="R22" i="4"/>
  <c r="K47" i="23"/>
  <c r="K48" i="23" s="1"/>
  <c r="K54" i="23" s="1"/>
  <c r="T22" i="4"/>
  <c r="I24" i="4"/>
  <c r="V57" i="1"/>
  <c r="V46" i="1"/>
  <c r="V53" i="1" s="1"/>
  <c r="V47" i="1"/>
  <c r="V48" i="1" s="1"/>
  <c r="V54" i="1" s="1"/>
  <c r="T57" i="1"/>
  <c r="U57" i="1"/>
  <c r="S57" i="1"/>
  <c r="J57" i="1"/>
  <c r="S47" i="1"/>
  <c r="S48" i="1" s="1"/>
  <c r="S54" i="1" s="1"/>
  <c r="J47" i="1"/>
  <c r="J48" i="1" s="1"/>
  <c r="J54" i="1" s="1"/>
  <c r="J6" i="4"/>
  <c r="U47" i="1"/>
  <c r="U48" i="1" s="1"/>
  <c r="U54" i="1" s="1"/>
  <c r="T6" i="4"/>
  <c r="T47" i="1"/>
  <c r="T48" i="1" s="1"/>
  <c r="T54" i="1" s="1"/>
  <c r="U46" i="1"/>
  <c r="U53" i="1" s="1"/>
  <c r="S6" i="4"/>
  <c r="G47" i="23"/>
  <c r="G48" i="23" s="1"/>
  <c r="G54" i="23" s="1"/>
  <c r="Q47" i="23"/>
  <c r="Q48" i="23" s="1"/>
  <c r="Q54" i="23" s="1"/>
  <c r="Q22" i="4"/>
  <c r="Q46" i="23"/>
  <c r="Q53" i="23" s="1"/>
  <c r="P47" i="23"/>
  <c r="P48" i="23" s="1"/>
  <c r="P54" i="23" s="1"/>
  <c r="K47" i="1"/>
  <c r="K48" i="1" s="1"/>
  <c r="K54" i="1" s="1"/>
  <c r="M47" i="1"/>
  <c r="M48" i="1" s="1"/>
  <c r="M54" i="1" s="1"/>
  <c r="M46" i="1"/>
  <c r="M53" i="1" s="1"/>
  <c r="D47" i="23"/>
  <c r="D48" i="23" s="1"/>
  <c r="D54" i="23" s="1"/>
  <c r="C57" i="23"/>
  <c r="F57" i="23"/>
  <c r="Q57" i="23"/>
  <c r="G57" i="23"/>
  <c r="P57" i="23"/>
  <c r="D57" i="23"/>
  <c r="H57" i="23"/>
  <c r="E57" i="23"/>
  <c r="F46" i="23"/>
  <c r="F53" i="23" s="1"/>
  <c r="C47" i="23"/>
  <c r="C48" i="23" s="1"/>
  <c r="C54" i="23" s="1"/>
  <c r="H46" i="23"/>
  <c r="H53" i="23" s="1"/>
  <c r="H47" i="23"/>
  <c r="H48" i="23" s="1"/>
  <c r="H54" i="23" s="1"/>
  <c r="E46" i="23"/>
  <c r="E53" i="23" s="1"/>
  <c r="C23" i="4"/>
  <c r="F25" i="4"/>
  <c r="G23" i="4"/>
  <c r="F47" i="23"/>
  <c r="F48" i="23" s="1"/>
  <c r="F54" i="23" s="1"/>
  <c r="D46" i="23"/>
  <c r="D53" i="23" s="1"/>
  <c r="D24" i="4"/>
  <c r="C46" i="23"/>
  <c r="C53" i="23" s="1"/>
  <c r="E47" i="23"/>
  <c r="E48" i="23" s="1"/>
  <c r="E54" i="23" s="1"/>
  <c r="G46" i="23"/>
  <c r="G53" i="23" s="1"/>
  <c r="P46" i="23"/>
  <c r="P53" i="23" s="1"/>
  <c r="P22" i="4"/>
  <c r="H23" i="4"/>
  <c r="E24" i="4"/>
  <c r="S63" i="4"/>
  <c r="S64" i="4" s="1"/>
  <c r="L57" i="1"/>
  <c r="M57" i="1"/>
  <c r="K57" i="1"/>
  <c r="K46" i="1"/>
  <c r="K53" i="1" s="1"/>
  <c r="L47" i="1"/>
  <c r="L48" i="1" s="1"/>
  <c r="L54" i="1" s="1"/>
  <c r="L46" i="1"/>
  <c r="L53" i="1" s="1"/>
  <c r="F46" i="1"/>
  <c r="F53" i="1" s="1"/>
  <c r="L63" i="4"/>
  <c r="L64" i="4" s="1"/>
  <c r="M63" i="4"/>
  <c r="M64" i="4" s="1"/>
  <c r="P47" i="1"/>
  <c r="P48" i="1" s="1"/>
  <c r="P54" i="1" s="1"/>
  <c r="D6" i="4"/>
  <c r="R6" i="4"/>
  <c r="C6" i="4"/>
  <c r="B22" i="4"/>
  <c r="I6" i="4"/>
  <c r="P7" i="4"/>
  <c r="E6" i="4"/>
  <c r="H6" i="4"/>
  <c r="F6" i="4"/>
  <c r="O6" i="4"/>
  <c r="B6" i="4"/>
  <c r="G6" i="4"/>
  <c r="Q7" i="4"/>
  <c r="K63" i="4"/>
  <c r="K64" i="4" s="1"/>
  <c r="V63" i="4"/>
  <c r="V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M57" i="4"/>
  <c r="M58" i="4" s="1"/>
  <c r="M76" i="4" s="1"/>
  <c r="H57" i="1"/>
  <c r="G57" i="1"/>
  <c r="F57" i="1"/>
  <c r="I57" i="1"/>
  <c r="E57" i="1"/>
  <c r="H7" i="4"/>
  <c r="G46" i="1"/>
  <c r="G53" i="1" s="1"/>
  <c r="H46" i="1"/>
  <c r="H53" i="1" s="1"/>
  <c r="H47" i="1"/>
  <c r="H48" i="1" s="1"/>
  <c r="H54" i="1" s="1"/>
  <c r="G11" i="4"/>
  <c r="F9" i="4"/>
  <c r="I13" i="4"/>
  <c r="E12" i="4"/>
  <c r="I55" i="4"/>
  <c r="I62" i="4"/>
  <c r="V57" i="4"/>
  <c r="V58" i="4" s="1"/>
  <c r="V76" i="4" s="1"/>
  <c r="V56" i="4"/>
  <c r="V75" i="4" s="1"/>
  <c r="L56" i="4"/>
  <c r="L75" i="4" s="1"/>
  <c r="S56" i="4"/>
  <c r="S75" i="4" s="1"/>
  <c r="O55" i="4"/>
  <c r="O62" i="4"/>
  <c r="F55" i="4"/>
  <c r="F62" i="4"/>
  <c r="M55" i="4"/>
  <c r="M62" i="4"/>
  <c r="J55" i="4"/>
  <c r="J62" i="4"/>
  <c r="L57" i="4"/>
  <c r="L58" i="4" s="1"/>
  <c r="L76" i="4" s="1"/>
  <c r="J57" i="4"/>
  <c r="J58" i="4" s="1"/>
  <c r="J76" i="4" s="1"/>
  <c r="P55" i="4"/>
  <c r="P62" i="4"/>
  <c r="G55" i="4"/>
  <c r="G62" i="4"/>
  <c r="H74" i="4"/>
  <c r="H62" i="4"/>
  <c r="U22" i="33"/>
  <c r="U45" i="33"/>
  <c r="U27" i="33"/>
  <c r="U52" i="33" s="1"/>
  <c r="R45" i="33"/>
  <c r="R27" i="33"/>
  <c r="R52" i="33" s="1"/>
  <c r="R22" i="33"/>
  <c r="M56" i="4"/>
  <c r="M75" i="4" s="1"/>
  <c r="C74" i="4"/>
  <c r="C62" i="4"/>
  <c r="D55" i="4"/>
  <c r="D62" i="4"/>
  <c r="S27" i="33"/>
  <c r="S52" i="33" s="1"/>
  <c r="S22" i="33"/>
  <c r="S45" i="33"/>
  <c r="A36" i="22"/>
  <c r="H36" i="22" s="1"/>
  <c r="V4" i="33"/>
  <c r="S57" i="4"/>
  <c r="S58" i="4" s="1"/>
  <c r="S76" i="4" s="1"/>
  <c r="Q55" i="4"/>
  <c r="V4" i="1"/>
  <c r="V45" i="1" s="1"/>
  <c r="O32" i="4"/>
  <c r="Q10" i="4"/>
  <c r="B32" i="4"/>
  <c r="H55" i="4"/>
  <c r="R10" i="4"/>
  <c r="O14" i="4"/>
  <c r="P15" i="4"/>
  <c r="V4" i="23"/>
  <c r="V45" i="23" s="1"/>
  <c r="B10" i="4"/>
  <c r="A32" i="22"/>
  <c r="H32" i="22" s="1"/>
  <c r="D13" i="28"/>
  <c r="D9" i="28"/>
  <c r="D5" i="28"/>
  <c r="D14" i="28"/>
  <c r="D10" i="28"/>
  <c r="D6" i="28"/>
  <c r="D15" i="28"/>
  <c r="D11" i="28"/>
  <c r="D7" i="28"/>
  <c r="D3" i="28"/>
  <c r="D12" i="28"/>
  <c r="D8" i="28"/>
  <c r="D4" i="28"/>
  <c r="L79" i="4"/>
  <c r="V79" i="4"/>
  <c r="M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55"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O74" i="4"/>
  <c r="P74" i="4"/>
  <c r="AD2" i="12"/>
  <c r="S78" i="4"/>
  <c r="C78" i="4"/>
  <c r="P78" i="4"/>
  <c r="F78" i="4"/>
  <c r="R78" i="4"/>
  <c r="H78" i="4"/>
  <c r="K78" i="4"/>
  <c r="I78" i="4"/>
  <c r="G78" i="4"/>
  <c r="O78" i="4"/>
  <c r="U78" i="4"/>
  <c r="B78" i="4"/>
  <c r="D78" i="4"/>
  <c r="E78" i="4"/>
  <c r="J78" i="4"/>
  <c r="Q78" i="4"/>
  <c r="T78" i="4"/>
  <c r="U56" i="4" l="1"/>
  <c r="U75" i="4" s="1"/>
  <c r="J63" i="4"/>
  <c r="J64" i="4" s="1"/>
  <c r="U57" i="4"/>
  <c r="U58" i="4" s="1"/>
  <c r="U76" i="4" s="1"/>
  <c r="J56" i="4"/>
  <c r="J75" i="4" s="1"/>
  <c r="K79" i="4"/>
  <c r="U79" i="4"/>
  <c r="K57" i="4"/>
  <c r="K58" i="4" s="1"/>
  <c r="K76" i="4" s="1"/>
  <c r="T63" i="4"/>
  <c r="T64" i="4" s="1"/>
  <c r="T56" i="4"/>
  <c r="T75" i="4" s="1"/>
  <c r="T57" i="4"/>
  <c r="T58" i="4" s="1"/>
  <c r="T76" i="4" s="1"/>
  <c r="S79" i="4"/>
  <c r="J79" i="4"/>
  <c r="T79" i="4"/>
  <c r="F55" i="23"/>
  <c r="C55" i="23"/>
  <c r="C63" i="4"/>
  <c r="C64" i="4" s="1"/>
  <c r="R63" i="4"/>
  <c r="R64" i="4" s="1"/>
  <c r="I57" i="4"/>
  <c r="I58" i="4" s="1"/>
  <c r="I76" i="4" s="1"/>
  <c r="I4" i="12" s="1"/>
  <c r="H56" i="4"/>
  <c r="H75" i="4" s="1"/>
  <c r="G55" i="1"/>
  <c r="V4" i="4"/>
  <c r="V55" i="4" s="1"/>
  <c r="I63" i="4"/>
  <c r="I64" i="4" s="1"/>
  <c r="F63" i="4"/>
  <c r="F64" i="4" s="1"/>
  <c r="P55" i="23"/>
  <c r="V55" i="23"/>
  <c r="Q55" i="23"/>
  <c r="U55" i="23"/>
  <c r="T55" i="1"/>
  <c r="R55" i="23"/>
  <c r="T55" i="23"/>
  <c r="V55" i="1"/>
  <c r="R55" i="1"/>
  <c r="P55" i="1"/>
  <c r="S55" i="1"/>
  <c r="U55" i="1"/>
  <c r="Q55" i="1"/>
  <c r="S55" i="23"/>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J4" i="12"/>
  <c r="M4" i="12"/>
  <c r="H4" i="12"/>
  <c r="F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AH2" i="12"/>
  <c r="V45" i="33"/>
  <c r="V27" i="33"/>
  <c r="V52" i="33" s="1"/>
  <c r="V22" i="33"/>
  <c r="D57" i="4"/>
  <c r="D58" i="4" s="1"/>
  <c r="D76" i="4" s="1"/>
  <c r="O57" i="4"/>
  <c r="O58" i="4" s="1"/>
  <c r="O76" i="4" s="1"/>
  <c r="C57" i="4"/>
  <c r="C58" i="4" s="1"/>
  <c r="C76" i="4" s="1"/>
  <c r="Q2" i="12"/>
  <c r="Q4" i="12" s="1"/>
  <c r="P2" i="12"/>
  <c r="P4" i="12" s="1"/>
  <c r="Q56" i="4"/>
  <c r="Q75" i="4" s="1"/>
  <c r="O56" i="4"/>
  <c r="O75" i="4" s="1"/>
  <c r="C56" i="4"/>
  <c r="C75" i="4" s="1"/>
  <c r="R2" i="12"/>
  <c r="R4" i="12" s="1"/>
  <c r="P56" i="4"/>
  <c r="R57" i="4"/>
  <c r="R58" i="4" s="1"/>
  <c r="R76" i="4" s="1"/>
  <c r="Q57" i="4"/>
  <c r="Q58" i="4" s="1"/>
  <c r="Q76" i="4" s="1"/>
  <c r="Q79" i="4"/>
  <c r="P79" i="4"/>
  <c r="R79" i="4"/>
  <c r="U4" i="4"/>
  <c r="F2" i="27"/>
  <c r="F4" i="27" s="1"/>
  <c r="O2" i="12"/>
  <c r="O4" i="12" s="1"/>
  <c r="U27" i="1"/>
  <c r="U52" i="1" s="1"/>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R59" i="23"/>
  <c r="R60" i="23" s="1"/>
  <c r="O79" i="4"/>
  <c r="B79" i="4"/>
  <c r="B64" i="23"/>
  <c r="L59" i="23"/>
  <c r="L60" i="23" s="1"/>
  <c r="F59" i="23"/>
  <c r="F60" i="23" s="1"/>
  <c r="Q59" i="23"/>
  <c r="Q60" i="23" s="1"/>
  <c r="V59" i="23"/>
  <c r="P59" i="23"/>
  <c r="T59" i="23"/>
  <c r="T60" i="23" s="1"/>
  <c r="U59" i="23"/>
  <c r="U60" i="23" s="1"/>
  <c r="S59" i="23"/>
  <c r="S60" i="23" s="1"/>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C59" i="23"/>
  <c r="C60" i="23" s="1"/>
  <c r="E59" i="23"/>
  <c r="E60" i="23" s="1"/>
  <c r="J59" i="23"/>
  <c r="J60" i="23" s="1"/>
  <c r="K59" i="23"/>
  <c r="K60" i="23" s="1"/>
  <c r="D59" i="23"/>
  <c r="D60" i="23" s="1"/>
  <c r="I59" i="23"/>
  <c r="I60" i="23" s="1"/>
  <c r="O59" i="23"/>
  <c r="O60" i="23" s="1"/>
  <c r="G59" i="23"/>
  <c r="G60" i="23" s="1"/>
  <c r="H59" i="23"/>
  <c r="H60" i="23" s="1"/>
  <c r="M59" i="23"/>
  <c r="M60" i="23" s="1"/>
  <c r="C55" i="1"/>
  <c r="H55" i="1"/>
  <c r="F55" i="1"/>
  <c r="I55" i="1"/>
  <c r="L55" i="1"/>
  <c r="J55" i="1"/>
  <c r="D55" i="1"/>
  <c r="K55" i="1"/>
  <c r="E55" i="1"/>
  <c r="O59" i="1"/>
  <c r="O60" i="1" s="1"/>
  <c r="J59" i="1"/>
  <c r="J60" i="1" s="1"/>
  <c r="F59" i="1"/>
  <c r="F60" i="1" s="1"/>
  <c r="M59" i="1"/>
  <c r="M60" i="1" s="1"/>
  <c r="I59" i="1"/>
  <c r="I60" i="1" s="1"/>
  <c r="E59" i="1"/>
  <c r="E60" i="1" s="1"/>
  <c r="L59" i="1"/>
  <c r="L60" i="1" s="1"/>
  <c r="H59" i="1"/>
  <c r="H60" i="1" s="1"/>
  <c r="D59" i="1"/>
  <c r="D60" i="1" s="1"/>
  <c r="K59" i="1"/>
  <c r="K60" i="1" s="1"/>
  <c r="C59" i="1"/>
  <c r="C60" i="1" s="1"/>
  <c r="G59" i="1"/>
  <c r="G60" i="1" s="1"/>
  <c r="M55" i="1"/>
  <c r="T59" i="1"/>
  <c r="T60" i="1" s="1"/>
  <c r="P59" i="1"/>
  <c r="P60" i="1" s="1"/>
  <c r="S59" i="1"/>
  <c r="S60" i="1" s="1"/>
  <c r="V59" i="1"/>
  <c r="V60" i="1" s="1"/>
  <c r="R59" i="1"/>
  <c r="R60" i="1" s="1"/>
  <c r="U59" i="1"/>
  <c r="U60" i="1" s="1"/>
  <c r="Q59" i="1"/>
  <c r="Q60" i="1" s="1"/>
  <c r="B65" i="1"/>
  <c r="B64" i="1"/>
  <c r="B55" i="1"/>
  <c r="T27" i="23"/>
  <c r="T52" i="23" s="1"/>
  <c r="T45" i="23"/>
  <c r="T22" i="23"/>
  <c r="J3" i="12"/>
  <c r="T27" i="1"/>
  <c r="T52" i="1" s="1"/>
  <c r="T45" i="1"/>
  <c r="T4" i="4"/>
  <c r="T62" i="4" s="1"/>
  <c r="T22" i="1"/>
  <c r="V60" i="23"/>
  <c r="P60" i="23"/>
  <c r="C94" i="4" l="1"/>
  <c r="F94" i="4"/>
  <c r="H3" i="12"/>
  <c r="T77" i="4"/>
  <c r="G4" i="12"/>
  <c r="I3" i="12"/>
  <c r="F3" i="12"/>
  <c r="G3" i="12"/>
  <c r="V62" i="4"/>
  <c r="V74" i="4"/>
  <c r="Z2" i="12" s="1"/>
  <c r="AA2" i="12"/>
  <c r="P75" i="4"/>
  <c r="O81" i="4"/>
  <c r="O82" i="4" s="1"/>
  <c r="AE2" i="12"/>
  <c r="U74" i="4"/>
  <c r="Y2" i="12" s="1"/>
  <c r="U62" i="4"/>
  <c r="B6" i="12"/>
  <c r="B6" i="27"/>
  <c r="R61" i="23"/>
  <c r="U55" i="4"/>
  <c r="F3" i="27"/>
  <c r="V77" i="4"/>
  <c r="U77" i="4"/>
  <c r="O77" i="4"/>
  <c r="S77" i="4"/>
  <c r="Q77" i="4"/>
  <c r="R77" i="4"/>
  <c r="P81" i="4"/>
  <c r="P82" i="4" s="1"/>
  <c r="Q81" i="4"/>
  <c r="Q82" i="4" s="1"/>
  <c r="B86" i="4"/>
  <c r="B87" i="4"/>
  <c r="B75" i="4"/>
  <c r="G94" i="4" s="1"/>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O3" i="12"/>
  <c r="R3" i="12"/>
  <c r="S3" i="12"/>
  <c r="N3" i="12"/>
  <c r="M3" i="12"/>
  <c r="L3" i="12"/>
  <c r="AC2" i="12"/>
  <c r="S55" i="4"/>
  <c r="S74" i="4"/>
  <c r="W2" i="12" s="1"/>
  <c r="AG2" i="12"/>
  <c r="R55" i="4"/>
  <c r="R74" i="4"/>
  <c r="P3" i="12"/>
  <c r="Q3" i="12"/>
  <c r="K2" i="12"/>
  <c r="K4" i="12" s="1"/>
  <c r="B4" i="27"/>
  <c r="B4" i="12"/>
  <c r="O61" i="1"/>
  <c r="Q61" i="1"/>
  <c r="P61" i="1"/>
  <c r="C61" i="1"/>
  <c r="R61" i="1"/>
  <c r="AB2" i="12"/>
  <c r="AF2" i="12"/>
  <c r="T55" i="4"/>
  <c r="T74" i="4"/>
  <c r="B5" i="27" l="1"/>
  <c r="P94" i="4"/>
  <c r="U94" i="4"/>
  <c r="T94" i="4"/>
  <c r="J94" i="4"/>
  <c r="R94" i="4"/>
  <c r="E94" i="4"/>
  <c r="N94" i="4"/>
  <c r="B94" i="4"/>
  <c r="V94" i="4"/>
  <c r="S94" i="4"/>
  <c r="K94" i="4"/>
  <c r="M94" i="4"/>
  <c r="L94" i="4"/>
  <c r="O94" i="4"/>
  <c r="D94" i="4"/>
  <c r="I94" i="4"/>
  <c r="H94" i="4"/>
  <c r="Q94" i="4"/>
  <c r="B5" i="12"/>
  <c r="P77" i="4"/>
  <c r="AB4" i="12"/>
  <c r="AD4" i="12"/>
  <c r="AE4" i="12"/>
  <c r="Z4" i="12"/>
  <c r="W4" i="12"/>
  <c r="AG4" i="12"/>
  <c r="AC4" i="12"/>
  <c r="AH4" i="12"/>
  <c r="AF4" i="12"/>
  <c r="Y4" i="12"/>
  <c r="AA4" i="12"/>
  <c r="K77" i="4"/>
  <c r="J77" i="4"/>
  <c r="G77" i="4"/>
  <c r="F77" i="4"/>
  <c r="L77" i="4"/>
  <c r="B77" i="4"/>
  <c r="B2" i="27"/>
  <c r="G6" i="27" s="1"/>
  <c r="M77" i="4"/>
  <c r="I77" i="4"/>
  <c r="B2" i="12"/>
  <c r="E6" i="12" s="1"/>
  <c r="H77" i="4"/>
  <c r="D77" i="4"/>
  <c r="C77" i="4"/>
  <c r="E77" i="4"/>
  <c r="AG8" i="12"/>
  <c r="U8" i="12"/>
  <c r="U9" i="12" s="1"/>
  <c r="U10" i="12" s="1"/>
  <c r="AJ8" i="12"/>
  <c r="AB8" i="12"/>
  <c r="AB9" i="12" s="1"/>
  <c r="AB10" i="12" s="1"/>
  <c r="Z8" i="12"/>
  <c r="AC8" i="12"/>
  <c r="AC9" i="12" s="1"/>
  <c r="AC10" i="12" s="1"/>
  <c r="V8" i="12"/>
  <c r="X8" i="12"/>
  <c r="X9" i="12" s="1"/>
  <c r="X10" i="12" s="1"/>
  <c r="AH8" i="12"/>
  <c r="AD8" i="12"/>
  <c r="AD9" i="12" s="1"/>
  <c r="AD10" i="12" s="1"/>
  <c r="AI8" i="12"/>
  <c r="W8" i="12"/>
  <c r="W9" i="12" s="1"/>
  <c r="W10" i="12" s="1"/>
  <c r="Y8" i="12"/>
  <c r="AE8" i="12"/>
  <c r="AE9" i="12" s="1"/>
  <c r="AE10" i="12" s="1"/>
  <c r="AA8" i="12"/>
  <c r="AF8" i="12"/>
  <c r="AF9" i="12" s="1"/>
  <c r="AF10" i="12" s="1"/>
  <c r="H8" i="27"/>
  <c r="H9" i="27" s="1"/>
  <c r="H10" i="27" s="1"/>
  <c r="J8" i="27"/>
  <c r="J9" i="27" s="1"/>
  <c r="J10" i="27" s="1"/>
  <c r="I8" i="27"/>
  <c r="I9" i="27" s="1"/>
  <c r="I10" i="27" s="1"/>
  <c r="P83" i="4"/>
  <c r="S5" i="12"/>
  <c r="Q83" i="4"/>
  <c r="O83" i="4"/>
  <c r="O61" i="23"/>
  <c r="AG3" i="12"/>
  <c r="AD3" i="12"/>
  <c r="AE3" i="12"/>
  <c r="AC3" i="12"/>
  <c r="W3" i="12"/>
  <c r="Y3" i="12"/>
  <c r="I2" i="27"/>
  <c r="I4" i="27" s="1"/>
  <c r="V2" i="12"/>
  <c r="V4" i="12" s="1"/>
  <c r="J2" i="28"/>
  <c r="K3" i="12"/>
  <c r="F2" i="28"/>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Y9" i="12" l="1"/>
  <c r="Y10" i="12" s="1"/>
  <c r="AH9" i="12"/>
  <c r="AH10" i="12" s="1"/>
  <c r="Z9" i="12"/>
  <c r="Z10" i="12" s="1"/>
  <c r="AG9" i="12"/>
  <c r="AG10" i="12" s="1"/>
  <c r="AA9" i="12"/>
  <c r="AA10" i="12" s="1"/>
  <c r="AI9" i="12"/>
  <c r="AI10" i="12" s="1"/>
  <c r="V9" i="12"/>
  <c r="V10" i="12" s="1"/>
  <c r="AJ9" i="12"/>
  <c r="AJ10" i="12" s="1"/>
  <c r="R5" i="12"/>
  <c r="Q5" i="12"/>
  <c r="P5" i="12"/>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F12" i="22"/>
  <c r="K12" i="22" s="1"/>
  <c r="M12" i="22" s="1"/>
  <c r="F16" i="22"/>
  <c r="G16" i="22" s="1"/>
  <c r="F22" i="22"/>
  <c r="I22" i="22" s="1"/>
  <c r="J5" i="12"/>
  <c r="F15" i="22"/>
  <c r="K15" i="22" s="1"/>
  <c r="M15" i="22" s="1"/>
  <c r="L5" i="12"/>
  <c r="F21" i="22"/>
  <c r="G21" i="22" s="1"/>
  <c r="F5" i="12"/>
  <c r="F24" i="22"/>
  <c r="K24" i="22" s="1"/>
  <c r="M24" i="22" s="1"/>
  <c r="F10" i="22"/>
  <c r="F11" i="22"/>
  <c r="F13" i="22"/>
  <c r="I13" i="22" s="1"/>
  <c r="F14" i="22"/>
  <c r="K14" i="22" s="1"/>
  <c r="M14" i="22" s="1"/>
  <c r="F18" i="22"/>
  <c r="G18" i="22" s="1"/>
  <c r="F8" i="22"/>
  <c r="G8" i="22" s="1"/>
  <c r="F5" i="27"/>
  <c r="F25" i="22"/>
  <c r="G25" i="22" s="1"/>
  <c r="G5" i="12"/>
  <c r="H5" i="12"/>
  <c r="F17" i="22"/>
  <c r="K17" i="22" s="1"/>
  <c r="M17" i="22" s="1"/>
  <c r="K5" i="12"/>
  <c r="G51" i="22"/>
  <c r="J51" i="22" s="1"/>
  <c r="I51" i="22"/>
  <c r="M51" i="22" s="1"/>
  <c r="K51" i="22"/>
  <c r="N51" i="22" s="1"/>
  <c r="G44" i="22"/>
  <c r="J44" i="22" s="1"/>
  <c r="I44" i="22"/>
  <c r="M44" i="22" s="1"/>
  <c r="K44" i="22"/>
  <c r="N44" i="22" s="1"/>
  <c r="G9" i="22"/>
  <c r="G38" i="22"/>
  <c r="J38" i="22" s="1"/>
  <c r="I38" i="22"/>
  <c r="M38" i="22" s="1"/>
  <c r="K38" i="22"/>
  <c r="N38" i="22" s="1"/>
  <c r="G33" i="22"/>
  <c r="J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I14" i="22"/>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G39" i="22"/>
  <c r="J39" i="22" s="1"/>
  <c r="I39" i="22"/>
  <c r="M39" i="22" s="1"/>
  <c r="K39" i="22"/>
  <c r="N39" i="22" s="1"/>
  <c r="G32" i="22"/>
  <c r="J32" i="22" s="1"/>
  <c r="G45" i="22"/>
  <c r="J45" i="22" s="1"/>
  <c r="I45" i="22"/>
  <c r="M45" i="22" s="1"/>
  <c r="K45" i="22"/>
  <c r="N45" i="22" s="1"/>
  <c r="G36" i="22"/>
  <c r="J36" i="22" s="1"/>
  <c r="G48" i="22"/>
  <c r="J48" i="22" s="1"/>
  <c r="I48" i="22"/>
  <c r="M48" i="22" s="1"/>
  <c r="K48" i="22"/>
  <c r="N48" i="22" s="1"/>
  <c r="G43" i="22"/>
  <c r="J43" i="22" s="1"/>
  <c r="I43" i="22"/>
  <c r="M43" i="22" s="1"/>
  <c r="K43" i="22"/>
  <c r="N43" i="22" s="1"/>
  <c r="L3" i="28"/>
  <c r="I12" i="22" l="1"/>
  <c r="G12" i="22"/>
  <c r="G13" i="22"/>
  <c r="G24" i="22"/>
  <c r="K25" i="22"/>
  <c r="M25" i="22" s="1"/>
  <c r="G14" i="22"/>
  <c r="I24" i="22"/>
  <c r="I36" i="22"/>
  <c r="I15" i="22"/>
  <c r="G15" i="22"/>
  <c r="I34" i="22"/>
  <c r="K34" i="22" s="1"/>
  <c r="N34" i="22" s="1"/>
  <c r="I25" i="22"/>
  <c r="I32" i="22"/>
  <c r="K32" i="22" s="1"/>
  <c r="N32" i="22" s="1"/>
  <c r="I7" i="22"/>
  <c r="G3" i="28" s="1"/>
  <c r="I33" i="22"/>
  <c r="I9" i="22"/>
  <c r="K9" i="22" s="1"/>
  <c r="M9" i="22" s="1"/>
  <c r="K26" i="22"/>
  <c r="M26" i="22" s="1"/>
  <c r="I35" i="22"/>
  <c r="M35" i="22" s="1"/>
  <c r="I18" i="22"/>
  <c r="K19" i="22"/>
  <c r="M19" i="22" s="1"/>
  <c r="K16" i="22"/>
  <c r="M16" i="22" s="1"/>
  <c r="I19" i="22"/>
  <c r="K18" i="22"/>
  <c r="M18" i="22" s="1"/>
  <c r="G10" i="22"/>
  <c r="I10" i="22" s="1"/>
  <c r="K10" i="22" s="1"/>
  <c r="G22" i="22"/>
  <c r="K21" i="22"/>
  <c r="M21" i="22" s="1"/>
  <c r="G11" i="22"/>
  <c r="I11" i="22" s="1"/>
  <c r="K11" i="22" s="1"/>
  <c r="M11" i="22" s="1"/>
  <c r="I17" i="22"/>
  <c r="I26" i="22"/>
  <c r="G17" i="22"/>
  <c r="K13" i="22"/>
  <c r="M13" i="22" s="1"/>
  <c r="I16" i="22"/>
  <c r="G20" i="22"/>
  <c r="K23" i="22"/>
  <c r="M23" i="22" s="1"/>
  <c r="I21" i="22"/>
  <c r="K22" i="22"/>
  <c r="M22" i="22" s="1"/>
  <c r="I8" i="22"/>
  <c r="K8" i="22" s="1"/>
  <c r="M8" i="22" s="1"/>
  <c r="I23" i="22"/>
  <c r="K20" i="22"/>
  <c r="M20" i="22" s="1"/>
  <c r="H3" i="28"/>
  <c r="N15" i="22"/>
  <c r="N12" i="22"/>
  <c r="N24" i="22"/>
  <c r="N17" i="22"/>
  <c r="N14" i="22"/>
  <c r="L2" i="28"/>
  <c r="K3" i="28"/>
  <c r="K2" i="28"/>
  <c r="G2" i="28"/>
  <c r="G13" i="28"/>
  <c r="G14" i="28"/>
  <c r="G4" i="28"/>
  <c r="G8" i="28"/>
  <c r="G11" i="28"/>
  <c r="G12" i="28"/>
  <c r="G9" i="28"/>
  <c r="G6" i="28"/>
  <c r="G15" i="28"/>
  <c r="G7" i="28"/>
  <c r="G5" i="28"/>
  <c r="G10" i="28"/>
  <c r="H6" i="28"/>
  <c r="H15" i="28"/>
  <c r="H12" i="28"/>
  <c r="H9" i="28"/>
  <c r="H14" i="28"/>
  <c r="H10" i="28"/>
  <c r="H13" i="28"/>
  <c r="H11" i="28"/>
  <c r="H8" i="28"/>
  <c r="H5" i="28"/>
  <c r="H4" i="28"/>
  <c r="H7" i="28"/>
  <c r="H2" i="28"/>
  <c r="N25" i="22" l="1"/>
  <c r="K7" i="22"/>
  <c r="M7" i="22" s="1"/>
  <c r="M32" i="22"/>
  <c r="M34" i="22"/>
  <c r="M36" i="22"/>
  <c r="K36" i="22"/>
  <c r="N36" i="22" s="1"/>
  <c r="N20" i="22"/>
  <c r="N26" i="22"/>
  <c r="M10" i="22"/>
  <c r="N10" i="22"/>
  <c r="K33" i="22"/>
  <c r="N33" i="22" s="1"/>
  <c r="K35" i="22"/>
  <c r="N35" i="22" s="1"/>
  <c r="N18" i="22"/>
  <c r="N13" i="22"/>
  <c r="N19" i="22"/>
  <c r="N16" i="22"/>
  <c r="N8" i="22"/>
  <c r="N21" i="22"/>
  <c r="N11" i="22"/>
  <c r="N9" i="22"/>
  <c r="N23" i="22"/>
  <c r="N22" i="22"/>
  <c r="N7" i="22" l="1"/>
  <c r="M33"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<sst xmlns="http://schemas.openxmlformats.org/spreadsheetml/2006/main" count="488" uniqueCount="173">
  <si>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</si>
  <si>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</si>
  <si>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</si>
  <si>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</si>
  <si>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</si>
  <si>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</si>
  <si>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</si>
  <si>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</si>
  <si>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</si>
  <si>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</si>
  <si>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</si>
  <si>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</si>
  <si>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</si>
  <si>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</si>
  <si>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</si>
  <si>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</si>
  <si>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</si>
  <si>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</si>
  <si>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</si>
  <si>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</si>
  <si>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</si>
  <si>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</si>
  <si>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</si>
  <si>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</si>
  <si>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</si>
  <si>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</si>
  <si>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</si>
  <si>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</si>
  <si>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</si>
  <si>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</si>
  <si>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</si>
  <si>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</si>
  <si>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</si>
  <si>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</si>
  <si>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</si>
  <si>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</si>
  <si>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</si>
  <si>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</si>
  <si>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</si>
  <si>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</si>
  <si>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</si>
  <si>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</si>
  <si>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</si>
  <si>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</si>
  <si>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</si>
  <si>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</si>
  <si>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</si>
  <si>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</si>
  <si>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</si>
  <si>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</si>
  <si>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</si>
  <si>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</si>
  <si>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</si>
  <si>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</si>
  <si>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</si>
  <si>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</si>
  <si>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</si>
  <si>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</si>
  <si>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</si>
  <si>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</si>
  <si>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</si>
  <si>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</si>
  <si>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</si>
  <si>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</si>
  <si>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</si>
  <si>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</si>
  <si>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</si>
  <si>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</si>
  <si>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</si>
  <si>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</si>
  <si>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</si>
  <si>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</si>
  <si>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</si>
  <si>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</si>
  <si>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</si>
  <si>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</si>
  <si>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</si>
  <si>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</si>
  <si>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</si>
  <si>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</si>
  <si>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</si>
  <si>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</si>
  <si>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</si>
  <si>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</si>
  <si>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</si>
  <si>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</si>
  <si>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</si>
  <si>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</si>
  <si>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</si>
  <si>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</si>
  <si>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</si>
  <si>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</si>
  <si>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</si>
  <si>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</si>
  <si>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</si>
  <si>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</si>
  <si>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</si>
  <si>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</si>
  <si>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</si>
  <si>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</si>
  <si>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</si>
  <si>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</si>
  <si>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</si>
  <si>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</si>
  <si>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</si>
  <si>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</si>
  <si>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</si>
  <si>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</si>
  <si>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</si>
  <si>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</si>
  <si>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</si>
  <si>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</si>
  <si>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</si>
  <si>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</si>
  <si>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</si>
  <si>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</si>
  <si>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</si>
  <si>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</si>
  <si>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</si>
  <si>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</si>
  <si>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</si>
  <si>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</si>
  <si>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</si>
  <si>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</si>
  <si>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</si>
  <si>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</si>
  <si>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</si>
  <si>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</si>
  <si>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</si>
  <si>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</si>
  <si>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</si>
  <si>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</si>
  <si>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</si>
  <si>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</si>
  <si>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</si>
  <si>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</si>
  <si>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</si>
  <si>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</si>
  <si>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</si>
  <si>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</si>
  <si>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</si>
  <si>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</si>
  <si>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</si>
  <si>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</si>
  <si>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</si>
  <si>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</si>
  <si>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</si>
  <si>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</si>
  <si>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</si>
  <si>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</si>
  <si>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</si>
  <si>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</si>
  <si>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</si>
  <si>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</si>
  <si>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</si>
  <si>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</si>
  <si>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</si>
  <si>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</si>
  <si>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</si>
  <si>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</si>
  <si>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</si>
  <si>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</si>
  <si>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</si>
  <si>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</si>
  <si>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#VALEUR!</t>
  </si>
  <si>
    <t>n'utilisez pas cette ligne SVP</t>
  </si>
  <si>
    <t>Test</t>
  </si>
  <si>
    <t>ns</t>
  </si>
  <si>
    <t>&gt;0,99</t>
  </si>
  <si>
    <t>***</t>
  </si>
  <si>
    <t>&lt;0,001</t>
  </si>
  <si>
    <t>**</t>
  </si>
  <si>
    <t>Kruskal-Wallis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</si>
</sst>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2">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0" fillId="2" borderId="0" xfId="0" applyFill="1"/>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ercent"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0.26242986803401558</c:v>
                  </c:pt>
                  <c:pt idx="2">
                    <c:v>1.7082033374194139</c:v>
                  </c:pt>
                  <c:pt idx="3">
                    <c:v>2.1079702156475148E-2</c:v>
                  </c:pt>
                  <c:pt idx="4">
                    <c:v>0.65448386857358076</c:v>
                  </c:pt>
                  <c:pt idx="5">
                    <c:v>0.29931734906605695</c:v>
                  </c:pt>
                  <c:pt idx="6">
                    <c:v>1.0278067081539026</c:v>
                  </c:pt>
                  <c:pt idx="7">
                    <c:v>1.1359527752906904</c:v>
                  </c:pt>
                  <c:pt idx="8">
                    <c:v>0.79936299144240641</c:v>
                  </c:pt>
                </c:numCache>
              </c:numRef>
            </c:plus>
            <c:minus>
              <c:numRef>
                <c:f>'R1'!$N$48:$V$48</c:f>
                <c:numCache>
                  <c:formatCode>General</c:formatCode>
                  <c:ptCount val="9"/>
                  <c:pt idx="0">
                    <c:v>0</c:v>
                  </c:pt>
                  <c:pt idx="1">
                    <c:v>0.26242986803401558</c:v>
                  </c:pt>
                  <c:pt idx="2">
                    <c:v>1.7082033374194139</c:v>
                  </c:pt>
                  <c:pt idx="3">
                    <c:v>2.1079702156475148E-2</c:v>
                  </c:pt>
                  <c:pt idx="4">
                    <c:v>0.65448386857358076</c:v>
                  </c:pt>
                  <c:pt idx="5">
                    <c:v>0.29931734906605695</c:v>
                  </c:pt>
                  <c:pt idx="6">
                    <c:v>1.0278067081539026</c:v>
                  </c:pt>
                  <c:pt idx="7">
                    <c:v>1.1359527752906904</c:v>
                  </c:pt>
                  <c:pt idx="8">
                    <c:v>0.79936299144240641</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Testosterone-3.7µg/L</c:v>
                </c:pt>
                <c:pt idx="8">
                  <c:v>Testosterone-11µg/L</c:v>
                </c:pt>
                <c:pt idx="9">
                  <c:v>Testosterone-33µg/L</c:v>
                </c:pt>
                <c:pt idx="10">
                  <c:v>Testosterone-100µg/L</c:v>
                </c:pt>
                <c:pt idx="11">
                  <c:v>Testosterone-300µg/L</c:v>
                </c:pt>
                <c:pt idx="13">
                  <c:v>Testo -30µg/L</c:v>
                </c:pt>
                <c:pt idx="14">
                  <c:v>Testo 30µg/L + EE2 -64ng/L</c:v>
                </c:pt>
                <c:pt idx="15">
                  <c:v>Testo 30µg/L + FAD-10µg/L</c:v>
                </c:pt>
                <c:pt idx="16">
                  <c:v>Testosterone-3.7µg/L + Testostérone</c:v>
                </c:pt>
                <c:pt idx="17">
                  <c:v>Testosterone-11µg/L + Testostérone</c:v>
                </c:pt>
                <c:pt idx="18">
                  <c:v>Testosterone-33µg/L + Testostérone</c:v>
                </c:pt>
                <c:pt idx="19">
                  <c:v>Testosterone-100µg/L + Testostérone</c:v>
                </c:pt>
                <c:pt idx="20">
                  <c:v>Testosterone-300µg/L + Testostérone</c:v>
                </c:pt>
              </c:strCache>
            </c:strRef>
          </c:cat>
          <c:val>
            <c:numRef>
              <c:f>'R1'!$B$53:$V$53</c:f>
              <c:numCache>
                <c:formatCode>0.0000</c:formatCode>
                <c:ptCount val="21"/>
                <c:pt idx="0">
                  <c:v>0.11288926965088884</c:v>
                </c:pt>
                <c:pt idx="1">
                  <c:v>0.24822099154504379</c:v>
                </c:pt>
                <c:pt idx="2">
                  <c:v>2.3408828238941757</c:v>
                </c:pt>
                <c:pt idx="3">
                  <c:v>2.4769739619985924</c:v>
                </c:pt>
                <c:pt idx="4">
                  <c:v>8.9374177051415984</c:v>
                </c:pt>
                <c:pt idx="5">
                  <c:v>9.5369864047568047</c:v>
                </c:pt>
                <c:pt idx="6">
                  <c:v>17.007271466307664</c:v>
                </c:pt>
                <c:pt idx="7">
                  <c:v>0.63117461677324604</c:v>
                </c:pt>
                <c:pt idx="8">
                  <c:v>0.34100500770023151</c:v>
                </c:pt>
                <c:pt idx="9">
                  <c:v>3.0399292190639371</c:v>
                </c:pt>
                <c:pt idx="10">
                  <c:v>7.7868137359891483</c:v>
                </c:pt>
                <c:pt idx="11">
                  <c:v>8.7317320931371043</c:v>
                </c:pt>
                <c:pt idx="13">
                  <c:v>1</c:v>
                </c:pt>
                <c:pt idx="14">
                  <c:v>10.16211792063152</c:v>
                </c:pt>
                <c:pt idx="15">
                  <c:v>0.10097257493702128</c:v>
                </c:pt>
                <c:pt idx="16">
                  <c:v>3.1770688125325091</c:v>
                </c:pt>
                <c:pt idx="17">
                  <c:v>1.4405356505420761</c:v>
                </c:pt>
                <c:pt idx="18">
                  <c:v>4.1777172638170708</c:v>
                </c:pt>
                <c:pt idx="19">
                  <c:v>5.5634888678109924</c:v>
                </c:pt>
                <c:pt idx="20">
                  <c:v>8.644817795184041</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7904"/>
        <c:crosses val="autoZero"/>
        <c:auto val="1"/>
        <c:lblAlgn val="ctr"/>
        <c:lblOffset val="100"/>
        <c:noMultiLvlLbl val="0"/>
      </c:catAx>
      <c:valAx>
        <c:axId val="324817904"/>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4.5982800754856175E-3</c:v>
                  </c:pt>
                  <c:pt idx="1">
                    <c:v>6.6389461355788978E-2</c:v>
                  </c:pt>
                  <c:pt idx="2">
                    <c:v>0.2299564849318313</c:v>
                  </c:pt>
                  <c:pt idx="3">
                    <c:v>0.3906044312487828</c:v>
                  </c:pt>
                  <c:pt idx="4">
                    <c:v>0.28535960463212057</c:v>
                  </c:pt>
                  <c:pt idx="5">
                    <c:v>0.29431925934951791</c:v>
                  </c:pt>
                  <c:pt idx="6">
                    <c:v>1.0815928421989849</c:v>
                  </c:pt>
                  <c:pt idx="7">
                    <c:v>9.1338081650958573E-3</c:v>
                  </c:pt>
                  <c:pt idx="8">
                    <c:v>7.8663697404789505E-3</c:v>
                  </c:pt>
                  <c:pt idx="9">
                    <c:v>0.10159360943892926</c:v>
                  </c:pt>
                  <c:pt idx="10">
                    <c:v>0.21105120497001625</c:v>
                  </c:pt>
                  <c:pt idx="11">
                    <c:v>0.27466311919908404</c:v>
                  </c:pt>
                  <c:pt idx="13">
                    <c:v>0.33792319033312185</c:v>
                  </c:pt>
                  <c:pt idx="14">
                    <c:v>1.0809759285205622</c:v>
                  </c:pt>
                  <c:pt idx="15">
                    <c:v>7.8859467522611193E-3</c:v>
                  </c:pt>
                  <c:pt idx="16">
                    <c:v>0.13597041929025439</c:v>
                  </c:pt>
                  <c:pt idx="17">
                    <c:v>0.41463690918729423</c:v>
                  </c:pt>
                  <c:pt idx="18">
                    <c:v>0.25776403772353768</c:v>
                  </c:pt>
                  <c:pt idx="19">
                    <c:v>0.37385143293725942</c:v>
                  </c:pt>
                  <c:pt idx="20">
                    <c:v>0.3451648639002004</c:v>
                  </c:pt>
                </c:numCache>
              </c:numRef>
            </c:plus>
            <c:minus>
              <c:numRef>
                <c:f>'R1'!$N$48:$V$48</c:f>
                <c:numCache>
                  <c:formatCode>General</c:formatCode>
                  <c:ptCount val="9"/>
                  <c:pt idx="0">
                    <c:v>0</c:v>
                  </c:pt>
                  <c:pt idx="1">
                    <c:v>0.26242986803401558</c:v>
                  </c:pt>
                  <c:pt idx="2">
                    <c:v>1.7082033374194139</c:v>
                  </c:pt>
                  <c:pt idx="3">
                    <c:v>2.1079702156475148E-2</c:v>
                  </c:pt>
                  <c:pt idx="4">
                    <c:v>0.65448386857358076</c:v>
                  </c:pt>
                  <c:pt idx="5">
                    <c:v>0.29931734906605695</c:v>
                  </c:pt>
                  <c:pt idx="6">
                    <c:v>1.0278067081539026</c:v>
                  </c:pt>
                  <c:pt idx="7">
                    <c:v>1.1359527752906904</c:v>
                  </c:pt>
                  <c:pt idx="8">
                    <c:v>0.79936299144240641</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Testosterone-3.7µg/L</c:v>
                </c:pt>
                <c:pt idx="8">
                  <c:v>Testosterone-11µg/L</c:v>
                </c:pt>
                <c:pt idx="9">
                  <c:v>Testosterone-33µg/L</c:v>
                </c:pt>
                <c:pt idx="10">
                  <c:v>Testosterone-100µg/L</c:v>
                </c:pt>
                <c:pt idx="11">
                  <c:v>Testosterone-300µg/L</c:v>
                </c:pt>
                <c:pt idx="13">
                  <c:v>Testo -30µg/L</c:v>
                </c:pt>
                <c:pt idx="14">
                  <c:v>Testo 30µg/L + EE2 -64ng/L</c:v>
                </c:pt>
                <c:pt idx="15">
                  <c:v>Testo 30µg/L + FAD-10µg/L</c:v>
                </c:pt>
                <c:pt idx="16">
                  <c:v>Testosterone-3.7µg/L + Testostérone</c:v>
                </c:pt>
                <c:pt idx="17">
                  <c:v>Testosterone-11µg/L + Testostérone</c:v>
                </c:pt>
                <c:pt idx="18">
                  <c:v>Testosterone-33µg/L + Testostérone</c:v>
                </c:pt>
                <c:pt idx="19">
                  <c:v>Testosterone-100µg/L + Testostérone</c:v>
                </c:pt>
                <c:pt idx="20">
                  <c:v>Testosterone-300µg/L + Testostérone</c:v>
                </c:pt>
              </c:strCache>
            </c:strRef>
          </c:cat>
          <c:val>
            <c:numRef>
              <c:f>'R2'!$B$53:$V$53</c:f>
              <c:numCache>
                <c:formatCode>0.0000</c:formatCode>
                <c:ptCount val="21"/>
                <c:pt idx="0">
                  <c:v>1.5076724826616279E-2</c:v>
                </c:pt>
                <c:pt idx="1">
                  <c:v>7.1823700845819169E-2</c:v>
                </c:pt>
                <c:pt idx="2">
                  <c:v>0.26956077992484956</c:v>
                </c:pt>
                <c:pt idx="3">
                  <c:v>0.50737083299136554</c:v>
                </c:pt>
                <c:pt idx="4">
                  <c:v>1.1708824281506049</c:v>
                </c:pt>
                <c:pt idx="5">
                  <c:v>2.5302594578403261</c:v>
                </c:pt>
                <c:pt idx="6">
                  <c:v>6.1964008604972269</c:v>
                </c:pt>
                <c:pt idx="7">
                  <c:v>1.6570741309559597E-2</c:v>
                </c:pt>
                <c:pt idx="8">
                  <c:v>2.441427014824837E-2</c:v>
                </c:pt>
                <c:pt idx="9">
                  <c:v>0.21395390844031334</c:v>
                </c:pt>
                <c:pt idx="10">
                  <c:v>0.36990318329200189</c:v>
                </c:pt>
                <c:pt idx="11">
                  <c:v>0.72477266705828658</c:v>
                </c:pt>
                <c:pt idx="13">
                  <c:v>1</c:v>
                </c:pt>
                <c:pt idx="14">
                  <c:v>6.6283074862089348</c:v>
                </c:pt>
                <c:pt idx="15">
                  <c:v>1.9330377515309641E-2</c:v>
                </c:pt>
                <c:pt idx="16">
                  <c:v>0.19705394939732268</c:v>
                </c:pt>
                <c:pt idx="17">
                  <c:v>0.70392590320052406</c:v>
                </c:pt>
                <c:pt idx="18">
                  <c:v>1.9110935952284314</c:v>
                </c:pt>
                <c:pt idx="19">
                  <c:v>1.1150573475059149</c:v>
                </c:pt>
                <c:pt idx="20">
                  <c:v>0.93212688997563453</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8688"/>
        <c:crosses val="autoZero"/>
        <c:auto val="1"/>
        <c:lblAlgn val="ctr"/>
        <c:lblOffset val="100"/>
        <c:noMultiLvlLbl val="0"/>
      </c:catAx>
      <c:valAx>
        <c:axId val="324818688"/>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5.2411415193937355E-2</c:v>
                  </c:pt>
                  <c:pt idx="1">
                    <c:v>0.18130431497585187</c:v>
                  </c:pt>
                  <c:pt idx="2">
                    <c:v>0.71468120329358786</c:v>
                  </c:pt>
                  <c:pt idx="3">
                    <c:v>1.6215321017792512</c:v>
                  </c:pt>
                  <c:pt idx="4">
                    <c:v>1.3020191983625979</c:v>
                  </c:pt>
                  <c:pt idx="5">
                    <c:v>0.90466748124854313</c:v>
                  </c:pt>
                  <c:pt idx="6">
                    <c:v>1.8527056134904369</c:v>
                  </c:pt>
                  <c:pt idx="7">
                    <c:v>5.4513515869872277E-2</c:v>
                  </c:pt>
                  <c:pt idx="8">
                    <c:v>0.28421504725171154</c:v>
                  </c:pt>
                  <c:pt idx="9">
                    <c:v>0.535108347461418</c:v>
                  </c:pt>
                  <c:pt idx="10">
                    <c:v>0.96240168539361481</c:v>
                  </c:pt>
                  <c:pt idx="11">
                    <c:v>1.6867126351933217</c:v>
                  </c:pt>
                  <c:pt idx="13">
                    <c:v>0.2960571927746638</c:v>
                  </c:pt>
                  <c:pt idx="14">
                    <c:v>1.4076261983178242</c:v>
                  </c:pt>
                  <c:pt idx="15">
                    <c:v>4.2741921547671383E-2</c:v>
                  </c:pt>
                  <c:pt idx="16">
                    <c:v>0.54589233882963062</c:v>
                  </c:pt>
                  <c:pt idx="17">
                    <c:v>0.51727229361461369</c:v>
                  </c:pt>
                  <c:pt idx="18">
                    <c:v>0.89627608692239735</c:v>
                  </c:pt>
                  <c:pt idx="19">
                    <c:v>1.6412939899676731</c:v>
                  </c:pt>
                  <c:pt idx="20">
                    <c:v>1.0456468985811824</c:v>
                  </c:pt>
                </c:numCache>
              </c:numRef>
            </c:plus>
            <c:minus>
              <c:numRef>
                <c:f>'R1'!$N$48:$V$48</c:f>
                <c:numCache>
                  <c:formatCode>General</c:formatCode>
                  <c:ptCount val="9"/>
                  <c:pt idx="0">
                    <c:v>0</c:v>
                  </c:pt>
                  <c:pt idx="1">
                    <c:v>0.26242986803401558</c:v>
                  </c:pt>
                  <c:pt idx="2">
                    <c:v>1.7082033374194139</c:v>
                  </c:pt>
                  <c:pt idx="3">
                    <c:v>2.1079702156475148E-2</c:v>
                  </c:pt>
                  <c:pt idx="4">
                    <c:v>0.65448386857358076</c:v>
                  </c:pt>
                  <c:pt idx="5">
                    <c:v>0.29931734906605695</c:v>
                  </c:pt>
                  <c:pt idx="6">
                    <c:v>1.0278067081539026</c:v>
                  </c:pt>
                  <c:pt idx="7">
                    <c:v>1.1359527752906904</c:v>
                  </c:pt>
                  <c:pt idx="8">
                    <c:v>0.79936299144240641</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Testosterone-3.7µg/L</c:v>
                </c:pt>
                <c:pt idx="8">
                  <c:v>Testosterone-11µg/L</c:v>
                </c:pt>
                <c:pt idx="9">
                  <c:v>Testosterone-33µg/L</c:v>
                </c:pt>
                <c:pt idx="10">
                  <c:v>Testosterone-100µg/L</c:v>
                </c:pt>
                <c:pt idx="11">
                  <c:v>Testosterone-300µg/L</c:v>
                </c:pt>
                <c:pt idx="13">
                  <c:v>Testo -30µg/L</c:v>
                </c:pt>
                <c:pt idx="14">
                  <c:v>Testo 30µg/L + EE2 -64ng/L</c:v>
                </c:pt>
                <c:pt idx="15">
                  <c:v>Testo 30µg/L + FAD-10µg/L</c:v>
                </c:pt>
                <c:pt idx="16">
                  <c:v>Testosterone-3.7µg/L + Testostérone</c:v>
                </c:pt>
                <c:pt idx="17">
                  <c:v>Testosterone-11µg/L + Testostérone</c:v>
                </c:pt>
                <c:pt idx="18">
                  <c:v>Testosterone-33µg/L + Testostérone</c:v>
                </c:pt>
                <c:pt idx="19">
                  <c:v>Testosterone-100µg/L + Testostérone</c:v>
                </c:pt>
                <c:pt idx="20">
                  <c:v>Testosterone-300µg/L + Testostérone</c:v>
                </c:pt>
              </c:strCache>
            </c:strRef>
          </c:cat>
          <c:val>
            <c:numRef>
              <c:f>'R3'!$B$53:$V$53</c:f>
              <c:numCache>
                <c:formatCode>0.0000</c:formatCode>
                <c:ptCount val="21"/>
                <c:pt idx="0">
                  <c:v>0.17596092180280082</c:v>
                </c:pt>
                <c:pt idx="1">
                  <c:v>0.42929296233126013</c:v>
                </c:pt>
                <c:pt idx="2">
                  <c:v>1.6207794979414354</c:v>
                </c:pt>
                <c:pt idx="3">
                  <c:v>5.4095638964475645</c:v>
                </c:pt>
                <c:pt idx="4">
                  <c:v>4.9287258207685447</c:v>
                </c:pt>
                <c:pt idx="5">
                  <c:v>8.2208129562127965</c:v>
                </c:pt>
                <c:pt idx="6">
                  <c:v>16.22688215034465</c:v>
                </c:pt>
                <c:pt idx="7">
                  <c:v>0.26878776261647336</c:v>
                </c:pt>
                <c:pt idx="8">
                  <c:v>0.47891218899119825</c:v>
                </c:pt>
                <c:pt idx="9">
                  <c:v>1.7479556672087084</c:v>
                </c:pt>
                <c:pt idx="10">
                  <c:v>3.6091548678335945</c:v>
                </c:pt>
                <c:pt idx="11">
                  <c:v>6.9288331930651124</c:v>
                </c:pt>
                <c:pt idx="13">
                  <c:v>1</c:v>
                </c:pt>
                <c:pt idx="14">
                  <c:v>7.3824614777646955</c:v>
                </c:pt>
                <c:pt idx="15">
                  <c:v>0.14015594128349998</c:v>
                </c:pt>
                <c:pt idx="16">
                  <c:v>1.307691426408786</c:v>
                </c:pt>
                <c:pt idx="17">
                  <c:v>1.390884108642481</c:v>
                </c:pt>
                <c:pt idx="18">
                  <c:v>2.4081055968783107</c:v>
                </c:pt>
                <c:pt idx="19">
                  <c:v>4.2706124268141874</c:v>
                </c:pt>
                <c:pt idx="20">
                  <c:v>5.6603844177533613</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02AAB070-A224-40F9-8459-7CF05064D2D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32DD853C-3265-4E1E-BD49-B9F5CDC3A16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B18ECBA8-C4B8-479E-AEED-B1C0E67988A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0DAFED57-68B1-4D17-A2F9-DC48F287AF9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95927D31-D1F7-4544-B0FD-2760C3EE425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BA543825-0A04-4328-BFC8-01598EC42EB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CA3853E1-4DF4-46C8-A83B-8C6B36D7A82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55F46EB7-326B-4851-A278-0229DBE35AE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380E689B-3137-4894-B33D-00BE8D2EE74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0143CDC6-0D3B-4104-9478-179435CEBEC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5EDDFE50-5875-4302-BFA5-8E6C19862D9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20BE8B43-018E-416F-A52C-6A6F4C1A09C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B637EFAA-2D4F-439D-8F2E-3090ED221FE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0CD9B3A6-8EEE-4A8D-B0E4-B6633FEE6BC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4CA53ADC-0556-48C1-AD63-FF59E4856C7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CBE4F328-2732-4ABE-8F61-230F580755A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AA65D0B7-3134-45D3-BC3A-45BD88D32B5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6EE26B1D-0C2E-479E-A9C4-DD8A9C40071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D45B100A-8D4C-444C-95AA-EF6D5BEDDF7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3B4B72D4-66C2-44B4-BD8E-A2DC8768B4E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2.9666033085325394E-2</c:v>
                  </c:pt>
                  <c:pt idx="1">
                    <c:v>6.9438220678023951E-2</c:v>
                  </c:pt>
                  <c:pt idx="2">
                    <c:v>0.42113969667421242</c:v>
                  </c:pt>
                  <c:pt idx="3">
                    <c:v>0.71764439128867719</c:v>
                  </c:pt>
                  <c:pt idx="4">
                    <c:v>1.2475204172433656</c:v>
                  </c:pt>
                  <c:pt idx="5">
                    <c:v>1.1990821608578834</c:v>
                  </c:pt>
                  <c:pt idx="6">
                    <c:v>1.4545679366660311</c:v>
                  </c:pt>
                  <c:pt idx="7">
                    <c:v>9.4548245356007449E-2</c:v>
                  </c:pt>
                  <c:pt idx="8">
                    <c:v>0.10264636115444274</c:v>
                  </c:pt>
                  <c:pt idx="9">
                    <c:v>0.44506197039293671</c:v>
                  </c:pt>
                  <c:pt idx="10">
                    <c:v>0.84741234778658958</c:v>
                  </c:pt>
                  <c:pt idx="11">
                    <c:v>1.016192577020828</c:v>
                  </c:pt>
                  <c:pt idx="13">
                    <c:v>0.16872072484039366</c:v>
                  </c:pt>
                  <c:pt idx="14">
                    <c:v>0.86127790018163819</c:v>
                  </c:pt>
                  <c:pt idx="15">
                    <c:v>1.7943998298773446E-2</c:v>
                  </c:pt>
                  <c:pt idx="16">
                    <c:v>0.3818035043936529</c:v>
                  </c:pt>
                  <c:pt idx="17">
                    <c:v>0.2420500346750529</c:v>
                  </c:pt>
                  <c:pt idx="18">
                    <c:v>0.48523533123874429</c:v>
                  </c:pt>
                  <c:pt idx="19">
                    <c:v>0.75508450807161198</c:v>
                  </c:pt>
                  <c:pt idx="20">
                    <c:v>0.80274688651294612</c:v>
                  </c:pt>
                </c:numCache>
              </c:numRef>
            </c:plus>
            <c:minus>
              <c:numRef>
                <c:f>'pooled normalised values'!$B$76:$V$76</c:f>
                <c:numCache>
                  <c:formatCode>General</c:formatCode>
                  <c:ptCount val="21"/>
                  <c:pt idx="0">
                    <c:v>2.9666033085325394E-2</c:v>
                  </c:pt>
                  <c:pt idx="1">
                    <c:v>6.9438220678023951E-2</c:v>
                  </c:pt>
                  <c:pt idx="2">
                    <c:v>0.42113969667421242</c:v>
                  </c:pt>
                  <c:pt idx="3">
                    <c:v>0.71764439128867719</c:v>
                  </c:pt>
                  <c:pt idx="4">
                    <c:v>1.2475204172433656</c:v>
                  </c:pt>
                  <c:pt idx="5">
                    <c:v>1.1990821608578834</c:v>
                  </c:pt>
                  <c:pt idx="6">
                    <c:v>1.4545679366660311</c:v>
                  </c:pt>
                  <c:pt idx="7">
                    <c:v>9.4548245356007449E-2</c:v>
                  </c:pt>
                  <c:pt idx="8">
                    <c:v>0.10264636115444274</c:v>
                  </c:pt>
                  <c:pt idx="9">
                    <c:v>0.44506197039293671</c:v>
                  </c:pt>
                  <c:pt idx="10">
                    <c:v>0.84741234778658958</c:v>
                  </c:pt>
                  <c:pt idx="11">
                    <c:v>1.016192577020828</c:v>
                  </c:pt>
                  <c:pt idx="13">
                    <c:v>0.16872072484039366</c:v>
                  </c:pt>
                  <c:pt idx="14">
                    <c:v>0.86127790018163819</c:v>
                  </c:pt>
                  <c:pt idx="15">
                    <c:v>1.7943998298773446E-2</c:v>
                  </c:pt>
                  <c:pt idx="16">
                    <c:v>0.3818035043936529</c:v>
                  </c:pt>
                  <c:pt idx="17">
                    <c:v>0.2420500346750529</c:v>
                  </c:pt>
                  <c:pt idx="18">
                    <c:v>0.48523533123874429</c:v>
                  </c:pt>
                  <c:pt idx="19">
                    <c:v>0.75508450807161198</c:v>
                  </c:pt>
                  <c:pt idx="20">
                    <c:v>0.80274688651294612</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Testosterone-3.7µg/L</c:v>
                </c:pt>
                <c:pt idx="8">
                  <c:v>Testosterone-11µg/L</c:v>
                </c:pt>
                <c:pt idx="9">
                  <c:v>Testosterone-33µg/L</c:v>
                </c:pt>
                <c:pt idx="10">
                  <c:v>Testosterone-100µg/L</c:v>
                </c:pt>
                <c:pt idx="11">
                  <c:v>Testosterone-300µg/L</c:v>
                </c:pt>
                <c:pt idx="13">
                  <c:v>Testo -30µg/L</c:v>
                </c:pt>
                <c:pt idx="14">
                  <c:v>Testo 30µg/L + EE2 -64ng/L</c:v>
                </c:pt>
                <c:pt idx="15">
                  <c:v>Testo 30µg/L + FAD-10µg/L</c:v>
                </c:pt>
                <c:pt idx="16">
                  <c:v>Testosterone-3.7µg/L + Testostérone</c:v>
                </c:pt>
                <c:pt idx="17">
                  <c:v>Testosterone-11µg/L + Testostérone</c:v>
                </c:pt>
                <c:pt idx="18">
                  <c:v>Testosterone-33µg/L + Testostérone</c:v>
                </c:pt>
                <c:pt idx="19">
                  <c:v>Testosterone-100µg/L + Testostérone</c:v>
                </c:pt>
                <c:pt idx="20">
                  <c:v>Testosterone-300µg/L + Testostérone</c:v>
                </c:pt>
              </c:strCache>
            </c:strRef>
          </c:cat>
          <c:val>
            <c:numRef>
              <c:f>'pooled normalised values'!$B$75:$V$75</c:f>
              <c:numCache>
                <c:formatCode>0.0000</c:formatCode>
                <c:ptCount val="21"/>
                <c:pt idx="0">
                  <c:v>0.10505820023547088</c:v>
                </c:pt>
                <c:pt idx="1">
                  <c:v>0.24197427284546624</c:v>
                </c:pt>
                <c:pt idx="2">
                  <c:v>1.4104077005868199</c:v>
                </c:pt>
                <c:pt idx="3">
                  <c:v>2.8975608129786439</c:v>
                </c:pt>
                <c:pt idx="4">
                  <c:v>5.0085412499633533</c:v>
                </c:pt>
                <c:pt idx="5">
                  <c:v>6.9467048301147445</c:v>
                </c:pt>
                <c:pt idx="6">
                  <c:v>13.775074277100087</c:v>
                </c:pt>
                <c:pt idx="7">
                  <c:v>0.305511040233093</c:v>
                </c:pt>
                <c:pt idx="8">
                  <c:v>0.28144382227989267</c:v>
                </c:pt>
                <c:pt idx="9">
                  <c:v>1.6672795982376531</c:v>
                </c:pt>
                <c:pt idx="10">
                  <c:v>4.6323680781874979</c:v>
                </c:pt>
                <c:pt idx="11">
                  <c:v>5.4617793177535008</c:v>
                </c:pt>
                <c:pt idx="13">
                  <c:v>1.0000000000000002</c:v>
                </c:pt>
                <c:pt idx="14">
                  <c:v>8.1190078236959913</c:v>
                </c:pt>
                <c:pt idx="15">
                  <c:v>8.4500661243615105E-2</c:v>
                </c:pt>
                <c:pt idx="16">
                  <c:v>1.5716009600130505</c:v>
                </c:pt>
                <c:pt idx="17">
                  <c:v>1.1784485541283602</c:v>
                </c:pt>
                <c:pt idx="18">
                  <c:v>2.8507489587179213</c:v>
                </c:pt>
                <c:pt idx="19">
                  <c:v>3.6497195473770305</c:v>
                </c:pt>
                <c:pt idx="20">
                  <c:v>5.2594133014490723</c:v>
                </c:pt>
              </c:numCache>
            </c:numRef>
          </c:val>
          <c:extLst>
            <c:ext xmlns:c15="http://schemas.microsoft.com/office/drawing/2012/chart" uri="{02D57815-91ED-43cb-92C2-25804820EDAC}">
              <c15:datalabelsRange>
                <c15:f>'pooled normalised values'!$B$83:$V$83</c15:f>
                <c15:dlblRangeCache>
                  <c:ptCount val="21"/>
                  <c:pt idx="1">
                    <c:v>ns</c:v>
                  </c:pt>
                  <c:pt idx="2">
                    <c:v>ns</c:v>
                  </c:pt>
                  <c:pt idx="3">
                    <c:v>***</c:v>
                  </c:pt>
                  <c:pt idx="4">
                    <c:v>***</c:v>
                  </c:pt>
                  <c:pt idx="5">
                    <c:v>***</c:v>
                  </c:pt>
                  <c:pt idx="6">
                    <c:v>***</c:v>
                  </c:pt>
                  <c:pt idx="7">
                    <c:v>ns</c:v>
                  </c:pt>
                  <c:pt idx="8">
                    <c:v>ns</c:v>
                  </c:pt>
                  <c:pt idx="9">
                    <c:v>**</c:v>
                  </c:pt>
                  <c:pt idx="10">
                    <c:v>***</c:v>
                  </c:pt>
                  <c:pt idx="11">
                    <c:v>***</c:v>
                  </c:pt>
                  <c:pt idx="13">
                    <c:v>#NAME?</c:v>
                  </c:pt>
                  <c:pt idx="14">
                    <c:v>#NAME?</c:v>
                  </c:pt>
                  <c:pt idx="15">
                    <c:v>#NAME?</c:v>
                  </c:pt>
                  <c:pt idx="16">
                    <c:v>ns</c:v>
                  </c:pt>
                  <c:pt idx="17">
                    <c:v>ns</c:v>
                  </c:pt>
                  <c:pt idx="18">
                    <c:v>**</c:v>
                  </c:pt>
                  <c:pt idx="19">
                    <c:v>**</c:v>
                  </c:pt>
                  <c:pt idx="20">
                    <c:v>***</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Testosterone-3.7µg/L : 0%</c:v>
                  </c:pt>
                  <c:pt idx="1">
                    <c:v>Testosterone-11µg/L : 0%</c:v>
                  </c:pt>
                  <c:pt idx="2">
                    <c:v>#NUM!</c:v>
                  </c:pt>
                  <c:pt idx="3">
                    <c:v>#NUM!</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Testosterone-3.7µg/L : 0%</c:v>
                  </c:pt>
                  <c:pt idx="1">
                    <c:v>Testosterone-11µg/L : 0%</c:v>
                  </c:pt>
                  <c:pt idx="2">
                    <c:v>#NUM!</c:v>
                  </c:pt>
                  <c:pt idx="3">
                    <c:v>#NUM!</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Testosterone-3.7µg/L : 0%</c:v>
                  </c:pt>
                  <c:pt idx="1">
                    <c:v>Testosterone-11µg/L : 0%</c:v>
                  </c:pt>
                  <c:pt idx="2">
                    <c:v>#NUM!</c:v>
                  </c:pt>
                  <c:pt idx="3">
                    <c:v>#NUM!</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Testosterone-3.7µg/L : 0%</c:v>
                  </c:pt>
                  <c:pt idx="1">
                    <c:v>Testosterone-11µg/L : 0%</c:v>
                  </c:pt>
                  <c:pt idx="2">
                    <c:v>#NUM!</c:v>
                  </c:pt>
                  <c:pt idx="3">
                    <c:v>#NUM!</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Testosterone-11µg/L</c:v>
                </c:pt>
                <c:pt idx="2">
                  <c:v>Testosterone-33µg/L</c:v>
                </c:pt>
                <c:pt idx="3">
                  <c:v>Testosterone-100µg/L</c:v>
                </c:pt>
                <c:pt idx="4">
                  <c:v>Testosterone-300µg/L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Testosterone-11µg/L</c:v>
                </c:pt>
                <c:pt idx="2">
                  <c:v>Testosterone-33µg/L</c:v>
                </c:pt>
                <c:pt idx="3">
                  <c:v>Testosterone-100µg/L</c:v>
                </c:pt>
                <c:pt idx="4">
                  <c:v>Testosterone-300µg/L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Testosterone-11µg/L</c:v>
                </c:pt>
                <c:pt idx="2">
                  <c:v>Testosterone-33µg/L</c:v>
                </c:pt>
                <c:pt idx="3">
                  <c:v>Testosterone-100µg/L</c:v>
                </c:pt>
                <c:pt idx="4">
                  <c:v>Testosterone-300µg/L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DDF84B93-8B6F-4A45-A232-1734CB655AA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661C52CF-7650-40AB-BE7B-8A76200CBED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CF9D8A0F-2E79-419C-BABF-FC0BDB597D6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4A89DE66-58C6-4315-B9DB-5F5E2DFFB0D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E362444E-5328-4DB5-8C08-643B0F3877D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9437D422-6B41-473B-B295-B51AC5598D6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0EA26543-BFA0-4E04-9EF0-2D4D0DBC995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B62DF83E-06FF-47B5-BCBD-D80F8127BDB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0E4B1F84-3E5B-46BA-852B-E3B85E24286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5604F521-078E-47EF-A4A3-6449FE779FF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9E9FF84F-8223-48B2-95A3-9D94DEB4267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D1108F62-6BA9-4B6E-97C4-846ED9B1B90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613F902E-36D1-48D5-BDC3-72209178274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810A82EA-C685-4012-B988-E9B5C656782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0.10264636115444274</c:v>
                  </c:pt>
                  <c:pt idx="2">
                    <c:v>0.44506197039293671</c:v>
                  </c:pt>
                  <c:pt idx="3">
                    <c:v>0.84741234778658958</c:v>
                  </c:pt>
                  <c:pt idx="4">
                    <c:v>1.016192577020828</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0.10264636115444274</c:v>
                  </c:pt>
                  <c:pt idx="2">
                    <c:v>0.44506197039293671</c:v>
                  </c:pt>
                  <c:pt idx="3">
                    <c:v>0.84741234778658958</c:v>
                  </c:pt>
                  <c:pt idx="4">
                    <c:v>1.016192577020828</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Testosterone-11µg/L</c:v>
                </c:pt>
                <c:pt idx="2">
                  <c:v>Testosterone-33µg/L</c:v>
                </c:pt>
                <c:pt idx="3">
                  <c:v>Testosterone-100µg/L</c:v>
                </c:pt>
                <c:pt idx="4">
                  <c:v>Testosterone-300µg/L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0.28144382227989267</c:v>
                </c:pt>
                <c:pt idx="2">
                  <c:v>1.6672795982376531</c:v>
                </c:pt>
                <c:pt idx="3">
                  <c:v>4.6323680781874979</c:v>
                </c:pt>
                <c:pt idx="4">
                  <c:v>5.4617793177535008</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0.10505820023547088</c:v>
                </c:pt>
                <c:pt idx="1">
                  <c:v>0.10505820023547088</c:v>
                </c:pt>
                <c:pt idx="2">
                  <c:v>0.10505820023547088</c:v>
                </c:pt>
                <c:pt idx="3">
                  <c:v>0.10505820023547088</c:v>
                </c:pt>
                <c:pt idx="4">
                  <c:v>0.10505820023547088</c:v>
                </c:pt>
                <c:pt idx="5">
                  <c:v>0.10505820023547088</c:v>
                </c:pt>
                <c:pt idx="6">
                  <c:v>0.10505820023547088</c:v>
                </c:pt>
                <c:pt idx="7">
                  <c:v>0.10505820023547088</c:v>
                </c:pt>
                <c:pt idx="8">
                  <c:v>0.10505820023547088</c:v>
                </c:pt>
                <c:pt idx="9">
                  <c:v>0.10505820023547088</c:v>
                </c:pt>
                <c:pt idx="10">
                  <c:v>0.10505820023547088</c:v>
                </c:pt>
                <c:pt idx="11">
                  <c:v>0.10505820023547088</c:v>
                </c:pt>
                <c:pt idx="12">
                  <c:v>0.10505820023547088</c:v>
                </c:pt>
                <c:pt idx="13">
                  <c:v>0.10505820023547088</c:v>
                </c:pt>
                <c:pt idx="14">
                  <c:v>0.10505820023547088</c:v>
                </c:pt>
                <c:pt idx="15">
                  <c:v>0.10505820023547088</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7976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Testosterone-3.7µg/L + Testostérone</c:v>
                </c:pt>
                <c:pt idx="2">
                  <c:v>Testosterone-11µg/L + Testostérone</c:v>
                </c:pt>
                <c:pt idx="3">
                  <c:v>Testosterone-33µg/L + Testostérone</c:v>
                </c:pt>
                <c:pt idx="4">
                  <c:v>Testosterone-100µg/L + Testostérone</c:v>
                </c:pt>
                <c:pt idx="5">
                  <c:v>Testosterone-300µg/L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8.4500661243615105E-2</c:v>
                </c:pt>
                <c:pt idx="1">
                  <c:v>8.4500661243615105E-2</c:v>
                </c:pt>
                <c:pt idx="2">
                  <c:v>8.4500661243615105E-2</c:v>
                </c:pt>
                <c:pt idx="3">
                  <c:v>8.4500661243615105E-2</c:v>
                </c:pt>
                <c:pt idx="4">
                  <c:v>8.4500661243615105E-2</c:v>
                </c:pt>
                <c:pt idx="5">
                  <c:v>8.4500661243615105E-2</c:v>
                </c:pt>
                <c:pt idx="6">
                  <c:v>8.4500661243615105E-2</c:v>
                </c:pt>
                <c:pt idx="7">
                  <c:v>8.4500661243615105E-2</c:v>
                </c:pt>
                <c:pt idx="8">
                  <c:v>8.4500661243615105E-2</c:v>
                </c:pt>
                <c:pt idx="9">
                  <c:v>8.4500661243615105E-2</c:v>
                </c:pt>
                <c:pt idx="10">
                  <c:v>8.4500661243615105E-2</c:v>
                </c:pt>
                <c:pt idx="11">
                  <c:v>8.4500661243615105E-2</c:v>
                </c:pt>
                <c:pt idx="12">
                  <c:v>8.4500661243615105E-2</c:v>
                </c:pt>
                <c:pt idx="13">
                  <c:v>8.4500661243615105E-2</c:v>
                </c:pt>
                <c:pt idx="14">
                  <c:v>8.4500661243615105E-2</c:v>
                </c:pt>
                <c:pt idx="15">
                  <c:v>8.4500661243615105E-2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Testosterone-3.7µg/L + Testostérone</c:v>
                </c:pt>
                <c:pt idx="2">
                  <c:v>Testosterone-11µg/L + Testostérone</c:v>
                </c:pt>
                <c:pt idx="3">
                  <c:v>Testosterone-33µg/L + Testostérone</c:v>
                </c:pt>
                <c:pt idx="4">
                  <c:v>Testosterone-100µg/L + Testostérone</c:v>
                </c:pt>
                <c:pt idx="5">
                  <c:v>Testosterone-300µg/L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8.0345071624523765</c:v>
                </c:pt>
                <c:pt idx="1">
                  <c:v>8.0345071624523765</c:v>
                </c:pt>
                <c:pt idx="2">
                  <c:v>8.0345071624523765</c:v>
                </c:pt>
                <c:pt idx="3">
                  <c:v>8.0345071624523765</c:v>
                </c:pt>
                <c:pt idx="4">
                  <c:v>8.0345071624523765</c:v>
                </c:pt>
                <c:pt idx="5">
                  <c:v>8.0345071624523765</c:v>
                </c:pt>
                <c:pt idx="6">
                  <c:v>8.0345071624523765</c:v>
                </c:pt>
                <c:pt idx="7">
                  <c:v>8.0345071624523765</c:v>
                </c:pt>
                <c:pt idx="8">
                  <c:v>8.0345071624523765</c:v>
                </c:pt>
                <c:pt idx="9">
                  <c:v>8.0345071624523765</c:v>
                </c:pt>
                <c:pt idx="10">
                  <c:v>8.0345071624523765</c:v>
                </c:pt>
                <c:pt idx="11">
                  <c:v>8.0345071624523765</c:v>
                </c:pt>
                <c:pt idx="12">
                  <c:v>8.0345071624523765</c:v>
                </c:pt>
                <c:pt idx="13">
                  <c:v>8.0345071624523765</c:v>
                </c:pt>
                <c:pt idx="14">
                  <c:v>8.0345071624523765</c:v>
                </c:pt>
                <c:pt idx="15">
                  <c:v>8.0345071624523765</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Testosterone-3.7µg/L + Testostérone</c:v>
                </c:pt>
                <c:pt idx="2">
                  <c:v>Testosterone-11µg/L + Testostérone</c:v>
                </c:pt>
                <c:pt idx="3">
                  <c:v>Testosterone-33µg/L + Testostérone</c:v>
                </c:pt>
                <c:pt idx="4">
                  <c:v>Testosterone-100µg/L + Testostérone</c:v>
                </c:pt>
                <c:pt idx="5">
                  <c:v>Testosterone-300µg/L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-5.5345071624523765</c:v>
                </c:pt>
                <c:pt idx="1">
                  <c:v>-5.5345071624523765</c:v>
                </c:pt>
                <c:pt idx="2">
                  <c:v>-5.5345071624523765</c:v>
                </c:pt>
                <c:pt idx="3">
                  <c:v>-5.5345071624523765</c:v>
                </c:pt>
                <c:pt idx="4">
                  <c:v>-5.5345071624523765</c:v>
                </c:pt>
                <c:pt idx="5">
                  <c:v>-5.5345071624523765</c:v>
                </c:pt>
                <c:pt idx="6">
                  <c:v>-5.5345071624523765</c:v>
                </c:pt>
                <c:pt idx="7">
                  <c:v>-5.5345071624523765</c:v>
                </c:pt>
                <c:pt idx="8">
                  <c:v>-5.5345071624523765</c:v>
                </c:pt>
                <c:pt idx="9">
                  <c:v>-5.5345071624523765</c:v>
                </c:pt>
                <c:pt idx="10">
                  <c:v>-5.5345071624523765</c:v>
                </c:pt>
                <c:pt idx="11">
                  <c:v>-5.5345071624523765</c:v>
                </c:pt>
                <c:pt idx="12">
                  <c:v>-5.5345071624523765</c:v>
                </c:pt>
                <c:pt idx="13">
                  <c:v>-5.5345071624523765</c:v>
                </c:pt>
                <c:pt idx="14">
                  <c:v>-5.5345071624523765</c:v>
                </c:pt>
                <c:pt idx="15">
                  <c:v>-5.5345071624523765</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0D25D7AE-7CD1-409B-A85D-9AFCBB10EC1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0FBF59C5-35EE-45C6-90EE-D04A76F222B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ABA10BC3-A930-4E9F-963C-A7788355955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67A2E728-95F7-4830-8F39-2662E5C31A9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6E078A09-8263-48A6-8FEC-4CBFD670688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CE484243-49D0-4D3F-9618-1276988299A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DD91EAD5-A3A4-4B7D-A3E6-EE6EFF8D3C9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F2482751-08C7-4A3A-A580-D135F19C95E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A579D80F-0D06-412E-AEB7-8CE72D928BF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C6D2D996-639D-445C-A19F-CA6DAD60983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7EDF3221-D2F7-4833-A906-507136268D5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06DF3CF7-91D0-4A4C-AA3C-9515A5013BC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08C05495-8BA1-4BD9-BA24-CD6F5E46076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75486A3D-1381-417D-8414-FE71E2822F8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0.3818035043936529</c:v>
                  </c:pt>
                  <c:pt idx="2">
                    <c:v>0.2420500346750529</c:v>
                  </c:pt>
                  <c:pt idx="3">
                    <c:v>0.48523533123874429</c:v>
                  </c:pt>
                  <c:pt idx="4">
                    <c:v>0.75508450807161198</c:v>
                  </c:pt>
                  <c:pt idx="5">
                    <c:v>0.80274688651294612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0.3818035043936529</c:v>
                  </c:pt>
                  <c:pt idx="2">
                    <c:v>0.2420500346750529</c:v>
                  </c:pt>
                  <c:pt idx="3">
                    <c:v>0.48523533123874429</c:v>
                  </c:pt>
                  <c:pt idx="4">
                    <c:v>0.75508450807161198</c:v>
                  </c:pt>
                  <c:pt idx="5">
                    <c:v>0.80274688651294612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Testosterone-3.7µg/L + Testostérone</c:v>
                </c:pt>
                <c:pt idx="2">
                  <c:v>Testosterone-11µg/L + Testostérone</c:v>
                </c:pt>
                <c:pt idx="3">
                  <c:v>Testosterone-33µg/L + Testostérone</c:v>
                </c:pt>
                <c:pt idx="4">
                  <c:v>Testosterone-100µg/L + Testostérone</c:v>
                </c:pt>
                <c:pt idx="5">
                  <c:v>Testosterone-300µg/L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1.5716009600130505</c:v>
                </c:pt>
                <c:pt idx="2">
                  <c:v>1.1784485541283602</c:v>
                </c:pt>
                <c:pt idx="3">
                  <c:v>2.8507489587179213</c:v>
                </c:pt>
                <c:pt idx="4">
                  <c:v>3.6497195473770305</c:v>
                </c:pt>
                <c:pt idx="5">
                  <c:v>5.2594133014490723</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Testosterone-3.7µg/L + Testostérone</c:v>
                </c:pt>
                <c:pt idx="2">
                  <c:v>Testosterone-11µg/L + Testostérone</c:v>
                </c:pt>
                <c:pt idx="3">
                  <c:v>Testosterone-33µg/L + Testostérone</c:v>
                </c:pt>
                <c:pt idx="4">
                  <c:v>Testosterone-100µg/L + Testostérone</c:v>
                </c:pt>
                <c:pt idx="5">
                  <c:v>Testosterone-300µg/L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093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Testosterone-11µg/L</c:v>
                </c:pt>
                <c:pt idx="2">
                  <c:v>Testosterone-33µg/L</c:v>
                </c:pt>
                <c:pt idx="3">
                  <c:v>Testosterone-100µg/L</c:v>
                </c:pt>
                <c:pt idx="4">
                  <c:v>Testosterone-300µg/L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Testosterone-11µg/L</c:v>
                </c:pt>
                <c:pt idx="2">
                  <c:v>Testosterone-33µg/L</c:v>
                </c:pt>
                <c:pt idx="3">
                  <c:v>Testosterone-100µg/L</c:v>
                </c:pt>
                <c:pt idx="4">
                  <c:v>Testosterone-300µg/L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Testosterone-11µg/L</c:v>
                </c:pt>
                <c:pt idx="2">
                  <c:v>Testosterone-33µg/L</c:v>
                </c:pt>
                <c:pt idx="3">
                  <c:v>Testosterone-100µg/L</c:v>
                </c:pt>
                <c:pt idx="4">
                  <c:v>Testosterone-300µg/L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D1D91A4E-620E-4066-B185-0BC58678F85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DBD6C8D9-511D-4D7E-A58C-F2D92EDDF9F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101C39A7-50C5-4896-8C86-7ECE9335CD1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792F051C-5AD5-4A1C-95A6-2BC4B3CF498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B932449E-91A5-444D-8BFA-0499217BAAA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18D4595C-E557-4566-B1F9-086B969FE49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B6B71CBE-7111-407A-ADCF-FBD22416873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AECF4D40-2E53-4A84-8192-3DDD0C552DF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A424ACAE-4940-4E07-A361-D831857EF25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3A1278C3-1918-4F2D-BCBF-24B3B94A899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47ADDDF8-9057-4B31-B359-993D0E11EBA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6FD94F8A-1474-4648-BEEC-A09AC350C3A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143A0ADE-B122-47A4-A411-A98ED2C5AA0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85203806-BA37-4629-AC5E-C58858293E0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0.10264636115444274</c:v>
                  </c:pt>
                  <c:pt idx="2">
                    <c:v>0.44506197039293671</c:v>
                  </c:pt>
                  <c:pt idx="3">
                    <c:v>0.84741234778658958</c:v>
                  </c:pt>
                  <c:pt idx="4">
                    <c:v>1.016192577020828</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0.10264636115444274</c:v>
                  </c:pt>
                  <c:pt idx="2">
                    <c:v>0.44506197039293671</c:v>
                  </c:pt>
                  <c:pt idx="3">
                    <c:v>0.84741234778658958</c:v>
                  </c:pt>
                  <c:pt idx="4">
                    <c:v>1.016192577020828</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Testosterone-11µg/L</c:v>
                </c:pt>
                <c:pt idx="2">
                  <c:v>Testosterone-33µg/L</c:v>
                </c:pt>
                <c:pt idx="3">
                  <c:v>Testosterone-100µg/L</c:v>
                </c:pt>
                <c:pt idx="4">
                  <c:v>Testosterone-300µg/L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0.28144382227989267</c:v>
                </c:pt>
                <c:pt idx="2">
                  <c:v>1.6672795982376531</c:v>
                </c:pt>
                <c:pt idx="3">
                  <c:v>4.6323680781874979</c:v>
                </c:pt>
                <c:pt idx="4">
                  <c:v>5.4617793177535008</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0.10505820023547088</c:v>
                </c:pt>
                <c:pt idx="1">
                  <c:v>0.10505820023547088</c:v>
                </c:pt>
                <c:pt idx="2">
                  <c:v>0.10505820023547088</c:v>
                </c:pt>
                <c:pt idx="3">
                  <c:v>0.10505820023547088</c:v>
                </c:pt>
                <c:pt idx="4">
                  <c:v>0.10505820023547088</c:v>
                </c:pt>
                <c:pt idx="5">
                  <c:v>0.10505820023547088</c:v>
                </c:pt>
                <c:pt idx="6">
                  <c:v>0.10505820023547088</c:v>
                </c:pt>
                <c:pt idx="7">
                  <c:v>0.10505820023547088</c:v>
                </c:pt>
                <c:pt idx="8">
                  <c:v>0.10505820023547088</c:v>
                </c:pt>
                <c:pt idx="9">
                  <c:v>0.10505820023547088</c:v>
                </c:pt>
                <c:pt idx="10">
                  <c:v>0.10505820023547088</c:v>
                </c:pt>
                <c:pt idx="11">
                  <c:v>0.10505820023547088</c:v>
                </c:pt>
                <c:pt idx="12">
                  <c:v>0.10505820023547088</c:v>
                </c:pt>
                <c:pt idx="13">
                  <c:v>0.10505820023547088</c:v>
                </c:pt>
                <c:pt idx="14">
                  <c:v>0.10505820023547088</c:v>
                </c:pt>
                <c:pt idx="15">
                  <c:v>0.10505820023547088</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211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Testosterone-3.7µg/L + Testostérone</c:v>
                </c:pt>
                <c:pt idx="2">
                  <c:v>Testosterone-11µg/L + Testostérone</c:v>
                </c:pt>
                <c:pt idx="3">
                  <c:v>Testosterone-33µg/L + Testostérone</c:v>
                </c:pt>
                <c:pt idx="4">
                  <c:v>Testosterone-100µg/L + Testostérone</c:v>
                </c:pt>
                <c:pt idx="5">
                  <c:v>Testosterone-300µg/L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8.4500661243615105E-2</c:v>
                </c:pt>
                <c:pt idx="1">
                  <c:v>8.4500661243615105E-2</c:v>
                </c:pt>
                <c:pt idx="2">
                  <c:v>8.4500661243615105E-2</c:v>
                </c:pt>
                <c:pt idx="3">
                  <c:v>8.4500661243615105E-2</c:v>
                </c:pt>
                <c:pt idx="4">
                  <c:v>8.4500661243615105E-2</c:v>
                </c:pt>
                <c:pt idx="5">
                  <c:v>8.4500661243615105E-2</c:v>
                </c:pt>
                <c:pt idx="6">
                  <c:v>8.4500661243615105E-2</c:v>
                </c:pt>
                <c:pt idx="7">
                  <c:v>8.4500661243615105E-2</c:v>
                </c:pt>
                <c:pt idx="8">
                  <c:v>8.4500661243615105E-2</c:v>
                </c:pt>
                <c:pt idx="9">
                  <c:v>8.4500661243615105E-2</c:v>
                </c:pt>
                <c:pt idx="10">
                  <c:v>8.4500661243615105E-2</c:v>
                </c:pt>
                <c:pt idx="11">
                  <c:v>8.4500661243615105E-2</c:v>
                </c:pt>
                <c:pt idx="12">
                  <c:v>8.4500661243615105E-2</c:v>
                </c:pt>
                <c:pt idx="13">
                  <c:v>8.4500661243615105E-2</c:v>
                </c:pt>
                <c:pt idx="14">
                  <c:v>8.4500661243615105E-2</c:v>
                </c:pt>
                <c:pt idx="15">
                  <c:v>8.4500661243615105E-2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Testosterone-3.7µg/L + Testostérone</c:v>
                </c:pt>
                <c:pt idx="2">
                  <c:v>Testosterone-11µg/L + Testostérone</c:v>
                </c:pt>
                <c:pt idx="3">
                  <c:v>Testosterone-33µg/L + Testostérone</c:v>
                </c:pt>
                <c:pt idx="4">
                  <c:v>Testosterone-100µg/L + Testostérone</c:v>
                </c:pt>
                <c:pt idx="5">
                  <c:v>Testosterone-300µg/L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8.0345071624523765</c:v>
                </c:pt>
                <c:pt idx="1">
                  <c:v>8.0345071624523765</c:v>
                </c:pt>
                <c:pt idx="2">
                  <c:v>8.0345071624523765</c:v>
                </c:pt>
                <c:pt idx="3">
                  <c:v>8.0345071624523765</c:v>
                </c:pt>
                <c:pt idx="4">
                  <c:v>8.0345071624523765</c:v>
                </c:pt>
                <c:pt idx="5">
                  <c:v>8.0345071624523765</c:v>
                </c:pt>
                <c:pt idx="6">
                  <c:v>8.0345071624523765</c:v>
                </c:pt>
                <c:pt idx="7">
                  <c:v>8.0345071624523765</c:v>
                </c:pt>
                <c:pt idx="8">
                  <c:v>8.0345071624523765</c:v>
                </c:pt>
                <c:pt idx="9">
                  <c:v>8.0345071624523765</c:v>
                </c:pt>
                <c:pt idx="10">
                  <c:v>8.0345071624523765</c:v>
                </c:pt>
                <c:pt idx="11">
                  <c:v>8.0345071624523765</c:v>
                </c:pt>
                <c:pt idx="12">
                  <c:v>8.0345071624523765</c:v>
                </c:pt>
                <c:pt idx="13">
                  <c:v>8.0345071624523765</c:v>
                </c:pt>
                <c:pt idx="14">
                  <c:v>8.0345071624523765</c:v>
                </c:pt>
                <c:pt idx="15">
                  <c:v>8.0345071624523765</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Testosterone-3.7µg/L + Testostérone</c:v>
                </c:pt>
                <c:pt idx="2">
                  <c:v>Testosterone-11µg/L + Testostérone</c:v>
                </c:pt>
                <c:pt idx="3">
                  <c:v>Testosterone-33µg/L + Testostérone</c:v>
                </c:pt>
                <c:pt idx="4">
                  <c:v>Testosterone-100µg/L + Testostérone</c:v>
                </c:pt>
                <c:pt idx="5">
                  <c:v>Testosterone-300µg/L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-5.5345071624523765</c:v>
                </c:pt>
                <c:pt idx="1">
                  <c:v>-5.5345071624523765</c:v>
                </c:pt>
                <c:pt idx="2">
                  <c:v>-5.5345071624523765</c:v>
                </c:pt>
                <c:pt idx="3">
                  <c:v>-5.5345071624523765</c:v>
                </c:pt>
                <c:pt idx="4">
                  <c:v>-5.5345071624523765</c:v>
                </c:pt>
                <c:pt idx="5">
                  <c:v>-5.5345071624523765</c:v>
                </c:pt>
                <c:pt idx="6">
                  <c:v>-5.5345071624523765</c:v>
                </c:pt>
                <c:pt idx="7">
                  <c:v>-5.5345071624523765</c:v>
                </c:pt>
                <c:pt idx="8">
                  <c:v>-5.5345071624523765</c:v>
                </c:pt>
                <c:pt idx="9">
                  <c:v>-5.5345071624523765</c:v>
                </c:pt>
                <c:pt idx="10">
                  <c:v>-5.5345071624523765</c:v>
                </c:pt>
                <c:pt idx="11">
                  <c:v>-5.5345071624523765</c:v>
                </c:pt>
                <c:pt idx="12">
                  <c:v>-5.5345071624523765</c:v>
                </c:pt>
                <c:pt idx="13">
                  <c:v>-5.5345071624523765</c:v>
                </c:pt>
                <c:pt idx="14">
                  <c:v>-5.5345071624523765</c:v>
                </c:pt>
                <c:pt idx="15">
                  <c:v>-5.5345071624523765</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288488AC-7B3A-4231-A135-4F3C7F193DD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1C708E5F-AD43-41D8-8373-8B74ABF5B2F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94527407-424D-4764-8375-2ED2075D29C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5B9545C0-BC73-4FB9-AD9F-C730643C4A7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15963788-3E0B-4078-A7DC-D1B60DBD3E9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1E459B4A-8CF6-483F-9EDC-DB89C35E644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AE57FDBE-A15C-43E1-90FD-37C68A10B9A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047CA29F-258C-43C2-B9BE-15D12D66F0C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5A185888-7A5A-4502-B479-57A04CF014D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39823A18-5F07-4DEC-8234-904B0B4C75B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852A3F96-6D05-4D94-B5A6-1343869E9CF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741E346D-22C5-43F0-922E-DECA4D2A9A9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0726B136-688D-4358-9A3A-2257C413545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D7FB8FBF-7E33-4064-96C1-9554E18C90E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0.3818035043936529</c:v>
                  </c:pt>
                  <c:pt idx="2">
                    <c:v>0.2420500346750529</c:v>
                  </c:pt>
                  <c:pt idx="3">
                    <c:v>0.48523533123874429</c:v>
                  </c:pt>
                  <c:pt idx="4">
                    <c:v>0.75508450807161198</c:v>
                  </c:pt>
                  <c:pt idx="5">
                    <c:v>0.80274688651294612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0.3818035043936529</c:v>
                  </c:pt>
                  <c:pt idx="2">
                    <c:v>0.2420500346750529</c:v>
                  </c:pt>
                  <c:pt idx="3">
                    <c:v>0.48523533123874429</c:v>
                  </c:pt>
                  <c:pt idx="4">
                    <c:v>0.75508450807161198</c:v>
                  </c:pt>
                  <c:pt idx="5">
                    <c:v>0.80274688651294612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Testosterone-3.7µg/L + Testostérone</c:v>
                </c:pt>
                <c:pt idx="2">
                  <c:v>Testosterone-11µg/L + Testostérone</c:v>
                </c:pt>
                <c:pt idx="3">
                  <c:v>Testosterone-33µg/L + Testostérone</c:v>
                </c:pt>
                <c:pt idx="4">
                  <c:v>Testosterone-100µg/L + Testostérone</c:v>
                </c:pt>
                <c:pt idx="5">
                  <c:v>Testosterone-300µg/L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1.5716009600130505</c:v>
                </c:pt>
                <c:pt idx="2">
                  <c:v>1.1784485541283602</c:v>
                </c:pt>
                <c:pt idx="3">
                  <c:v>2.8507489587179213</c:v>
                </c:pt>
                <c:pt idx="4">
                  <c:v>3.6497195473770305</c:v>
                </c:pt>
                <c:pt idx="5">
                  <c:v>5.2594133014490723</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Testosterone-3.7µg/L + Testostérone</c:v>
                </c:pt>
                <c:pt idx="2">
                  <c:v>Testosterone-11µg/L + Testostérone</c:v>
                </c:pt>
                <c:pt idx="3">
                  <c:v>Testosterone-33µg/L + Testostérone</c:v>
                </c:pt>
                <c:pt idx="4">
                  <c:v>Testosterone-100µg/L + Testostérone</c:v>
                </c:pt>
                <c:pt idx="5">
                  <c:v>Testosterone-300µg/L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3288"/>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Testosterone-11µg/L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Testosterone-11µg/L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Testosterone-11µg/L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A7698B4E-4673-4485-A2AA-FE64B0E9C0D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6F46AEB8-DDD9-4C96-B5AB-91C6E931ACF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0.10264636115444274</c:v>
                  </c:pt>
                </c:numCache>
              </c:numRef>
            </c:plus>
            <c:minus>
              <c:numRef>
                <c:f>'Graph format rapport CHG 1éch'!$E$4:$G$4</c:f>
                <c:numCache>
                  <c:formatCode>General</c:formatCode>
                  <c:ptCount val="3"/>
                  <c:pt idx="1">
                    <c:v>0.10264636115444274</c:v>
                  </c:pt>
                </c:numCache>
              </c:numRef>
            </c:minus>
          </c:errBars>
          <c:cat>
            <c:strRef>
              <c:f>'Graph format rapport CHG 1éch'!$E$2:$G$2</c:f>
              <c:strCache>
                <c:ptCount val="2"/>
                <c:pt idx="1">
                  <c:v>Testosterone-11µg/L</c:v>
                </c:pt>
              </c:strCache>
            </c:strRef>
          </c:cat>
          <c:val>
            <c:numRef>
              <c:f>'Graph format rapport CHG 1éch'!$E$3:$G$3</c:f>
              <c:numCache>
                <c:formatCode>General</c:formatCode>
                <c:ptCount val="3"/>
                <c:pt idx="1">
                  <c:v>0.28144382227989267</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0.10505820023547088</c:v>
                </c:pt>
                <c:pt idx="1">
                  <c:v>0.10505820023547088</c:v>
                </c:pt>
                <c:pt idx="2">
                  <c:v>0.10505820023547088</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4464"/>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Testosterone-3.7µg/L + Testostérone</c:v>
                </c:pt>
              </c:strCache>
            </c:strRef>
          </c:cat>
          <c:val>
            <c:numRef>
              <c:f>'Graph format rapport CHG 1éch'!$H$8:$J$8</c:f>
              <c:numCache>
                <c:formatCode>General</c:formatCode>
                <c:ptCount val="3"/>
                <c:pt idx="0">
                  <c:v>8.4500661243615105E-2</c:v>
                </c:pt>
                <c:pt idx="1">
                  <c:v>8.4500661243615105E-2</c:v>
                </c:pt>
                <c:pt idx="2">
                  <c:v>8.4500661243615105E-2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Testosterone-3.7µg/L + Testostérone</c:v>
                </c:pt>
              </c:strCache>
            </c:strRef>
          </c:cat>
          <c:val>
            <c:numRef>
              <c:f>'Graph format rapport CHG 1éch'!$H$9:$J$9</c:f>
              <c:numCache>
                <c:formatCode>General</c:formatCode>
                <c:ptCount val="3"/>
                <c:pt idx="0">
                  <c:v>8.0345071624523765</c:v>
                </c:pt>
                <c:pt idx="1">
                  <c:v>8.0345071624523765</c:v>
                </c:pt>
                <c:pt idx="2">
                  <c:v>8.0345071624523765</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Testosterone-3.7µg/L + Testostérone</c:v>
                </c:pt>
              </c:strCache>
            </c:strRef>
          </c:cat>
          <c:val>
            <c:numRef>
              <c:f>'Graph format rapport CHG 1éch'!$H$10:$J$10</c:f>
              <c:numCache>
                <c:formatCode>General</c:formatCode>
                <c:ptCount val="3"/>
                <c:pt idx="0">
                  <c:v>-5.5345071624523765</c:v>
                </c:pt>
                <c:pt idx="1">
                  <c:v>-5.5345071624523765</c:v>
                </c:pt>
                <c:pt idx="2">
                  <c:v>-5.5345071624523765</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F39A0A5D-5B92-46F4-858D-E5FC496473D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3CA50612-8E6A-45D5-BE36-21674EF654D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0.3818035043936529</c:v>
                  </c:pt>
                </c:numCache>
              </c:numRef>
            </c:plus>
            <c:minus>
              <c:numRef>
                <c:f>'Graph format rapport CHG 1éch'!$H$4:$J$4</c:f>
                <c:numCache>
                  <c:formatCode>General</c:formatCode>
                  <c:ptCount val="3"/>
                  <c:pt idx="1">
                    <c:v>0.3818035043936529</c:v>
                  </c:pt>
                </c:numCache>
              </c:numRef>
            </c:minus>
          </c:errBars>
          <c:cat>
            <c:strRef>
              <c:f>'Graph format rapport CHG 1éch'!$H$2:$J$2</c:f>
              <c:strCache>
                <c:ptCount val="2"/>
                <c:pt idx="1">
                  <c:v>Testosterone-3.7µg/L + Testostérone</c:v>
                </c:pt>
              </c:strCache>
            </c:strRef>
          </c:cat>
          <c:val>
            <c:numRef>
              <c:f>'Graph format rapport CHG 1éch'!$H$3:$J$3</c:f>
              <c:numCache>
                <c:formatCode>General</c:formatCode>
                <c:ptCount val="3"/>
                <c:pt idx="1">
                  <c:v>1.5716009600130505</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Testosterone-3.7µg/L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564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Testosterone-11µg/L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Testosterone-11µg/L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Testosterone-11µg/L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EE8D81D0-C927-498D-A5D1-9C5C932FB42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FC95359A-DCDD-4801-9859-3ACF14B4413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0.10264636115444274</c:v>
                  </c:pt>
                </c:numCache>
              </c:numRef>
            </c:plus>
            <c:minus>
              <c:numRef>
                <c:f>'Graph format rapport CHG 1éch'!$E$4:$G$4</c:f>
                <c:numCache>
                  <c:formatCode>General</c:formatCode>
                  <c:ptCount val="3"/>
                  <c:pt idx="1">
                    <c:v>0.10264636115444274</c:v>
                  </c:pt>
                </c:numCache>
              </c:numRef>
            </c:minus>
          </c:errBars>
          <c:cat>
            <c:strRef>
              <c:f>'Graph format rapport CHG 1éch'!$E$2:$G$2</c:f>
              <c:strCache>
                <c:ptCount val="2"/>
                <c:pt idx="1">
                  <c:v>Testosterone-11µg/L</c:v>
                </c:pt>
              </c:strCache>
            </c:strRef>
          </c:cat>
          <c:val>
            <c:numRef>
              <c:f>'Graph format rapport CHG 1éch'!$E$3:$G$3</c:f>
              <c:numCache>
                <c:formatCode>General</c:formatCode>
                <c:ptCount val="3"/>
                <c:pt idx="1">
                  <c:v>0.28144382227989267</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0.10505820023547088</c:v>
                </c:pt>
                <c:pt idx="1">
                  <c:v>0.10505820023547088</c:v>
                </c:pt>
                <c:pt idx="2">
                  <c:v>0.10505820023547088</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681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Testosterone-3.7µg/L + Testostérone</c:v>
                </c:pt>
              </c:strCache>
            </c:strRef>
          </c:cat>
          <c:val>
            <c:numRef>
              <c:f>'Graph format rapport CHG 1éch'!$H$8:$J$8</c:f>
              <c:numCache>
                <c:formatCode>General</c:formatCode>
                <c:ptCount val="3"/>
                <c:pt idx="0">
                  <c:v>8.4500661243615105E-2</c:v>
                </c:pt>
                <c:pt idx="1">
                  <c:v>8.4500661243615105E-2</c:v>
                </c:pt>
                <c:pt idx="2">
                  <c:v>8.4500661243615105E-2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Testosterone-3.7µg/L + Testostérone</c:v>
                </c:pt>
              </c:strCache>
            </c:strRef>
          </c:cat>
          <c:val>
            <c:numRef>
              <c:f>'Graph format rapport CHG 1éch'!$H$9:$J$9</c:f>
              <c:numCache>
                <c:formatCode>General</c:formatCode>
                <c:ptCount val="3"/>
                <c:pt idx="0">
                  <c:v>8.0345071624523765</c:v>
                </c:pt>
                <c:pt idx="1">
                  <c:v>8.0345071624523765</c:v>
                </c:pt>
                <c:pt idx="2">
                  <c:v>8.0345071624523765</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Testosterone-3.7µg/L + Testostérone</c:v>
                </c:pt>
              </c:strCache>
            </c:strRef>
          </c:cat>
          <c:val>
            <c:numRef>
              <c:f>'Graph format rapport CHG 1éch'!$H$10:$J$10</c:f>
              <c:numCache>
                <c:formatCode>General</c:formatCode>
                <c:ptCount val="3"/>
                <c:pt idx="0">
                  <c:v>-5.5345071624523765</c:v>
                </c:pt>
                <c:pt idx="1">
                  <c:v>-5.5345071624523765</c:v>
                </c:pt>
                <c:pt idx="2">
                  <c:v>-5.5345071624523765</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424091D6-7019-49C7-9DFB-6BD91AF2D03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0FF03616-E95D-4A15-B433-72E39A9C9C6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0.3818035043936529</c:v>
                  </c:pt>
                </c:numCache>
              </c:numRef>
            </c:plus>
            <c:minus>
              <c:numRef>
                <c:f>'Graph format rapport CHG 1éch'!$H$4:$J$4</c:f>
                <c:numCache>
                  <c:formatCode>General</c:formatCode>
                  <c:ptCount val="3"/>
                  <c:pt idx="1">
                    <c:v>0.3818035043936529</c:v>
                  </c:pt>
                </c:numCache>
              </c:numRef>
            </c:minus>
          </c:errBars>
          <c:cat>
            <c:strRef>
              <c:f>'Graph format rapport CHG 1éch'!$H$2:$J$2</c:f>
              <c:strCache>
                <c:ptCount val="2"/>
                <c:pt idx="1">
                  <c:v>Testosterone-3.7µg/L + Testostérone</c:v>
                </c:pt>
              </c:strCache>
            </c:strRef>
          </c:cat>
          <c:val>
            <c:numRef>
              <c:f>'Graph format rapport CHG 1éch'!$H$3:$J$3</c:f>
              <c:numCache>
                <c:formatCode>General</c:formatCode>
                <c:ptCount val="3"/>
                <c:pt idx="1">
                  <c:v>1.5716009600130505</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Testosterone-3.7µg/L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799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014376" y="9913925"/>
          <a:ext cx="8260636" cy="1056562"/>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177852" y="3792683"/>
          <a:ext cx="8260636" cy="1048398"/>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195487" y="9913925"/>
          <a:ext cx="8260636" cy="1056562"/>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358963" y="3792683"/>
          <a:ext cx="8260636" cy="1048398"/>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41.420742013892" createdVersion="6" refreshedVersion="8" minRefreshableVersion="3" recordCount="52" xr:uid="{8DEF666A-6C7D-4C16-AD6D-82242760D5D9}">
  <cacheSource type="worksheet">
    <worksheetSource name="liste_groupe"/>
  </cacheSource>
  <cacheFields count="6">
    <cacheField name="Nom sur le graphique" numFmtId="0">
      <sharedItems count="14">
        <s v="Témoin solvant"/>
        <s v="EE2-22,5ng/L"/>
        <s v="EE2-33,8ng/L"/>
        <s v="EE2-50,6ng/L"/>
        <s v="EE2-76ng/L"/>
        <s v="EE2-114ng/L"/>
        <s v="EE2-170,9ng/L"/>
        <s v="EE2-488ng/L"/>
        <s v=" "/>
        <s v="Testo -30µg/L"/>
        <s v="Testo 30µg/L + EE2 -64ng/L"/>
        <s v="Testo 30µg/L + FAD-10µg/L"/>
        <s v="0-00 + Testostérone"/>
        <s v="Testo 30µg/L + FAD-10mg/L" u="1"/>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41.420742361108" createdVersion="5" refreshedVersion="8" minRefreshableVersion="3" recordCount="1710" xr:uid="{00000000-000A-0000-FFFF-FFFF14000000}">
  <cacheSource type="worksheet">
    <worksheetSource name="Tableau467"/>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41.420742592592" createdVersion="5" refreshedVersion="8" minRefreshableVersion="3" recordCount="1530" xr:uid="{00000000-000A-0000-FFFF-FFFF10000000}">
  <cacheSource type="worksheet">
    <worksheetSource name="Tableau46"/>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41.420742708331" createdVersion="5" refreshedVersion="8" minRefreshableVersion="3" recordCount="1556" xr:uid="{00000000-000A-0000-FFFF-FFFF0C000000}">
  <cacheSource type="worksheet">
    <worksheetSource name="Tableau4"/>
  </cacheSource>
  <cacheFields count="9">
    <cacheField name="Nom groupe" numFmtId="0">
      <sharedItems containsBlank="1" count="2">
        <s v=""/>
        <m u="1"/>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9"/>
    <x v="0"/>
    <n v="30"/>
    <s v="µg/L"/>
    <s v="Testo "/>
    <x v="0"/>
  </r>
  <r>
    <x v="10"/>
    <x v="0"/>
    <n v="64"/>
    <s v="ng/L"/>
    <s v="Testo 30µg/L + EE2 "/>
    <x v="0"/>
  </r>
  <r>
    <x v="11"/>
    <x v="0"/>
    <n v="10"/>
    <s v="µg/L"/>
    <s v="Testo 30µg/L + FAD"/>
    <x v="0"/>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3"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3">
        <item m="1" x="1"/>
        <item x="0"/>
        <item t="default"/>
      </items>
    </pivotField>
    <pivotField axis="axisRow" subtotalTop="0" showAll="0" sortType="ascending">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v="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2"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1"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0"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14">
        <item x="12"/>
        <item x="8"/>
        <item x="1"/>
        <item x="2"/>
        <item x="3"/>
        <item x="4"/>
        <item x="5"/>
        <item x="6"/>
        <item x="7"/>
        <item x="10"/>
        <item m="1" x="13"/>
        <item x="9"/>
        <item x="0"/>
        <item x="11"/>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0"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14">
        <item x="12"/>
        <item x="8"/>
        <item x="1"/>
        <item x="2"/>
        <item x="3"/>
        <item x="4"/>
        <item x="5"/>
        <item x="6"/>
        <item x="7"/>
        <item x="10"/>
        <item m="1" x="13"/>
        <item x="9"/>
        <item x="0"/>
        <item x="11"/>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I1557" totalsRowShown="0">
  <autoFilter ref="A1:I1557" xr:uid="{00000000-0009-0000-0100-000004000000}"/>
  <tableColumns count="9">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I1531" totalsRowShown="0">
  <autoFilter ref="A1:I1531" xr:uid="{00000000-0009-0000-0100-000005000000}"/>
  <tableColumns count="9">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9.bin"/><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13" zoomScale="55" zoomScaleNormal="55" workbookViewId="0">
      <selection activeCell="C15" sqref="C15"/>
    </sheetView>
  </sheetViews>
  <sheetFormatPr defaultColWidth="11.5546875" defaultRowHeight="39" customHeight="1" x14ac:dyDescent="0.3"/>
  <cols>
    <col min="1" max="1" width="42" bestFit="1" customWidth="1"/>
    <col min="2" max="2" width="33.77734375" style="44" bestFit="1" customWidth="1"/>
    <col min="3" max="3" width="21.21875" customWidth="1"/>
    <col min="4" max="4" width="30.44140625" customWidth="1"/>
    <col min="5" max="5" width="62.21875" style="160" bestFit="1" customWidth="1"/>
    <col min="6" max="6" width="56.77734375" bestFit="1" customWidth="1"/>
    <col min="7" max="7" width="19.44140625" customWidth="1"/>
    <col min="8" max="8" width="15.21875" customWidth="1"/>
    <col min="9" max="9" width="18" customWidth="1"/>
    <col min="10" max="10" width="19.5546875" bestFit="1" customWidth="1"/>
  </cols>
  <sheetData>
    <row r="1" spans="1:9" ht="39" customHeight="1" thickBot="1" x14ac:dyDescent="0.35">
      <c r="A1" s="195" t="s">
        <v>36</v>
      </c>
      <c r="B1" s="196"/>
      <c r="C1" s="196"/>
      <c r="D1" s="196"/>
      <c r="E1" s="196"/>
      <c r="F1" s="196"/>
      <c r="G1" s="196"/>
      <c r="H1" s="196"/>
      <c r="I1" s="197"/>
    </row>
    <row r="2" spans="1:9" ht="21" x14ac:dyDescent="0.4">
      <c r="A2" s="188" t="s">
        <v>17</v>
      </c>
      <c r="B2" s="42" t="s">
        <v>115</v>
      </c>
      <c r="C2" s="198"/>
      <c r="D2" s="199"/>
      <c r="E2" s="42" t="s">
        <v>21</v>
      </c>
      <c r="F2" s="210"/>
      <c r="G2" s="211"/>
      <c r="H2" s="211"/>
      <c r="I2" s="212"/>
    </row>
    <row r="3" spans="1:9" ht="21" x14ac:dyDescent="0.4">
      <c r="A3" s="189" t="s">
        <v>18</v>
      </c>
      <c r="B3" s="43" t="s">
        <v>115</v>
      </c>
      <c r="C3" s="200"/>
      <c r="D3" s="201"/>
      <c r="E3" s="43" t="s">
        <v>21</v>
      </c>
      <c r="F3" s="207"/>
      <c r="G3" s="208"/>
      <c r="H3" s="208"/>
      <c r="I3" s="209"/>
    </row>
    <row r="4" spans="1:9" ht="21.6" thickBot="1" x14ac:dyDescent="0.45">
      <c r="A4" s="190" t="s">
        <v>22</v>
      </c>
      <c r="B4" s="178" t="s">
        <v>115</v>
      </c>
      <c r="C4" s="202"/>
      <c r="D4" s="203"/>
      <c r="E4" s="178" t="s">
        <v>21</v>
      </c>
      <c r="F4" s="204"/>
      <c r="G4" s="205"/>
      <c r="H4" s="205"/>
      <c r="I4" s="206"/>
    </row>
    <row r="5" spans="1:9" s="1" customFormat="1" ht="65.25" customHeight="1" thickBot="1" x14ac:dyDescent="0.35">
      <c r="A5" s="195" t="s">
        <v>37</v>
      </c>
      <c r="B5" s="196"/>
      <c r="C5" s="196"/>
      <c r="D5" s="196"/>
      <c r="E5" s="196"/>
      <c r="F5" s="196"/>
      <c r="G5" s="196"/>
      <c r="H5" s="196"/>
      <c r="I5" s="197"/>
    </row>
    <row r="6" spans="1:9" s="109" customFormat="1" ht="39" customHeight="1" x14ac:dyDescent="0.4">
      <c r="A6" s="75" t="s">
        <v>35</v>
      </c>
      <c r="B6" s="100" t="s">
        <v>7</v>
      </c>
      <c r="C6" s="64" t="s">
        <v>19</v>
      </c>
      <c r="D6" s="64" t="s">
        <v>75</v>
      </c>
      <c r="E6" s="157" t="s">
        <v>51</v>
      </c>
      <c r="F6" s="108" t="s">
        <v>78</v>
      </c>
    </row>
    <row r="7" spans="1:9" s="166" customFormat="1" ht="39" customHeight="1" x14ac:dyDescent="0.4">
      <c r="A7"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2" t="s">
        <v>123</v>
      </c>
      <c r="C7" s="163"/>
      <c r="D7" s="164"/>
      <c r="E7" s="165" t="s">
        <v>125</v>
      </c>
      <c r="F7" s="110"/>
    </row>
    <row r="8" spans="1:9" s="166" customFormat="1" ht="39" customHeight="1" x14ac:dyDescent="0.4">
      <c r="A8"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2" t="s">
        <v>123</v>
      </c>
      <c r="C8" s="163">
        <v>22.5</v>
      </c>
      <c r="D8" s="164" t="s">
        <v>124</v>
      </c>
      <c r="E8" s="165" t="s">
        <v>126</v>
      </c>
      <c r="F8" s="110"/>
    </row>
    <row r="9" spans="1:9" s="166" customFormat="1" ht="39" customHeight="1" x14ac:dyDescent="0.4">
      <c r="A9"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2" t="s">
        <v>123</v>
      </c>
      <c r="C9" s="163">
        <v>33.799999999999997</v>
      </c>
      <c r="D9" s="164" t="s">
        <v>124</v>
      </c>
      <c r="E9" s="165" t="s">
        <v>126</v>
      </c>
      <c r="F9" s="110"/>
    </row>
    <row r="10" spans="1:9" s="166" customFormat="1" ht="39" customHeight="1" x14ac:dyDescent="0.4">
      <c r="A10"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2" t="s">
        <v>123</v>
      </c>
      <c r="C10" s="163">
        <v>50.6</v>
      </c>
      <c r="D10" s="164" t="s">
        <v>124</v>
      </c>
      <c r="E10" s="165" t="s">
        <v>126</v>
      </c>
      <c r="F10" s="110"/>
    </row>
    <row r="11" spans="1:9" s="166" customFormat="1" ht="39" customHeight="1" x14ac:dyDescent="0.4">
      <c r="A11"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2" t="s">
        <v>123</v>
      </c>
      <c r="C11" s="163">
        <v>76</v>
      </c>
      <c r="D11" s="164" t="s">
        <v>124</v>
      </c>
      <c r="E11" s="165" t="s">
        <v>126</v>
      </c>
      <c r="F11" s="110"/>
    </row>
    <row r="12" spans="1:9" s="166" customFormat="1" ht="39" customHeight="1" x14ac:dyDescent="0.4">
      <c r="A12"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2" t="s">
        <v>123</v>
      </c>
      <c r="C12" s="163">
        <v>114</v>
      </c>
      <c r="D12" s="164" t="s">
        <v>124</v>
      </c>
      <c r="E12" s="165" t="s">
        <v>126</v>
      </c>
      <c r="F12" s="110"/>
    </row>
    <row r="13" spans="1:9" s="166" customFormat="1" ht="39" customHeight="1" x14ac:dyDescent="0.4">
      <c r="A13"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2" t="s">
        <v>123</v>
      </c>
      <c r="C13" s="163">
        <v>170.9</v>
      </c>
      <c r="D13" s="164" t="s">
        <v>124</v>
      </c>
      <c r="E13" s="165" t="s">
        <v>126</v>
      </c>
      <c r="F13" s="110"/>
    </row>
    <row r="14" spans="1:9" s="166" customFormat="1" ht="39" customHeight="1" x14ac:dyDescent="0.4">
      <c r="A14"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2" t="s">
        <v>123</v>
      </c>
      <c r="C14" s="163">
        <v>488</v>
      </c>
      <c r="D14" s="164" t="s">
        <v>124</v>
      </c>
      <c r="E14" s="165" t="s">
        <v>126</v>
      </c>
      <c r="F14" s="110"/>
    </row>
    <row r="15" spans="1:9" s="166" customFormat="1" ht="39" customHeight="1" x14ac:dyDescent="0.4">
      <c r="A15"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Testosterone-3.7µg/L</v>
      </c>
      <c r="B15" s="162" t="s">
        <v>166</v>
      </c>
      <c r="C15" s="163">
        <v>3.7</v>
      </c>
      <c r="D15" s="164" t="s">
        <v>127</v>
      </c>
      <c r="E15" s="165" t="s">
        <v>29</v>
      </c>
      <c r="F15" s="110"/>
    </row>
    <row r="16" spans="1:9" s="111" customFormat="1" ht="39" customHeight="1" x14ac:dyDescent="0.3">
      <c r="A1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Testosterone-11µg/L</v>
      </c>
      <c r="B16" s="162" t="s">
        <v>166</v>
      </c>
      <c r="C16" s="105">
        <v>11</v>
      </c>
      <c r="D16" s="164" t="s">
        <v>127</v>
      </c>
      <c r="E16" s="165" t="s">
        <v>29</v>
      </c>
      <c r="F16" s="110"/>
    </row>
    <row r="17" spans="1:6" s="111" customFormat="1" ht="39" customHeight="1" x14ac:dyDescent="0.3">
      <c r="A1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Testosterone-33µg/L</v>
      </c>
      <c r="B17" s="162" t="s">
        <v>166</v>
      </c>
      <c r="C17" s="105">
        <v>33</v>
      </c>
      <c r="D17" s="164" t="s">
        <v>127</v>
      </c>
      <c r="E17" s="165" t="s">
        <v>29</v>
      </c>
      <c r="F17" s="110"/>
    </row>
    <row r="18" spans="1:6" s="111" customFormat="1" ht="39" customHeight="1" x14ac:dyDescent="0.3">
      <c r="A1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Testosterone-100µg/L</v>
      </c>
      <c r="B18" s="162" t="s">
        <v>166</v>
      </c>
      <c r="C18" s="105">
        <v>100</v>
      </c>
      <c r="D18" s="164" t="s">
        <v>127</v>
      </c>
      <c r="E18" s="165" t="s">
        <v>29</v>
      </c>
      <c r="F18" s="110"/>
    </row>
    <row r="19" spans="1:6" s="111" customFormat="1" ht="39" customHeight="1" x14ac:dyDescent="0.3">
      <c r="A1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Testosterone-300µg/L</v>
      </c>
      <c r="B19" s="162" t="s">
        <v>166</v>
      </c>
      <c r="C19" s="105">
        <v>300</v>
      </c>
      <c r="D19" s="164" t="s">
        <v>127</v>
      </c>
      <c r="E19" s="165" t="s">
        <v>29</v>
      </c>
      <c r="F19" s="110"/>
    </row>
    <row r="20" spans="1:6" s="111" customFormat="1" ht="39" customHeight="1" x14ac:dyDescent="0.3">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5"/>
      <c r="D20" s="105"/>
      <c r="E20" s="40"/>
      <c r="F20" s="110"/>
    </row>
    <row r="21" spans="1:6" s="111" customFormat="1" ht="39" customHeight="1" x14ac:dyDescent="0.3">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1"/>
      <c r="C21" s="105"/>
      <c r="D21" s="105"/>
      <c r="E21" s="101"/>
      <c r="F21" s="110"/>
    </row>
    <row r="22" spans="1:6" s="111" customFormat="1" ht="39" customHeight="1" x14ac:dyDescent="0.3">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5"/>
      <c r="D22" s="105"/>
      <c r="E22" s="40"/>
      <c r="F22" s="110"/>
    </row>
    <row r="23" spans="1:6" s="111" customFormat="1" ht="39" customHeight="1" x14ac:dyDescent="0.3">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1"/>
      <c r="C23" s="105"/>
      <c r="D23" s="105"/>
      <c r="E23" s="101"/>
      <c r="F23" s="110"/>
    </row>
    <row r="24" spans="1:6" s="111" customFormat="1" ht="39" customHeight="1" x14ac:dyDescent="0.3">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5"/>
      <c r="D24" s="105"/>
      <c r="E24" s="40"/>
      <c r="F24" s="110"/>
    </row>
    <row r="25" spans="1:6" s="111" customFormat="1" ht="39" customHeight="1" x14ac:dyDescent="0.3">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1"/>
      <c r="C25" s="105"/>
      <c r="D25" s="105"/>
      <c r="E25" s="101"/>
      <c r="F25" s="110"/>
    </row>
    <row r="26" spans="1:6" s="111" customFormat="1" ht="39" customHeight="1" x14ac:dyDescent="0.3">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5"/>
      <c r="D26" s="105"/>
      <c r="E26" s="40"/>
      <c r="F26" s="110"/>
    </row>
    <row r="27" spans="1:6" s="111" customFormat="1" ht="39" customHeight="1" x14ac:dyDescent="0.3">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1"/>
      <c r="C27" s="105"/>
      <c r="D27" s="105"/>
      <c r="E27" s="101"/>
      <c r="F27" s="110"/>
    </row>
    <row r="28" spans="1:6" s="111" customFormat="1" ht="39" customHeight="1" x14ac:dyDescent="0.3">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5"/>
      <c r="D28" s="105"/>
      <c r="E28" s="40"/>
      <c r="F28" s="110"/>
    </row>
    <row r="29" spans="1:6" s="111" customFormat="1" ht="39" customHeight="1" x14ac:dyDescent="0.3">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1"/>
      <c r="C29" s="105"/>
      <c r="D29" s="105"/>
      <c r="E29" s="101"/>
      <c r="F29" s="110"/>
    </row>
    <row r="30" spans="1:6" s="111" customFormat="1" ht="39" customHeight="1" x14ac:dyDescent="0.3">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5"/>
      <c r="D30" s="114"/>
      <c r="E30" s="40"/>
      <c r="F30" s="110"/>
    </row>
    <row r="31" spans="1:6" s="111" customFormat="1" ht="39" customHeight="1" x14ac:dyDescent="0.3">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1"/>
      <c r="C31" s="105"/>
      <c r="D31" s="114"/>
      <c r="E31" s="101"/>
      <c r="F31" s="110"/>
    </row>
    <row r="32" spans="1:6" s="111" customFormat="1" ht="39" customHeight="1" x14ac:dyDescent="0.3">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5"/>
      <c r="D32" s="114"/>
      <c r="E32" s="40"/>
      <c r="F32" s="110"/>
    </row>
    <row r="33" spans="1:6" s="111" customFormat="1" ht="39" customHeight="1" x14ac:dyDescent="0.3">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1"/>
      <c r="C33" s="105"/>
      <c r="D33" s="114"/>
      <c r="E33" s="101"/>
      <c r="F33" s="110"/>
    </row>
    <row r="34" spans="1:6" s="111" customFormat="1" ht="39" customHeight="1" x14ac:dyDescent="0.3">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5"/>
      <c r="D34" s="114"/>
      <c r="E34" s="40"/>
      <c r="F34" s="110"/>
    </row>
    <row r="35" spans="1:6" s="111" customFormat="1" ht="39" customHeight="1" thickBot="1" x14ac:dyDescent="0.35">
      <c r="A3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7"/>
      <c r="C35" s="168"/>
      <c r="D35" s="115"/>
      <c r="E35" s="167"/>
      <c r="F35" s="110"/>
    </row>
    <row r="36" spans="1:6" s="111" customFormat="1" ht="39" customHeight="1" x14ac:dyDescent="0.3">
      <c r="A36" s="16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2" t="s">
        <v>123</v>
      </c>
      <c r="C36" s="106">
        <v>30</v>
      </c>
      <c r="D36" s="116" t="s">
        <v>127</v>
      </c>
      <c r="E36" s="158" t="s">
        <v>20</v>
      </c>
      <c r="F36" s="170"/>
    </row>
    <row r="37" spans="1:6" s="111" customFormat="1" ht="39" customHeight="1" thickBot="1" x14ac:dyDescent="0.35">
      <c r="A37" s="17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3" t="s">
        <v>123</v>
      </c>
      <c r="C37" s="107">
        <v>64</v>
      </c>
      <c r="D37" s="117" t="s">
        <v>124</v>
      </c>
      <c r="E37" s="159" t="s">
        <v>128</v>
      </c>
      <c r="F37" s="172"/>
    </row>
    <row r="38" spans="1:6" s="111" customFormat="1" ht="39" customHeight="1" thickBot="1" x14ac:dyDescent="0.35">
      <c r="A38" s="1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FAD-10µg/L</v>
      </c>
      <c r="B38" s="174" t="s">
        <v>123</v>
      </c>
      <c r="C38" s="175">
        <v>10</v>
      </c>
      <c r="D38" s="116" t="s">
        <v>127</v>
      </c>
      <c r="E38" s="176" t="s">
        <v>129</v>
      </c>
      <c r="F38" s="177"/>
    </row>
    <row r="39" spans="1:6" s="111" customFormat="1" ht="39" customHeight="1" x14ac:dyDescent="0.3">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Testosterone-3.7µg/L + Testostérone</v>
      </c>
      <c r="B39" s="191" t="str">
        <f>B15</f>
        <v>Test</v>
      </c>
      <c r="C39" s="191">
        <f t="shared" ref="C39:E39" si="0">C15</f>
        <v>3.7</v>
      </c>
      <c r="D39" s="191" t="str">
        <f t="shared" si="0"/>
        <v>µg/L</v>
      </c>
      <c r="E39" s="191" t="str">
        <f t="shared" si="0"/>
        <v>Testosterone</v>
      </c>
      <c r="F39" s="112" t="s">
        <v>50</v>
      </c>
    </row>
    <row r="40" spans="1:6" s="111" customFormat="1" ht="39" customHeight="1" x14ac:dyDescent="0.3">
      <c r="A4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Testosterone-11µg/L + Testostérone</v>
      </c>
      <c r="B40" s="193" t="str">
        <f t="shared" ref="B40:E40" si="1">B16</f>
        <v>Test</v>
      </c>
      <c r="C40" s="193">
        <f t="shared" si="1"/>
        <v>11</v>
      </c>
      <c r="D40" s="193" t="str">
        <f t="shared" si="1"/>
        <v>µg/L</v>
      </c>
      <c r="E40" s="193" t="str">
        <f t="shared" si="1"/>
        <v>Testosterone</v>
      </c>
      <c r="F40" s="113" t="s">
        <v>50</v>
      </c>
    </row>
    <row r="41" spans="1:6" s="111" customFormat="1" ht="39" customHeight="1" x14ac:dyDescent="0.3">
      <c r="A4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Testosterone-33µg/L + Testostérone</v>
      </c>
      <c r="B41" s="193" t="str">
        <f t="shared" ref="B41:E41" si="2">B17</f>
        <v>Test</v>
      </c>
      <c r="C41" s="193">
        <f t="shared" si="2"/>
        <v>33</v>
      </c>
      <c r="D41" s="193" t="str">
        <f t="shared" si="2"/>
        <v>µg/L</v>
      </c>
      <c r="E41" s="193" t="str">
        <f t="shared" si="2"/>
        <v>Testosterone</v>
      </c>
      <c r="F41" s="113" t="s">
        <v>50</v>
      </c>
    </row>
    <row r="42" spans="1:6" s="111" customFormat="1" ht="39" customHeight="1" x14ac:dyDescent="0.3">
      <c r="A4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Testosterone-100µg/L + Testostérone</v>
      </c>
      <c r="B42" s="193" t="str">
        <f t="shared" ref="B42:E42" si="3">B18</f>
        <v>Test</v>
      </c>
      <c r="C42" s="193">
        <f t="shared" si="3"/>
        <v>100</v>
      </c>
      <c r="D42" s="193" t="str">
        <f t="shared" si="3"/>
        <v>µg/L</v>
      </c>
      <c r="E42" s="193" t="str">
        <f t="shared" si="3"/>
        <v>Testosterone</v>
      </c>
      <c r="F42" s="113" t="s">
        <v>50</v>
      </c>
    </row>
    <row r="43" spans="1:6" s="111" customFormat="1" ht="39" customHeight="1" x14ac:dyDescent="0.3">
      <c r="A4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Testosterone-300µg/L + Testostérone</v>
      </c>
      <c r="B43" s="193" t="str">
        <f t="shared" ref="B43:E43" si="4">B19</f>
        <v>Test</v>
      </c>
      <c r="C43" s="193">
        <f t="shared" si="4"/>
        <v>300</v>
      </c>
      <c r="D43" s="193" t="str">
        <f t="shared" si="4"/>
        <v>µg/L</v>
      </c>
      <c r="E43" s="193" t="str">
        <f t="shared" si="4"/>
        <v>Testosterone</v>
      </c>
      <c r="F43" s="113" t="s">
        <v>50</v>
      </c>
    </row>
    <row r="44" spans="1:6" s="111" customFormat="1" ht="39" customHeight="1" x14ac:dyDescent="0.3">
      <c r="A4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3">
        <f t="shared" ref="B44:E44" si="5">B20</f>
        <v>0</v>
      </c>
      <c r="C44" s="193">
        <f t="shared" si="5"/>
        <v>0</v>
      </c>
      <c r="D44" s="193">
        <f t="shared" si="5"/>
        <v>0</v>
      </c>
      <c r="E44" s="193">
        <f t="shared" si="5"/>
        <v>0</v>
      </c>
      <c r="F44" s="113" t="s">
        <v>50</v>
      </c>
    </row>
    <row r="45" spans="1:6" s="111" customFormat="1" ht="39" customHeight="1" x14ac:dyDescent="0.3">
      <c r="A4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3">
        <f t="shared" ref="B45:E45" si="6">B21</f>
        <v>0</v>
      </c>
      <c r="C45" s="193">
        <f t="shared" si="6"/>
        <v>0</v>
      </c>
      <c r="D45" s="193">
        <f t="shared" si="6"/>
        <v>0</v>
      </c>
      <c r="E45" s="193">
        <f t="shared" si="6"/>
        <v>0</v>
      </c>
      <c r="F45" s="113" t="s">
        <v>50</v>
      </c>
    </row>
    <row r="46" spans="1:6" s="111" customFormat="1" ht="39" customHeight="1" x14ac:dyDescent="0.3">
      <c r="A4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3">
        <f t="shared" ref="B46:E46" si="7">B22</f>
        <v>0</v>
      </c>
      <c r="C46" s="193">
        <f t="shared" si="7"/>
        <v>0</v>
      </c>
      <c r="D46" s="193">
        <f t="shared" si="7"/>
        <v>0</v>
      </c>
      <c r="E46" s="193">
        <f t="shared" si="7"/>
        <v>0</v>
      </c>
      <c r="F46" s="113" t="s">
        <v>50</v>
      </c>
    </row>
    <row r="47" spans="1:6" s="111" customFormat="1" ht="39" customHeight="1" x14ac:dyDescent="0.3">
      <c r="A4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3">
        <f t="shared" ref="B47:E47" si="8">B23</f>
        <v>0</v>
      </c>
      <c r="C47" s="193">
        <f t="shared" si="8"/>
        <v>0</v>
      </c>
      <c r="D47" s="193">
        <f t="shared" si="8"/>
        <v>0</v>
      </c>
      <c r="E47" s="193">
        <f t="shared" si="8"/>
        <v>0</v>
      </c>
      <c r="F47" s="113" t="s">
        <v>50</v>
      </c>
    </row>
    <row r="48" spans="1:6" s="111" customFormat="1" ht="39" customHeight="1" x14ac:dyDescent="0.3">
      <c r="A48"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3">
        <f t="shared" ref="B48:E48" si="9">B24</f>
        <v>0</v>
      </c>
      <c r="C48" s="193">
        <f t="shared" si="9"/>
        <v>0</v>
      </c>
      <c r="D48" s="193">
        <f t="shared" si="9"/>
        <v>0</v>
      </c>
      <c r="E48" s="193">
        <f t="shared" si="9"/>
        <v>0</v>
      </c>
      <c r="F48" s="113" t="s">
        <v>50</v>
      </c>
    </row>
    <row r="49" spans="1:6" s="111" customFormat="1" ht="39" customHeight="1" x14ac:dyDescent="0.3">
      <c r="A49"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3">
        <f t="shared" ref="B49:E49" si="10">B25</f>
        <v>0</v>
      </c>
      <c r="C49" s="193">
        <f t="shared" si="10"/>
        <v>0</v>
      </c>
      <c r="D49" s="193">
        <f t="shared" si="10"/>
        <v>0</v>
      </c>
      <c r="E49" s="193">
        <f t="shared" si="10"/>
        <v>0</v>
      </c>
      <c r="F49" s="113" t="s">
        <v>50</v>
      </c>
    </row>
    <row r="50" spans="1:6" s="111" customFormat="1" ht="39" customHeight="1" x14ac:dyDescent="0.3">
      <c r="A5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3">
        <f t="shared" ref="B50:E50" si="11">B26</f>
        <v>0</v>
      </c>
      <c r="C50" s="193">
        <f t="shared" si="11"/>
        <v>0</v>
      </c>
      <c r="D50" s="193">
        <f t="shared" si="11"/>
        <v>0</v>
      </c>
      <c r="E50" s="193">
        <f t="shared" si="11"/>
        <v>0</v>
      </c>
      <c r="F50" s="113" t="s">
        <v>50</v>
      </c>
    </row>
    <row r="51" spans="1:6" s="111" customFormat="1" ht="39" customHeight="1" x14ac:dyDescent="0.3">
      <c r="A5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3">
        <f t="shared" ref="B51:E51" si="12">B27</f>
        <v>0</v>
      </c>
      <c r="C51" s="193">
        <f t="shared" si="12"/>
        <v>0</v>
      </c>
      <c r="D51" s="193">
        <f t="shared" si="12"/>
        <v>0</v>
      </c>
      <c r="E51" s="193">
        <f t="shared" si="12"/>
        <v>0</v>
      </c>
      <c r="F51" s="113" t="s">
        <v>50</v>
      </c>
    </row>
    <row r="52" spans="1:6" s="111" customFormat="1" ht="39" customHeight="1" x14ac:dyDescent="0.3">
      <c r="A5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3">
        <f t="shared" ref="B52:E52" si="13">B28</f>
        <v>0</v>
      </c>
      <c r="C52" s="193">
        <f t="shared" si="13"/>
        <v>0</v>
      </c>
      <c r="D52" s="193">
        <f t="shared" si="13"/>
        <v>0</v>
      </c>
      <c r="E52" s="193">
        <f t="shared" si="13"/>
        <v>0</v>
      </c>
      <c r="F52" s="113" t="s">
        <v>50</v>
      </c>
    </row>
    <row r="53" spans="1:6" s="111" customFormat="1" ht="39" customHeight="1" x14ac:dyDescent="0.3">
      <c r="A5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3">
        <f t="shared" ref="B53:E53" si="14">B29</f>
        <v>0</v>
      </c>
      <c r="C53" s="193">
        <f t="shared" si="14"/>
        <v>0</v>
      </c>
      <c r="D53" s="193">
        <f t="shared" si="14"/>
        <v>0</v>
      </c>
      <c r="E53" s="193">
        <f t="shared" si="14"/>
        <v>0</v>
      </c>
      <c r="F53" s="113" t="s">
        <v>50</v>
      </c>
    </row>
    <row r="54" spans="1:6" s="111" customFormat="1" ht="39" customHeight="1" x14ac:dyDescent="0.3">
      <c r="A5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3">
        <f t="shared" ref="B54:E54" si="15">B30</f>
        <v>0</v>
      </c>
      <c r="C54" s="193">
        <f t="shared" si="15"/>
        <v>0</v>
      </c>
      <c r="D54" s="193">
        <f t="shared" si="15"/>
        <v>0</v>
      </c>
      <c r="E54" s="193">
        <f t="shared" si="15"/>
        <v>0</v>
      </c>
      <c r="F54" s="113" t="s">
        <v>50</v>
      </c>
    </row>
    <row r="55" spans="1:6" s="111" customFormat="1" ht="39" customHeight="1" x14ac:dyDescent="0.3">
      <c r="A5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3">
        <f t="shared" ref="B55:E55" si="16">B31</f>
        <v>0</v>
      </c>
      <c r="C55" s="193">
        <f t="shared" si="16"/>
        <v>0</v>
      </c>
      <c r="D55" s="193">
        <f t="shared" si="16"/>
        <v>0</v>
      </c>
      <c r="E55" s="193">
        <f t="shared" si="16"/>
        <v>0</v>
      </c>
      <c r="F55" s="113" t="s">
        <v>50</v>
      </c>
    </row>
    <row r="56" spans="1:6" s="111" customFormat="1" ht="39" customHeight="1" x14ac:dyDescent="0.3">
      <c r="A5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3">
        <f t="shared" ref="B56:E56" si="17">B32</f>
        <v>0</v>
      </c>
      <c r="C56" s="193">
        <f t="shared" si="17"/>
        <v>0</v>
      </c>
      <c r="D56" s="193">
        <f t="shared" si="17"/>
        <v>0</v>
      </c>
      <c r="E56" s="193">
        <f t="shared" si="17"/>
        <v>0</v>
      </c>
      <c r="F56" s="113" t="s">
        <v>50</v>
      </c>
    </row>
    <row r="57" spans="1:6" s="111" customFormat="1" ht="39" customHeight="1" x14ac:dyDescent="0.3">
      <c r="A5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3">
        <f t="shared" ref="B57:E57" si="18">B33</f>
        <v>0</v>
      </c>
      <c r="C57" s="193">
        <f t="shared" si="18"/>
        <v>0</v>
      </c>
      <c r="D57" s="193">
        <f t="shared" si="18"/>
        <v>0</v>
      </c>
      <c r="E57" s="193">
        <f t="shared" si="18"/>
        <v>0</v>
      </c>
      <c r="F57" s="113" t="s">
        <v>50</v>
      </c>
    </row>
    <row r="58" spans="1:6" s="111" customFormat="1" ht="39" customHeight="1" x14ac:dyDescent="0.3">
      <c r="A58" s="10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2">
        <f t="shared" ref="B58:E58" si="19">B34</f>
        <v>0</v>
      </c>
      <c r="C58" s="192">
        <f t="shared" si="19"/>
        <v>0</v>
      </c>
      <c r="D58" s="192">
        <f t="shared" si="19"/>
        <v>0</v>
      </c>
      <c r="E58" s="192">
        <f t="shared" si="19"/>
        <v>0</v>
      </c>
      <c r="F58" s="113" t="s">
        <v>50</v>
      </c>
    </row>
  </sheetData>
  <protectedRanges>
    <protectedRange sqref="A16:A52 C20:D38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24" orientation="landscape" r:id="rId1"/>
  <headerFooter>
    <oddHeader>&amp;C&amp;"-,Gras"&amp;20Résultats&amp;R&amp;"-,Gras"&amp;20Page : &amp;P/&amp;P</oddHeader>
    <oddFooter>&amp;C&amp;1#&amp;"Arial"&amp;10&amp;K000000Internal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defaultColWidth="11.5546875" defaultRowHeight="14.4" x14ac:dyDescent="0.3"/>
  <cols>
    <col min="1" max="1" width="14.21875" customWidth="1"/>
    <col min="2" max="2" width="14" customWidth="1"/>
    <col min="3" max="3" width="11.5546875" customWidth="1"/>
    <col min="4" max="4" width="12.44140625" customWidth="1"/>
    <col min="5" max="5" width="17.21875" customWidth="1"/>
    <col min="7" max="7" width="19.5546875" customWidth="1"/>
    <col min="9" max="9" width="15.77734375" customWidth="1"/>
  </cols>
  <sheetData>
    <row r="1" spans="1:9" x14ac:dyDescent="0.3">
      <c r="A1" t="s">
        <v>107</v>
      </c>
      <c r="B1" t="s">
        <v>108</v>
      </c>
      <c r="C1" t="s">
        <v>109</v>
      </c>
      <c r="D1" t="s">
        <v>110</v>
      </c>
      <c r="E1" t="s">
        <v>111</v>
      </c>
      <c r="F1" t="s">
        <v>112</v>
      </c>
      <c r="G1" t="s">
        <v>113</v>
      </c>
      <c r="H1" t="s">
        <v>117</v>
      </c>
      <c r="I1" t="s">
        <v>118</v>
      </c>
    </row>
    <row r="2" spans="1:9" x14ac:dyDescent="0.3">
      <c r="A2" t="s">
        <v>152</v>
      </c>
      <c r="B2" t="s">
        <v>163</v>
      </c>
      <c r="C2" t="s">
        <v>143</v>
      </c>
      <c r="D2" t="s">
        <v>146</v>
      </c>
      <c r="E2" t="s">
        <v>147</v>
      </c>
      <c r="F2" t="s">
        <v>112</v>
      </c>
      <c r="G2">
        <v>360268</v>
      </c>
    </row>
    <row r="3" spans="1:9" x14ac:dyDescent="0.3">
      <c r="A3" t="s">
        <v>152</v>
      </c>
      <c r="B3" t="s">
        <v>163</v>
      </c>
      <c r="C3" t="s">
        <v>144</v>
      </c>
      <c r="D3" t="s">
        <v>148</v>
      </c>
      <c r="E3" t="s">
        <v>149</v>
      </c>
      <c r="F3" t="s">
        <v>112</v>
      </c>
      <c r="G3">
        <v>372315</v>
      </c>
    </row>
    <row r="4" spans="1:9" x14ac:dyDescent="0.3">
      <c r="A4" t="s">
        <v>152</v>
      </c>
      <c r="B4" t="s">
        <v>163</v>
      </c>
      <c r="C4" t="s">
        <v>145</v>
      </c>
      <c r="D4" t="s">
        <v>150</v>
      </c>
      <c r="E4" t="s">
        <v>151</v>
      </c>
      <c r="F4" t="s">
        <v>112</v>
      </c>
      <c r="G4">
        <v>237626</v>
      </c>
    </row>
    <row r="5" spans="1:9" x14ac:dyDescent="0.3">
      <c r="A5" t="s">
        <v>152</v>
      </c>
      <c r="B5" t="s">
        <v>163</v>
      </c>
      <c r="C5" t="s">
        <v>160</v>
      </c>
      <c r="D5" t="s">
        <v>161</v>
      </c>
      <c r="E5" t="s">
        <v>162</v>
      </c>
      <c r="F5" t="s">
        <v>112</v>
      </c>
      <c r="G5">
        <v>1439015</v>
      </c>
    </row>
    <row r="6" spans="1:9" x14ac:dyDescent="0.3">
      <c r="A6" t="s">
        <v>152</v>
      </c>
      <c r="B6" t="s">
        <v>163</v>
      </c>
      <c r="C6" t="s">
        <v>157</v>
      </c>
      <c r="D6" t="s">
        <v>158</v>
      </c>
      <c r="E6" t="s">
        <v>159</v>
      </c>
      <c r="F6" t="s">
        <v>112</v>
      </c>
      <c r="G6">
        <v>1433586</v>
      </c>
    </row>
    <row r="7" spans="1:9" x14ac:dyDescent="0.3">
      <c r="A7" t="s">
        <v>152</v>
      </c>
      <c r="B7" t="s">
        <v>163</v>
      </c>
      <c r="C7" t="s">
        <v>154</v>
      </c>
      <c r="D7" t="s">
        <v>155</v>
      </c>
      <c r="E7" t="s">
        <v>156</v>
      </c>
      <c r="F7" t="s">
        <v>112</v>
      </c>
      <c r="G7">
        <v>1115346</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A1536" zoomScale="70" zoomScaleNormal="70" workbookViewId="0">
      <selection activeCell="A2" sqref="A2:A1557"/>
    </sheetView>
  </sheetViews>
  <sheetFormatPr defaultColWidth="11.44140625" defaultRowHeight="14.4" x14ac:dyDescent="0.3"/>
  <cols>
    <col min="1" max="1" width="15" style="1" customWidth="1"/>
    <col min="2" max="2" width="26.5546875" style="1" customWidth="1"/>
    <col min="3" max="3" width="87.21875" style="1" bestFit="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5.44140625" style="1" customWidth="1"/>
    <col min="12" max="12" width="15.44140625" style="1" customWidth="1"/>
    <col min="13" max="14" width="12.77734375" style="1" customWidth="1"/>
    <col min="15" max="20" width="12.21875" style="1" customWidth="1"/>
    <col min="21" max="21" width="17.44140625" style="1" customWidth="1"/>
    <col min="22" max="25" width="12.21875" style="1" customWidth="1"/>
    <col min="26" max="27" width="15.5546875" style="1" customWidth="1"/>
    <col min="28" max="28" width="14.21875" style="1" customWidth="1"/>
    <col min="29" max="16384" width="11.44140625" style="1"/>
  </cols>
  <sheetData>
    <row r="1" spans="1:144" x14ac:dyDescent="0.3">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
      </c>
      <c r="B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
      </c>
      <c r="B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
      </c>
      <c r="B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
      </c>
      <c r="B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
      </c>
      <c r="B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
      </c>
      <c r="B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
      </c>
      <c r="B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
      </c>
      <c r="B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
      </c>
      <c r="B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
      </c>
      <c r="B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 spans="1:144" x14ac:dyDescent="0.3">
      <c r="A12" s="1" t="str">
        <f t="shared" si="0"/>
        <v/>
      </c>
      <c r="B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 spans="1:144" x14ac:dyDescent="0.3">
      <c r="A13" s="1" t="str">
        <f t="shared" si="0"/>
        <v/>
      </c>
      <c r="B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 spans="1:144" x14ac:dyDescent="0.3">
      <c r="A14" s="1" t="str">
        <f t="shared" si="0"/>
        <v/>
      </c>
      <c r="B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 spans="1:144" x14ac:dyDescent="0.3">
      <c r="A15" s="1" t="str">
        <f t="shared" si="0"/>
        <v/>
      </c>
      <c r="B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 spans="1:144" x14ac:dyDescent="0.3">
      <c r="A16" s="1" t="str">
        <f t="shared" si="0"/>
        <v/>
      </c>
      <c r="B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6"/>
      <c r="N16"/>
      <c r="O16"/>
      <c r="P16"/>
      <c r="Q16"/>
      <c r="R16"/>
      <c r="S16"/>
      <c r="T16"/>
      <c r="U16"/>
      <c r="V16"/>
      <c r="W16"/>
      <c r="X16"/>
      <c r="Y16"/>
      <c r="Z16"/>
      <c r="AA16"/>
      <c r="AB16"/>
      <c r="AC16"/>
      <c r="AD16"/>
      <c r="AE16"/>
      <c r="AF16"/>
      <c r="AG16"/>
      <c r="AH16"/>
    </row>
    <row r="17" spans="1:34" x14ac:dyDescent="0.3">
      <c r="A17" s="1" t="str">
        <f t="shared" si="0"/>
        <v/>
      </c>
      <c r="B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7"/>
      <c r="N17"/>
      <c r="O17"/>
      <c r="P17"/>
      <c r="Q17"/>
      <c r="R17"/>
      <c r="S17"/>
      <c r="T17"/>
      <c r="U17"/>
      <c r="V17"/>
      <c r="W17"/>
      <c r="X17"/>
      <c r="Y17"/>
      <c r="Z17"/>
      <c r="AA17"/>
      <c r="AB17"/>
      <c r="AC17"/>
      <c r="AD17"/>
      <c r="AE17"/>
      <c r="AF17"/>
      <c r="AG17"/>
      <c r="AH17"/>
    </row>
    <row r="18" spans="1:34" x14ac:dyDescent="0.3">
      <c r="A18" s="1" t="str">
        <f t="shared" si="0"/>
        <v/>
      </c>
      <c r="B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8"/>
      <c r="N18"/>
      <c r="O18"/>
      <c r="P18"/>
      <c r="Q18"/>
      <c r="R18"/>
      <c r="S18"/>
      <c r="T18"/>
      <c r="U18"/>
      <c r="V18"/>
      <c r="W18"/>
      <c r="X18"/>
      <c r="Y18"/>
      <c r="Z18"/>
      <c r="AA18"/>
      <c r="AB18"/>
      <c r="AC18"/>
      <c r="AD18"/>
      <c r="AE18"/>
      <c r="AF18"/>
      <c r="AG18"/>
      <c r="AH18"/>
    </row>
    <row r="19" spans="1:34" x14ac:dyDescent="0.3">
      <c r="A19" s="1" t="str">
        <f t="shared" si="0"/>
        <v/>
      </c>
      <c r="B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9"/>
      <c r="L19"/>
      <c r="M19"/>
      <c r="N19"/>
      <c r="O19"/>
      <c r="P19"/>
      <c r="Q19"/>
      <c r="R19"/>
      <c r="S19"/>
      <c r="T19"/>
      <c r="U19"/>
      <c r="V19"/>
      <c r="W19"/>
      <c r="X19"/>
      <c r="Y19"/>
      <c r="Z19"/>
      <c r="AA19"/>
      <c r="AB19"/>
      <c r="AC19"/>
      <c r="AD19"/>
      <c r="AE19"/>
      <c r="AF19"/>
      <c r="AG19"/>
      <c r="AH19"/>
    </row>
    <row r="20" spans="1:34" x14ac:dyDescent="0.3">
      <c r="A20" s="1" t="str">
        <f t="shared" si="0"/>
        <v/>
      </c>
      <c r="B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0"/>
      <c r="L20"/>
      <c r="M20"/>
      <c r="N20"/>
      <c r="O20"/>
      <c r="P20"/>
      <c r="Q20"/>
      <c r="R20"/>
      <c r="S20"/>
      <c r="T20"/>
      <c r="U20"/>
      <c r="V20"/>
      <c r="W20"/>
      <c r="X20"/>
      <c r="Y20"/>
      <c r="Z20"/>
      <c r="AA20"/>
      <c r="AB20"/>
      <c r="AC20"/>
      <c r="AD20"/>
      <c r="AE20"/>
      <c r="AF20"/>
      <c r="AG20"/>
      <c r="AH20"/>
    </row>
    <row r="21" spans="1:34" x14ac:dyDescent="0.3">
      <c r="A21" s="1" t="str">
        <f t="shared" si="0"/>
        <v/>
      </c>
      <c r="B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1"/>
      <c r="L21"/>
      <c r="M21"/>
      <c r="N21"/>
      <c r="O21"/>
      <c r="P21"/>
      <c r="Q21"/>
      <c r="R21"/>
      <c r="S21"/>
      <c r="T21"/>
      <c r="U21"/>
      <c r="V21"/>
      <c r="W21"/>
      <c r="X21"/>
      <c r="Y21"/>
      <c r="Z21"/>
      <c r="AA21"/>
      <c r="AB21"/>
      <c r="AC21"/>
      <c r="AD21"/>
      <c r="AE21"/>
      <c r="AF21"/>
      <c r="AG21"/>
      <c r="AH21"/>
    </row>
    <row r="22" spans="1:34" x14ac:dyDescent="0.3">
      <c r="A22" s="1" t="str">
        <f t="shared" si="0"/>
        <v/>
      </c>
      <c r="B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2"/>
      <c r="L22"/>
      <c r="M22"/>
      <c r="N22"/>
      <c r="O22"/>
      <c r="P22"/>
      <c r="Q22"/>
      <c r="R22"/>
      <c r="S22"/>
      <c r="T22"/>
      <c r="U22"/>
      <c r="V22"/>
      <c r="W22"/>
      <c r="X22"/>
      <c r="Y22"/>
      <c r="Z22"/>
      <c r="AA22"/>
      <c r="AB22"/>
      <c r="AC22"/>
      <c r="AD22"/>
      <c r="AE22"/>
      <c r="AF22"/>
      <c r="AG22"/>
      <c r="AH22"/>
    </row>
    <row r="23" spans="1:34" x14ac:dyDescent="0.3">
      <c r="A23" s="1" t="str">
        <f t="shared" si="0"/>
        <v/>
      </c>
      <c r="B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3"/>
      <c r="L23"/>
      <c r="M23"/>
      <c r="N23"/>
      <c r="O23"/>
      <c r="P23"/>
      <c r="Q23"/>
      <c r="R23"/>
      <c r="S23"/>
      <c r="T23"/>
      <c r="U23"/>
      <c r="V23"/>
      <c r="W23"/>
      <c r="X23"/>
      <c r="Y23"/>
      <c r="Z23"/>
      <c r="AA23"/>
      <c r="AB23"/>
      <c r="AC23"/>
      <c r="AD23"/>
      <c r="AE23"/>
      <c r="AF23"/>
      <c r="AG23"/>
      <c r="AH23"/>
    </row>
    <row r="24" spans="1:34" x14ac:dyDescent="0.3">
      <c r="A24" s="1" t="str">
        <f t="shared" si="0"/>
        <v/>
      </c>
      <c r="B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4"/>
      <c r="L24"/>
      <c r="M24"/>
      <c r="N24"/>
      <c r="O24"/>
      <c r="P24"/>
      <c r="Q24"/>
      <c r="R24"/>
      <c r="S24"/>
      <c r="T24"/>
      <c r="U24"/>
      <c r="V24"/>
      <c r="W24"/>
      <c r="X24"/>
      <c r="Y24"/>
      <c r="Z24"/>
      <c r="AA24"/>
      <c r="AB24"/>
      <c r="AC24"/>
      <c r="AD24"/>
      <c r="AE24"/>
      <c r="AF24"/>
      <c r="AG24"/>
      <c r="AH24"/>
    </row>
    <row r="25" spans="1:34" x14ac:dyDescent="0.3">
      <c r="A25" s="1" t="str">
        <f t="shared" si="0"/>
        <v/>
      </c>
      <c r="B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5"/>
      <c r="L25"/>
      <c r="M25"/>
      <c r="N25"/>
      <c r="O25"/>
      <c r="P25"/>
      <c r="Q25"/>
      <c r="R25"/>
      <c r="S25"/>
      <c r="T25"/>
      <c r="U25"/>
      <c r="V25"/>
      <c r="W25"/>
      <c r="X25"/>
      <c r="Y25"/>
      <c r="Z25"/>
      <c r="AA25"/>
      <c r="AB25"/>
      <c r="AC25"/>
      <c r="AD25"/>
      <c r="AE25"/>
      <c r="AF25"/>
      <c r="AG25"/>
      <c r="AH25"/>
    </row>
    <row r="26" spans="1:34" x14ac:dyDescent="0.3">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6"/>
      <c r="L26"/>
      <c r="M26"/>
      <c r="N26"/>
      <c r="O26"/>
      <c r="P26"/>
      <c r="Q26"/>
      <c r="R26"/>
      <c r="S26"/>
      <c r="T26"/>
      <c r="U26"/>
      <c r="V26"/>
      <c r="W26"/>
      <c r="X26"/>
      <c r="Y26"/>
      <c r="Z26"/>
      <c r="AA26"/>
      <c r="AB26"/>
      <c r="AC26"/>
      <c r="AD26"/>
      <c r="AE26"/>
      <c r="AF26"/>
      <c r="AG26"/>
      <c r="AH26"/>
    </row>
    <row r="27" spans="1:34" x14ac:dyDescent="0.3">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7"/>
      <c r="L27"/>
      <c r="M27"/>
      <c r="N27"/>
      <c r="O27"/>
      <c r="P27"/>
      <c r="Q27"/>
      <c r="R27"/>
      <c r="S27"/>
      <c r="T27"/>
      <c r="U27"/>
      <c r="V27"/>
      <c r="W27"/>
      <c r="X27"/>
      <c r="Y27"/>
      <c r="Z27"/>
      <c r="AA27"/>
      <c r="AB27"/>
      <c r="AC27"/>
      <c r="AD27"/>
      <c r="AE27"/>
      <c r="AF27"/>
      <c r="AG27"/>
      <c r="AH27"/>
    </row>
    <row r="28" spans="1:34" x14ac:dyDescent="0.3">
      <c r="A28" s="1" t="str">
        <f t="shared" si="0"/>
        <v/>
      </c>
      <c r="B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8"/>
      <c r="L28"/>
      <c r="M28"/>
      <c r="N28"/>
      <c r="O28"/>
      <c r="P28"/>
      <c r="Q28"/>
      <c r="R28"/>
      <c r="S28"/>
      <c r="T28"/>
      <c r="U28"/>
      <c r="V28"/>
      <c r="W28"/>
      <c r="X28"/>
      <c r="Y28"/>
      <c r="Z28"/>
      <c r="AA28"/>
      <c r="AB28"/>
      <c r="AC28"/>
      <c r="AD28"/>
      <c r="AE28"/>
      <c r="AF28"/>
      <c r="AG28"/>
      <c r="AH28"/>
    </row>
    <row r="29" spans="1:34" x14ac:dyDescent="0.3">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9"/>
      <c r="L29"/>
      <c r="M29"/>
      <c r="N29"/>
      <c r="O29"/>
      <c r="P29"/>
      <c r="Q29"/>
      <c r="R29"/>
      <c r="S29"/>
      <c r="T29"/>
      <c r="U29"/>
      <c r="V29"/>
      <c r="W29"/>
      <c r="X29"/>
      <c r="Y29"/>
      <c r="Z29"/>
      <c r="AA29"/>
      <c r="AB29"/>
      <c r="AC29"/>
      <c r="AD29"/>
      <c r="AE29"/>
      <c r="AF29"/>
      <c r="AG29"/>
      <c r="AH29"/>
    </row>
    <row r="30" spans="1:34" x14ac:dyDescent="0.3">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0"/>
      <c r="L30"/>
      <c r="M30"/>
      <c r="N30"/>
      <c r="O30"/>
      <c r="P30"/>
      <c r="Q30"/>
      <c r="R30"/>
      <c r="S30"/>
      <c r="T30"/>
      <c r="U30"/>
      <c r="V30"/>
      <c r="W30"/>
      <c r="X30"/>
      <c r="Y30"/>
      <c r="Z30"/>
      <c r="AA30"/>
      <c r="AB30"/>
      <c r="AC30"/>
      <c r="AD30"/>
      <c r="AE30"/>
      <c r="AF30"/>
      <c r="AG30"/>
      <c r="AH30"/>
    </row>
    <row r="31" spans="1:34" x14ac:dyDescent="0.3">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1"/>
      <c r="L31"/>
      <c r="M31"/>
      <c r="N31"/>
      <c r="O31"/>
      <c r="P31"/>
      <c r="Q31"/>
      <c r="R31"/>
      <c r="S31"/>
      <c r="T31"/>
      <c r="U31"/>
      <c r="V31"/>
      <c r="W31"/>
      <c r="X31"/>
      <c r="Y31"/>
      <c r="Z31"/>
      <c r="AA31"/>
      <c r="AB31"/>
      <c r="AC31"/>
      <c r="AD31"/>
      <c r="AE31"/>
      <c r="AF31"/>
      <c r="AG31"/>
      <c r="AH31"/>
    </row>
    <row r="32" spans="1:34" x14ac:dyDescent="0.3">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2"/>
      <c r="L32"/>
      <c r="M32"/>
      <c r="N32"/>
      <c r="O32"/>
      <c r="P32"/>
      <c r="Q32"/>
      <c r="R32"/>
      <c r="S32"/>
      <c r="T32"/>
      <c r="U32"/>
      <c r="V32"/>
      <c r="W32"/>
      <c r="X32"/>
      <c r="Y32"/>
      <c r="Z32"/>
      <c r="AA32"/>
      <c r="AB32"/>
      <c r="AC32"/>
      <c r="AD32"/>
      <c r="AE32"/>
      <c r="AF32"/>
      <c r="AG32"/>
      <c r="AH32"/>
    </row>
    <row r="33" spans="1:34" x14ac:dyDescent="0.3">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3"/>
      <c r="L33"/>
      <c r="M33"/>
      <c r="N33"/>
      <c r="O33"/>
      <c r="P33"/>
      <c r="Q33"/>
      <c r="R33"/>
      <c r="S33"/>
      <c r="T33"/>
      <c r="U33"/>
      <c r="V33"/>
      <c r="W33"/>
      <c r="X33"/>
      <c r="Y33"/>
      <c r="Z33"/>
      <c r="AA33"/>
      <c r="AB33"/>
      <c r="AC33"/>
      <c r="AD33"/>
      <c r="AE33"/>
      <c r="AF33"/>
      <c r="AG33"/>
      <c r="AH33"/>
    </row>
    <row r="34" spans="1:34" x14ac:dyDescent="0.3">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4"/>
      <c r="L34"/>
      <c r="M34"/>
      <c r="N34"/>
      <c r="O34"/>
      <c r="P34"/>
      <c r="Q34"/>
      <c r="R34"/>
      <c r="S34"/>
      <c r="T34"/>
      <c r="U34"/>
      <c r="V34"/>
      <c r="W34"/>
      <c r="X34"/>
      <c r="Y34"/>
      <c r="Z34"/>
      <c r="AA34"/>
      <c r="AB34"/>
      <c r="AC34"/>
      <c r="AD34"/>
      <c r="AE34"/>
      <c r="AF34"/>
      <c r="AG34"/>
      <c r="AH34"/>
    </row>
    <row r="35" spans="1:34" x14ac:dyDescent="0.3">
      <c r="A35" s="1" t="str">
        <f t="shared" si="0"/>
        <v/>
      </c>
      <c r="B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5"/>
      <c r="L35"/>
      <c r="M35"/>
      <c r="N35"/>
      <c r="O35"/>
      <c r="P35"/>
      <c r="Q35"/>
      <c r="R35"/>
      <c r="S35"/>
      <c r="T35"/>
      <c r="U35"/>
      <c r="V35"/>
      <c r="W35"/>
      <c r="X35"/>
      <c r="Y35"/>
      <c r="Z35"/>
      <c r="AA35"/>
      <c r="AB35"/>
      <c r="AC35"/>
      <c r="AD35"/>
      <c r="AE35"/>
      <c r="AF35"/>
      <c r="AG35"/>
      <c r="AH35"/>
    </row>
    <row r="36" spans="1:34" x14ac:dyDescent="0.3">
      <c r="A36" s="1" t="str">
        <f t="shared" si="0"/>
        <v/>
      </c>
      <c r="B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6"/>
      <c r="L36"/>
      <c r="M36"/>
      <c r="N36"/>
      <c r="O36"/>
      <c r="P36"/>
      <c r="Q36"/>
      <c r="R36"/>
      <c r="S36"/>
      <c r="T36"/>
      <c r="U36"/>
      <c r="V36"/>
      <c r="W36"/>
      <c r="X36"/>
      <c r="Y36"/>
      <c r="Z36"/>
      <c r="AA36"/>
      <c r="AB36"/>
      <c r="AC36"/>
      <c r="AD36"/>
      <c r="AE36"/>
      <c r="AF36"/>
      <c r="AG36"/>
      <c r="AH36"/>
    </row>
    <row r="37" spans="1:34" x14ac:dyDescent="0.3">
      <c r="A37" s="1" t="str">
        <f t="shared" si="0"/>
        <v/>
      </c>
      <c r="B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7"/>
      <c r="L37"/>
      <c r="M37"/>
      <c r="N37"/>
      <c r="O37"/>
      <c r="P37"/>
      <c r="Q37"/>
      <c r="R37"/>
      <c r="S37"/>
      <c r="T37"/>
      <c r="U37"/>
      <c r="V37"/>
      <c r="W37"/>
      <c r="X37"/>
      <c r="Y37"/>
      <c r="Z37"/>
      <c r="AA37"/>
      <c r="AB37"/>
      <c r="AC37"/>
      <c r="AD37"/>
      <c r="AE37"/>
      <c r="AF37"/>
      <c r="AG37"/>
      <c r="AH37"/>
    </row>
    <row r="38" spans="1:34" x14ac:dyDescent="0.3">
      <c r="A38" s="1" t="str">
        <f t="shared" si="0"/>
        <v/>
      </c>
      <c r="B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8"/>
      <c r="L38"/>
      <c r="M38"/>
      <c r="N38"/>
      <c r="O38"/>
      <c r="P38"/>
      <c r="Q38"/>
      <c r="R38"/>
      <c r="S38"/>
      <c r="T38"/>
      <c r="U38"/>
      <c r="V38"/>
      <c r="W38"/>
      <c r="X38"/>
      <c r="Y38"/>
      <c r="Z38"/>
      <c r="AA38"/>
      <c r="AB38"/>
      <c r="AC38"/>
      <c r="AD38"/>
      <c r="AE38"/>
      <c r="AF38"/>
      <c r="AG38"/>
      <c r="AH38"/>
    </row>
    <row r="39" spans="1:34" x14ac:dyDescent="0.3">
      <c r="A39" s="1" t="str">
        <f t="shared" si="0"/>
        <v/>
      </c>
      <c r="B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 spans="1:34" x14ac:dyDescent="0.3">
      <c r="A40" s="1" t="str">
        <f t="shared" si="0"/>
        <v/>
      </c>
      <c r="B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 spans="1:34" x14ac:dyDescent="0.3">
      <c r="A41" s="1" t="str">
        <f t="shared" si="0"/>
        <v/>
      </c>
      <c r="B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 spans="1:34" x14ac:dyDescent="0.3">
      <c r="A42" s="1" t="str">
        <f t="shared" si="0"/>
        <v/>
      </c>
      <c r="B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 spans="1:34" x14ac:dyDescent="0.3">
      <c r="A43" s="1" t="str">
        <f t="shared" si="0"/>
        <v/>
      </c>
      <c r="B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 spans="1:34" x14ac:dyDescent="0.3">
      <c r="A44" s="1" t="str">
        <f t="shared" si="0"/>
        <v/>
      </c>
      <c r="B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 spans="1:34" x14ac:dyDescent="0.3">
      <c r="A45" s="1" t="str">
        <f t="shared" si="0"/>
        <v/>
      </c>
      <c r="B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 spans="1:34" x14ac:dyDescent="0.3">
      <c r="A46" s="1" t="str">
        <f t="shared" si="0"/>
        <v/>
      </c>
      <c r="B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 spans="1:34" x14ac:dyDescent="0.3">
      <c r="A47" s="1" t="str">
        <f t="shared" si="0"/>
        <v/>
      </c>
      <c r="B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 spans="1:34" x14ac:dyDescent="0.3">
      <c r="A48" s="1" t="str">
        <f t="shared" si="0"/>
        <v/>
      </c>
      <c r="B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 spans="1:2" x14ac:dyDescent="0.3">
      <c r="A49" s="1" t="str">
        <f t="shared" si="0"/>
        <v/>
      </c>
      <c r="B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 spans="1:2" x14ac:dyDescent="0.3">
      <c r="A50" s="1" t="str">
        <f t="shared" si="0"/>
        <v/>
      </c>
      <c r="B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 spans="1:2" x14ac:dyDescent="0.3">
      <c r="A51" s="1" t="str">
        <f t="shared" si="0"/>
        <v/>
      </c>
      <c r="B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 spans="1:2" x14ac:dyDescent="0.3">
      <c r="A52" s="1" t="str">
        <f t="shared" si="0"/>
        <v/>
      </c>
      <c r="B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 spans="1:2" x14ac:dyDescent="0.3">
      <c r="A53" s="1" t="str">
        <f t="shared" si="0"/>
        <v/>
      </c>
      <c r="B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 spans="1:2" x14ac:dyDescent="0.3">
      <c r="A54" s="1" t="str">
        <f t="shared" si="0"/>
        <v/>
      </c>
      <c r="B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 spans="1:2" x14ac:dyDescent="0.3">
      <c r="A55" s="1" t="str">
        <f t="shared" si="0"/>
        <v/>
      </c>
      <c r="B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 spans="1:2" x14ac:dyDescent="0.3">
      <c r="A56" s="1" t="str">
        <f t="shared" si="0"/>
        <v/>
      </c>
      <c r="B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 spans="1:2" x14ac:dyDescent="0.3">
      <c r="A57" s="1" t="str">
        <f t="shared" si="0"/>
        <v/>
      </c>
      <c r="B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 spans="1:2" x14ac:dyDescent="0.3">
      <c r="A58" s="1" t="str">
        <f t="shared" si="0"/>
        <v/>
      </c>
      <c r="B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 spans="1:2" x14ac:dyDescent="0.3">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 spans="1:2" x14ac:dyDescent="0.3">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 spans="1:2" x14ac:dyDescent="0.3">
      <c r="A61" s="1" t="str">
        <f t="shared" si="0"/>
        <v/>
      </c>
      <c r="B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 spans="1:2" x14ac:dyDescent="0.3">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 spans="1:2" x14ac:dyDescent="0.3">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 spans="1:2" x14ac:dyDescent="0.3">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 spans="1:2" x14ac:dyDescent="0.3">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 spans="1:2" x14ac:dyDescent="0.3">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 spans="1:2" x14ac:dyDescent="0.3">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 spans="1:2" x14ac:dyDescent="0.3">
      <c r="A68" s="1" t="str">
        <f t="shared" si="1"/>
        <v/>
      </c>
      <c r="B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 spans="1:2" x14ac:dyDescent="0.3">
      <c r="A69" s="1" t="str">
        <f t="shared" si="1"/>
        <v/>
      </c>
      <c r="B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 spans="1:2" x14ac:dyDescent="0.3">
      <c r="A70" s="1" t="str">
        <f t="shared" si="1"/>
        <v/>
      </c>
      <c r="B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 spans="1:2" x14ac:dyDescent="0.3">
      <c r="A71" s="1" t="str">
        <f t="shared" si="1"/>
        <v/>
      </c>
      <c r="B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 spans="1:2" x14ac:dyDescent="0.3">
      <c r="A72" s="1" t="str">
        <f t="shared" si="1"/>
        <v/>
      </c>
      <c r="B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 spans="1:2" x14ac:dyDescent="0.3">
      <c r="A73" s="1" t="str">
        <f t="shared" si="1"/>
        <v/>
      </c>
      <c r="B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 spans="1:2" x14ac:dyDescent="0.3">
      <c r="A74" s="1" t="str">
        <f t="shared" si="1"/>
        <v/>
      </c>
      <c r="B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 spans="1:2" x14ac:dyDescent="0.3">
      <c r="A75" s="1" t="str">
        <f t="shared" si="1"/>
        <v/>
      </c>
      <c r="B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 spans="1:2" x14ac:dyDescent="0.3">
      <c r="A76" s="1" t="str">
        <f t="shared" si="1"/>
        <v/>
      </c>
      <c r="B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 spans="1:2" x14ac:dyDescent="0.3">
      <c r="A77" s="1" t="str">
        <f t="shared" si="1"/>
        <v/>
      </c>
      <c r="B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 spans="1:2" x14ac:dyDescent="0.3">
      <c r="A78" s="1" t="str">
        <f t="shared" si="1"/>
        <v/>
      </c>
      <c r="B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 spans="1:2" x14ac:dyDescent="0.3">
      <c r="A79" s="1" t="str">
        <f t="shared" si="1"/>
        <v/>
      </c>
      <c r="B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 spans="1:2" x14ac:dyDescent="0.3">
      <c r="A80" s="1" t="str">
        <f t="shared" si="1"/>
        <v/>
      </c>
      <c r="B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 spans="1:2" x14ac:dyDescent="0.3">
      <c r="A81" s="1" t="str">
        <f t="shared" si="1"/>
        <v/>
      </c>
      <c r="B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 spans="1:2" x14ac:dyDescent="0.3">
      <c r="A82" s="1" t="str">
        <f t="shared" si="1"/>
        <v/>
      </c>
      <c r="B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 spans="1:2" x14ac:dyDescent="0.3">
      <c r="A83" s="1" t="str">
        <f t="shared" si="1"/>
        <v/>
      </c>
      <c r="B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 spans="1:2" x14ac:dyDescent="0.3">
      <c r="A84" s="1" t="str">
        <f t="shared" si="1"/>
        <v/>
      </c>
      <c r="B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 spans="1:2" x14ac:dyDescent="0.3">
      <c r="A85" s="1" t="str">
        <f t="shared" si="1"/>
        <v/>
      </c>
      <c r="B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 spans="1:2" x14ac:dyDescent="0.3">
      <c r="A86" s="1" t="str">
        <f t="shared" si="1"/>
        <v/>
      </c>
      <c r="B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 spans="1:2" x14ac:dyDescent="0.3">
      <c r="A87" s="1" t="str">
        <f t="shared" si="1"/>
        <v/>
      </c>
      <c r="B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 spans="1:2" x14ac:dyDescent="0.3">
      <c r="A88" s="1" t="str">
        <f t="shared" si="1"/>
        <v/>
      </c>
      <c r="B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 spans="1:2" x14ac:dyDescent="0.3">
      <c r="A89" s="1" t="str">
        <f t="shared" si="1"/>
        <v/>
      </c>
      <c r="B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 spans="1:2" x14ac:dyDescent="0.3">
      <c r="A90" s="1" t="str">
        <f t="shared" si="1"/>
        <v/>
      </c>
      <c r="B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 spans="1:2" x14ac:dyDescent="0.3">
      <c r="A91" s="1" t="str">
        <f t="shared" si="1"/>
        <v/>
      </c>
      <c r="B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 spans="1:2" x14ac:dyDescent="0.3">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 spans="1:2" x14ac:dyDescent="0.3">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 spans="1:2" x14ac:dyDescent="0.3">
      <c r="A94" s="1" t="str">
        <f t="shared" si="1"/>
        <v/>
      </c>
      <c r="B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 spans="1:2" x14ac:dyDescent="0.3">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 spans="1:2" x14ac:dyDescent="0.3">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 spans="1:2" x14ac:dyDescent="0.3">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 spans="1:2" x14ac:dyDescent="0.3">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 spans="1:2" x14ac:dyDescent="0.3">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 spans="1:2" x14ac:dyDescent="0.3">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 spans="1:2" x14ac:dyDescent="0.3">
      <c r="A101" s="1" t="str">
        <f t="shared" si="1"/>
        <v/>
      </c>
      <c r="B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 spans="1:2" x14ac:dyDescent="0.3">
      <c r="A102" s="1" t="str">
        <f t="shared" si="1"/>
        <v/>
      </c>
      <c r="B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 spans="1:2" x14ac:dyDescent="0.3">
      <c r="A103" s="1" t="str">
        <f t="shared" si="1"/>
        <v/>
      </c>
      <c r="B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 spans="1:2" x14ac:dyDescent="0.3">
      <c r="A104" s="1" t="str">
        <f t="shared" si="1"/>
        <v/>
      </c>
      <c r="B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 spans="1:2" x14ac:dyDescent="0.3">
      <c r="A105" s="1" t="str">
        <f t="shared" si="1"/>
        <v/>
      </c>
      <c r="B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 spans="1:2" x14ac:dyDescent="0.3">
      <c r="A106" s="1" t="str">
        <f t="shared" si="1"/>
        <v/>
      </c>
      <c r="B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 spans="1:2" x14ac:dyDescent="0.3">
      <c r="A107" s="1" t="str">
        <f t="shared" si="1"/>
        <v/>
      </c>
      <c r="B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 spans="1:2" x14ac:dyDescent="0.3">
      <c r="A108" s="1" t="str">
        <f t="shared" si="1"/>
        <v/>
      </c>
      <c r="B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 spans="1:2" x14ac:dyDescent="0.3">
      <c r="A109" s="1" t="str">
        <f t="shared" si="1"/>
        <v/>
      </c>
      <c r="B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 spans="1:2" x14ac:dyDescent="0.3">
      <c r="A110" s="1" t="str">
        <f t="shared" si="1"/>
        <v/>
      </c>
      <c r="B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 spans="1:2" x14ac:dyDescent="0.3">
      <c r="A111" s="1" t="str">
        <f t="shared" si="1"/>
        <v/>
      </c>
      <c r="B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 spans="1:2" x14ac:dyDescent="0.3">
      <c r="A112" s="1" t="str">
        <f t="shared" si="1"/>
        <v/>
      </c>
      <c r="B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 spans="1:2" x14ac:dyDescent="0.3">
      <c r="A113" s="1" t="str">
        <f t="shared" si="1"/>
        <v/>
      </c>
      <c r="B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 spans="1:2" x14ac:dyDescent="0.3">
      <c r="A114" s="1" t="str">
        <f t="shared" si="1"/>
        <v/>
      </c>
      <c r="B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 spans="1:2" x14ac:dyDescent="0.3">
      <c r="A115" s="1" t="str">
        <f t="shared" si="1"/>
        <v/>
      </c>
      <c r="B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 spans="1:2" x14ac:dyDescent="0.3">
      <c r="A116" s="1" t="str">
        <f t="shared" si="1"/>
        <v/>
      </c>
      <c r="B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 spans="1:2" x14ac:dyDescent="0.3">
      <c r="A117" s="1" t="str">
        <f t="shared" si="1"/>
        <v/>
      </c>
      <c r="B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 spans="1:2" x14ac:dyDescent="0.3">
      <c r="A118" s="1" t="str">
        <f t="shared" si="1"/>
        <v/>
      </c>
      <c r="B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 spans="1:2" x14ac:dyDescent="0.3">
      <c r="A119" s="1" t="str">
        <f t="shared" si="1"/>
        <v/>
      </c>
      <c r="B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 spans="1:2" x14ac:dyDescent="0.3">
      <c r="A120" s="1" t="str">
        <f t="shared" si="1"/>
        <v/>
      </c>
      <c r="B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 spans="1:2" x14ac:dyDescent="0.3">
      <c r="A121" s="1" t="str">
        <f t="shared" si="1"/>
        <v/>
      </c>
      <c r="B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 spans="1:2" x14ac:dyDescent="0.3">
      <c r="A122" s="1" t="str">
        <f t="shared" si="1"/>
        <v/>
      </c>
      <c r="B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 spans="1:2" x14ac:dyDescent="0.3">
      <c r="A123" s="1" t="str">
        <f t="shared" si="1"/>
        <v/>
      </c>
      <c r="B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 spans="1:2" x14ac:dyDescent="0.3">
      <c r="A124" s="1" t="str">
        <f t="shared" si="1"/>
        <v/>
      </c>
      <c r="B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 spans="1:2" x14ac:dyDescent="0.3">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 spans="1:2" x14ac:dyDescent="0.3">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 spans="1:2" x14ac:dyDescent="0.3">
      <c r="A127" s="1" t="str">
        <f t="shared" si="1"/>
        <v/>
      </c>
      <c r="B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 spans="1:2" x14ac:dyDescent="0.3">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 spans="1:2" x14ac:dyDescent="0.3">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 spans="1:2" x14ac:dyDescent="0.3">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 spans="1:2" x14ac:dyDescent="0.3">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 spans="1:2" x14ac:dyDescent="0.3">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 spans="1:2" x14ac:dyDescent="0.3">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 spans="1:2" x14ac:dyDescent="0.3">
      <c r="A134" s="1" t="str">
        <f t="shared" si="2"/>
        <v/>
      </c>
      <c r="B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 spans="1:2" x14ac:dyDescent="0.3">
      <c r="A135" s="1" t="str">
        <f t="shared" si="2"/>
        <v/>
      </c>
      <c r="B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 spans="1:2" x14ac:dyDescent="0.3">
      <c r="A136" s="1" t="str">
        <f t="shared" si="2"/>
        <v/>
      </c>
      <c r="B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 spans="1:2" x14ac:dyDescent="0.3">
      <c r="A137" s="1" t="str">
        <f t="shared" si="2"/>
        <v/>
      </c>
      <c r="B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 spans="1:2" x14ac:dyDescent="0.3">
      <c r="A138" s="1" t="str">
        <f t="shared" si="2"/>
        <v/>
      </c>
      <c r="B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 spans="1:2" x14ac:dyDescent="0.3">
      <c r="A139" s="1" t="str">
        <f t="shared" si="2"/>
        <v/>
      </c>
      <c r="B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 spans="1:2" x14ac:dyDescent="0.3">
      <c r="A140" s="1" t="str">
        <f t="shared" si="2"/>
        <v/>
      </c>
      <c r="B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 spans="1:2" x14ac:dyDescent="0.3">
      <c r="A141" s="1" t="str">
        <f t="shared" si="2"/>
        <v/>
      </c>
      <c r="B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 spans="1:2" x14ac:dyDescent="0.3">
      <c r="A142" s="1" t="str">
        <f t="shared" si="2"/>
        <v/>
      </c>
      <c r="B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 spans="1:2" x14ac:dyDescent="0.3">
      <c r="A143" s="1" t="str">
        <f t="shared" si="2"/>
        <v/>
      </c>
      <c r="B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 spans="1:2" x14ac:dyDescent="0.3">
      <c r="A144" s="1" t="str">
        <f t="shared" si="2"/>
        <v/>
      </c>
      <c r="B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 spans="1:2" x14ac:dyDescent="0.3">
      <c r="A145" s="1" t="str">
        <f t="shared" si="2"/>
        <v/>
      </c>
      <c r="B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 spans="1:2" x14ac:dyDescent="0.3">
      <c r="A146" s="1" t="str">
        <f t="shared" si="2"/>
        <v/>
      </c>
      <c r="B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 spans="1:2" x14ac:dyDescent="0.3">
      <c r="A147" s="1" t="str">
        <f t="shared" si="2"/>
        <v/>
      </c>
      <c r="B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 spans="1:2" x14ac:dyDescent="0.3">
      <c r="A148" s="1" t="str">
        <f t="shared" si="2"/>
        <v/>
      </c>
      <c r="B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 spans="1:2" x14ac:dyDescent="0.3">
      <c r="A149" s="1" t="str">
        <f t="shared" si="2"/>
        <v/>
      </c>
      <c r="B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 spans="1:2" x14ac:dyDescent="0.3">
      <c r="A150" s="1" t="str">
        <f t="shared" si="2"/>
        <v/>
      </c>
      <c r="B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 spans="1:2" x14ac:dyDescent="0.3">
      <c r="A151" s="1" t="str">
        <f t="shared" si="2"/>
        <v/>
      </c>
      <c r="B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 spans="1:2" x14ac:dyDescent="0.3">
      <c r="A152" s="1" t="str">
        <f t="shared" si="2"/>
        <v/>
      </c>
      <c r="B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 spans="1:2" x14ac:dyDescent="0.3">
      <c r="A153" s="1" t="str">
        <f t="shared" si="2"/>
        <v/>
      </c>
      <c r="B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 spans="1:2" x14ac:dyDescent="0.3">
      <c r="A154" s="1" t="str">
        <f t="shared" si="2"/>
        <v/>
      </c>
      <c r="B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 spans="1:2" x14ac:dyDescent="0.3">
      <c r="A155" s="1" t="str">
        <f t="shared" si="2"/>
        <v/>
      </c>
      <c r="B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6" spans="1:2" x14ac:dyDescent="0.3">
      <c r="A156" s="1" t="str">
        <f t="shared" si="2"/>
        <v/>
      </c>
      <c r="B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7" spans="1:2" x14ac:dyDescent="0.3">
      <c r="A157" s="1" t="str">
        <f t="shared" si="2"/>
        <v/>
      </c>
      <c r="B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8" spans="1:2" x14ac:dyDescent="0.3">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9" spans="1:2" x14ac:dyDescent="0.3">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0" spans="1:2" x14ac:dyDescent="0.3">
      <c r="A160" s="1" t="str">
        <f t="shared" si="2"/>
        <v/>
      </c>
      <c r="B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1" spans="1:2" x14ac:dyDescent="0.3">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2" spans="1:2" x14ac:dyDescent="0.3">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3" spans="1:2" x14ac:dyDescent="0.3">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4" spans="1:2" x14ac:dyDescent="0.3">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5" spans="1:2" x14ac:dyDescent="0.3">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6" spans="1:2" x14ac:dyDescent="0.3">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7" spans="1:2" x14ac:dyDescent="0.3">
      <c r="A167" s="1" t="str">
        <f t="shared" si="2"/>
        <v/>
      </c>
      <c r="B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8" spans="1:2" x14ac:dyDescent="0.3">
      <c r="A168" s="1" t="str">
        <f t="shared" si="2"/>
        <v/>
      </c>
      <c r="B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9" spans="1:2" x14ac:dyDescent="0.3">
      <c r="A169" s="1" t="str">
        <f t="shared" si="2"/>
        <v/>
      </c>
      <c r="B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0" spans="1:2" x14ac:dyDescent="0.3">
      <c r="A170" s="1" t="str">
        <f t="shared" si="2"/>
        <v/>
      </c>
      <c r="B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1" spans="1:2" x14ac:dyDescent="0.3">
      <c r="A171" s="1" t="str">
        <f t="shared" si="2"/>
        <v/>
      </c>
      <c r="B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2" spans="1:2" x14ac:dyDescent="0.3">
      <c r="A172" s="1" t="str">
        <f t="shared" si="2"/>
        <v/>
      </c>
      <c r="B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3" spans="1:2" x14ac:dyDescent="0.3">
      <c r="A173" s="1" t="str">
        <f t="shared" si="2"/>
        <v/>
      </c>
      <c r="B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4" spans="1:2" x14ac:dyDescent="0.3">
      <c r="A174" s="1" t="str">
        <f t="shared" si="2"/>
        <v/>
      </c>
      <c r="B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5" spans="1:2" x14ac:dyDescent="0.3">
      <c r="A175" s="1" t="str">
        <f t="shared" si="2"/>
        <v/>
      </c>
      <c r="B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6" spans="1:2" x14ac:dyDescent="0.3">
      <c r="A176" s="1" t="str">
        <f t="shared" si="2"/>
        <v/>
      </c>
      <c r="B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7" spans="1:2" x14ac:dyDescent="0.3">
      <c r="A177" s="1" t="str">
        <f t="shared" si="2"/>
        <v/>
      </c>
      <c r="B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8" spans="1:2" x14ac:dyDescent="0.3">
      <c r="A178" s="1" t="str">
        <f t="shared" si="2"/>
        <v/>
      </c>
      <c r="B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9" spans="1:2" x14ac:dyDescent="0.3">
      <c r="A179" s="1" t="str">
        <f t="shared" si="2"/>
        <v/>
      </c>
      <c r="B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0" spans="1:2" x14ac:dyDescent="0.3">
      <c r="A180" s="1" t="str">
        <f t="shared" si="2"/>
        <v/>
      </c>
      <c r="B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1" spans="1:2" x14ac:dyDescent="0.3">
      <c r="A181" s="1" t="str">
        <f t="shared" si="2"/>
        <v/>
      </c>
      <c r="B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2" spans="1:2" x14ac:dyDescent="0.3">
      <c r="A182" s="1" t="str">
        <f t="shared" si="2"/>
        <v/>
      </c>
      <c r="B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3" spans="1:2" x14ac:dyDescent="0.3">
      <c r="A183" s="1" t="str">
        <f t="shared" si="2"/>
        <v/>
      </c>
      <c r="B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4" spans="1:2" x14ac:dyDescent="0.3">
      <c r="A184" s="1" t="str">
        <f t="shared" si="2"/>
        <v/>
      </c>
      <c r="B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5" spans="1:2" x14ac:dyDescent="0.3">
      <c r="A185" s="1" t="str">
        <f t="shared" si="2"/>
        <v/>
      </c>
      <c r="B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6" spans="1:2" x14ac:dyDescent="0.3">
      <c r="A186" s="1" t="str">
        <f t="shared" si="2"/>
        <v/>
      </c>
      <c r="B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7" spans="1:2" x14ac:dyDescent="0.3">
      <c r="A187" s="1" t="str">
        <f t="shared" si="2"/>
        <v/>
      </c>
      <c r="B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8" spans="1:2" x14ac:dyDescent="0.3">
      <c r="A188" s="1" t="str">
        <f t="shared" si="2"/>
        <v/>
      </c>
      <c r="B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9" spans="1:2" x14ac:dyDescent="0.3">
      <c r="A189" s="1" t="str">
        <f t="shared" si="2"/>
        <v/>
      </c>
      <c r="B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0" spans="1:2" x14ac:dyDescent="0.3">
      <c r="A190" s="1" t="str">
        <f t="shared" si="2"/>
        <v/>
      </c>
      <c r="B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1" spans="1:2" x14ac:dyDescent="0.3">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2" spans="1:2" x14ac:dyDescent="0.3">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3" spans="1:2" x14ac:dyDescent="0.3">
      <c r="A193" s="1" t="str">
        <f t="shared" si="2"/>
        <v/>
      </c>
      <c r="B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4" spans="1:2" x14ac:dyDescent="0.3">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5" spans="1:2" x14ac:dyDescent="0.3">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6" spans="1:2" x14ac:dyDescent="0.3">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7" spans="1:2" x14ac:dyDescent="0.3">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8" spans="1:2" x14ac:dyDescent="0.3">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9" spans="1:2" x14ac:dyDescent="0.3">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0" spans="1:2" x14ac:dyDescent="0.3">
      <c r="A200" s="1" t="str">
        <f t="shared" si="3"/>
        <v/>
      </c>
      <c r="B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1" spans="1:2" x14ac:dyDescent="0.3">
      <c r="A201" s="1" t="str">
        <f t="shared" si="3"/>
        <v/>
      </c>
      <c r="B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2" spans="1:2" x14ac:dyDescent="0.3">
      <c r="A202" s="1" t="str">
        <f t="shared" si="3"/>
        <v/>
      </c>
      <c r="B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3" spans="1:2" x14ac:dyDescent="0.3">
      <c r="A203" s="1" t="str">
        <f t="shared" si="3"/>
        <v/>
      </c>
      <c r="B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4" spans="1:2" x14ac:dyDescent="0.3">
      <c r="A204" s="1" t="str">
        <f t="shared" si="3"/>
        <v/>
      </c>
      <c r="B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5" spans="1:2" x14ac:dyDescent="0.3">
      <c r="A205" s="1" t="str">
        <f t="shared" si="3"/>
        <v/>
      </c>
      <c r="B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6" spans="1:2" x14ac:dyDescent="0.3">
      <c r="A206" s="1" t="str">
        <f t="shared" si="3"/>
        <v/>
      </c>
      <c r="B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7" spans="1:2" x14ac:dyDescent="0.3">
      <c r="A207" s="1" t="str">
        <f t="shared" si="3"/>
        <v/>
      </c>
      <c r="B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8" spans="1:2" x14ac:dyDescent="0.3">
      <c r="A208" s="1" t="str">
        <f t="shared" si="3"/>
        <v/>
      </c>
      <c r="B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9" spans="1:2" x14ac:dyDescent="0.3">
      <c r="A209" s="1" t="str">
        <f t="shared" si="3"/>
        <v/>
      </c>
      <c r="B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0" spans="1:2" x14ac:dyDescent="0.3">
      <c r="A210" s="1" t="str">
        <f t="shared" si="3"/>
        <v/>
      </c>
      <c r="B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1" spans="1:2" x14ac:dyDescent="0.3">
      <c r="A211" s="1" t="str">
        <f t="shared" si="3"/>
        <v/>
      </c>
      <c r="B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2" spans="1:2" x14ac:dyDescent="0.3">
      <c r="A212" s="1" t="str">
        <f t="shared" si="3"/>
        <v/>
      </c>
      <c r="B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3" spans="1:2" x14ac:dyDescent="0.3">
      <c r="A213" s="1" t="str">
        <f t="shared" si="3"/>
        <v/>
      </c>
      <c r="B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4" spans="1:2" x14ac:dyDescent="0.3">
      <c r="A214" s="1" t="str">
        <f t="shared" si="3"/>
        <v/>
      </c>
      <c r="B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5" spans="1:2" x14ac:dyDescent="0.3">
      <c r="A215" s="1" t="str">
        <f t="shared" si="3"/>
        <v/>
      </c>
      <c r="B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6" spans="1:2" x14ac:dyDescent="0.3">
      <c r="A216" s="1" t="str">
        <f t="shared" si="3"/>
        <v/>
      </c>
      <c r="B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7" spans="1:2" x14ac:dyDescent="0.3">
      <c r="A217" s="1" t="str">
        <f t="shared" si="3"/>
        <v/>
      </c>
      <c r="B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8" spans="1:2" x14ac:dyDescent="0.3">
      <c r="A218" s="1" t="str">
        <f t="shared" si="3"/>
        <v/>
      </c>
      <c r="B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9" spans="1:2" x14ac:dyDescent="0.3">
      <c r="A219" s="1" t="str">
        <f t="shared" si="3"/>
        <v/>
      </c>
      <c r="B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0" spans="1:2" x14ac:dyDescent="0.3">
      <c r="A220" s="1" t="str">
        <f t="shared" si="3"/>
        <v/>
      </c>
      <c r="B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1" spans="1:2" x14ac:dyDescent="0.3">
      <c r="A221" s="1" t="str">
        <f t="shared" si="3"/>
        <v/>
      </c>
      <c r="B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2" spans="1:2" x14ac:dyDescent="0.3">
      <c r="A222" s="1" t="str">
        <f t="shared" si="3"/>
        <v/>
      </c>
      <c r="B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3" spans="1:2" x14ac:dyDescent="0.3">
      <c r="A223" s="1" t="str">
        <f t="shared" si="3"/>
        <v/>
      </c>
      <c r="B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4" spans="1:2" x14ac:dyDescent="0.3">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5" spans="1:2" x14ac:dyDescent="0.3">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6" spans="1:2" x14ac:dyDescent="0.3">
      <c r="A226" s="1" t="str">
        <f t="shared" si="3"/>
        <v/>
      </c>
      <c r="B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7" spans="1:2" x14ac:dyDescent="0.3">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8" spans="1:2" x14ac:dyDescent="0.3">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9" spans="1:2" x14ac:dyDescent="0.3">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0" spans="1:2" x14ac:dyDescent="0.3">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1" spans="1:2" x14ac:dyDescent="0.3">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2" spans="1:2" x14ac:dyDescent="0.3">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3" spans="1:2" x14ac:dyDescent="0.3">
      <c r="A233" s="1" t="str">
        <f t="shared" si="3"/>
        <v/>
      </c>
      <c r="B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4" spans="1:2" x14ac:dyDescent="0.3">
      <c r="A234" s="1" t="str">
        <f t="shared" si="3"/>
        <v/>
      </c>
      <c r="B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5" spans="1:2" x14ac:dyDescent="0.3">
      <c r="A235" s="1" t="str">
        <f t="shared" si="3"/>
        <v/>
      </c>
      <c r="B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6" spans="1:2" x14ac:dyDescent="0.3">
      <c r="A236" s="1" t="str">
        <f t="shared" si="3"/>
        <v/>
      </c>
      <c r="B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7" spans="1:2" x14ac:dyDescent="0.3">
      <c r="A237" s="1" t="str">
        <f t="shared" si="3"/>
        <v/>
      </c>
      <c r="B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8" spans="1:2" x14ac:dyDescent="0.3">
      <c r="A238" s="1" t="str">
        <f t="shared" si="3"/>
        <v/>
      </c>
      <c r="B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9" spans="1:2" x14ac:dyDescent="0.3">
      <c r="A239" s="1" t="str">
        <f t="shared" si="3"/>
        <v/>
      </c>
      <c r="B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0" spans="1:2" x14ac:dyDescent="0.3">
      <c r="A240" s="1" t="str">
        <f t="shared" si="3"/>
        <v/>
      </c>
      <c r="B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1" spans="1:2" x14ac:dyDescent="0.3">
      <c r="A241" s="1" t="str">
        <f t="shared" si="3"/>
        <v/>
      </c>
      <c r="B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2" spans="1:2" x14ac:dyDescent="0.3">
      <c r="A242" s="1" t="str">
        <f t="shared" si="3"/>
        <v/>
      </c>
      <c r="B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3" spans="1:2" x14ac:dyDescent="0.3">
      <c r="A243" s="1" t="str">
        <f t="shared" si="3"/>
        <v/>
      </c>
      <c r="B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4" spans="1:2" x14ac:dyDescent="0.3">
      <c r="A244" s="1" t="str">
        <f t="shared" si="3"/>
        <v/>
      </c>
      <c r="B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5" spans="1:2" x14ac:dyDescent="0.3">
      <c r="A245" s="1" t="str">
        <f t="shared" si="3"/>
        <v/>
      </c>
      <c r="B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6" spans="1:2" x14ac:dyDescent="0.3">
      <c r="A246" s="1" t="str">
        <f t="shared" si="3"/>
        <v/>
      </c>
      <c r="B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7" spans="1:2" x14ac:dyDescent="0.3">
      <c r="A247" s="1" t="str">
        <f t="shared" si="3"/>
        <v/>
      </c>
      <c r="B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8" spans="1:2" x14ac:dyDescent="0.3">
      <c r="A248" s="1" t="str">
        <f t="shared" si="3"/>
        <v/>
      </c>
      <c r="B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9" spans="1:2" x14ac:dyDescent="0.3">
      <c r="A249" s="1" t="str">
        <f t="shared" si="3"/>
        <v/>
      </c>
      <c r="B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0" spans="1:2" x14ac:dyDescent="0.3">
      <c r="A250" s="1" t="str">
        <f t="shared" si="3"/>
        <v/>
      </c>
      <c r="B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1" spans="1:2" x14ac:dyDescent="0.3">
      <c r="A251" s="1" t="str">
        <f t="shared" si="3"/>
        <v/>
      </c>
      <c r="B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2" spans="1:2" x14ac:dyDescent="0.3">
      <c r="A252" s="1" t="str">
        <f t="shared" si="3"/>
        <v/>
      </c>
      <c r="B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3" spans="1:2" x14ac:dyDescent="0.3">
      <c r="A253" s="1" t="str">
        <f t="shared" si="3"/>
        <v/>
      </c>
      <c r="B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4" spans="1:2" x14ac:dyDescent="0.3">
      <c r="A254" s="1" t="str">
        <f t="shared" si="3"/>
        <v/>
      </c>
      <c r="B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5" spans="1:2" x14ac:dyDescent="0.3">
      <c r="A255" s="1" t="str">
        <f t="shared" si="3"/>
        <v/>
      </c>
      <c r="B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6" spans="1:2" x14ac:dyDescent="0.3">
      <c r="A256" s="1" t="str">
        <f t="shared" si="3"/>
        <v/>
      </c>
      <c r="B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7" spans="1:2" x14ac:dyDescent="0.3">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8" spans="1:2" x14ac:dyDescent="0.3">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9" spans="1:2" x14ac:dyDescent="0.3">
      <c r="A259" s="1" t="str">
        <f t="shared" si="4"/>
        <v/>
      </c>
      <c r="B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0" spans="1:2" x14ac:dyDescent="0.3">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1" spans="1:2" x14ac:dyDescent="0.3">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2" spans="1:2" x14ac:dyDescent="0.3">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3" spans="1:2" x14ac:dyDescent="0.3">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4" spans="1:2" x14ac:dyDescent="0.3">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5" spans="1:2" x14ac:dyDescent="0.3">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6" spans="1:2" x14ac:dyDescent="0.3">
      <c r="A266" s="1" t="str">
        <f t="shared" si="4"/>
        <v/>
      </c>
      <c r="B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7" spans="1:2" x14ac:dyDescent="0.3">
      <c r="A267" s="1" t="str">
        <f t="shared" si="4"/>
        <v/>
      </c>
      <c r="B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8" spans="1:2" x14ac:dyDescent="0.3">
      <c r="A268" s="1" t="str">
        <f t="shared" si="4"/>
        <v/>
      </c>
      <c r="B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9" spans="1:2" x14ac:dyDescent="0.3">
      <c r="A269" s="1" t="str">
        <f t="shared" si="4"/>
        <v/>
      </c>
      <c r="B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0" spans="1:2" x14ac:dyDescent="0.3">
      <c r="A270" s="1" t="str">
        <f t="shared" si="4"/>
        <v/>
      </c>
      <c r="B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1" spans="1:2" x14ac:dyDescent="0.3">
      <c r="A271" s="1" t="str">
        <f t="shared" si="4"/>
        <v/>
      </c>
      <c r="B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2" spans="1:2" x14ac:dyDescent="0.3">
      <c r="A272" s="1" t="str">
        <f t="shared" si="4"/>
        <v/>
      </c>
      <c r="B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3" spans="1:2" x14ac:dyDescent="0.3">
      <c r="A273" s="1" t="str">
        <f t="shared" si="4"/>
        <v/>
      </c>
      <c r="B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4" spans="1:2" x14ac:dyDescent="0.3">
      <c r="A274" s="1" t="str">
        <f t="shared" si="4"/>
        <v/>
      </c>
      <c r="B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5" spans="1:2" x14ac:dyDescent="0.3">
      <c r="A275" s="1" t="str">
        <f t="shared" si="4"/>
        <v/>
      </c>
      <c r="B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6" spans="1:2" x14ac:dyDescent="0.3">
      <c r="A276" s="1" t="str">
        <f t="shared" si="4"/>
        <v/>
      </c>
      <c r="B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7" spans="1:2" x14ac:dyDescent="0.3">
      <c r="A277" s="1" t="str">
        <f t="shared" si="4"/>
        <v/>
      </c>
      <c r="B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8" spans="1:2" x14ac:dyDescent="0.3">
      <c r="A278" s="1" t="str">
        <f t="shared" si="4"/>
        <v/>
      </c>
      <c r="B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9" spans="1:2" x14ac:dyDescent="0.3">
      <c r="A279" s="1" t="str">
        <f t="shared" si="4"/>
        <v/>
      </c>
      <c r="B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0" spans="1:2" x14ac:dyDescent="0.3">
      <c r="A280" s="1" t="str">
        <f t="shared" si="4"/>
        <v/>
      </c>
      <c r="B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1" spans="1:2" x14ac:dyDescent="0.3">
      <c r="A281" s="1" t="str">
        <f t="shared" si="4"/>
        <v/>
      </c>
      <c r="B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2" spans="1:2" x14ac:dyDescent="0.3">
      <c r="A282" s="1" t="str">
        <f t="shared" si="4"/>
        <v/>
      </c>
      <c r="B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3" spans="1:2" x14ac:dyDescent="0.3">
      <c r="A283" s="1" t="str">
        <f t="shared" si="4"/>
        <v/>
      </c>
      <c r="B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4" spans="1:2" x14ac:dyDescent="0.3">
      <c r="A284" s="1" t="str">
        <f t="shared" si="4"/>
        <v/>
      </c>
      <c r="B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5" spans="1:2" x14ac:dyDescent="0.3">
      <c r="A285" s="1" t="str">
        <f t="shared" si="4"/>
        <v/>
      </c>
      <c r="B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6" spans="1:2" x14ac:dyDescent="0.3">
      <c r="A286" s="1" t="str">
        <f t="shared" si="4"/>
        <v/>
      </c>
      <c r="B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7" spans="1:2" x14ac:dyDescent="0.3">
      <c r="A287" s="1" t="str">
        <f t="shared" si="4"/>
        <v/>
      </c>
      <c r="B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8" spans="1:2" x14ac:dyDescent="0.3">
      <c r="A288" s="1" t="str">
        <f t="shared" si="4"/>
        <v/>
      </c>
      <c r="B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9" spans="1:2" x14ac:dyDescent="0.3">
      <c r="A289" s="1" t="str">
        <f t="shared" si="4"/>
        <v/>
      </c>
      <c r="B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0" spans="1:2" x14ac:dyDescent="0.3">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1" spans="1:2" x14ac:dyDescent="0.3">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2" spans="1:2" x14ac:dyDescent="0.3">
      <c r="A292" s="1" t="str">
        <f t="shared" si="4"/>
        <v/>
      </c>
      <c r="B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3" spans="1:2" x14ac:dyDescent="0.3">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4" spans="1:2" x14ac:dyDescent="0.3">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5" spans="1:2" x14ac:dyDescent="0.3">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6" spans="1:2" x14ac:dyDescent="0.3">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7" spans="1:2" x14ac:dyDescent="0.3">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8" spans="1:2" x14ac:dyDescent="0.3">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9" spans="1:2" x14ac:dyDescent="0.3">
      <c r="A299" s="1" t="str">
        <f t="shared" si="4"/>
        <v/>
      </c>
      <c r="B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0" spans="1:2" x14ac:dyDescent="0.3">
      <c r="A300" s="1" t="str">
        <f t="shared" si="4"/>
        <v/>
      </c>
      <c r="B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1" spans="1:2" x14ac:dyDescent="0.3">
      <c r="A301" s="1" t="str">
        <f t="shared" si="4"/>
        <v/>
      </c>
      <c r="B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2" spans="1:2" x14ac:dyDescent="0.3">
      <c r="A302" s="1" t="str">
        <f t="shared" si="4"/>
        <v/>
      </c>
      <c r="B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3" spans="1:2" x14ac:dyDescent="0.3">
      <c r="A303" s="1" t="str">
        <f t="shared" si="4"/>
        <v/>
      </c>
      <c r="B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4" spans="1:2" x14ac:dyDescent="0.3">
      <c r="A304" s="1" t="str">
        <f t="shared" si="4"/>
        <v/>
      </c>
      <c r="B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5" spans="1:2" x14ac:dyDescent="0.3">
      <c r="A305" s="1" t="str">
        <f t="shared" si="4"/>
        <v/>
      </c>
      <c r="B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6" spans="1:2" x14ac:dyDescent="0.3">
      <c r="A306" s="1" t="str">
        <f t="shared" si="4"/>
        <v/>
      </c>
      <c r="B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7" spans="1:2" x14ac:dyDescent="0.3">
      <c r="A307" s="1" t="str">
        <f t="shared" si="4"/>
        <v/>
      </c>
      <c r="B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8" spans="1:2" x14ac:dyDescent="0.3">
      <c r="A308" s="1" t="str">
        <f t="shared" si="4"/>
        <v/>
      </c>
      <c r="B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9" spans="1:2" x14ac:dyDescent="0.3">
      <c r="A309" s="1" t="str">
        <f t="shared" si="4"/>
        <v/>
      </c>
      <c r="B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0" spans="1:2" x14ac:dyDescent="0.3">
      <c r="A310" s="1" t="str">
        <f t="shared" si="4"/>
        <v/>
      </c>
      <c r="B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1" spans="1:2" x14ac:dyDescent="0.3">
      <c r="A311" s="1" t="str">
        <f t="shared" si="4"/>
        <v/>
      </c>
      <c r="B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2" spans="1:2" x14ac:dyDescent="0.3">
      <c r="A312" s="1" t="str">
        <f t="shared" si="4"/>
        <v/>
      </c>
      <c r="B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3" spans="1:2" x14ac:dyDescent="0.3">
      <c r="A313" s="1" t="str">
        <f t="shared" si="4"/>
        <v/>
      </c>
      <c r="B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4" spans="1:2" x14ac:dyDescent="0.3">
      <c r="A314" s="1" t="str">
        <f t="shared" si="4"/>
        <v/>
      </c>
      <c r="B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5" spans="1:2" x14ac:dyDescent="0.3">
      <c r="A315" s="1" t="str">
        <f t="shared" si="4"/>
        <v/>
      </c>
      <c r="B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6" spans="1:2" x14ac:dyDescent="0.3">
      <c r="A316" s="1" t="str">
        <f t="shared" si="4"/>
        <v/>
      </c>
      <c r="B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7" spans="1:2" x14ac:dyDescent="0.3">
      <c r="A317" s="1" t="str">
        <f t="shared" si="4"/>
        <v/>
      </c>
      <c r="B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8" spans="1:2" x14ac:dyDescent="0.3">
      <c r="A318" s="1" t="str">
        <f t="shared" si="4"/>
        <v/>
      </c>
      <c r="B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9" spans="1:2" x14ac:dyDescent="0.3">
      <c r="A319" s="1" t="str">
        <f t="shared" si="4"/>
        <v/>
      </c>
      <c r="B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0" spans="1:2" x14ac:dyDescent="0.3">
      <c r="A320" s="1" t="str">
        <f t="shared" si="4"/>
        <v/>
      </c>
      <c r="B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1" spans="1:2" x14ac:dyDescent="0.3">
      <c r="A321" s="1" t="str">
        <f t="shared" si="4"/>
        <v/>
      </c>
      <c r="B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2" spans="1:2" x14ac:dyDescent="0.3">
      <c r="A322" s="1" t="str">
        <f t="shared" ref="A322:A385" si="5">IFERROR(LEFT(RIGHT(C322,LEN(C322)-SEARCH("@",C322)),SEARCH("/",RIGHT(C322,LEN(C322)-SEARCH("@",C322)-1))),"")</f>
        <v/>
      </c>
      <c r="B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3" spans="1:2" x14ac:dyDescent="0.3">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4" spans="1:2" x14ac:dyDescent="0.3">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5" spans="1:2" x14ac:dyDescent="0.3">
      <c r="A325" s="1" t="str">
        <f t="shared" si="5"/>
        <v/>
      </c>
      <c r="B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6" spans="1:2" x14ac:dyDescent="0.3">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7" spans="1:2" x14ac:dyDescent="0.3">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8" spans="1:2" x14ac:dyDescent="0.3">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9" spans="1:2" x14ac:dyDescent="0.3">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0" spans="1:2" x14ac:dyDescent="0.3">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1" spans="1:2" x14ac:dyDescent="0.3">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2" spans="1:2" x14ac:dyDescent="0.3">
      <c r="A332" s="1" t="str">
        <f t="shared" si="5"/>
        <v/>
      </c>
      <c r="B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3" spans="1:2" x14ac:dyDescent="0.3">
      <c r="A333" s="1" t="str">
        <f t="shared" si="5"/>
        <v/>
      </c>
      <c r="B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4" spans="1:2" x14ac:dyDescent="0.3">
      <c r="A334" s="1" t="str">
        <f t="shared" si="5"/>
        <v/>
      </c>
      <c r="B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5" spans="1:2" x14ac:dyDescent="0.3">
      <c r="A335" s="1" t="str">
        <f t="shared" si="5"/>
        <v/>
      </c>
      <c r="B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6" spans="1:2" x14ac:dyDescent="0.3">
      <c r="A336" s="1" t="str">
        <f t="shared" si="5"/>
        <v/>
      </c>
      <c r="B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7" spans="1:2" x14ac:dyDescent="0.3">
      <c r="A337" s="1" t="str">
        <f t="shared" si="5"/>
        <v/>
      </c>
      <c r="B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8" spans="1:2" x14ac:dyDescent="0.3">
      <c r="A338" s="1" t="str">
        <f t="shared" si="5"/>
        <v/>
      </c>
      <c r="B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9" spans="1:2" x14ac:dyDescent="0.3">
      <c r="A339" s="1" t="str">
        <f t="shared" si="5"/>
        <v/>
      </c>
      <c r="B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0" spans="1:2" x14ac:dyDescent="0.3">
      <c r="A340" s="1" t="str">
        <f t="shared" si="5"/>
        <v/>
      </c>
      <c r="B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1" spans="1:2" x14ac:dyDescent="0.3">
      <c r="A341" s="1" t="str">
        <f t="shared" si="5"/>
        <v/>
      </c>
      <c r="B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2" spans="1:2" x14ac:dyDescent="0.3">
      <c r="A342" s="1" t="str">
        <f t="shared" si="5"/>
        <v/>
      </c>
      <c r="B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3" spans="1:2" x14ac:dyDescent="0.3">
      <c r="A343" s="1" t="str">
        <f t="shared" si="5"/>
        <v/>
      </c>
      <c r="B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4" spans="1:2" x14ac:dyDescent="0.3">
      <c r="A344" s="1" t="str">
        <f t="shared" si="5"/>
        <v/>
      </c>
      <c r="B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5" spans="1:2" x14ac:dyDescent="0.3">
      <c r="A345" s="1" t="str">
        <f t="shared" si="5"/>
        <v/>
      </c>
      <c r="B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6" spans="1:2" x14ac:dyDescent="0.3">
      <c r="A346" s="1" t="str">
        <f t="shared" si="5"/>
        <v/>
      </c>
      <c r="B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7" spans="1:2" x14ac:dyDescent="0.3">
      <c r="A347" s="1" t="str">
        <f t="shared" si="5"/>
        <v/>
      </c>
      <c r="B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8" spans="1:2" x14ac:dyDescent="0.3">
      <c r="A348" s="1" t="str">
        <f t="shared" si="5"/>
        <v/>
      </c>
      <c r="B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9" spans="1:2" x14ac:dyDescent="0.3">
      <c r="A349" s="1" t="str">
        <f t="shared" si="5"/>
        <v/>
      </c>
      <c r="B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0" spans="1:2" x14ac:dyDescent="0.3">
      <c r="A350" s="1" t="str">
        <f t="shared" si="5"/>
        <v/>
      </c>
      <c r="B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1" spans="1:2" x14ac:dyDescent="0.3">
      <c r="A351" s="1" t="str">
        <f t="shared" si="5"/>
        <v/>
      </c>
      <c r="B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2" spans="1:2" x14ac:dyDescent="0.3">
      <c r="A352" s="1" t="str">
        <f t="shared" si="5"/>
        <v/>
      </c>
      <c r="B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3" spans="1:2" x14ac:dyDescent="0.3">
      <c r="A353" s="1" t="str">
        <f t="shared" si="5"/>
        <v/>
      </c>
      <c r="B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4" spans="1:2" x14ac:dyDescent="0.3">
      <c r="A354" s="1" t="str">
        <f t="shared" si="5"/>
        <v/>
      </c>
      <c r="B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5" spans="1:2" x14ac:dyDescent="0.3">
      <c r="A355" s="1" t="str">
        <f t="shared" si="5"/>
        <v/>
      </c>
      <c r="B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6" spans="1:2" x14ac:dyDescent="0.3">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7" spans="1:2" x14ac:dyDescent="0.3">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8" spans="1:2" x14ac:dyDescent="0.3">
      <c r="A358" s="1" t="str">
        <f t="shared" si="5"/>
        <v/>
      </c>
      <c r="B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9" spans="1:2" x14ac:dyDescent="0.3">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0" spans="1:2" x14ac:dyDescent="0.3">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1" spans="1:2" x14ac:dyDescent="0.3">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2" spans="1:2" x14ac:dyDescent="0.3">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3" spans="1:2" x14ac:dyDescent="0.3">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4" spans="1:2" x14ac:dyDescent="0.3">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5" spans="1:2" x14ac:dyDescent="0.3">
      <c r="A365" s="1" t="str">
        <f t="shared" si="5"/>
        <v/>
      </c>
      <c r="B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6" spans="1:2" x14ac:dyDescent="0.3">
      <c r="A366" s="1" t="str">
        <f t="shared" si="5"/>
        <v/>
      </c>
      <c r="B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7" spans="1:2" x14ac:dyDescent="0.3">
      <c r="A367" s="1" t="str">
        <f t="shared" si="5"/>
        <v/>
      </c>
      <c r="B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8" spans="1:2" x14ac:dyDescent="0.3">
      <c r="A368" s="1" t="str">
        <f t="shared" si="5"/>
        <v/>
      </c>
      <c r="B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9" spans="1:2" x14ac:dyDescent="0.3">
      <c r="A369" s="1" t="str">
        <f t="shared" si="5"/>
        <v/>
      </c>
      <c r="B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0" spans="1:2" x14ac:dyDescent="0.3">
      <c r="A370" s="1" t="str">
        <f t="shared" si="5"/>
        <v/>
      </c>
      <c r="B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1" spans="1:2" x14ac:dyDescent="0.3">
      <c r="A371" s="1" t="str">
        <f t="shared" si="5"/>
        <v/>
      </c>
      <c r="B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2" spans="1:2" x14ac:dyDescent="0.3">
      <c r="A372" s="1" t="str">
        <f t="shared" si="5"/>
        <v/>
      </c>
      <c r="B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3" spans="1:2" x14ac:dyDescent="0.3">
      <c r="A373" s="1" t="str">
        <f t="shared" si="5"/>
        <v/>
      </c>
      <c r="B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4" spans="1:2" x14ac:dyDescent="0.3">
      <c r="A374" s="1" t="str">
        <f t="shared" si="5"/>
        <v/>
      </c>
      <c r="B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5" spans="1:2" x14ac:dyDescent="0.3">
      <c r="A375" s="1" t="str">
        <f t="shared" si="5"/>
        <v/>
      </c>
      <c r="B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6" spans="1:2" x14ac:dyDescent="0.3">
      <c r="A376" s="1" t="str">
        <f t="shared" si="5"/>
        <v/>
      </c>
      <c r="B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7" spans="1:2" x14ac:dyDescent="0.3">
      <c r="A377" s="1" t="str">
        <f t="shared" si="5"/>
        <v/>
      </c>
      <c r="B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8" spans="1:2" x14ac:dyDescent="0.3">
      <c r="A378" s="1" t="str">
        <f t="shared" si="5"/>
        <v/>
      </c>
      <c r="B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9" spans="1:2" x14ac:dyDescent="0.3">
      <c r="A379" s="1" t="str">
        <f t="shared" si="5"/>
        <v/>
      </c>
      <c r="B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0" spans="1:2" x14ac:dyDescent="0.3">
      <c r="A380" s="1" t="str">
        <f t="shared" si="5"/>
        <v/>
      </c>
      <c r="B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1" spans="1:2" x14ac:dyDescent="0.3">
      <c r="A381" s="1" t="str">
        <f t="shared" si="5"/>
        <v/>
      </c>
      <c r="B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2" spans="1:2" x14ac:dyDescent="0.3">
      <c r="A382" s="1" t="str">
        <f t="shared" si="5"/>
        <v/>
      </c>
      <c r="B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3" spans="1:2" x14ac:dyDescent="0.3">
      <c r="A383" s="1" t="str">
        <f t="shared" si="5"/>
        <v/>
      </c>
      <c r="B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4" spans="1:2" x14ac:dyDescent="0.3">
      <c r="A384" s="1" t="str">
        <f t="shared" si="5"/>
        <v/>
      </c>
      <c r="B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5" spans="1:2" x14ac:dyDescent="0.3">
      <c r="A385" s="1" t="str">
        <f t="shared" si="5"/>
        <v/>
      </c>
      <c r="B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6" spans="1:2" x14ac:dyDescent="0.3">
      <c r="A386" s="1" t="str">
        <f t="shared" ref="A386:A449" si="6">IFERROR(LEFT(RIGHT(C386,LEN(C386)-SEARCH("@",C386)),SEARCH("/",RIGHT(C386,LEN(C386)-SEARCH("@",C386)-1))),"")</f>
        <v/>
      </c>
      <c r="B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7" spans="1:2" x14ac:dyDescent="0.3">
      <c r="A387" s="1" t="str">
        <f t="shared" si="6"/>
        <v/>
      </c>
      <c r="B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8" spans="1:2" x14ac:dyDescent="0.3">
      <c r="A388" s="1" t="str">
        <f t="shared" si="6"/>
        <v/>
      </c>
      <c r="B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9" spans="1:2" x14ac:dyDescent="0.3">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0" spans="1:2" x14ac:dyDescent="0.3">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1" spans="1:2" x14ac:dyDescent="0.3">
      <c r="A391" s="1" t="str">
        <f t="shared" si="6"/>
        <v/>
      </c>
      <c r="B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2" spans="1:2" x14ac:dyDescent="0.3">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3" spans="1:2" x14ac:dyDescent="0.3">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4" spans="1:2" x14ac:dyDescent="0.3">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5" spans="1:2" x14ac:dyDescent="0.3">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6" spans="1:2" x14ac:dyDescent="0.3">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7" spans="1:2" x14ac:dyDescent="0.3">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8" spans="1:2" x14ac:dyDescent="0.3">
      <c r="A398" s="1" t="str">
        <f t="shared" si="6"/>
        <v/>
      </c>
      <c r="B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9" spans="1:2" x14ac:dyDescent="0.3">
      <c r="A399" s="1" t="str">
        <f t="shared" si="6"/>
        <v/>
      </c>
      <c r="B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0" spans="1:2" x14ac:dyDescent="0.3">
      <c r="A400" s="1" t="str">
        <f t="shared" si="6"/>
        <v/>
      </c>
      <c r="B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1" spans="1:2" x14ac:dyDescent="0.3">
      <c r="A401" s="1" t="str">
        <f t="shared" si="6"/>
        <v/>
      </c>
      <c r="B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2" spans="1:2" x14ac:dyDescent="0.3">
      <c r="A402" s="1" t="str">
        <f t="shared" si="6"/>
        <v/>
      </c>
      <c r="B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3" spans="1:2" x14ac:dyDescent="0.3">
      <c r="A403" s="1" t="str">
        <f t="shared" si="6"/>
        <v/>
      </c>
      <c r="B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4" spans="1:2" x14ac:dyDescent="0.3">
      <c r="A404" s="1" t="str">
        <f t="shared" si="6"/>
        <v/>
      </c>
      <c r="B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5" spans="1:2" x14ac:dyDescent="0.3">
      <c r="A405" s="1" t="str">
        <f t="shared" si="6"/>
        <v/>
      </c>
      <c r="B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6" spans="1:2" x14ac:dyDescent="0.3">
      <c r="A406" s="1" t="str">
        <f t="shared" si="6"/>
        <v/>
      </c>
      <c r="B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7" spans="1:2" x14ac:dyDescent="0.3">
      <c r="A407" s="1" t="str">
        <f t="shared" si="6"/>
        <v/>
      </c>
      <c r="B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8" spans="1:2" x14ac:dyDescent="0.3">
      <c r="A408" s="1" t="str">
        <f t="shared" si="6"/>
        <v/>
      </c>
      <c r="B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9" spans="1:2" x14ac:dyDescent="0.3">
      <c r="A409" s="1" t="str">
        <f t="shared" si="6"/>
        <v/>
      </c>
      <c r="B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0" spans="1:2" x14ac:dyDescent="0.3">
      <c r="A410" s="1" t="str">
        <f t="shared" si="6"/>
        <v/>
      </c>
      <c r="B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1" spans="1:2" x14ac:dyDescent="0.3">
      <c r="A411" s="1" t="str">
        <f t="shared" si="6"/>
        <v/>
      </c>
      <c r="B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2" spans="1:2" x14ac:dyDescent="0.3">
      <c r="A412" s="1" t="str">
        <f t="shared" si="6"/>
        <v/>
      </c>
      <c r="B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3" spans="1:2" x14ac:dyDescent="0.3">
      <c r="A413" s="1" t="str">
        <f t="shared" si="6"/>
        <v/>
      </c>
      <c r="B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4" spans="1:2" x14ac:dyDescent="0.3">
      <c r="A414" s="1" t="str">
        <f t="shared" si="6"/>
        <v/>
      </c>
      <c r="B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5" spans="1:2" x14ac:dyDescent="0.3">
      <c r="A415" s="1" t="str">
        <f t="shared" si="6"/>
        <v/>
      </c>
      <c r="B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6" spans="1:2" x14ac:dyDescent="0.3">
      <c r="A416" s="1" t="str">
        <f t="shared" si="6"/>
        <v/>
      </c>
      <c r="B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7" spans="1:2" x14ac:dyDescent="0.3">
      <c r="A417" s="1" t="str">
        <f t="shared" si="6"/>
        <v/>
      </c>
      <c r="B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8" spans="1:2" x14ac:dyDescent="0.3">
      <c r="A418" s="1" t="str">
        <f t="shared" si="6"/>
        <v/>
      </c>
      <c r="B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9" spans="1:2" x14ac:dyDescent="0.3">
      <c r="A419" s="1" t="str">
        <f t="shared" si="6"/>
        <v/>
      </c>
      <c r="B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0" spans="1:2" x14ac:dyDescent="0.3">
      <c r="A420" s="1" t="str">
        <f t="shared" si="6"/>
        <v/>
      </c>
      <c r="B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1" spans="1:2" x14ac:dyDescent="0.3">
      <c r="A421" s="1" t="str">
        <f t="shared" si="6"/>
        <v/>
      </c>
      <c r="B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2" spans="1:2" x14ac:dyDescent="0.3">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3" spans="1:2" x14ac:dyDescent="0.3">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4" spans="1:2" x14ac:dyDescent="0.3">
      <c r="A424" s="1" t="str">
        <f t="shared" si="6"/>
        <v/>
      </c>
      <c r="B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5" spans="1:2" x14ac:dyDescent="0.3">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6" spans="1:2" x14ac:dyDescent="0.3">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7" spans="1:2" x14ac:dyDescent="0.3">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8" spans="1:2" x14ac:dyDescent="0.3">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9" spans="1:2" x14ac:dyDescent="0.3">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0" spans="1:2" x14ac:dyDescent="0.3">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1" spans="1:2" x14ac:dyDescent="0.3">
      <c r="A431" s="1" t="str">
        <f t="shared" si="6"/>
        <v/>
      </c>
      <c r="B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2" spans="1:2" x14ac:dyDescent="0.3">
      <c r="A432" s="1" t="str">
        <f t="shared" si="6"/>
        <v/>
      </c>
      <c r="B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3" spans="1:2" x14ac:dyDescent="0.3">
      <c r="A433" s="1" t="str">
        <f t="shared" si="6"/>
        <v/>
      </c>
      <c r="B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4" spans="1:2" x14ac:dyDescent="0.3">
      <c r="A434" s="1" t="str">
        <f t="shared" si="6"/>
        <v/>
      </c>
      <c r="B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5" spans="1:2" x14ac:dyDescent="0.3">
      <c r="A435" s="1" t="str">
        <f t="shared" si="6"/>
        <v/>
      </c>
      <c r="B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6" spans="1:2" x14ac:dyDescent="0.3">
      <c r="A436" s="1" t="str">
        <f t="shared" si="6"/>
        <v/>
      </c>
      <c r="B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7" spans="1:2" x14ac:dyDescent="0.3">
      <c r="A437" s="1" t="str">
        <f t="shared" si="6"/>
        <v/>
      </c>
      <c r="B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8" spans="1:2" x14ac:dyDescent="0.3">
      <c r="A438" s="1" t="str">
        <f t="shared" si="6"/>
        <v/>
      </c>
      <c r="B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9" spans="1:2" x14ac:dyDescent="0.3">
      <c r="A439" s="1" t="str">
        <f t="shared" si="6"/>
        <v/>
      </c>
      <c r="B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0" spans="1:2" x14ac:dyDescent="0.3">
      <c r="A440" s="1" t="str">
        <f t="shared" si="6"/>
        <v/>
      </c>
      <c r="B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1" spans="1:2" x14ac:dyDescent="0.3">
      <c r="A441" s="1" t="str">
        <f t="shared" si="6"/>
        <v/>
      </c>
      <c r="B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2" spans="1:2" x14ac:dyDescent="0.3">
      <c r="A442" s="1" t="str">
        <f t="shared" si="6"/>
        <v/>
      </c>
      <c r="B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3" spans="1:2" x14ac:dyDescent="0.3">
      <c r="A443" s="1" t="str">
        <f t="shared" si="6"/>
        <v/>
      </c>
      <c r="B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4" spans="1:2" x14ac:dyDescent="0.3">
      <c r="A444" s="1" t="str">
        <f t="shared" si="6"/>
        <v/>
      </c>
      <c r="B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5" spans="1:2" x14ac:dyDescent="0.3">
      <c r="A445" s="1" t="str">
        <f t="shared" si="6"/>
        <v/>
      </c>
      <c r="B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6" spans="1:2" x14ac:dyDescent="0.3">
      <c r="A446" s="1" t="str">
        <f t="shared" si="6"/>
        <v/>
      </c>
      <c r="B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7" spans="1:2" x14ac:dyDescent="0.3">
      <c r="A447" s="1" t="str">
        <f t="shared" si="6"/>
        <v/>
      </c>
      <c r="B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8" spans="1:2" x14ac:dyDescent="0.3">
      <c r="A448" s="1" t="str">
        <f t="shared" si="6"/>
        <v/>
      </c>
      <c r="B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9" spans="1:2" x14ac:dyDescent="0.3">
      <c r="A449" s="1" t="str">
        <f t="shared" si="6"/>
        <v/>
      </c>
      <c r="B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0" spans="1:2" x14ac:dyDescent="0.3">
      <c r="A450" s="1" t="str">
        <f t="shared" ref="A450:A513" si="7">IFERROR(LEFT(RIGHT(C450,LEN(C450)-SEARCH("@",C450)),SEARCH("/",RIGHT(C450,LEN(C450)-SEARCH("@",C450)-1))),"")</f>
        <v/>
      </c>
      <c r="B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1" spans="1:2" x14ac:dyDescent="0.3">
      <c r="A451" s="1" t="str">
        <f t="shared" si="7"/>
        <v/>
      </c>
      <c r="B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2" spans="1:2" x14ac:dyDescent="0.3">
      <c r="A452" s="1" t="str">
        <f t="shared" si="7"/>
        <v/>
      </c>
      <c r="B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3" spans="1:2" x14ac:dyDescent="0.3">
      <c r="A453" s="1" t="str">
        <f t="shared" si="7"/>
        <v/>
      </c>
      <c r="B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4" spans="1:2" x14ac:dyDescent="0.3">
      <c r="A454" s="1" t="str">
        <f t="shared" si="7"/>
        <v/>
      </c>
      <c r="B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5" spans="1:2" x14ac:dyDescent="0.3">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6" spans="1:2" x14ac:dyDescent="0.3">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7" spans="1:2" x14ac:dyDescent="0.3">
      <c r="A457" s="1" t="str">
        <f t="shared" si="7"/>
        <v/>
      </c>
      <c r="B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8" spans="1:2" x14ac:dyDescent="0.3">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9" spans="1:2" x14ac:dyDescent="0.3">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0" spans="1:2" x14ac:dyDescent="0.3">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1" spans="1:2" x14ac:dyDescent="0.3">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2" spans="1:2" x14ac:dyDescent="0.3">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3" spans="1:2" x14ac:dyDescent="0.3">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4" spans="1:2" x14ac:dyDescent="0.3">
      <c r="A464" s="1" t="str">
        <f t="shared" si="7"/>
        <v/>
      </c>
      <c r="B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5" spans="1:2" x14ac:dyDescent="0.3">
      <c r="A465" s="1" t="str">
        <f t="shared" si="7"/>
        <v/>
      </c>
      <c r="B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6" spans="1:2" x14ac:dyDescent="0.3">
      <c r="A466" s="1" t="str">
        <f t="shared" si="7"/>
        <v/>
      </c>
      <c r="B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7" spans="1:2" x14ac:dyDescent="0.3">
      <c r="A467" s="1" t="str">
        <f t="shared" si="7"/>
        <v/>
      </c>
      <c r="B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8" spans="1:2" x14ac:dyDescent="0.3">
      <c r="A468" s="1" t="str">
        <f t="shared" si="7"/>
        <v/>
      </c>
      <c r="B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9" spans="1:2" x14ac:dyDescent="0.3">
      <c r="A469" s="1" t="str">
        <f t="shared" si="7"/>
        <v/>
      </c>
      <c r="B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0" spans="1:2" x14ac:dyDescent="0.3">
      <c r="A470" s="1" t="str">
        <f t="shared" si="7"/>
        <v/>
      </c>
      <c r="B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1" spans="1:2" x14ac:dyDescent="0.3">
      <c r="A471" s="1" t="str">
        <f t="shared" si="7"/>
        <v/>
      </c>
      <c r="B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2" spans="1:2" x14ac:dyDescent="0.3">
      <c r="A472" s="1" t="str">
        <f t="shared" si="7"/>
        <v/>
      </c>
      <c r="B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3" spans="1:2" x14ac:dyDescent="0.3">
      <c r="A473" s="1" t="str">
        <f t="shared" si="7"/>
        <v/>
      </c>
      <c r="B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4" spans="1:2" x14ac:dyDescent="0.3">
      <c r="A474" s="1" t="str">
        <f t="shared" si="7"/>
        <v/>
      </c>
      <c r="B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5" spans="1:2" x14ac:dyDescent="0.3">
      <c r="A475" s="1" t="str">
        <f t="shared" si="7"/>
        <v/>
      </c>
      <c r="B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6" spans="1:2" x14ac:dyDescent="0.3">
      <c r="A476" s="1" t="str">
        <f t="shared" si="7"/>
        <v/>
      </c>
      <c r="B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7" spans="1:2" x14ac:dyDescent="0.3">
      <c r="A477" s="1" t="str">
        <f t="shared" si="7"/>
        <v/>
      </c>
      <c r="B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8" spans="1:2" x14ac:dyDescent="0.3">
      <c r="A478" s="1" t="str">
        <f t="shared" si="7"/>
        <v/>
      </c>
      <c r="B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9" spans="1:2" x14ac:dyDescent="0.3">
      <c r="A479" s="1" t="str">
        <f t="shared" si="7"/>
        <v/>
      </c>
      <c r="B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0" spans="1:2" x14ac:dyDescent="0.3">
      <c r="A480" s="1" t="str">
        <f t="shared" si="7"/>
        <v/>
      </c>
      <c r="B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1" spans="1:2" x14ac:dyDescent="0.3">
      <c r="A481" s="1" t="str">
        <f t="shared" si="7"/>
        <v/>
      </c>
      <c r="B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2" spans="1:2" x14ac:dyDescent="0.3">
      <c r="A482" s="1" t="str">
        <f t="shared" si="7"/>
        <v/>
      </c>
      <c r="B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3" spans="1:2" x14ac:dyDescent="0.3">
      <c r="A483" s="1" t="str">
        <f t="shared" si="7"/>
        <v/>
      </c>
      <c r="B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4" spans="1:2" x14ac:dyDescent="0.3">
      <c r="A484" s="1" t="str">
        <f t="shared" si="7"/>
        <v/>
      </c>
      <c r="B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5" spans="1:2" x14ac:dyDescent="0.3">
      <c r="A485" s="1" t="str">
        <f t="shared" si="7"/>
        <v/>
      </c>
      <c r="B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6" spans="1:2" x14ac:dyDescent="0.3">
      <c r="A486" s="1" t="str">
        <f t="shared" si="7"/>
        <v/>
      </c>
      <c r="B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7" spans="1:2" x14ac:dyDescent="0.3">
      <c r="A487" s="1" t="str">
        <f t="shared" si="7"/>
        <v/>
      </c>
      <c r="B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8" spans="1:2" x14ac:dyDescent="0.3">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9" spans="1:2" x14ac:dyDescent="0.3">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0" spans="1:2" x14ac:dyDescent="0.3">
      <c r="A490" s="1" t="str">
        <f t="shared" si="7"/>
        <v/>
      </c>
      <c r="B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1" spans="1:2" x14ac:dyDescent="0.3">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2" spans="1:2" x14ac:dyDescent="0.3">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3" spans="1:2" x14ac:dyDescent="0.3">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4" spans="1:2" x14ac:dyDescent="0.3">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5" spans="1:2" x14ac:dyDescent="0.3">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6" spans="1:2" x14ac:dyDescent="0.3">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7" spans="1:2" x14ac:dyDescent="0.3">
      <c r="A497" s="1" t="str">
        <f t="shared" si="7"/>
        <v/>
      </c>
      <c r="B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8" spans="1:2" x14ac:dyDescent="0.3">
      <c r="A498" s="1" t="str">
        <f t="shared" si="7"/>
        <v/>
      </c>
      <c r="B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9" spans="1:2" x14ac:dyDescent="0.3">
      <c r="A499" s="1" t="str">
        <f t="shared" si="7"/>
        <v/>
      </c>
      <c r="B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0" spans="1:2" x14ac:dyDescent="0.3">
      <c r="A500" s="1" t="str">
        <f t="shared" si="7"/>
        <v/>
      </c>
      <c r="B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1" spans="1:2" x14ac:dyDescent="0.3">
      <c r="A501" s="1" t="str">
        <f t="shared" si="7"/>
        <v/>
      </c>
      <c r="B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2" spans="1:2" x14ac:dyDescent="0.3">
      <c r="A502" s="1" t="str">
        <f t="shared" si="7"/>
        <v/>
      </c>
      <c r="B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3" spans="1:2" x14ac:dyDescent="0.3">
      <c r="A503" s="1" t="str">
        <f t="shared" si="7"/>
        <v/>
      </c>
      <c r="B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4" spans="1:2" x14ac:dyDescent="0.3">
      <c r="A504" s="1" t="str">
        <f t="shared" si="7"/>
        <v/>
      </c>
      <c r="B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5" spans="1:2" x14ac:dyDescent="0.3">
      <c r="A505" s="1" t="str">
        <f t="shared" si="7"/>
        <v/>
      </c>
      <c r="B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6" spans="1:2" x14ac:dyDescent="0.3">
      <c r="A506" s="1" t="str">
        <f t="shared" si="7"/>
        <v/>
      </c>
      <c r="B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7" spans="1:2" x14ac:dyDescent="0.3">
      <c r="A507" s="1" t="str">
        <f t="shared" si="7"/>
        <v/>
      </c>
      <c r="B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8" spans="1:2" x14ac:dyDescent="0.3">
      <c r="A508" s="1" t="str">
        <f t="shared" si="7"/>
        <v/>
      </c>
      <c r="B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9" spans="1:2" x14ac:dyDescent="0.3">
      <c r="A509" s="1" t="str">
        <f t="shared" si="7"/>
        <v/>
      </c>
      <c r="B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0" spans="1:2" x14ac:dyDescent="0.3">
      <c r="A510" s="1" t="str">
        <f t="shared" si="7"/>
        <v/>
      </c>
      <c r="B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1" spans="1:2" x14ac:dyDescent="0.3">
      <c r="A511" s="1" t="str">
        <f t="shared" si="7"/>
        <v/>
      </c>
      <c r="B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2" spans="1:2" x14ac:dyDescent="0.3">
      <c r="A512" s="1" t="str">
        <f t="shared" si="7"/>
        <v/>
      </c>
      <c r="B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3" spans="1:2" x14ac:dyDescent="0.3">
      <c r="A513" s="1" t="str">
        <f t="shared" si="7"/>
        <v/>
      </c>
      <c r="B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4" spans="1:2" x14ac:dyDescent="0.3">
      <c r="A514" s="1" t="str">
        <f t="shared" ref="A514:A577" si="8">IFERROR(LEFT(RIGHT(C514,LEN(C514)-SEARCH("@",C514)),SEARCH("/",RIGHT(C514,LEN(C514)-SEARCH("@",C514)-1))),"")</f>
        <v/>
      </c>
      <c r="B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5" spans="1:2" x14ac:dyDescent="0.3">
      <c r="A515" s="1" t="str">
        <f t="shared" si="8"/>
        <v/>
      </c>
      <c r="B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6" spans="1:2" x14ac:dyDescent="0.3">
      <c r="A516" s="1" t="str">
        <f t="shared" si="8"/>
        <v/>
      </c>
      <c r="B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7" spans="1:2" x14ac:dyDescent="0.3">
      <c r="A517" s="1" t="str">
        <f t="shared" si="8"/>
        <v/>
      </c>
      <c r="B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8" spans="1:2" x14ac:dyDescent="0.3">
      <c r="A518" s="1" t="str">
        <f t="shared" si="8"/>
        <v/>
      </c>
      <c r="B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9" spans="1:2" x14ac:dyDescent="0.3">
      <c r="A519" s="1" t="str">
        <f t="shared" si="8"/>
        <v/>
      </c>
      <c r="B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0" spans="1:2" x14ac:dyDescent="0.3">
      <c r="A520" s="1" t="str">
        <f t="shared" si="8"/>
        <v/>
      </c>
      <c r="B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1" spans="1:2" x14ac:dyDescent="0.3">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2" spans="1:2" x14ac:dyDescent="0.3">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3" spans="1:2" x14ac:dyDescent="0.3">
      <c r="A523" s="1" t="str">
        <f t="shared" si="8"/>
        <v/>
      </c>
      <c r="B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4" spans="1:2" x14ac:dyDescent="0.3">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5" spans="1:2" x14ac:dyDescent="0.3">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6" spans="1:2" x14ac:dyDescent="0.3">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7" spans="1:2" x14ac:dyDescent="0.3">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8" spans="1:2" x14ac:dyDescent="0.3">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9" spans="1:2" x14ac:dyDescent="0.3">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0" spans="1:2" x14ac:dyDescent="0.3">
      <c r="A530" s="1" t="str">
        <f t="shared" si="8"/>
        <v/>
      </c>
      <c r="B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1" spans="1:2" x14ac:dyDescent="0.3">
      <c r="A531" s="1" t="str">
        <f t="shared" si="8"/>
        <v/>
      </c>
      <c r="B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2" spans="1:2" x14ac:dyDescent="0.3">
      <c r="A532" s="1" t="str">
        <f t="shared" si="8"/>
        <v/>
      </c>
      <c r="B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3" spans="1:2" x14ac:dyDescent="0.3">
      <c r="A533" s="1" t="str">
        <f t="shared" si="8"/>
        <v/>
      </c>
      <c r="B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4" spans="1:2" x14ac:dyDescent="0.3">
      <c r="A534" s="1" t="str">
        <f t="shared" si="8"/>
        <v/>
      </c>
      <c r="B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5" spans="1:2" x14ac:dyDescent="0.3">
      <c r="A535" s="1" t="str">
        <f t="shared" si="8"/>
        <v/>
      </c>
      <c r="B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6" spans="1:2" x14ac:dyDescent="0.3">
      <c r="A536" s="1" t="str">
        <f t="shared" si="8"/>
        <v/>
      </c>
      <c r="B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7" spans="1:2" x14ac:dyDescent="0.3">
      <c r="A537" s="1" t="str">
        <f t="shared" si="8"/>
        <v/>
      </c>
      <c r="B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8" spans="1:2" x14ac:dyDescent="0.3">
      <c r="A538" s="1" t="str">
        <f t="shared" si="8"/>
        <v/>
      </c>
      <c r="B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9" spans="1:2" x14ac:dyDescent="0.3">
      <c r="A539" s="1" t="str">
        <f t="shared" si="8"/>
        <v/>
      </c>
      <c r="B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0" spans="1:2" x14ac:dyDescent="0.3">
      <c r="A540" s="1" t="str">
        <f t="shared" si="8"/>
        <v/>
      </c>
      <c r="B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1" spans="1:2" x14ac:dyDescent="0.3">
      <c r="A541" s="1" t="str">
        <f t="shared" si="8"/>
        <v/>
      </c>
      <c r="B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2" spans="1:2" x14ac:dyDescent="0.3">
      <c r="A542" s="1" t="str">
        <f t="shared" si="8"/>
        <v/>
      </c>
      <c r="B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3" spans="1:2" x14ac:dyDescent="0.3">
      <c r="A543" s="1" t="str">
        <f t="shared" si="8"/>
        <v/>
      </c>
      <c r="B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4" spans="1:2" x14ac:dyDescent="0.3">
      <c r="A544" s="1" t="str">
        <f t="shared" si="8"/>
        <v/>
      </c>
      <c r="B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5" spans="1:2" x14ac:dyDescent="0.3">
      <c r="A545" s="1" t="str">
        <f t="shared" si="8"/>
        <v/>
      </c>
      <c r="B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6" spans="1:2" x14ac:dyDescent="0.3">
      <c r="A546" s="1" t="str">
        <f t="shared" si="8"/>
        <v/>
      </c>
      <c r="B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7" spans="1:2" x14ac:dyDescent="0.3">
      <c r="A547" s="1" t="str">
        <f t="shared" si="8"/>
        <v/>
      </c>
      <c r="B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8" spans="1:2" x14ac:dyDescent="0.3">
      <c r="A548" s="1" t="str">
        <f t="shared" si="8"/>
        <v/>
      </c>
      <c r="B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9" spans="1:2" x14ac:dyDescent="0.3">
      <c r="A549" s="1" t="str">
        <f t="shared" si="8"/>
        <v/>
      </c>
      <c r="B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0" spans="1:2" x14ac:dyDescent="0.3">
      <c r="A550" s="1" t="str">
        <f t="shared" si="8"/>
        <v/>
      </c>
      <c r="B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1" spans="1:2" x14ac:dyDescent="0.3">
      <c r="A551" s="1" t="str">
        <f t="shared" si="8"/>
        <v/>
      </c>
      <c r="B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2" spans="1:2" x14ac:dyDescent="0.3">
      <c r="A552" s="1" t="str">
        <f t="shared" si="8"/>
        <v/>
      </c>
      <c r="B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3" spans="1:2" x14ac:dyDescent="0.3">
      <c r="A553" s="1" t="str">
        <f t="shared" si="8"/>
        <v/>
      </c>
      <c r="B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4" spans="1:2" x14ac:dyDescent="0.3">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5" spans="1:2" x14ac:dyDescent="0.3">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6" spans="1:2" x14ac:dyDescent="0.3">
      <c r="A556" s="1" t="str">
        <f t="shared" si="8"/>
        <v/>
      </c>
      <c r="B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7" spans="1:2" x14ac:dyDescent="0.3">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8" spans="1:2" x14ac:dyDescent="0.3">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9" spans="1:2" x14ac:dyDescent="0.3">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0" spans="1:2" x14ac:dyDescent="0.3">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1" spans="1:2" x14ac:dyDescent="0.3">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2" spans="1:2" x14ac:dyDescent="0.3">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3" spans="1:2" x14ac:dyDescent="0.3">
      <c r="A563" s="1" t="str">
        <f t="shared" si="8"/>
        <v/>
      </c>
      <c r="B5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4" spans="1:2" x14ac:dyDescent="0.3">
      <c r="A564" s="1" t="str">
        <f t="shared" si="8"/>
        <v/>
      </c>
      <c r="B5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5" spans="1:2" x14ac:dyDescent="0.3">
      <c r="A565" s="1" t="str">
        <f t="shared" si="8"/>
        <v/>
      </c>
      <c r="B5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6" spans="1:2" x14ac:dyDescent="0.3">
      <c r="A566" s="1" t="str">
        <f t="shared" si="8"/>
        <v/>
      </c>
      <c r="B5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7" spans="1:2" x14ac:dyDescent="0.3">
      <c r="A567" s="1" t="str">
        <f t="shared" si="8"/>
        <v/>
      </c>
      <c r="B5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8" spans="1:2" x14ac:dyDescent="0.3">
      <c r="A568" s="1" t="str">
        <f t="shared" si="8"/>
        <v/>
      </c>
      <c r="B5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9" spans="1:2" x14ac:dyDescent="0.3">
      <c r="A569" s="1" t="str">
        <f t="shared" si="8"/>
        <v/>
      </c>
      <c r="B5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0" spans="1:2" x14ac:dyDescent="0.3">
      <c r="A570" s="1" t="str">
        <f t="shared" si="8"/>
        <v/>
      </c>
      <c r="B5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1" spans="1:2" x14ac:dyDescent="0.3">
      <c r="A571" s="1" t="str">
        <f t="shared" si="8"/>
        <v/>
      </c>
      <c r="B5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2" spans="1:2" x14ac:dyDescent="0.3">
      <c r="A572" s="1" t="str">
        <f t="shared" si="8"/>
        <v/>
      </c>
      <c r="B5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3" spans="1:2" x14ac:dyDescent="0.3">
      <c r="A573" s="1" t="str">
        <f t="shared" si="8"/>
        <v/>
      </c>
      <c r="B5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4" spans="1:2" x14ac:dyDescent="0.3">
      <c r="A574" s="1" t="str">
        <f t="shared" si="8"/>
        <v/>
      </c>
      <c r="B5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5" spans="1:2" x14ac:dyDescent="0.3">
      <c r="A575" s="1" t="str">
        <f t="shared" si="8"/>
        <v/>
      </c>
      <c r="B5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6" spans="1:2" x14ac:dyDescent="0.3">
      <c r="A576" s="1" t="str">
        <f t="shared" si="8"/>
        <v/>
      </c>
      <c r="B5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7" spans="1:2" x14ac:dyDescent="0.3">
      <c r="A577" s="1" t="str">
        <f t="shared" si="8"/>
        <v/>
      </c>
      <c r="B5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8" spans="1:2" x14ac:dyDescent="0.3">
      <c r="A578" s="1" t="str">
        <f t="shared" ref="A578:A641" si="9">IFERROR(LEFT(RIGHT(C578,LEN(C578)-SEARCH("@",C578)),SEARCH("/",RIGHT(C578,LEN(C578)-SEARCH("@",C578)-1))),"")</f>
        <v/>
      </c>
      <c r="B5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9" spans="1:2" x14ac:dyDescent="0.3">
      <c r="A579" s="1" t="str">
        <f t="shared" si="9"/>
        <v/>
      </c>
      <c r="B5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0" spans="1:2" x14ac:dyDescent="0.3">
      <c r="A580" s="1" t="str">
        <f t="shared" si="9"/>
        <v/>
      </c>
      <c r="B5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1" spans="1:2" x14ac:dyDescent="0.3">
      <c r="A581" s="1" t="str">
        <f t="shared" si="9"/>
        <v/>
      </c>
      <c r="B5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2" spans="1:2" x14ac:dyDescent="0.3">
      <c r="A582" s="1" t="str">
        <f t="shared" si="9"/>
        <v/>
      </c>
      <c r="B5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3" spans="1:2" x14ac:dyDescent="0.3">
      <c r="A583" s="1" t="str">
        <f t="shared" si="9"/>
        <v/>
      </c>
      <c r="B5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4" spans="1:2" x14ac:dyDescent="0.3">
      <c r="A584" s="1" t="str">
        <f t="shared" si="9"/>
        <v/>
      </c>
      <c r="B5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5" spans="1:2" x14ac:dyDescent="0.3">
      <c r="A585" s="1" t="str">
        <f t="shared" si="9"/>
        <v/>
      </c>
      <c r="B5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6" spans="1:2" x14ac:dyDescent="0.3">
      <c r="A586" s="1" t="str">
        <f t="shared" si="9"/>
        <v/>
      </c>
      <c r="B5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7" spans="1:2" x14ac:dyDescent="0.3">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8" spans="1:2" x14ac:dyDescent="0.3">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9" spans="1:2" x14ac:dyDescent="0.3">
      <c r="A589" s="1" t="str">
        <f t="shared" si="9"/>
        <v/>
      </c>
      <c r="B5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0" spans="1:2" x14ac:dyDescent="0.3">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1" spans="1:2" x14ac:dyDescent="0.3">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2" spans="1:2" x14ac:dyDescent="0.3">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3" spans="1:2" x14ac:dyDescent="0.3">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4" spans="1:2" x14ac:dyDescent="0.3">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5" spans="1:2" x14ac:dyDescent="0.3">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6" spans="1:2" x14ac:dyDescent="0.3">
      <c r="A596" s="1" t="str">
        <f t="shared" si="9"/>
        <v/>
      </c>
      <c r="B5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7" spans="1:2" x14ac:dyDescent="0.3">
      <c r="A597" s="1" t="str">
        <f t="shared" si="9"/>
        <v/>
      </c>
      <c r="B5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8" spans="1:2" x14ac:dyDescent="0.3">
      <c r="A598" s="1" t="str">
        <f t="shared" si="9"/>
        <v/>
      </c>
      <c r="B5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9" spans="1:2" x14ac:dyDescent="0.3">
      <c r="A599" s="1" t="str">
        <f t="shared" si="9"/>
        <v/>
      </c>
      <c r="B5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0" spans="1:2" x14ac:dyDescent="0.3">
      <c r="A600" s="1" t="str">
        <f t="shared" si="9"/>
        <v/>
      </c>
      <c r="B6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1" spans="1:2" x14ac:dyDescent="0.3">
      <c r="A601" s="1" t="str">
        <f t="shared" si="9"/>
        <v/>
      </c>
      <c r="B6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2" spans="1:2" x14ac:dyDescent="0.3">
      <c r="A602" s="1" t="str">
        <f t="shared" si="9"/>
        <v/>
      </c>
      <c r="B6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3" spans="1:2" x14ac:dyDescent="0.3">
      <c r="A603" s="1" t="str">
        <f t="shared" si="9"/>
        <v/>
      </c>
      <c r="B6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4" spans="1:2" x14ac:dyDescent="0.3">
      <c r="A604" s="1" t="str">
        <f t="shared" si="9"/>
        <v/>
      </c>
      <c r="B6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5" spans="1:2" x14ac:dyDescent="0.3">
      <c r="A605" s="1" t="str">
        <f t="shared" si="9"/>
        <v/>
      </c>
      <c r="B6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6" spans="1:2" x14ac:dyDescent="0.3">
      <c r="A606" s="1" t="str">
        <f t="shared" si="9"/>
        <v/>
      </c>
      <c r="B6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7" spans="1:2" x14ac:dyDescent="0.3">
      <c r="A607" s="1" t="str">
        <f t="shared" si="9"/>
        <v/>
      </c>
      <c r="B6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8" spans="1:2" x14ac:dyDescent="0.3">
      <c r="A608" s="1" t="str">
        <f t="shared" si="9"/>
        <v/>
      </c>
      <c r="B6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9" spans="1:2" x14ac:dyDescent="0.3">
      <c r="A609" s="1" t="str">
        <f t="shared" si="9"/>
        <v/>
      </c>
      <c r="B6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0" spans="1:2" x14ac:dyDescent="0.3">
      <c r="A610" s="1" t="str">
        <f t="shared" si="9"/>
        <v/>
      </c>
      <c r="B6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1" spans="1:2" x14ac:dyDescent="0.3">
      <c r="A611" s="1" t="str">
        <f t="shared" si="9"/>
        <v/>
      </c>
      <c r="B6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2" spans="1:2" x14ac:dyDescent="0.3">
      <c r="A612" s="1" t="str">
        <f t="shared" si="9"/>
        <v/>
      </c>
      <c r="B6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3" spans="1:2" x14ac:dyDescent="0.3">
      <c r="A613" s="1" t="str">
        <f t="shared" si="9"/>
        <v/>
      </c>
      <c r="B6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4" spans="1:2" x14ac:dyDescent="0.3">
      <c r="A614" s="1" t="str">
        <f t="shared" si="9"/>
        <v/>
      </c>
      <c r="B6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5" spans="1:2" x14ac:dyDescent="0.3">
      <c r="A615" s="1" t="str">
        <f t="shared" si="9"/>
        <v/>
      </c>
      <c r="B6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6" spans="1:2" x14ac:dyDescent="0.3">
      <c r="A616" s="1" t="str">
        <f t="shared" si="9"/>
        <v/>
      </c>
      <c r="B6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7" spans="1:2" x14ac:dyDescent="0.3">
      <c r="A617" s="1" t="str">
        <f t="shared" si="9"/>
        <v/>
      </c>
      <c r="B6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8" spans="1:2" x14ac:dyDescent="0.3">
      <c r="A618" s="1" t="str">
        <f t="shared" si="9"/>
        <v/>
      </c>
      <c r="B6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9" spans="1:2" x14ac:dyDescent="0.3">
      <c r="A619" s="1" t="str">
        <f t="shared" si="9"/>
        <v/>
      </c>
      <c r="B6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0" spans="1:2" x14ac:dyDescent="0.3">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1" spans="1:2" x14ac:dyDescent="0.3">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2" spans="1:2" x14ac:dyDescent="0.3">
      <c r="A622" s="1" t="str">
        <f t="shared" si="9"/>
        <v/>
      </c>
      <c r="B6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3" spans="1:2" x14ac:dyDescent="0.3">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4" spans="1:2" x14ac:dyDescent="0.3">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5" spans="1:2" x14ac:dyDescent="0.3">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6" spans="1:2" x14ac:dyDescent="0.3">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7" spans="1:2" x14ac:dyDescent="0.3">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8" spans="1:2" x14ac:dyDescent="0.3">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9" spans="1:2" x14ac:dyDescent="0.3">
      <c r="A629" s="1" t="str">
        <f t="shared" si="9"/>
        <v/>
      </c>
      <c r="B6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0" spans="1:2" x14ac:dyDescent="0.3">
      <c r="A630" s="1" t="str">
        <f t="shared" si="9"/>
        <v/>
      </c>
      <c r="B6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1" spans="1:2" x14ac:dyDescent="0.3">
      <c r="A631" s="1" t="str">
        <f t="shared" si="9"/>
        <v/>
      </c>
      <c r="B6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2" spans="1:2" x14ac:dyDescent="0.3">
      <c r="A632" s="1" t="str">
        <f t="shared" si="9"/>
        <v/>
      </c>
      <c r="B6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3" spans="1:2" x14ac:dyDescent="0.3">
      <c r="A633" s="1" t="str">
        <f t="shared" si="9"/>
        <v/>
      </c>
      <c r="B6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4" spans="1:2" x14ac:dyDescent="0.3">
      <c r="A634" s="1" t="str">
        <f t="shared" si="9"/>
        <v/>
      </c>
      <c r="B6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5" spans="1:2" x14ac:dyDescent="0.3">
      <c r="A635" s="1" t="str">
        <f t="shared" si="9"/>
        <v/>
      </c>
      <c r="B6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6" spans="1:2" x14ac:dyDescent="0.3">
      <c r="A636" s="1" t="str">
        <f t="shared" si="9"/>
        <v/>
      </c>
      <c r="B6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7" spans="1:2" x14ac:dyDescent="0.3">
      <c r="A637" s="1" t="str">
        <f t="shared" si="9"/>
        <v/>
      </c>
      <c r="B6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8" spans="1:2" x14ac:dyDescent="0.3">
      <c r="A638" s="1" t="str">
        <f t="shared" si="9"/>
        <v/>
      </c>
      <c r="B6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9" spans="1:2" x14ac:dyDescent="0.3">
      <c r="A639" s="1" t="str">
        <f t="shared" si="9"/>
        <v/>
      </c>
      <c r="B6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0" spans="1:2" x14ac:dyDescent="0.3">
      <c r="A640" s="1" t="str">
        <f t="shared" si="9"/>
        <v/>
      </c>
      <c r="B6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1" spans="1:2" x14ac:dyDescent="0.3">
      <c r="A641" s="1" t="str">
        <f t="shared" si="9"/>
        <v/>
      </c>
      <c r="B6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2" spans="1:2" x14ac:dyDescent="0.3">
      <c r="A642" s="1" t="str">
        <f t="shared" ref="A642:A705" si="10">IFERROR(LEFT(RIGHT(C642,LEN(C642)-SEARCH("@",C642)),SEARCH("/",RIGHT(C642,LEN(C642)-SEARCH("@",C642)-1))),"")</f>
        <v/>
      </c>
      <c r="B6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3" spans="1:2" x14ac:dyDescent="0.3">
      <c r="A643" s="1" t="str">
        <f t="shared" si="10"/>
        <v/>
      </c>
      <c r="B6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4" spans="1:2" x14ac:dyDescent="0.3">
      <c r="A644" s="1" t="str">
        <f t="shared" si="10"/>
        <v/>
      </c>
      <c r="B6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5" spans="1:2" x14ac:dyDescent="0.3">
      <c r="A645" s="1" t="str">
        <f t="shared" si="10"/>
        <v/>
      </c>
      <c r="B6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6" spans="1:2" x14ac:dyDescent="0.3">
      <c r="A646" s="1" t="str">
        <f t="shared" si="10"/>
        <v/>
      </c>
      <c r="B6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7" spans="1:2" x14ac:dyDescent="0.3">
      <c r="A647" s="1" t="str">
        <f t="shared" si="10"/>
        <v/>
      </c>
      <c r="B6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8" spans="1:2" x14ac:dyDescent="0.3">
      <c r="A648" s="1" t="str">
        <f t="shared" si="10"/>
        <v/>
      </c>
      <c r="B6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9" spans="1:2" x14ac:dyDescent="0.3">
      <c r="A649" s="1" t="str">
        <f t="shared" si="10"/>
        <v/>
      </c>
      <c r="B6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0" spans="1:2" x14ac:dyDescent="0.3">
      <c r="A650" s="1" t="str">
        <f t="shared" si="10"/>
        <v/>
      </c>
      <c r="B6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1" spans="1:2" x14ac:dyDescent="0.3">
      <c r="A651" s="1" t="str">
        <f t="shared" si="10"/>
        <v/>
      </c>
      <c r="B6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2" spans="1:2" x14ac:dyDescent="0.3">
      <c r="A652" s="1" t="str">
        <f t="shared" si="10"/>
        <v/>
      </c>
      <c r="B6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3" spans="1:2" x14ac:dyDescent="0.3">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4" spans="1:2" x14ac:dyDescent="0.3">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5" spans="1:2" x14ac:dyDescent="0.3">
      <c r="A655" s="1" t="str">
        <f t="shared" si="10"/>
        <v/>
      </c>
      <c r="B6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6" spans="1:2" x14ac:dyDescent="0.3">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7" spans="1:2" x14ac:dyDescent="0.3">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8" spans="1:2" x14ac:dyDescent="0.3">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9" spans="1:2" x14ac:dyDescent="0.3">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0" spans="1:2" x14ac:dyDescent="0.3">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1" spans="1:2" x14ac:dyDescent="0.3">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2" spans="1:2" x14ac:dyDescent="0.3">
      <c r="A662" s="1" t="str">
        <f t="shared" si="10"/>
        <v/>
      </c>
      <c r="B6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3" spans="1:2" x14ac:dyDescent="0.3">
      <c r="A663" s="1" t="str">
        <f t="shared" si="10"/>
        <v/>
      </c>
      <c r="B6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4" spans="1:2" x14ac:dyDescent="0.3">
      <c r="A664" s="1" t="str">
        <f t="shared" si="10"/>
        <v/>
      </c>
      <c r="B6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5" spans="1:2" x14ac:dyDescent="0.3">
      <c r="A665" s="1" t="str">
        <f t="shared" si="10"/>
        <v/>
      </c>
      <c r="B6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6" spans="1:2" x14ac:dyDescent="0.3">
      <c r="A666" s="1" t="str">
        <f t="shared" si="10"/>
        <v/>
      </c>
      <c r="B6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7" spans="1:2" x14ac:dyDescent="0.3">
      <c r="A667" s="1" t="str">
        <f t="shared" si="10"/>
        <v/>
      </c>
      <c r="B6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8" spans="1:2" x14ac:dyDescent="0.3">
      <c r="A668" s="1" t="str">
        <f t="shared" si="10"/>
        <v/>
      </c>
      <c r="B6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9" spans="1:2" x14ac:dyDescent="0.3">
      <c r="A669" s="1" t="str">
        <f t="shared" si="10"/>
        <v/>
      </c>
      <c r="B6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0" spans="1:2" x14ac:dyDescent="0.3">
      <c r="A670" s="1" t="str">
        <f t="shared" si="10"/>
        <v/>
      </c>
      <c r="B6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1" spans="1:2" x14ac:dyDescent="0.3">
      <c r="A671" s="1" t="str">
        <f t="shared" si="10"/>
        <v/>
      </c>
      <c r="B6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2" spans="1:2" x14ac:dyDescent="0.3">
      <c r="A672" s="1" t="str">
        <f t="shared" si="10"/>
        <v/>
      </c>
      <c r="B6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3" spans="1:2" x14ac:dyDescent="0.3">
      <c r="A673" s="1" t="str">
        <f t="shared" si="10"/>
        <v/>
      </c>
      <c r="B6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4" spans="1:2" x14ac:dyDescent="0.3">
      <c r="A674" s="1" t="str">
        <f t="shared" si="10"/>
        <v/>
      </c>
      <c r="B6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5" spans="1:2" x14ac:dyDescent="0.3">
      <c r="A675" s="1" t="str">
        <f t="shared" si="10"/>
        <v/>
      </c>
      <c r="B6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6" spans="1:2" x14ac:dyDescent="0.3">
      <c r="A676" s="1" t="str">
        <f t="shared" si="10"/>
        <v/>
      </c>
      <c r="B6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7" spans="1:2" x14ac:dyDescent="0.3">
      <c r="A677" s="1" t="str">
        <f t="shared" si="10"/>
        <v/>
      </c>
      <c r="B6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8" spans="1:2" x14ac:dyDescent="0.3">
      <c r="A678" s="1" t="str">
        <f t="shared" si="10"/>
        <v/>
      </c>
      <c r="B6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9" spans="1:2" x14ac:dyDescent="0.3">
      <c r="A679" s="1" t="str">
        <f t="shared" si="10"/>
        <v/>
      </c>
      <c r="B6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0" spans="1:2" x14ac:dyDescent="0.3">
      <c r="A680" s="1" t="str">
        <f t="shared" si="10"/>
        <v/>
      </c>
      <c r="B6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1" spans="1:2" x14ac:dyDescent="0.3">
      <c r="A681" s="1" t="str">
        <f t="shared" si="10"/>
        <v/>
      </c>
      <c r="B6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2" spans="1:2" x14ac:dyDescent="0.3">
      <c r="A682" s="1" t="str">
        <f t="shared" si="10"/>
        <v/>
      </c>
      <c r="B6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3" spans="1:2" x14ac:dyDescent="0.3">
      <c r="A683" s="1" t="str">
        <f t="shared" si="10"/>
        <v/>
      </c>
      <c r="B6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4" spans="1:2" x14ac:dyDescent="0.3">
      <c r="A684" s="1" t="str">
        <f t="shared" si="10"/>
        <v/>
      </c>
      <c r="B6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5" spans="1:2" x14ac:dyDescent="0.3">
      <c r="A685" s="1" t="str">
        <f t="shared" si="10"/>
        <v/>
      </c>
      <c r="B6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6" spans="1:2" x14ac:dyDescent="0.3">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7" spans="1:2" x14ac:dyDescent="0.3">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8" spans="1:2" x14ac:dyDescent="0.3">
      <c r="A688" s="1" t="str">
        <f t="shared" si="10"/>
        <v/>
      </c>
      <c r="B6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9" spans="1:2" x14ac:dyDescent="0.3">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0" spans="1:2" x14ac:dyDescent="0.3">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1" spans="1:2" x14ac:dyDescent="0.3">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2" x14ac:dyDescent="0.3">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2" x14ac:dyDescent="0.3">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2" x14ac:dyDescent="0.3">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2" x14ac:dyDescent="0.3">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2" x14ac:dyDescent="0.3">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2" x14ac:dyDescent="0.3">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2" x14ac:dyDescent="0.3">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2" x14ac:dyDescent="0.3">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2" x14ac:dyDescent="0.3">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2" x14ac:dyDescent="0.3">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2" x14ac:dyDescent="0.3">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2" x14ac:dyDescent="0.3">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2" x14ac:dyDescent="0.3">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M11:XFD11 A1:J2 A1558:XFD1048576 AI18:XFD38 C39:XFD1557 C11:K11 C3:J10 EO1:XFD10 C19:K38 K5 C12:XFD13 C14:J18 M14:XFD17 K1:L4 A3:B1557">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85" zoomScaleNormal="85" zoomScaleSheetLayoutView="40" zoomScalePageLayoutView="30" workbookViewId="0">
      <pane xSplit="1" topLeftCell="Q1" activePane="topRight" state="frozen"/>
      <selection pane="topRight" activeCell="Q5" sqref="Q5:Q12"/>
    </sheetView>
  </sheetViews>
  <sheetFormatPr defaultColWidth="9.21875" defaultRowHeight="14.4" x14ac:dyDescent="0.3"/>
  <cols>
    <col min="1" max="1" width="29.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8.21875" bestFit="1" customWidth="1"/>
    <col min="15" max="15" width="14.77734375" customWidth="1"/>
    <col min="16" max="16" width="17.77734375" customWidth="1"/>
    <col min="17" max="18" width="25.77734375" bestFit="1" customWidth="1"/>
    <col min="19" max="22" width="25.77734375" style="1" customWidth="1"/>
  </cols>
  <sheetData>
    <row r="1" spans="1:22" s="1" customFormat="1" ht="26.4" thickBot="1" x14ac:dyDescent="0.55000000000000004">
      <c r="A1" s="213" t="s">
        <v>40</v>
      </c>
      <c r="B1" s="214"/>
      <c r="C1" s="214"/>
      <c r="D1" s="214"/>
      <c r="E1" s="214"/>
      <c r="F1" s="214"/>
      <c r="G1" s="214"/>
      <c r="H1" s="214"/>
      <c r="I1" s="214"/>
      <c r="J1" s="214"/>
      <c r="K1" s="214"/>
      <c r="L1" s="214"/>
      <c r="M1" s="214"/>
      <c r="N1" s="214"/>
      <c r="O1" s="214"/>
      <c r="P1" s="214"/>
      <c r="Q1" s="214"/>
      <c r="R1" s="214"/>
      <c r="S1" s="214"/>
      <c r="T1" s="214"/>
      <c r="U1" s="214"/>
      <c r="V1" s="214"/>
    </row>
    <row r="2" spans="1:22" ht="15" thickBot="1" x14ac:dyDescent="0.35">
      <c r="A2"/>
      <c r="B2"/>
      <c r="C2"/>
      <c r="D2"/>
      <c r="E2"/>
      <c r="F2"/>
      <c r="G2"/>
      <c r="H2"/>
      <c r="I2"/>
      <c r="J2"/>
      <c r="K2"/>
      <c r="L2"/>
      <c r="M2"/>
      <c r="S2"/>
      <c r="T2"/>
      <c r="U2"/>
      <c r="V2"/>
    </row>
    <row r="3" spans="1:22" ht="15" thickBot="1" x14ac:dyDescent="0.35">
      <c r="A3" s="51" t="s">
        <v>17</v>
      </c>
      <c r="B3" s="221" t="s">
        <v>6</v>
      </c>
      <c r="C3" s="222"/>
      <c r="D3" s="222"/>
      <c r="E3" s="222"/>
      <c r="F3" s="222"/>
      <c r="G3" s="222"/>
      <c r="H3" s="222"/>
      <c r="I3" s="222"/>
      <c r="J3" s="222"/>
      <c r="K3" s="222"/>
      <c r="L3" s="222"/>
      <c r="M3" s="222"/>
      <c r="O3" s="221" t="s">
        <v>3</v>
      </c>
      <c r="P3" s="222"/>
      <c r="Q3" s="222"/>
      <c r="R3" s="222"/>
      <c r="S3" s="222"/>
      <c r="T3" s="222"/>
      <c r="U3" s="222"/>
      <c r="V3" s="222"/>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Testosterone-3.7µg/L</v>
      </c>
      <c r="J4" s="35" t="str">
        <f>'Page de garde'!A16</f>
        <v>Testosterone-11µg/L</v>
      </c>
      <c r="K4" s="35" t="str">
        <f>'Page de garde'!A17</f>
        <v>Testosterone-33µg/L</v>
      </c>
      <c r="L4" s="35" t="str">
        <f>'Page de garde'!A18</f>
        <v>Testosterone-100µg/L</v>
      </c>
      <c r="M4" s="35" t="str">
        <f>'Page de garde'!A19</f>
        <v>Testosterone-300µg/L</v>
      </c>
      <c r="N4" s="3"/>
      <c r="O4" s="36" t="str">
        <f>'Page de garde'!A36</f>
        <v>Testo -30µg/L</v>
      </c>
      <c r="P4" s="36" t="str">
        <f>'Page de garde'!A37</f>
        <v>Testo 30µg/L + EE2 -64ng/L</v>
      </c>
      <c r="Q4" s="36" t="str">
        <f>'Page de garde'!A38</f>
        <v>Testo 30µg/L + FAD-10µg/L</v>
      </c>
      <c r="R4" s="36" t="str">
        <f>'Page de garde'!A39</f>
        <v>Testosterone-3.7µg/L + Testostérone</v>
      </c>
      <c r="S4" s="36" t="str">
        <f>'Page de garde'!A40</f>
        <v>Testosterone-11µg/L + Testostérone</v>
      </c>
      <c r="T4" s="36" t="str">
        <f>'Page de garde'!A41</f>
        <v>Testosterone-33µg/L + Testostérone</v>
      </c>
      <c r="U4" s="36" t="str">
        <f>'Page de garde'!A42</f>
        <v>Testosterone-100µg/L + Testostérone</v>
      </c>
      <c r="V4" s="36" t="str">
        <f>'Page de garde'!A43</f>
        <v>Testosterone-300µg/L + Testostérone</v>
      </c>
    </row>
    <row r="5" spans="1:22" x14ac:dyDescent="0.3">
      <c r="A5" s="217" t="s">
        <v>33</v>
      </c>
      <c r="B5" s="1">
        <v>17374</v>
      </c>
      <c r="C5" s="1">
        <v>189468</v>
      </c>
      <c r="D5" s="1">
        <v>176613</v>
      </c>
      <c r="E5" s="1">
        <v>1286129</v>
      </c>
      <c r="F5" s="1">
        <v>864092</v>
      </c>
      <c r="G5" s="1">
        <v>6792474</v>
      </c>
      <c r="H5" s="1">
        <v>10942530</v>
      </c>
      <c r="I5" s="1">
        <v>40199</v>
      </c>
      <c r="J5" s="1">
        <v>444208</v>
      </c>
      <c r="K5" s="1">
        <v>5327003</v>
      </c>
      <c r="L5" s="1">
        <v>5349343</v>
      </c>
      <c r="M5" s="1">
        <v>10312573</v>
      </c>
      <c r="N5" s="3"/>
      <c r="O5" s="1">
        <v>773933</v>
      </c>
      <c r="P5" s="1">
        <v>8825798</v>
      </c>
      <c r="Q5" s="1">
        <v>31019</v>
      </c>
      <c r="R5" s="1">
        <v>2489673</v>
      </c>
      <c r="S5" s="1">
        <v>1350543</v>
      </c>
      <c r="T5" s="1">
        <v>4896033</v>
      </c>
      <c r="U5" s="1">
        <v>1132463</v>
      </c>
      <c r="V5" s="1">
        <v>4894270</v>
      </c>
    </row>
    <row r="6" spans="1:22" x14ac:dyDescent="0.3">
      <c r="A6" s="218"/>
      <c r="B6" s="1">
        <v>20947</v>
      </c>
      <c r="C6" s="1">
        <v>84617</v>
      </c>
      <c r="D6" s="1">
        <v>2742777</v>
      </c>
      <c r="E6" s="1">
        <v>1751175</v>
      </c>
      <c r="F6" s="1">
        <v>1650416</v>
      </c>
      <c r="G6" s="1">
        <v>4154047</v>
      </c>
      <c r="H6" s="1">
        <v>13853079</v>
      </c>
      <c r="I6" s="1">
        <v>1025236</v>
      </c>
      <c r="J6" s="1">
        <v>98601</v>
      </c>
      <c r="K6" s="1">
        <v>3082026</v>
      </c>
      <c r="L6" s="1">
        <v>6955081</v>
      </c>
      <c r="M6" s="1">
        <v>7295619</v>
      </c>
      <c r="N6" s="3"/>
      <c r="O6" s="1">
        <v>406614</v>
      </c>
      <c r="P6" s="1">
        <v>5374976</v>
      </c>
      <c r="Q6" s="1">
        <v>13952</v>
      </c>
      <c r="R6" s="1">
        <v>3106291</v>
      </c>
      <c r="S6" s="1">
        <v>1073230</v>
      </c>
      <c r="T6" s="1">
        <v>3698377</v>
      </c>
      <c r="U6" s="1">
        <v>187598</v>
      </c>
      <c r="V6" s="1">
        <v>5870799</v>
      </c>
    </row>
    <row r="7" spans="1:22" x14ac:dyDescent="0.3">
      <c r="A7" s="218"/>
      <c r="B7" s="1">
        <v>30810</v>
      </c>
      <c r="C7" s="1">
        <v>234889</v>
      </c>
      <c r="D7" s="1">
        <v>300649</v>
      </c>
      <c r="E7" s="1">
        <v>2425512</v>
      </c>
      <c r="F7" s="1">
        <v>8198043</v>
      </c>
      <c r="G7" s="1">
        <v>133239</v>
      </c>
      <c r="H7" s="1">
        <v>8380928</v>
      </c>
      <c r="I7" s="1">
        <v>159231</v>
      </c>
      <c r="J7" s="1">
        <v>205920</v>
      </c>
      <c r="K7" s="1">
        <v>281778</v>
      </c>
      <c r="L7" s="1">
        <v>3024790</v>
      </c>
      <c r="M7" s="1">
        <v>6139778</v>
      </c>
      <c r="N7" s="3"/>
      <c r="O7" s="1">
        <v>129203</v>
      </c>
      <c r="P7" s="1">
        <v>10375356</v>
      </c>
      <c r="Q7" s="1">
        <v>92407</v>
      </c>
      <c r="R7" s="1">
        <v>1786438</v>
      </c>
      <c r="S7" s="1">
        <v>12604</v>
      </c>
      <c r="T7" s="1">
        <v>4891481</v>
      </c>
      <c r="U7" s="1">
        <v>2778292</v>
      </c>
      <c r="V7" s="1">
        <v>5475924</v>
      </c>
    </row>
    <row r="8" spans="1:22" x14ac:dyDescent="0.3">
      <c r="A8" s="218"/>
      <c r="B8" s="1">
        <v>22392</v>
      </c>
      <c r="C8" s="1">
        <v>63231</v>
      </c>
      <c r="D8" s="1">
        <v>306782</v>
      </c>
      <c r="E8" s="1">
        <v>1031228</v>
      </c>
      <c r="F8" s="1">
        <v>4418159</v>
      </c>
      <c r="G8" s="1">
        <v>3734949</v>
      </c>
      <c r="H8" s="1">
        <v>10250432</v>
      </c>
      <c r="I8" s="1">
        <v>170298</v>
      </c>
      <c r="J8" s="1">
        <v>398472</v>
      </c>
      <c r="K8" s="1">
        <v>2351056</v>
      </c>
      <c r="L8" s="1">
        <v>5744424</v>
      </c>
      <c r="M8" s="1">
        <v>4811739</v>
      </c>
      <c r="N8" s="3"/>
      <c r="O8" s="1">
        <v>635652</v>
      </c>
      <c r="P8" s="1">
        <v>2403596</v>
      </c>
      <c r="Q8" s="1">
        <v>72694</v>
      </c>
      <c r="R8" s="1">
        <v>322540</v>
      </c>
      <c r="S8" s="1">
        <v>1170923</v>
      </c>
      <c r="T8" s="1">
        <v>2168116</v>
      </c>
      <c r="U8" s="1">
        <v>5010261</v>
      </c>
      <c r="V8" s="1">
        <v>5172007</v>
      </c>
    </row>
    <row r="9" spans="1:22" x14ac:dyDescent="0.3">
      <c r="A9" s="218"/>
      <c r="B9" s="1">
        <v>1511</v>
      </c>
      <c r="C9" s="1">
        <v>437352</v>
      </c>
      <c r="D9" s="1">
        <v>412966</v>
      </c>
      <c r="E9" s="1">
        <v>2719942</v>
      </c>
      <c r="F9" s="1">
        <v>2135639</v>
      </c>
      <c r="G9" s="1">
        <v>8110171</v>
      </c>
      <c r="H9" s="1">
        <v>8541636</v>
      </c>
      <c r="I9" s="1">
        <v>55990</v>
      </c>
      <c r="J9" s="1">
        <v>71952</v>
      </c>
      <c r="K9" s="1">
        <v>330504</v>
      </c>
      <c r="L9" s="1">
        <v>4023424</v>
      </c>
      <c r="M9" s="1">
        <v>4304565</v>
      </c>
      <c r="N9" s="3"/>
      <c r="O9" s="1">
        <v>1651235</v>
      </c>
      <c r="P9" s="1">
        <v>8572502</v>
      </c>
      <c r="Q9" s="1">
        <v>60618</v>
      </c>
      <c r="R9" s="1">
        <v>2485145</v>
      </c>
      <c r="S9" s="1">
        <v>734722</v>
      </c>
      <c r="T9" s="1">
        <v>1455097</v>
      </c>
      <c r="U9" s="1">
        <v>4212149</v>
      </c>
      <c r="V9" s="1">
        <v>2338200</v>
      </c>
    </row>
    <row r="10" spans="1:22" x14ac:dyDescent="0.3">
      <c r="A10" s="218"/>
      <c r="B10" s="1">
        <v>13818</v>
      </c>
      <c r="C10" s="1">
        <v>100682</v>
      </c>
      <c r="D10" s="1">
        <v>239493</v>
      </c>
      <c r="E10" s="1">
        <v>131404</v>
      </c>
      <c r="F10" s="1">
        <v>15382011</v>
      </c>
      <c r="G10" s="1">
        <v>16294656</v>
      </c>
      <c r="H10" s="1">
        <v>16067774</v>
      </c>
      <c r="I10" s="1">
        <v>684146</v>
      </c>
      <c r="J10" s="1">
        <v>51304</v>
      </c>
      <c r="K10" s="1">
        <v>477304</v>
      </c>
      <c r="L10" s="1">
        <v>7157800</v>
      </c>
      <c r="M10" s="1">
        <v>3615546</v>
      </c>
      <c r="N10" s="3"/>
      <c r="O10" s="1">
        <v>124184</v>
      </c>
      <c r="P10" s="1">
        <v>2167242</v>
      </c>
      <c r="Q10" s="1">
        <v>35268</v>
      </c>
      <c r="R10" s="1">
        <v>495774</v>
      </c>
      <c r="S10" s="1">
        <v>247023</v>
      </c>
      <c r="T10" s="1">
        <v>2612</v>
      </c>
      <c r="U10" s="1">
        <v>3318559</v>
      </c>
      <c r="V10" s="1">
        <v>7072356</v>
      </c>
    </row>
    <row r="11" spans="1:22" x14ac:dyDescent="0.3">
      <c r="A11" s="218"/>
      <c r="B11" s="1">
        <v>289405</v>
      </c>
      <c r="C11" s="1">
        <v>25908</v>
      </c>
      <c r="D11" s="1">
        <v>3381637</v>
      </c>
      <c r="E11" s="1">
        <v>660693</v>
      </c>
      <c r="F11" s="1">
        <v>5689978</v>
      </c>
      <c r="G11" s="1">
        <v>1071942</v>
      </c>
      <c r="H11" s="1">
        <v>3424252</v>
      </c>
      <c r="I11" s="1">
        <v>911960</v>
      </c>
      <c r="J11" s="1">
        <v>127971</v>
      </c>
      <c r="K11" s="1">
        <v>507455</v>
      </c>
      <c r="L11" s="1">
        <v>2436494</v>
      </c>
      <c r="M11" s="1">
        <v>1811868</v>
      </c>
      <c r="N11" s="3"/>
      <c r="O11" s="1">
        <v>1546961</v>
      </c>
      <c r="P11" s="1">
        <v>6124968</v>
      </c>
      <c r="Q11" s="1">
        <v>61325</v>
      </c>
      <c r="R11" s="1">
        <v>3397081</v>
      </c>
      <c r="S11" s="1">
        <v>1473565</v>
      </c>
      <c r="T11" s="1">
        <v>1146256</v>
      </c>
      <c r="U11" s="1">
        <v>4736679</v>
      </c>
      <c r="V11" s="1">
        <v>5264680</v>
      </c>
    </row>
    <row r="12" spans="1:22" x14ac:dyDescent="0.3">
      <c r="A12" s="218"/>
      <c r="B12" s="1">
        <v>157177</v>
      </c>
      <c r="C12" s="1">
        <v>80744</v>
      </c>
      <c r="D12" s="1">
        <v>3915144</v>
      </c>
      <c r="E12" s="1">
        <v>2137158</v>
      </c>
      <c r="G12" s="32">
        <v>6463121</v>
      </c>
      <c r="H12" s="1">
        <v>11916667</v>
      </c>
      <c r="I12" s="32">
        <v>47242</v>
      </c>
      <c r="J12" s="1">
        <v>273332</v>
      </c>
      <c r="K12" s="1">
        <v>2545975</v>
      </c>
      <c r="L12" s="1">
        <v>3483109</v>
      </c>
      <c r="M12" s="1">
        <v>4515192</v>
      </c>
      <c r="N12" s="3"/>
      <c r="O12" s="1">
        <v>47156</v>
      </c>
      <c r="P12" s="1">
        <v>5974837</v>
      </c>
      <c r="Q12" s="1">
        <v>127730</v>
      </c>
      <c r="R12" s="1">
        <v>1492479</v>
      </c>
      <c r="S12" s="1">
        <v>999544</v>
      </c>
      <c r="T12" s="1">
        <v>2223078</v>
      </c>
      <c r="U12" s="1">
        <v>5898725</v>
      </c>
      <c r="V12" s="32">
        <v>6292551</v>
      </c>
    </row>
    <row r="13" spans="1:22" ht="16.8" x14ac:dyDescent="0.3">
      <c r="A13" s="218"/>
      <c r="B13" s="14"/>
      <c r="C13" s="13"/>
      <c r="D13" s="16"/>
      <c r="E13" s="16"/>
      <c r="F13" s="16"/>
      <c r="G13" s="16"/>
      <c r="H13" s="16"/>
      <c r="I13" s="32"/>
      <c r="J13" s="16"/>
      <c r="K13" s="13"/>
      <c r="L13" s="13"/>
      <c r="M13" s="13"/>
      <c r="N13" s="3"/>
      <c r="O13" s="1">
        <v>423047</v>
      </c>
      <c r="P13" s="13"/>
      <c r="Q13" s="13"/>
      <c r="R13" s="4"/>
      <c r="S13" s="32"/>
      <c r="T13" s="32"/>
      <c r="U13" s="32"/>
      <c r="V13" s="32"/>
    </row>
    <row r="14" spans="1:22" ht="16.8" x14ac:dyDescent="0.3">
      <c r="A14" s="218"/>
      <c r="B14" s="14"/>
      <c r="C14" s="16"/>
      <c r="D14" s="16"/>
      <c r="E14" s="16"/>
      <c r="F14" s="16"/>
      <c r="G14" s="16"/>
      <c r="H14" s="16"/>
      <c r="I14" s="32"/>
      <c r="J14" s="16"/>
      <c r="K14" s="13"/>
      <c r="L14" s="13"/>
      <c r="M14" s="13"/>
      <c r="N14" s="3"/>
      <c r="O14" s="1">
        <v>19608</v>
      </c>
      <c r="P14" s="13"/>
      <c r="Q14" s="13"/>
      <c r="R14" s="4"/>
      <c r="S14" s="32"/>
      <c r="T14" s="32"/>
      <c r="U14" s="32"/>
      <c r="V14" s="32"/>
    </row>
    <row r="15" spans="1:22" ht="16.8" x14ac:dyDescent="0.3">
      <c r="A15" s="218"/>
      <c r="B15" s="14"/>
      <c r="C15" s="16"/>
      <c r="D15" s="16"/>
      <c r="E15" s="16"/>
      <c r="F15" s="16"/>
      <c r="G15" s="16"/>
      <c r="H15" s="16"/>
      <c r="I15" s="32"/>
      <c r="J15" s="16"/>
      <c r="K15" s="13"/>
      <c r="L15" s="13"/>
      <c r="M15" s="13"/>
      <c r="N15" s="3"/>
      <c r="O15" s="1">
        <v>478755</v>
      </c>
      <c r="P15" s="13"/>
      <c r="Q15" s="13"/>
      <c r="R15" s="4"/>
      <c r="S15" s="32"/>
      <c r="T15" s="32"/>
      <c r="U15" s="32"/>
      <c r="V15" s="32"/>
    </row>
    <row r="16" spans="1:22" ht="16.8" x14ac:dyDescent="0.3">
      <c r="A16" s="218"/>
      <c r="B16" s="14"/>
      <c r="C16" s="16"/>
      <c r="D16" s="16"/>
      <c r="E16" s="16"/>
      <c r="F16" s="16"/>
      <c r="G16" s="16"/>
      <c r="H16" s="16"/>
      <c r="I16" s="32"/>
      <c r="J16" s="16"/>
      <c r="K16" s="13"/>
      <c r="L16" s="13"/>
      <c r="M16" s="13"/>
      <c r="N16" s="3"/>
      <c r="O16" s="1">
        <v>409158</v>
      </c>
      <c r="P16" s="13"/>
      <c r="Q16" s="13"/>
      <c r="R16" s="4"/>
      <c r="S16" s="32"/>
      <c r="T16" s="32"/>
      <c r="U16" s="32"/>
      <c r="V16" s="32"/>
    </row>
    <row r="17" spans="1:22" s="1" customFormat="1" ht="16.8" x14ac:dyDescent="0.3">
      <c r="A17" s="218"/>
      <c r="B17" s="14"/>
      <c r="C17" s="32"/>
      <c r="D17" s="32"/>
      <c r="E17" s="32"/>
      <c r="F17" s="32"/>
      <c r="G17" s="32"/>
      <c r="H17" s="32"/>
      <c r="I17" s="32"/>
      <c r="J17" s="32"/>
      <c r="K17" s="13"/>
      <c r="L17" s="13"/>
      <c r="M17" s="13"/>
      <c r="N17" s="3"/>
      <c r="O17" s="1">
        <v>2143140</v>
      </c>
      <c r="P17" s="13"/>
      <c r="Q17" s="13"/>
      <c r="R17" s="32"/>
      <c r="S17" s="32"/>
      <c r="T17" s="32"/>
      <c r="U17" s="32"/>
      <c r="V17" s="32"/>
    </row>
    <row r="18" spans="1:22" s="1" customFormat="1" ht="16.8" x14ac:dyDescent="0.3">
      <c r="A18" s="218"/>
      <c r="B18" s="14"/>
      <c r="C18" s="32"/>
      <c r="D18" s="32"/>
      <c r="E18" s="32"/>
      <c r="F18" s="32"/>
      <c r="G18" s="32"/>
      <c r="H18" s="32"/>
      <c r="I18" s="32"/>
      <c r="J18" s="32"/>
      <c r="K18" s="13"/>
      <c r="L18" s="13"/>
      <c r="M18" s="13"/>
      <c r="N18" s="3"/>
      <c r="O18" s="1">
        <v>9659</v>
      </c>
      <c r="P18" s="13"/>
      <c r="Q18" s="13"/>
      <c r="R18" s="32"/>
      <c r="S18" s="32"/>
      <c r="T18" s="32"/>
      <c r="U18" s="32"/>
      <c r="V18" s="32"/>
    </row>
    <row r="19" spans="1:22" s="1" customFormat="1" ht="16.8" x14ac:dyDescent="0.3">
      <c r="A19" s="218"/>
      <c r="B19" s="14"/>
      <c r="C19" s="32"/>
      <c r="D19" s="32"/>
      <c r="E19" s="32"/>
      <c r="F19" s="32"/>
      <c r="G19" s="32"/>
      <c r="H19" s="32"/>
      <c r="I19" s="32"/>
      <c r="J19" s="32"/>
      <c r="K19" s="13"/>
      <c r="L19" s="13"/>
      <c r="M19" s="13"/>
      <c r="N19" s="3"/>
      <c r="O19" s="1">
        <v>173567</v>
      </c>
      <c r="P19" s="13"/>
      <c r="Q19" s="13"/>
      <c r="R19" s="32"/>
      <c r="S19" s="32"/>
      <c r="T19" s="32"/>
      <c r="U19" s="32"/>
      <c r="V19" s="32"/>
    </row>
    <row r="20" spans="1:22" ht="16.8" x14ac:dyDescent="0.3">
      <c r="A20" s="218"/>
      <c r="B20" s="14"/>
      <c r="C20" s="16"/>
      <c r="D20" s="16"/>
      <c r="E20" s="16"/>
      <c r="F20" s="16"/>
      <c r="G20" s="16"/>
      <c r="H20" s="16"/>
      <c r="I20" s="32"/>
      <c r="J20" s="16"/>
      <c r="K20" s="13"/>
      <c r="L20" s="13"/>
      <c r="M20" s="13"/>
      <c r="N20" s="3"/>
      <c r="O20" s="1">
        <v>833028</v>
      </c>
      <c r="P20" s="13"/>
      <c r="Q20" s="13"/>
      <c r="R20" s="4"/>
      <c r="S20" s="32"/>
      <c r="T20" s="32"/>
      <c r="U20" s="32"/>
      <c r="V20" s="32"/>
    </row>
    <row r="21" spans="1:22" s="1" customFormat="1" ht="16.8" x14ac:dyDescent="0.3">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Testosterone-3.7µg/L</v>
      </c>
      <c r="J22" s="68" t="str">
        <f t="shared" si="0"/>
        <v>Testosterone-11µg/L</v>
      </c>
      <c r="K22" s="68" t="str">
        <f t="shared" si="0"/>
        <v>Testosterone-33µg/L</v>
      </c>
      <c r="L22" s="68" t="str">
        <f t="shared" si="0"/>
        <v>Testosterone-100µg/L</v>
      </c>
      <c r="M22" s="68" t="str">
        <f t="shared" si="0"/>
        <v>Testosterone-300µg/L</v>
      </c>
      <c r="N22" s="68" t="s">
        <v>47</v>
      </c>
      <c r="O22" s="68" t="str">
        <f t="shared" ref="O22:V22" si="1">O4</f>
        <v>Testo -30µg/L</v>
      </c>
      <c r="P22" s="68" t="str">
        <f t="shared" si="1"/>
        <v>Testo 30µg/L + EE2 -64ng/L</v>
      </c>
      <c r="Q22" s="68" t="str">
        <f t="shared" si="1"/>
        <v>Testo 30µg/L + FAD-10µg/L</v>
      </c>
      <c r="R22" s="68" t="str">
        <f t="shared" si="1"/>
        <v>Testosterone-3.7µg/L + Testostérone</v>
      </c>
      <c r="S22" s="68" t="str">
        <f t="shared" si="1"/>
        <v>Testosterone-11µg/L + Testostérone</v>
      </c>
      <c r="T22" s="68" t="str">
        <f t="shared" si="1"/>
        <v>Testosterone-33µg/L + Testostérone</v>
      </c>
      <c r="U22" s="68" t="str">
        <f t="shared" si="1"/>
        <v>Testosterone-100µg/L + Testostérone</v>
      </c>
      <c r="V22" s="68" t="str">
        <f t="shared" si="1"/>
        <v>Testosterone-300µg/L + Testostérone</v>
      </c>
    </row>
    <row r="23" spans="1:22" x14ac:dyDescent="0.3">
      <c r="A23" s="5" t="s">
        <v>0</v>
      </c>
      <c r="B23" s="5">
        <f t="shared" ref="B23:M23" si="2">AVERAGE(B5:B20)</f>
        <v>69179.25</v>
      </c>
      <c r="C23" s="5">
        <f t="shared" si="2"/>
        <v>152111.375</v>
      </c>
      <c r="D23" s="5">
        <f t="shared" si="2"/>
        <v>1434507.625</v>
      </c>
      <c r="E23" s="5">
        <f t="shared" si="2"/>
        <v>1517905.125</v>
      </c>
      <c r="F23" s="5">
        <f t="shared" si="2"/>
        <v>5476905.4285714282</v>
      </c>
      <c r="G23" s="5">
        <f t="shared" si="2"/>
        <v>5844324.875</v>
      </c>
      <c r="H23" s="5">
        <f t="shared" si="2"/>
        <v>10422162.25</v>
      </c>
      <c r="I23" s="5">
        <f t="shared" si="2"/>
        <v>386787.75</v>
      </c>
      <c r="J23" s="5">
        <f t="shared" si="2"/>
        <v>208970</v>
      </c>
      <c r="K23" s="5">
        <f t="shared" si="2"/>
        <v>1862887.625</v>
      </c>
      <c r="L23" s="5">
        <f t="shared" si="2"/>
        <v>4771808.125</v>
      </c>
      <c r="M23" s="5">
        <f t="shared" si="2"/>
        <v>5350860</v>
      </c>
      <c r="N23" s="5" t="s">
        <v>0</v>
      </c>
      <c r="O23" s="5">
        <f t="shared" ref="O23:V23" si="3">AVERAGE(O5:O20)</f>
        <v>612806.25</v>
      </c>
      <c r="P23" s="5">
        <f t="shared" si="3"/>
        <v>6227409.375</v>
      </c>
      <c r="Q23" s="5">
        <f t="shared" si="3"/>
        <v>61876.625</v>
      </c>
      <c r="R23" s="5">
        <f t="shared" si="3"/>
        <v>1946927.625</v>
      </c>
      <c r="S23" s="5">
        <f t="shared" si="3"/>
        <v>882769.25</v>
      </c>
      <c r="T23" s="5">
        <f t="shared" si="3"/>
        <v>2560131.25</v>
      </c>
      <c r="U23" s="5">
        <f t="shared" si="3"/>
        <v>3409340.75</v>
      </c>
      <c r="V23" s="5">
        <f t="shared" si="3"/>
        <v>5297598.375</v>
      </c>
    </row>
    <row r="24" spans="1:22" x14ac:dyDescent="0.3">
      <c r="A24" s="3" t="s">
        <v>1</v>
      </c>
      <c r="B24" s="3">
        <f t="shared" ref="B24:M24" si="4">STDEV(B5:B20)</f>
        <v>101810.90665928535</v>
      </c>
      <c r="C24" s="3">
        <f t="shared" si="4"/>
        <v>134020.60246089831</v>
      </c>
      <c r="D24" s="3">
        <f t="shared" si="4"/>
        <v>1615449.737709855</v>
      </c>
      <c r="E24" s="3">
        <f t="shared" si="4"/>
        <v>898753.47320424661</v>
      </c>
      <c r="F24" s="3">
        <f t="shared" si="4"/>
        <v>5062380.5402361471</v>
      </c>
      <c r="G24" s="3">
        <f t="shared" si="4"/>
        <v>5047262.6349882381</v>
      </c>
      <c r="H24" s="3">
        <f t="shared" si="4"/>
        <v>3833158.0453852834</v>
      </c>
      <c r="I24" s="3">
        <f t="shared" si="4"/>
        <v>416676.66543761996</v>
      </c>
      <c r="J24" s="3">
        <f t="shared" si="4"/>
        <v>150130.58517456442</v>
      </c>
      <c r="K24" s="3">
        <f t="shared" si="4"/>
        <v>1804615.4016917634</v>
      </c>
      <c r="L24" s="3">
        <f t="shared" si="4"/>
        <v>1791478.0199301867</v>
      </c>
      <c r="M24" s="3">
        <f t="shared" si="4"/>
        <v>2581322.4687502445</v>
      </c>
      <c r="N24" s="3" t="s">
        <v>1</v>
      </c>
      <c r="O24" s="3">
        <f t="shared" ref="O24:V24" si="5">STDEV(O5:O20)</f>
        <v>643274.65327167988</v>
      </c>
      <c r="P24" s="3">
        <f t="shared" si="5"/>
        <v>2960790.9563104892</v>
      </c>
      <c r="Q24" s="3">
        <f t="shared" si="5"/>
        <v>36536.980193995623</v>
      </c>
      <c r="R24" s="3">
        <f t="shared" si="5"/>
        <v>1134402.3727591971</v>
      </c>
      <c r="S24" s="3">
        <f t="shared" si="5"/>
        <v>518800.1221917881</v>
      </c>
      <c r="T24" s="3">
        <f t="shared" si="5"/>
        <v>1781474.5701964146</v>
      </c>
      <c r="U24" s="3">
        <f t="shared" si="5"/>
        <v>1968921.7496539101</v>
      </c>
      <c r="V24" s="3">
        <f t="shared" si="5"/>
        <v>1385518.1429673508</v>
      </c>
    </row>
    <row r="25" spans="1:22" ht="15" thickBot="1" x14ac:dyDescent="0.35"/>
    <row r="26" spans="1:22" ht="15" thickBot="1" x14ac:dyDescent="0.35">
      <c r="B26" s="221" t="s">
        <v>6</v>
      </c>
      <c r="C26" s="222"/>
      <c r="D26" s="222"/>
      <c r="E26" s="222"/>
      <c r="F26" s="222"/>
      <c r="G26" s="222"/>
      <c r="H26" s="222"/>
      <c r="I26" s="222"/>
      <c r="J26" s="222"/>
      <c r="K26" s="222"/>
      <c r="L26" s="222"/>
      <c r="M26" s="222"/>
      <c r="N26" s="1"/>
      <c r="O26" s="221" t="s">
        <v>3</v>
      </c>
      <c r="P26" s="222"/>
      <c r="Q26" s="222"/>
      <c r="R26" s="222"/>
      <c r="S26" s="222"/>
      <c r="T26" s="222"/>
      <c r="U26" s="222"/>
      <c r="V26" s="222"/>
    </row>
    <row r="27" spans="1:22" s="1" customFormat="1" x14ac:dyDescent="0.3">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Testosterone-3.7µg/L</v>
      </c>
      <c r="J27" s="35" t="str">
        <f t="shared" si="6"/>
        <v>Testosterone-11µg/L</v>
      </c>
      <c r="K27" s="35" t="str">
        <f t="shared" si="6"/>
        <v>Testosterone-33µg/L</v>
      </c>
      <c r="L27" s="35" t="str">
        <f t="shared" si="6"/>
        <v>Testosterone-100µg/L</v>
      </c>
      <c r="M27" s="35" t="str">
        <f t="shared" si="6"/>
        <v>Testosterone-300µg/L</v>
      </c>
      <c r="N27" s="3"/>
      <c r="O27" s="36" t="str">
        <f t="shared" ref="O27:V27" si="7">O4</f>
        <v>Testo -30µg/L</v>
      </c>
      <c r="P27" s="36" t="str">
        <f t="shared" si="7"/>
        <v>Testo 30µg/L + EE2 -64ng/L</v>
      </c>
      <c r="Q27" s="36" t="str">
        <f t="shared" si="7"/>
        <v>Testo 30µg/L + FAD-10µg/L</v>
      </c>
      <c r="R27" s="36" t="str">
        <f t="shared" si="7"/>
        <v>Testosterone-3.7µg/L + Testostérone</v>
      </c>
      <c r="S27" s="36" t="str">
        <f t="shared" si="7"/>
        <v>Testosterone-11µg/L + Testostérone</v>
      </c>
      <c r="T27" s="36" t="str">
        <f t="shared" si="7"/>
        <v>Testosterone-33µg/L + Testostérone</v>
      </c>
      <c r="U27" s="36" t="str">
        <f t="shared" si="7"/>
        <v>Testosterone-100µg/L + Testostérone</v>
      </c>
      <c r="V27" s="36" t="str">
        <f t="shared" si="7"/>
        <v>Testosterone-300µg/L + Testostérone</v>
      </c>
    </row>
    <row r="28" spans="1:22" x14ac:dyDescent="0.3">
      <c r="A28" s="219" t="s">
        <v>34</v>
      </c>
      <c r="B28" s="11">
        <f t="shared" ref="B28:M28" si="8">IF(B5="","",(B5/$O$23))</f>
        <v>2.8351538516456058E-2</v>
      </c>
      <c r="C28" s="11">
        <f t="shared" si="8"/>
        <v>0.30918091974420953</v>
      </c>
      <c r="D28" s="11">
        <f t="shared" si="8"/>
        <v>0.28820365327540309</v>
      </c>
      <c r="E28" s="11">
        <f t="shared" si="8"/>
        <v>2.0987530724433703</v>
      </c>
      <c r="F28" s="11">
        <f t="shared" si="8"/>
        <v>1.4100574202694571</v>
      </c>
      <c r="G28" s="11">
        <f t="shared" si="8"/>
        <v>11.084211363705903</v>
      </c>
      <c r="H28" s="11">
        <f t="shared" si="8"/>
        <v>17.85642688859652</v>
      </c>
      <c r="I28" s="11">
        <f t="shared" si="8"/>
        <v>6.5598221297514511E-2</v>
      </c>
      <c r="J28" s="11">
        <f t="shared" si="8"/>
        <v>0.72487511346367628</v>
      </c>
      <c r="K28" s="11">
        <f t="shared" si="8"/>
        <v>8.6928013544248284</v>
      </c>
      <c r="L28" s="11">
        <f t="shared" si="8"/>
        <v>8.7292565961916999</v>
      </c>
      <c r="M28" s="11">
        <f t="shared" si="8"/>
        <v>16.828439657722161</v>
      </c>
      <c r="N28" s="6"/>
      <c r="O28" s="11">
        <f t="shared" ref="O28:V28" si="9">IF(O5="","",(O5/$O$23))</f>
        <v>1.2629326153249905</v>
      </c>
      <c r="P28" s="11">
        <f t="shared" si="9"/>
        <v>14.402264989954002</v>
      </c>
      <c r="Q28" s="11">
        <f t="shared" si="9"/>
        <v>5.0617956327958472E-2</v>
      </c>
      <c r="R28" s="11">
        <f t="shared" si="9"/>
        <v>4.0627408744607285</v>
      </c>
      <c r="S28" s="11">
        <f t="shared" si="9"/>
        <v>2.203866230150231</v>
      </c>
      <c r="T28" s="11">
        <f t="shared" si="9"/>
        <v>7.9895285010555943</v>
      </c>
      <c r="U28" s="11">
        <f t="shared" si="9"/>
        <v>1.8479951860804291</v>
      </c>
      <c r="V28" s="11">
        <f t="shared" si="9"/>
        <v>7.9866515721730975</v>
      </c>
    </row>
    <row r="29" spans="1:22" x14ac:dyDescent="0.3">
      <c r="A29" s="220"/>
      <c r="B29" s="11">
        <f t="shared" ref="B29:M29" si="10">IF(B6="","",(B6/$O$23))</f>
        <v>3.4182092627155811E-2</v>
      </c>
      <c r="C29" s="11">
        <f t="shared" si="10"/>
        <v>0.13808116349988273</v>
      </c>
      <c r="D29" s="11">
        <f t="shared" si="10"/>
        <v>4.4757653826148154</v>
      </c>
      <c r="E29" s="11">
        <f t="shared" si="10"/>
        <v>2.857632408285653</v>
      </c>
      <c r="F29" s="11">
        <f t="shared" si="10"/>
        <v>2.6932101296290631</v>
      </c>
      <c r="G29" s="11">
        <f t="shared" si="10"/>
        <v>6.7787281869269451</v>
      </c>
      <c r="H29" s="11">
        <f t="shared" si="10"/>
        <v>22.605968852308539</v>
      </c>
      <c r="I29" s="11">
        <f t="shared" si="10"/>
        <v>1.6730181847851584</v>
      </c>
      <c r="J29" s="11">
        <f t="shared" si="10"/>
        <v>0.16090077410274456</v>
      </c>
      <c r="K29" s="11">
        <f t="shared" si="10"/>
        <v>5.0293645014227577</v>
      </c>
      <c r="L29" s="11">
        <f t="shared" si="10"/>
        <v>11.349559505961306</v>
      </c>
      <c r="M29" s="11">
        <f t="shared" si="10"/>
        <v>11.905262062846129</v>
      </c>
      <c r="N29" s="6"/>
      <c r="O29" s="11">
        <f t="shared" ref="O29:V29" si="11">IF(O6="","",(O6/$O$23))</f>
        <v>0.66352782792277332</v>
      </c>
      <c r="P29" s="11">
        <f t="shared" si="11"/>
        <v>8.7710854776693292</v>
      </c>
      <c r="Q29" s="11">
        <f t="shared" si="11"/>
        <v>2.2767391814296933E-2</v>
      </c>
      <c r="R29" s="11">
        <f t="shared" si="11"/>
        <v>5.0689610296892367</v>
      </c>
      <c r="S29" s="11">
        <f t="shared" si="11"/>
        <v>1.7513365766096542</v>
      </c>
      <c r="T29" s="11">
        <f t="shared" si="11"/>
        <v>6.0351489561341776</v>
      </c>
      <c r="U29" s="11">
        <f t="shared" si="11"/>
        <v>0.30612938428744813</v>
      </c>
      <c r="V29" s="11">
        <f t="shared" si="11"/>
        <v>9.5801878652510482</v>
      </c>
    </row>
    <row r="30" spans="1:22" x14ac:dyDescent="0.3">
      <c r="A30" s="220"/>
      <c r="B30" s="11">
        <f t="shared" ref="B30:M30" si="12">IF(B7="","",(B7/$O$23))</f>
        <v>5.0276902365143962E-2</v>
      </c>
      <c r="C30" s="11">
        <f t="shared" si="12"/>
        <v>0.38330059460065885</v>
      </c>
      <c r="D30" s="11">
        <f t="shared" si="12"/>
        <v>0.49061020510153086</v>
      </c>
      <c r="E30" s="11">
        <f t="shared" si="12"/>
        <v>3.958040571550959</v>
      </c>
      <c r="F30" s="11">
        <f t="shared" si="12"/>
        <v>13.377871064467767</v>
      </c>
      <c r="G30" s="11">
        <f t="shared" si="12"/>
        <v>0.21742434904996483</v>
      </c>
      <c r="H30" s="11">
        <f t="shared" si="12"/>
        <v>13.67630960030189</v>
      </c>
      <c r="I30" s="11">
        <f t="shared" si="12"/>
        <v>0.25983906006180585</v>
      </c>
      <c r="J30" s="11">
        <f t="shared" si="12"/>
        <v>0.33602790441513936</v>
      </c>
      <c r="K30" s="11">
        <f t="shared" si="12"/>
        <v>0.45981580638252301</v>
      </c>
      <c r="L30" s="11">
        <f t="shared" si="12"/>
        <v>4.9359646707258618</v>
      </c>
      <c r="M30" s="11">
        <f t="shared" si="12"/>
        <v>10.019117788044753</v>
      </c>
      <c r="N30" s="6"/>
      <c r="O30" s="11">
        <f t="shared" ref="O30:V30" si="13">IF(O7="","",(O7/$O$23))</f>
        <v>0.21083825434221665</v>
      </c>
      <c r="P30" s="11">
        <f t="shared" si="13"/>
        <v>16.930891289049352</v>
      </c>
      <c r="Q30" s="11">
        <f t="shared" si="13"/>
        <v>0.15079317484115085</v>
      </c>
      <c r="R30" s="11">
        <f t="shared" si="13"/>
        <v>2.9151758814470314</v>
      </c>
      <c r="S30" s="11">
        <f t="shared" si="13"/>
        <v>2.0567675346000468E-2</v>
      </c>
      <c r="T30" s="11">
        <f t="shared" si="13"/>
        <v>7.9821003783822375</v>
      </c>
      <c r="U30" s="11">
        <f t="shared" si="13"/>
        <v>4.5337200787361418</v>
      </c>
      <c r="V30" s="11">
        <f t="shared" si="13"/>
        <v>8.9358161735458808</v>
      </c>
    </row>
    <row r="31" spans="1:22" x14ac:dyDescent="0.3">
      <c r="A31" s="220"/>
      <c r="B31" s="11">
        <f t="shared" ref="B31:M31" si="14">IF(B8="","",(B8/$O$23))</f>
        <v>3.654009729828963E-2</v>
      </c>
      <c r="C31" s="11">
        <f t="shared" si="14"/>
        <v>0.10318269436710216</v>
      </c>
      <c r="D31" s="11">
        <f t="shared" si="14"/>
        <v>0.50061826229742268</v>
      </c>
      <c r="E31" s="11">
        <f t="shared" si="14"/>
        <v>1.6827961529439361</v>
      </c>
      <c r="F31" s="11">
        <f t="shared" si="14"/>
        <v>7.2097159583473571</v>
      </c>
      <c r="G31" s="11">
        <f t="shared" si="14"/>
        <v>6.0948285041152896</v>
      </c>
      <c r="H31" s="11">
        <f t="shared" si="14"/>
        <v>16.72703566584055</v>
      </c>
      <c r="I31" s="11">
        <f t="shared" si="14"/>
        <v>0.27789860171954839</v>
      </c>
      <c r="J31" s="11">
        <f t="shared" si="14"/>
        <v>0.65024140990729129</v>
      </c>
      <c r="K31" s="11">
        <f t="shared" si="14"/>
        <v>3.8365405052575752</v>
      </c>
      <c r="L31" s="11">
        <f t="shared" si="14"/>
        <v>9.3739644463482552</v>
      </c>
      <c r="M31" s="11">
        <f t="shared" si="14"/>
        <v>7.8519744209527893</v>
      </c>
      <c r="N31" s="6"/>
      <c r="O31" s="11">
        <f t="shared" ref="O31:V31" si="15">IF(O8="","",(O8/$O$23))</f>
        <v>1.0372805434017685</v>
      </c>
      <c r="P31" s="11">
        <f t="shared" si="15"/>
        <v>3.9222772287325727</v>
      </c>
      <c r="Q31" s="11">
        <f t="shared" si="15"/>
        <v>0.11862476924802905</v>
      </c>
      <c r="R31" s="11">
        <f t="shared" si="15"/>
        <v>0.52633275199135121</v>
      </c>
      <c r="S31" s="11">
        <f t="shared" si="15"/>
        <v>1.9107556425868699</v>
      </c>
      <c r="T31" s="11">
        <f t="shared" si="15"/>
        <v>3.5380122183806058</v>
      </c>
      <c r="U31" s="11">
        <f t="shared" si="15"/>
        <v>8.1759299941865802</v>
      </c>
      <c r="V31" s="11">
        <f t="shared" si="15"/>
        <v>8.4398731246621583</v>
      </c>
    </row>
    <row r="32" spans="1:22" x14ac:dyDescent="0.3">
      <c r="A32" s="220"/>
      <c r="B32" s="11">
        <f t="shared" ref="B32:M32" si="16">IF(B9="","",(B9/$O$23))</f>
        <v>2.4657059225489295E-3</v>
      </c>
      <c r="C32" s="11">
        <f t="shared" si="16"/>
        <v>0.7136872380136462</v>
      </c>
      <c r="D32" s="11">
        <f t="shared" si="16"/>
        <v>0.67389325745290618</v>
      </c>
      <c r="E32" s="11">
        <f t="shared" si="16"/>
        <v>4.4385023814623299</v>
      </c>
      <c r="F32" s="11">
        <f t="shared" si="16"/>
        <v>3.4850150434986586</v>
      </c>
      <c r="G32" s="11">
        <f t="shared" si="16"/>
        <v>13.234478271068548</v>
      </c>
      <c r="H32" s="11">
        <f t="shared" si="16"/>
        <v>13.938558883823394</v>
      </c>
      <c r="I32" s="11">
        <f t="shared" si="16"/>
        <v>9.1366561617150607E-2</v>
      </c>
      <c r="J32" s="11">
        <f t="shared" si="16"/>
        <v>0.1174139460881804</v>
      </c>
      <c r="K32" s="11">
        <f t="shared" si="16"/>
        <v>0.539328702995441</v>
      </c>
      <c r="L32" s="11">
        <f t="shared" si="16"/>
        <v>6.5655727238421608</v>
      </c>
      <c r="M32" s="11">
        <f t="shared" si="16"/>
        <v>7.0243490499648136</v>
      </c>
      <c r="N32" s="6"/>
      <c r="O32" s="11">
        <f t="shared" ref="O32:V32" si="17">IF(O9="","",(O9/$O$23))</f>
        <v>2.6945466042488961</v>
      </c>
      <c r="P32" s="11">
        <f t="shared" si="17"/>
        <v>13.988927169068527</v>
      </c>
      <c r="Q32" s="11">
        <f t="shared" si="17"/>
        <v>9.8918703913349448E-2</v>
      </c>
      <c r="R32" s="11">
        <f t="shared" si="17"/>
        <v>4.055351915878795</v>
      </c>
      <c r="S32" s="11">
        <f t="shared" si="17"/>
        <v>1.1989466491244174</v>
      </c>
      <c r="T32" s="11">
        <f t="shared" si="17"/>
        <v>2.37448133076319</v>
      </c>
      <c r="U32" s="11">
        <f t="shared" si="17"/>
        <v>6.8735411885893791</v>
      </c>
      <c r="V32" s="11">
        <f t="shared" si="17"/>
        <v>3.8155616069516261</v>
      </c>
    </row>
    <row r="33" spans="1:22" x14ac:dyDescent="0.3">
      <c r="A33" s="220"/>
      <c r="B33" s="11">
        <f t="shared" ref="B33:M33" si="18">IF(B10="","",(B10/$O$23))</f>
        <v>2.254872563718141E-2</v>
      </c>
      <c r="C33" s="11">
        <f t="shared" si="18"/>
        <v>0.16429662719660579</v>
      </c>
      <c r="D33" s="11">
        <f t="shared" si="18"/>
        <v>0.390813572805434</v>
      </c>
      <c r="E33" s="11">
        <f t="shared" si="18"/>
        <v>0.21442992789319626</v>
      </c>
      <c r="F33" s="11">
        <f t="shared" si="18"/>
        <v>25.100936878499525</v>
      </c>
      <c r="G33" s="11">
        <f t="shared" si="18"/>
        <v>26.590224887556221</v>
      </c>
      <c r="H33" s="11">
        <f t="shared" si="18"/>
        <v>26.219990412956786</v>
      </c>
      <c r="I33" s="11">
        <f t="shared" si="18"/>
        <v>1.1164148537975911</v>
      </c>
      <c r="J33" s="11">
        <f t="shared" si="18"/>
        <v>8.3719772766677886E-2</v>
      </c>
      <c r="K33" s="11">
        <f t="shared" si="18"/>
        <v>0.7788823955369254</v>
      </c>
      <c r="L33" s="11">
        <f t="shared" si="18"/>
        <v>11.680363899682812</v>
      </c>
      <c r="M33" s="11">
        <f t="shared" si="18"/>
        <v>5.899982253771074</v>
      </c>
      <c r="N33" s="6"/>
      <c r="O33" s="11">
        <f t="shared" ref="O33:V33" si="19">IF(O10="","",(O10/$O$23))</f>
        <v>0.20264806372324043</v>
      </c>
      <c r="P33" s="11">
        <f t="shared" si="19"/>
        <v>3.5365859927179266</v>
      </c>
      <c r="Q33" s="11">
        <f t="shared" si="19"/>
        <v>5.7551632347091763E-2</v>
      </c>
      <c r="R33" s="11">
        <f t="shared" si="19"/>
        <v>0.80902242756172937</v>
      </c>
      <c r="S33" s="11">
        <f t="shared" si="19"/>
        <v>0.40310130648961234</v>
      </c>
      <c r="T33" s="11">
        <f t="shared" si="19"/>
        <v>4.2623586166100624E-3</v>
      </c>
      <c r="U33" s="11">
        <f t="shared" si="19"/>
        <v>5.4153478362859389</v>
      </c>
      <c r="V33" s="11">
        <f t="shared" si="19"/>
        <v>11.540933206865954</v>
      </c>
    </row>
    <row r="34" spans="1:22" x14ac:dyDescent="0.3">
      <c r="A34" s="220"/>
      <c r="B34" s="11">
        <f t="shared" ref="B34:M34" si="20">IF(B11="","",(B11/$O$23))</f>
        <v>0.47226182826953872</v>
      </c>
      <c r="C34" s="11">
        <f t="shared" si="20"/>
        <v>4.2277636691858154E-2</v>
      </c>
      <c r="D34" s="11">
        <f t="shared" si="20"/>
        <v>5.5182808595702149</v>
      </c>
      <c r="E34" s="11">
        <f t="shared" si="20"/>
        <v>1.0781433772909463</v>
      </c>
      <c r="F34" s="11">
        <f t="shared" si="20"/>
        <v>9.2851174412793611</v>
      </c>
      <c r="G34" s="11">
        <f t="shared" si="20"/>
        <v>1.7492347703699171</v>
      </c>
      <c r="H34" s="11">
        <f t="shared" si="20"/>
        <v>5.5878215994043794</v>
      </c>
      <c r="I34" s="11">
        <f t="shared" si="20"/>
        <v>1.4881702006139788</v>
      </c>
      <c r="J34" s="11">
        <f t="shared" si="20"/>
        <v>0.20882783098246796</v>
      </c>
      <c r="K34" s="11">
        <f t="shared" si="20"/>
        <v>0.82808391722506092</v>
      </c>
      <c r="L34" s="11">
        <f t="shared" si="20"/>
        <v>3.9759614070515763</v>
      </c>
      <c r="M34" s="11">
        <f t="shared" si="20"/>
        <v>2.9566734999847015</v>
      </c>
      <c r="N34" s="6"/>
      <c r="O34" s="11">
        <f t="shared" ref="O34:V34" si="21">IF(O11="","",(O11/$O$23))</f>
        <v>2.5243884180358802</v>
      </c>
      <c r="P34" s="11">
        <f t="shared" si="21"/>
        <v>9.99495027996206</v>
      </c>
      <c r="Q34" s="11">
        <f t="shared" si="21"/>
        <v>0.10007241277320524</v>
      </c>
      <c r="R34" s="11">
        <f t="shared" si="21"/>
        <v>5.5434829524013507</v>
      </c>
      <c r="S34" s="11">
        <f t="shared" si="21"/>
        <v>2.4046180991137085</v>
      </c>
      <c r="T34" s="11">
        <f t="shared" si="21"/>
        <v>1.8705031157890442</v>
      </c>
      <c r="U34" s="11">
        <f t="shared" si="21"/>
        <v>7.7294887250252424</v>
      </c>
      <c r="V34" s="11">
        <f t="shared" si="21"/>
        <v>8.5911003681832554</v>
      </c>
    </row>
    <row r="35" spans="1:22" x14ac:dyDescent="0.3">
      <c r="A35" s="220"/>
      <c r="B35" s="11">
        <f t="shared" ref="B35:M35" si="22">IF(B12="","",(B12/$O$23))</f>
        <v>0.25648726657079624</v>
      </c>
      <c r="C35" s="11">
        <f t="shared" si="22"/>
        <v>0.13176105824638701</v>
      </c>
      <c r="D35" s="11">
        <f t="shared" si="22"/>
        <v>6.3888773980356763</v>
      </c>
      <c r="E35" s="11">
        <f t="shared" si="22"/>
        <v>3.487493804118349</v>
      </c>
      <c r="F35" s="11" t="str">
        <f t="shared" si="22"/>
        <v/>
      </c>
      <c r="G35" s="11">
        <f t="shared" si="22"/>
        <v>10.546760905261655</v>
      </c>
      <c r="H35" s="11">
        <f t="shared" si="22"/>
        <v>19.446059827229242</v>
      </c>
      <c r="I35" s="11">
        <f t="shared" si="22"/>
        <v>7.7091250293220739E-2</v>
      </c>
      <c r="J35" s="11">
        <f t="shared" si="22"/>
        <v>0.44603330987567441</v>
      </c>
      <c r="K35" s="11">
        <f t="shared" si="22"/>
        <v>4.1546165692663868</v>
      </c>
      <c r="L35" s="11">
        <f t="shared" si="22"/>
        <v>5.6838666381095164</v>
      </c>
      <c r="M35" s="11">
        <f t="shared" si="22"/>
        <v>7.3680580118104215</v>
      </c>
      <c r="N35" s="6"/>
      <c r="O35" s="11">
        <f t="shared" ref="O35:V35" si="23">IF(O12="","",(O12/$O$23))</f>
        <v>7.6950912298952567E-2</v>
      </c>
      <c r="P35" s="11">
        <f t="shared" si="23"/>
        <v>9.7499609378983969</v>
      </c>
      <c r="Q35" s="11">
        <f t="shared" si="23"/>
        <v>0.20843455823108853</v>
      </c>
      <c r="R35" s="11">
        <f t="shared" si="23"/>
        <v>2.4354826668298504</v>
      </c>
      <c r="S35" s="11">
        <f t="shared" si="23"/>
        <v>1.6310930249161133</v>
      </c>
      <c r="T35" s="11">
        <f t="shared" si="23"/>
        <v>3.6277012514151088</v>
      </c>
      <c r="U35" s="11">
        <f t="shared" si="23"/>
        <v>9.6257585492967799</v>
      </c>
      <c r="V35" s="11">
        <f t="shared" si="23"/>
        <v>10.268418443839305</v>
      </c>
    </row>
    <row r="36" spans="1:22" s="1" customFormat="1" x14ac:dyDescent="0.3">
      <c r="A36" s="220"/>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0.69034380768799275</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3">
      <c r="A37" s="220"/>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3.1997062693143223E-2</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3">
      <c r="A38" s="220"/>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0.7812501912309151</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3">
      <c r="A39" s="220"/>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0.66767922161368298</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3">
      <c r="A40" s="220"/>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3.4972554539057001</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3">
      <c r="A41" s="220"/>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1.5761914960886903E-2</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3">
      <c r="A42" s="220"/>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0.28323307733888159</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3">
      <c r="A43" s="220"/>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1.3593660312700793</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3">
      <c r="A44" s="7"/>
      <c r="B44" s="3"/>
      <c r="C44" s="3"/>
      <c r="D44" s="3"/>
      <c r="E44" s="3"/>
      <c r="F44" s="3"/>
      <c r="G44" s="3"/>
      <c r="H44" s="3"/>
      <c r="I44" s="3"/>
      <c r="J44" s="3"/>
      <c r="N44" s="7"/>
      <c r="O44" s="3"/>
      <c r="P44" s="3"/>
      <c r="Q44" s="3"/>
      <c r="R44" s="3"/>
      <c r="S44" s="3"/>
      <c r="T44" s="3"/>
      <c r="U44" s="3"/>
      <c r="V44" s="3"/>
    </row>
    <row r="45" spans="1:22" s="69" customFormat="1" x14ac:dyDescent="0.3">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Testosterone-3.7µg/L</v>
      </c>
      <c r="J45" s="70" t="str">
        <f t="shared" si="46"/>
        <v>Testosterone-11µg/L</v>
      </c>
      <c r="K45" s="70" t="str">
        <f t="shared" si="46"/>
        <v>Testosterone-33µg/L</v>
      </c>
      <c r="L45" s="70" t="str">
        <f t="shared" si="46"/>
        <v>Testosterone-100µg/L</v>
      </c>
      <c r="M45" s="70" t="str">
        <f t="shared" si="46"/>
        <v>Testosterone-300µg/L</v>
      </c>
      <c r="N45" s="70" t="str">
        <f>N22</f>
        <v>Nom des groupes</v>
      </c>
      <c r="O45" s="70" t="str">
        <f t="shared" ref="O45:V45" si="47">O4</f>
        <v>Testo -30µg/L</v>
      </c>
      <c r="P45" s="70" t="str">
        <f t="shared" si="47"/>
        <v>Testo 30µg/L + EE2 -64ng/L</v>
      </c>
      <c r="Q45" s="70" t="str">
        <f t="shared" si="47"/>
        <v>Testo 30µg/L + FAD-10µg/L</v>
      </c>
      <c r="R45" s="70" t="str">
        <f t="shared" si="47"/>
        <v>Testosterone-3.7µg/L + Testostérone</v>
      </c>
      <c r="S45" s="70" t="str">
        <f t="shared" si="47"/>
        <v>Testosterone-11µg/L + Testostérone</v>
      </c>
      <c r="T45" s="70" t="str">
        <f t="shared" si="47"/>
        <v>Testosterone-33µg/L + Testostérone</v>
      </c>
      <c r="U45" s="70" t="str">
        <f t="shared" si="47"/>
        <v>Testosterone-100µg/L + Testostérone</v>
      </c>
      <c r="V45" s="70" t="str">
        <f t="shared" si="47"/>
        <v>Testosterone-300µg/L + Testostérone</v>
      </c>
    </row>
    <row r="46" spans="1:22" x14ac:dyDescent="0.3">
      <c r="A46" s="8" t="s">
        <v>0</v>
      </c>
      <c r="B46" s="10">
        <f t="shared" ref="B46:H46" si="48">AVERAGE(B28:B43)</f>
        <v>0.11288926965088884</v>
      </c>
      <c r="C46" s="10">
        <f t="shared" si="48"/>
        <v>0.24822099154504379</v>
      </c>
      <c r="D46" s="10">
        <f t="shared" si="48"/>
        <v>2.3408828238941757</v>
      </c>
      <c r="E46" s="10">
        <f t="shared" si="48"/>
        <v>2.4769739619985924</v>
      </c>
      <c r="F46" s="10">
        <f t="shared" si="48"/>
        <v>8.9374177051415984</v>
      </c>
      <c r="G46" s="10">
        <f t="shared" si="48"/>
        <v>9.5369864047568047</v>
      </c>
      <c r="H46" s="10">
        <f t="shared" si="48"/>
        <v>17.007271466307664</v>
      </c>
      <c r="I46" s="10">
        <f>AVERAGE(I28:I43)</f>
        <v>0.63117461677324604</v>
      </c>
      <c r="J46" s="9">
        <f>AVERAGE(J28:J43)</f>
        <v>0.34100500770023151</v>
      </c>
      <c r="K46" s="9">
        <f>AVERAGE(K28:K43)</f>
        <v>3.0399292190639371</v>
      </c>
      <c r="L46" s="9">
        <f t="shared" ref="L46:M46" si="49">AVERAGE(L28:L43)</f>
        <v>7.7868137359891483</v>
      </c>
      <c r="M46" s="9">
        <f t="shared" si="49"/>
        <v>8.7317320931371043</v>
      </c>
      <c r="N46" s="8" t="s">
        <v>0</v>
      </c>
      <c r="O46" s="10">
        <f>AVERAGE(O28:O43)</f>
        <v>1</v>
      </c>
      <c r="P46" s="10">
        <f>AVERAGE(P28:P43)</f>
        <v>10.16211792063152</v>
      </c>
      <c r="Q46" s="10">
        <f>AVERAGE(Q28:Q43)</f>
        <v>0.10097257493702128</v>
      </c>
      <c r="R46" s="10">
        <f>AVERAGE(R28:R43)</f>
        <v>3.1770688125325091</v>
      </c>
      <c r="S46" s="10">
        <f t="shared" ref="S46:V46" si="50">AVERAGE(S28:S43)</f>
        <v>1.4405356505420761</v>
      </c>
      <c r="T46" s="10">
        <f t="shared" si="50"/>
        <v>4.1777172638170708</v>
      </c>
      <c r="U46" s="10">
        <f t="shared" si="50"/>
        <v>5.5634888678109924</v>
      </c>
      <c r="V46" s="10">
        <f t="shared" si="50"/>
        <v>8.644817795184041</v>
      </c>
    </row>
    <row r="47" spans="1:22" x14ac:dyDescent="0.3">
      <c r="A47" s="8" t="s">
        <v>1</v>
      </c>
      <c r="B47" s="8">
        <f t="shared" ref="B47:K47" si="51">STDEV(B28:B43)</f>
        <v>0.16613881901381614</v>
      </c>
      <c r="C47" s="8">
        <f t="shared" si="51"/>
        <v>0.21869979697644779</v>
      </c>
      <c r="D47" s="8">
        <f t="shared" si="51"/>
        <v>2.6361508840842518</v>
      </c>
      <c r="E47" s="8">
        <f t="shared" si="51"/>
        <v>1.4666192996632246</v>
      </c>
      <c r="F47" s="8">
        <f t="shared" si="51"/>
        <v>8.2609805958019304</v>
      </c>
      <c r="G47" s="8">
        <f t="shared" si="51"/>
        <v>8.2363106364992831</v>
      </c>
      <c r="H47" s="8">
        <f t="shared" si="51"/>
        <v>6.2550896721195031</v>
      </c>
      <c r="I47" s="8">
        <f>STDEV(I28:I43)</f>
        <v>0.67994845913797386</v>
      </c>
      <c r="J47" s="8">
        <f t="shared" si="51"/>
        <v>0.24498866513610859</v>
      </c>
      <c r="K47" s="8">
        <f t="shared" si="51"/>
        <v>2.944838440684578</v>
      </c>
      <c r="L47" s="8">
        <f t="shared" ref="L47:M47" si="52">STDEV(L28:L43)</f>
        <v>2.9234003731688234</v>
      </c>
      <c r="M47" s="8">
        <f t="shared" si="52"/>
        <v>4.2122978816718115</v>
      </c>
      <c r="N47" s="8" t="s">
        <v>1</v>
      </c>
      <c r="O47" s="8">
        <f>STDEV(O28:O43)</f>
        <v>1.0497194721360623</v>
      </c>
      <c r="P47" s="8">
        <f>STDEV(P28:P43)</f>
        <v>4.8315286541390394</v>
      </c>
      <c r="Q47" s="8">
        <f>STDEV(Q28:Q43)</f>
        <v>5.9622401360945064E-2</v>
      </c>
      <c r="R47" s="8">
        <f>STDEV(R28:R43)</f>
        <v>1.8511599265823366</v>
      </c>
      <c r="S47" s="8">
        <f t="shared" ref="S47:V47" si="53">STDEV(S28:S43)</f>
        <v>0.8465973090055593</v>
      </c>
      <c r="T47" s="8">
        <f t="shared" si="53"/>
        <v>2.9070763723385893</v>
      </c>
      <c r="U47" s="8">
        <f t="shared" si="53"/>
        <v>3.2129596420629025</v>
      </c>
      <c r="V47" s="8">
        <f t="shared" si="53"/>
        <v>2.2609399675139592</v>
      </c>
    </row>
    <row r="48" spans="1:22" x14ac:dyDescent="0.3">
      <c r="A48" s="8" t="s">
        <v>2</v>
      </c>
      <c r="B48" s="8">
        <f t="shared" ref="B48:K48" si="54" xml:space="preserve"> B47/SQRT(COUNT(B28:B43))</f>
        <v>5.8738942771496952E-2</v>
      </c>
      <c r="C48" s="8">
        <f t="shared" si="54"/>
        <v>7.7322054743083707E-2</v>
      </c>
      <c r="D48" s="8">
        <f t="shared" si="54"/>
        <v>0.93202008318344332</v>
      </c>
      <c r="E48" s="8">
        <f t="shared" si="54"/>
        <v>0.51852822610546567</v>
      </c>
      <c r="F48" s="8">
        <f t="shared" si="54"/>
        <v>3.1223571774317285</v>
      </c>
      <c r="G48" s="8">
        <f t="shared" si="54"/>
        <v>2.9119755515137662</v>
      </c>
      <c r="H48" s="8">
        <f t="shared" si="54"/>
        <v>2.2115081620428194</v>
      </c>
      <c r="I48" s="8">
        <f xml:space="preserve"> I47/SQRT(COUNT(I28:I43))</f>
        <v>0.2403980831569027</v>
      </c>
      <c r="J48" s="8">
        <f t="shared" si="54"/>
        <v>8.6616573215791345E-2</v>
      </c>
      <c r="K48" s="8">
        <f t="shared" si="54"/>
        <v>1.0411576154534419</v>
      </c>
      <c r="L48" s="8">
        <f t="shared" ref="L48:M48" si="55" xml:space="preserve"> L47/SQRT(COUNT(L28:L43))</f>
        <v>1.0335781139954792</v>
      </c>
      <c r="M48" s="8">
        <f t="shared" si="55"/>
        <v>1.4892721982539336</v>
      </c>
      <c r="N48" s="8" t="s">
        <v>2</v>
      </c>
      <c r="O48" s="8">
        <f xml:space="preserve"> O47/SQRT(COUNT(O28:O43))</f>
        <v>0.26242986803401558</v>
      </c>
      <c r="P48" s="8">
        <f xml:space="preserve"> P47/SQRT(COUNT(P28:P43))</f>
        <v>1.7082033374194139</v>
      </c>
      <c r="Q48" s="8">
        <f xml:space="preserve"> Q47/SQRT(COUNT(Q28:Q43))</f>
        <v>2.1079702156475148E-2</v>
      </c>
      <c r="R48" s="8">
        <f xml:space="preserve"> R47/SQRT(COUNT(R28:R43))</f>
        <v>0.65448386857358076</v>
      </c>
      <c r="S48" s="8">
        <f t="shared" ref="S48:V48" si="56" xml:space="preserve"> S47/SQRT(COUNT(S28:S43))</f>
        <v>0.29931734906605695</v>
      </c>
      <c r="T48" s="8">
        <f t="shared" si="56"/>
        <v>1.0278067081539026</v>
      </c>
      <c r="U48" s="8">
        <f t="shared" si="56"/>
        <v>1.1359527752906904</v>
      </c>
      <c r="V48" s="8">
        <f t="shared" si="56"/>
        <v>0.79936299144240641</v>
      </c>
    </row>
    <row r="49" spans="1:22" s="1" customFormat="1"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5" t="s">
        <v>38</v>
      </c>
      <c r="B50" s="216"/>
      <c r="C50" s="216"/>
      <c r="D50" s="216"/>
      <c r="E50" s="216"/>
      <c r="F50" s="216"/>
      <c r="G50" s="216"/>
      <c r="H50" s="216"/>
      <c r="I50" s="216"/>
      <c r="J50" s="216"/>
      <c r="K50" s="216"/>
      <c r="L50" s="216"/>
      <c r="M50" s="216"/>
      <c r="N50" s="216"/>
      <c r="O50" s="216"/>
      <c r="P50" s="216"/>
      <c r="Q50" s="216"/>
      <c r="R50" s="216"/>
      <c r="S50" s="216"/>
      <c r="T50" s="216"/>
      <c r="U50" s="216"/>
      <c r="V50" s="216"/>
    </row>
    <row r="51" spans="1:22" ht="15" thickBot="1" x14ac:dyDescent="0.35">
      <c r="A51"/>
      <c r="B51"/>
      <c r="C51"/>
      <c r="D51"/>
      <c r="E51"/>
      <c r="F51"/>
      <c r="G51"/>
      <c r="H51"/>
      <c r="I51"/>
      <c r="J51"/>
      <c r="K51"/>
      <c r="L51"/>
      <c r="M51"/>
      <c r="S51"/>
      <c r="T51"/>
      <c r="U51"/>
      <c r="V51"/>
    </row>
    <row r="52" spans="1:22" x14ac:dyDescent="0.3">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Testosterone-3.7µg/L</v>
      </c>
      <c r="J52" s="46" t="str">
        <f>J4</f>
        <v>Testosterone-11µg/L</v>
      </c>
      <c r="K52" s="46" t="str">
        <f>K27</f>
        <v>Testosterone-33µg/L</v>
      </c>
      <c r="L52" s="46" t="str">
        <f t="shared" ref="L52:M52" si="58">L27</f>
        <v>Testosterone-100µg/L</v>
      </c>
      <c r="M52" s="46" t="str">
        <f t="shared" si="58"/>
        <v>Testosterone-300µg/L</v>
      </c>
      <c r="N52" s="47"/>
      <c r="O52" s="46" t="str">
        <f>O27</f>
        <v>Testo -30µg/L</v>
      </c>
      <c r="P52" s="46" t="str">
        <f>P27</f>
        <v>Testo 30µg/L + EE2 -64ng/L</v>
      </c>
      <c r="Q52" s="46" t="str">
        <f>Q27</f>
        <v>Testo 30µg/L + FAD-10µg/L</v>
      </c>
      <c r="R52" s="46" t="str">
        <f>R27</f>
        <v>Testosterone-3.7µg/L + Testostérone</v>
      </c>
      <c r="S52" s="46" t="str">
        <f t="shared" ref="S52:V52" si="59">S27</f>
        <v>Testosterone-11µg/L + Testostérone</v>
      </c>
      <c r="T52" s="46" t="str">
        <f t="shared" si="59"/>
        <v>Testosterone-33µg/L + Testostérone</v>
      </c>
      <c r="U52" s="46" t="str">
        <f t="shared" si="59"/>
        <v>Testosterone-100µg/L + Testostérone</v>
      </c>
      <c r="V52" s="46" t="str">
        <f t="shared" si="59"/>
        <v>Testosterone-300µg/L + Testostérone</v>
      </c>
    </row>
    <row r="53" spans="1:22" s="3" customFormat="1" x14ac:dyDescent="0.3">
      <c r="A53" s="61" t="s">
        <v>32</v>
      </c>
      <c r="B53" s="141">
        <f t="shared" ref="B53:M53" si="60">B46</f>
        <v>0.11288926965088884</v>
      </c>
      <c r="C53" s="141">
        <f t="shared" si="60"/>
        <v>0.24822099154504379</v>
      </c>
      <c r="D53" s="141">
        <f t="shared" si="60"/>
        <v>2.3408828238941757</v>
      </c>
      <c r="E53" s="141">
        <f t="shared" si="60"/>
        <v>2.4769739619985924</v>
      </c>
      <c r="F53" s="141">
        <f t="shared" si="60"/>
        <v>8.9374177051415984</v>
      </c>
      <c r="G53" s="141">
        <f t="shared" si="60"/>
        <v>9.5369864047568047</v>
      </c>
      <c r="H53" s="141">
        <f t="shared" si="60"/>
        <v>17.007271466307664</v>
      </c>
      <c r="I53" s="141">
        <f t="shared" si="60"/>
        <v>0.63117461677324604</v>
      </c>
      <c r="J53" s="141">
        <f t="shared" si="60"/>
        <v>0.34100500770023151</v>
      </c>
      <c r="K53" s="141">
        <f t="shared" si="60"/>
        <v>3.0399292190639371</v>
      </c>
      <c r="L53" s="141">
        <f t="shared" si="60"/>
        <v>7.7868137359891483</v>
      </c>
      <c r="M53" s="141">
        <f t="shared" si="60"/>
        <v>8.7317320931371043</v>
      </c>
      <c r="N53" s="141"/>
      <c r="O53" s="141">
        <f t="shared" ref="O53:V53" si="61">O46</f>
        <v>1</v>
      </c>
      <c r="P53" s="141">
        <f t="shared" si="61"/>
        <v>10.16211792063152</v>
      </c>
      <c r="Q53" s="141">
        <f t="shared" si="61"/>
        <v>0.10097257493702128</v>
      </c>
      <c r="R53" s="141">
        <f t="shared" si="61"/>
        <v>3.1770688125325091</v>
      </c>
      <c r="S53" s="141">
        <f t="shared" si="61"/>
        <v>1.4405356505420761</v>
      </c>
      <c r="T53" s="141">
        <f t="shared" si="61"/>
        <v>4.1777172638170708</v>
      </c>
      <c r="U53" s="141">
        <f t="shared" si="61"/>
        <v>5.5634888678109924</v>
      </c>
      <c r="V53" s="141">
        <f t="shared" si="61"/>
        <v>8.644817795184041</v>
      </c>
    </row>
    <row r="54" spans="1:22" s="3" customFormat="1" x14ac:dyDescent="0.3">
      <c r="A54" s="61" t="s">
        <v>2</v>
      </c>
      <c r="B54" s="141">
        <f t="shared" ref="B54:M54" si="62">B48</f>
        <v>5.8738942771496952E-2</v>
      </c>
      <c r="C54" s="141">
        <f t="shared" si="62"/>
        <v>7.7322054743083707E-2</v>
      </c>
      <c r="D54" s="141">
        <f t="shared" si="62"/>
        <v>0.93202008318344332</v>
      </c>
      <c r="E54" s="141">
        <f t="shared" si="62"/>
        <v>0.51852822610546567</v>
      </c>
      <c r="F54" s="141">
        <f t="shared" si="62"/>
        <v>3.1223571774317285</v>
      </c>
      <c r="G54" s="141">
        <f t="shared" si="62"/>
        <v>2.9119755515137662</v>
      </c>
      <c r="H54" s="141">
        <f t="shared" si="62"/>
        <v>2.2115081620428194</v>
      </c>
      <c r="I54" s="141">
        <f t="shared" si="62"/>
        <v>0.2403980831569027</v>
      </c>
      <c r="J54" s="141">
        <f t="shared" si="62"/>
        <v>8.6616573215791345E-2</v>
      </c>
      <c r="K54" s="141">
        <f t="shared" si="62"/>
        <v>1.0411576154534419</v>
      </c>
      <c r="L54" s="141">
        <f t="shared" si="62"/>
        <v>1.0335781139954792</v>
      </c>
      <c r="M54" s="141">
        <f t="shared" si="62"/>
        <v>1.4892721982539336</v>
      </c>
      <c r="N54" s="141"/>
      <c r="O54" s="141">
        <f t="shared" ref="O54:V54" si="63">O48</f>
        <v>0.26242986803401558</v>
      </c>
      <c r="P54" s="141">
        <f t="shared" si="63"/>
        <v>1.7082033374194139</v>
      </c>
      <c r="Q54" s="141">
        <f t="shared" si="63"/>
        <v>2.1079702156475148E-2</v>
      </c>
      <c r="R54" s="141">
        <f t="shared" si="63"/>
        <v>0.65448386857358076</v>
      </c>
      <c r="S54" s="141">
        <f t="shared" si="63"/>
        <v>0.29931734906605695</v>
      </c>
      <c r="T54" s="141">
        <f t="shared" si="63"/>
        <v>1.0278067081539026</v>
      </c>
      <c r="U54" s="141">
        <f t="shared" si="63"/>
        <v>1.1359527752906904</v>
      </c>
      <c r="V54" s="141">
        <f t="shared" si="63"/>
        <v>0.79936299144240641</v>
      </c>
    </row>
    <row r="55" spans="1:22" s="3" customFormat="1" x14ac:dyDescent="0.3">
      <c r="A55" s="61" t="s">
        <v>79</v>
      </c>
      <c r="B55" s="141">
        <f t="shared" ref="B55:M55" si="64">(B53*100/$B$53)-100</f>
        <v>0</v>
      </c>
      <c r="C55" s="141">
        <f t="shared" si="64"/>
        <v>119.88005796535808</v>
      </c>
      <c r="D55" s="141">
        <f t="shared" si="64"/>
        <v>1973.6096806484607</v>
      </c>
      <c r="E55" s="141">
        <f t="shared" si="64"/>
        <v>2094.1624475547219</v>
      </c>
      <c r="F55" s="141">
        <f t="shared" si="64"/>
        <v>7816.9771695579648</v>
      </c>
      <c r="G55" s="141">
        <f t="shared" si="64"/>
        <v>8348.0893837386211</v>
      </c>
      <c r="H55" s="141">
        <f t="shared" si="64"/>
        <v>14965.445563517964</v>
      </c>
      <c r="I55" s="141">
        <f t="shared" si="64"/>
        <v>459.10948731014003</v>
      </c>
      <c r="J55" s="141">
        <f t="shared" si="64"/>
        <v>202.07034623821448</v>
      </c>
      <c r="K55" s="141">
        <f t="shared" si="64"/>
        <v>2592.8416035155046</v>
      </c>
      <c r="L55" s="141">
        <f t="shared" si="64"/>
        <v>6797.7448078723019</v>
      </c>
      <c r="M55" s="141">
        <f t="shared" si="64"/>
        <v>7634.7759624453856</v>
      </c>
      <c r="N55" s="141"/>
      <c r="O55" s="141">
        <f>(O53*100/$O$53)-100</f>
        <v>0</v>
      </c>
      <c r="P55" s="141">
        <f t="shared" ref="P55:V55" si="65">(P53*100/$O$53)-100</f>
        <v>916.21179206315196</v>
      </c>
      <c r="Q55" s="141">
        <f t="shared" si="65"/>
        <v>-89.902742506297869</v>
      </c>
      <c r="R55" s="141">
        <f t="shared" si="65"/>
        <v>217.70688125325091</v>
      </c>
      <c r="S55" s="141">
        <f t="shared" si="65"/>
        <v>44.05356505420761</v>
      </c>
      <c r="T55" s="141">
        <f t="shared" si="65"/>
        <v>317.77172638170708</v>
      </c>
      <c r="U55" s="141">
        <f t="shared" si="65"/>
        <v>456.34888678109928</v>
      </c>
      <c r="V55" s="141">
        <f t="shared" si="65"/>
        <v>764.4817795184041</v>
      </c>
    </row>
    <row r="56" spans="1:22" s="3" customFormat="1" x14ac:dyDescent="0.3">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
      <c r="A57" s="61" t="s">
        <v>85</v>
      </c>
      <c r="B57" s="141" t="e">
        <f t="shared" ref="B57:M57" ca="1" si="66">IF(B56&gt;0.05,"Oui","Non")</f>
        <v>#NAME?</v>
      </c>
      <c r="C57" s="141" t="e">
        <f t="shared" ca="1" si="66"/>
        <v>#NAME?</v>
      </c>
      <c r="D57" s="141" t="e">
        <f t="shared" ca="1" si="66"/>
        <v>#NAME?</v>
      </c>
      <c r="E57" s="141" t="e">
        <f t="shared" ca="1" si="66"/>
        <v>#NAME?</v>
      </c>
      <c r="F57" s="141" t="e">
        <f t="shared" ca="1" si="66"/>
        <v>#NAME?</v>
      </c>
      <c r="G57" s="141" t="e">
        <f t="shared" ca="1" si="66"/>
        <v>#NAME?</v>
      </c>
      <c r="H57" s="141" t="e">
        <f t="shared" ca="1" si="66"/>
        <v>#NAME?</v>
      </c>
      <c r="I57" s="141" t="e">
        <f t="shared" ca="1" si="66"/>
        <v>#NAME?</v>
      </c>
      <c r="J57" s="141" t="e">
        <f t="shared" ca="1" si="66"/>
        <v>#NAME?</v>
      </c>
      <c r="K57" s="141" t="e">
        <f t="shared" ca="1" si="66"/>
        <v>#NAME?</v>
      </c>
      <c r="L57" s="141" t="e">
        <f t="shared" ca="1" si="66"/>
        <v>#NAME?</v>
      </c>
      <c r="M57" s="141" t="e">
        <f t="shared" ca="1" si="66"/>
        <v>#NAME?</v>
      </c>
      <c r="N57" s="141"/>
      <c r="O57" s="141" t="e">
        <f t="shared" ref="O57:V57" ca="1" si="67">IF(O56&gt;0.05,"Oui","Non")</f>
        <v>#NAME?</v>
      </c>
      <c r="P57" s="141" t="e">
        <f t="shared" ca="1" si="67"/>
        <v>#NAME?</v>
      </c>
      <c r="Q57" s="141" t="e">
        <f t="shared" ca="1" si="67"/>
        <v>#NAME?</v>
      </c>
      <c r="R57" s="141" t="e">
        <f t="shared" ca="1" si="67"/>
        <v>#NAME?</v>
      </c>
      <c r="S57" s="141" t="e">
        <f t="shared" ca="1" si="67"/>
        <v>#NAME?</v>
      </c>
      <c r="T57" s="141" t="e">
        <f t="shared" ca="1" si="67"/>
        <v>#NAME?</v>
      </c>
      <c r="U57" s="141" t="e">
        <f t="shared" ca="1" si="67"/>
        <v>#NAME?</v>
      </c>
      <c r="V57" s="141" t="e">
        <f t="shared" ca="1" si="67"/>
        <v>#NAME?</v>
      </c>
    </row>
    <row r="58" spans="1:22" s="3" customFormat="1" x14ac:dyDescent="0.3">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
      <c r="A59" s="61" t="s">
        <v>82</v>
      </c>
      <c r="B59" s="150"/>
      <c r="C59" s="150" t="e">
        <f t="shared" ref="C59:M59" ca="1" si="68">IF($B57="Non",IF(C$57="Non","Mann Withney",IF(C$57="Oui","Mann Withney","")),IF($B$57="Oui",IF(C$57="Oui","T-Test Welch",IF(C$57="Non","Mann Withney",""))))</f>
        <v>#NAME?</v>
      </c>
      <c r="D59" s="150" t="e">
        <f t="shared" ca="1" si="68"/>
        <v>#NAME?</v>
      </c>
      <c r="E59" s="150" t="e">
        <f t="shared" ca="1" si="68"/>
        <v>#NAME?</v>
      </c>
      <c r="F59" s="150" t="e">
        <f t="shared" ca="1" si="68"/>
        <v>#NAME?</v>
      </c>
      <c r="G59" s="150" t="e">
        <f t="shared" ca="1" si="68"/>
        <v>#NAME?</v>
      </c>
      <c r="H59" s="150" t="e">
        <f t="shared" ca="1" si="68"/>
        <v>#NAME?</v>
      </c>
      <c r="I59" s="150" t="e">
        <f t="shared" ca="1" si="68"/>
        <v>#NAME?</v>
      </c>
      <c r="J59" s="150" t="e">
        <f t="shared" ca="1" si="68"/>
        <v>#NAME?</v>
      </c>
      <c r="K59" s="150" t="e">
        <f t="shared" ca="1" si="68"/>
        <v>#NAME?</v>
      </c>
      <c r="L59" s="150" t="e">
        <f t="shared" ca="1" si="68"/>
        <v>#NAME?</v>
      </c>
      <c r="M59" s="150" t="e">
        <f t="shared" ca="1" si="68"/>
        <v>#NAME?</v>
      </c>
      <c r="N59" s="150"/>
      <c r="O59" s="150" t="e">
        <f ca="1">IF($B57="Non",IF(O$57="Non","Mann Withney",IF(O$57="Oui","Mann Withney","")),IF($B$57="Oui",IF(O$57="Oui","T-Test Welch",IF(O$57="Non","Mann Withney",""))))</f>
        <v>#NAME?</v>
      </c>
      <c r="P59" s="150" t="e">
        <f ca="1">IF($O57="Non",IF(P$57="Non","Mann Withney",IF(P$57="Oui","Mann Withney","")),IF($O$57="Oui",IF(P$57="Oui","T-Test Welch",IF(P$57="Non","Mann Withney",""))))</f>
        <v>#NAME?</v>
      </c>
      <c r="Q59" s="150" t="e">
        <f t="shared" ref="Q59:V59" ca="1" si="69">IF($O57="Non",IF(Q$57="Non","Mann Withney",IF(Q$57="Oui","Mann Withney","")),IF($O$57="Oui",IF(Q$57="Oui","T-Test Welch",IF(Q$57="Non","Mann Withney",""))))</f>
        <v>#NAME?</v>
      </c>
      <c r="R59" s="150" t="e">
        <f t="shared" ca="1" si="69"/>
        <v>#NAME?</v>
      </c>
      <c r="S59" s="150" t="e">
        <f t="shared" ca="1" si="69"/>
        <v>#NAME?</v>
      </c>
      <c r="T59" s="150" t="e">
        <f t="shared" ca="1" si="69"/>
        <v>#NAME?</v>
      </c>
      <c r="U59" s="150" t="e">
        <f t="shared" ca="1" si="69"/>
        <v>#NAME?</v>
      </c>
      <c r="V59" s="150" t="e">
        <f t="shared" ca="1" si="69"/>
        <v>#NAME?</v>
      </c>
    </row>
    <row r="60" spans="1:22" s="3" customFormat="1" x14ac:dyDescent="0.3">
      <c r="A60" s="61" t="s">
        <v>83</v>
      </c>
      <c r="B60" s="151"/>
      <c r="C60" s="151" t="e">
        <f ca="1">IF(C59="Mann Withney",[1]!MTEST($B28:$B43,C28:C43,2), IF(C59="T-Test Welch",_xlfn.T.TEST($B28:$B43,C28:C43,2,3),""))</f>
        <v>#NAME?</v>
      </c>
      <c r="D60" s="151" t="e">
        <f ca="1">IF(D59="Mann Withney",[1]!MTEST($B28:$B43,D28:D43,2), IF(D59="T-Test Welch",_xlfn.T.TEST($B28:$B43,D28:D43,2,3),""))</f>
        <v>#NAME?</v>
      </c>
      <c r="E60" s="151" t="e">
        <f ca="1">IF(E59="Mann Withney",[1]!MTEST($B28:$B43,E28:E43,2), IF(E59="T-Test Welch",_xlfn.T.TEST($B28:$B43,E28:E43,2,3),""))</f>
        <v>#NAME?</v>
      </c>
      <c r="F60" s="151" t="e">
        <f ca="1">IF(F59="Mann Withney",[1]!MTEST($B28:$B43,F28:F43,2), IF(F59="T-Test Welch",_xlfn.T.TEST($B28:$B43,F28:F43,2,3),""))</f>
        <v>#NAME?</v>
      </c>
      <c r="G60" s="151" t="e">
        <f ca="1">IF(G59="Mann Withney",[1]!MTEST($B28:$B43,G28:G43,2), IF(G59="T-Test Welch",_xlfn.T.TEST($B28:$B43,G28:G43,2,3),""))</f>
        <v>#NAME?</v>
      </c>
      <c r="H60" s="151" t="e">
        <f ca="1">IF(H59="Mann Withney",[1]!MTEST($B28:$B43,H28:H43,2), IF(H59="T-Test Welch",_xlfn.T.TEST($B28:$B43,H28:H43,2,3),""))</f>
        <v>#NAME?</v>
      </c>
      <c r="I60" s="151" t="e">
        <f ca="1">IF(I59="Mann Withney",[1]!MTEST($B28:$B43,I28:I43,2), IF(I59="T-Test Welch",_xlfn.T.TEST($B28:$B43,I28:I43,2,3),""))</f>
        <v>#NAME?</v>
      </c>
      <c r="J60" s="151" t="e">
        <f ca="1">IF(J59="Mann Withney",[1]!MTEST($B28:$B43,J28:J43,2), IF(J59="T-Test Welch",_xlfn.T.TEST($B28:$B43,J28:J43,2,3),""))</f>
        <v>#NAME?</v>
      </c>
      <c r="K60" s="151" t="e">
        <f ca="1">IF(K59="Mann Withney",[1]!MTEST($B28:$B43,K28:K43,2), IF(K59="T-Test Welch",_xlfn.T.TEST($B28:$B43,K28:K43,2,3),""))</f>
        <v>#NAME?</v>
      </c>
      <c r="L60" s="151" t="e">
        <f ca="1">IF(L59="Mann Withney",[1]!MTEST($B28:$B43,L28:L43,2), IF(L59="T-Test Welch",_xlfn.T.TEST($B28:$B43,L28:L43,2,3),""))</f>
        <v>#NAME?</v>
      </c>
      <c r="M60" s="151" t="e">
        <f ca="1">IF(M59="Mann Withney",[1]!MTEST($B28:$B43,M28:M43,2), IF(M59="T-Test Welch",_xlfn.T.TEST($B28:$B43,M28:M43,2,3),""))</f>
        <v>#NAME?</v>
      </c>
      <c r="N60" s="151"/>
      <c r="O60" s="151" t="e">
        <f ca="1">IF(O59="Mann Withney",[1]!MTEST($B28:$B43,O28:O43,2), IF(O59="T-Test Welch",_xlfn.T.TEST($B28:$B43,O28:O43,2,3),""))</f>
        <v>#NAME?</v>
      </c>
      <c r="P60" s="151" t="e">
        <f ca="1">IF(P59="Mann Withney",[1]!MTEST($O28:$O43,P28:P43,2), IF(P59="T-Test Welch",_xlfn.T.TEST($O28:$O43,P28:P43,2,3),""))</f>
        <v>#NAME?</v>
      </c>
      <c r="Q60" s="151" t="e">
        <f ca="1">IF(Q59="Mann Withney",[1]!MTEST($O28:$O43,Q28:Q43,2), IF(Q59="T-Test Welch",_xlfn.T.TEST($O28:$O43,Q28:Q43,2,3),""))</f>
        <v>#NAME?</v>
      </c>
      <c r="R60" s="151" t="e">
        <f ca="1">IF(R59="Mann Withney",[1]!MTEST($O28:$O43,R28:R43,2), IF(R59="T-Test Welch",_xlfn.T.TEST($O28:$O43,R28:R43,2,3),""))</f>
        <v>#NAME?</v>
      </c>
      <c r="S60" s="151" t="e">
        <f ca="1">IF(S59="Mann Withney",[1]!MTEST($O28:$O43,S28:S43,2), IF(S59="T-Test Welch",_xlfn.T.TEST($O28:$O43,S28:S43,2,3),""))</f>
        <v>#NAME?</v>
      </c>
      <c r="T60" s="151" t="e">
        <f ca="1">IF(T59="Mann Withney",[1]!MTEST($O28:$O43,T28:T43,2), IF(T59="T-Test Welch",_xlfn.T.TEST($O28:$O43,T28:T43,2,3),""))</f>
        <v>#NAME?</v>
      </c>
      <c r="U60" s="151" t="e">
        <f ca="1">IF(U59="Mann Withney",[1]!MTEST($O28:$O43,U28:U43,2), IF(U59="T-Test Welch",_xlfn.T.TEST($O28:$O43,U28:U43,2,3),""))</f>
        <v>#NAME?</v>
      </c>
      <c r="V60" s="151" t="e">
        <f ca="1">IF(V59="Mann Withney",[1]!MTEST($O28:$O43,V28:V43,2), IF(V59="T-Test Welch",_xlfn.T.TEST($O28:$O43,V28:V43,2,3),""))</f>
        <v>#NAME?</v>
      </c>
    </row>
    <row r="61" spans="1:22" s="3" customFormat="1" ht="15" thickBot="1" x14ac:dyDescent="0.35">
      <c r="A61" s="62" t="s">
        <v>84</v>
      </c>
      <c r="B61" s="142"/>
      <c r="C61" s="142" t="e">
        <f t="shared" ref="C61:M61" ca="1" si="70">IF(C60&gt;0.05,"NS",IF(C60&gt;0.01,"*",IF(C60&gt;0.001,"**","***")))</f>
        <v>#NAME?</v>
      </c>
      <c r="D61" s="142" t="e">
        <f t="shared" ca="1" si="70"/>
        <v>#NAME?</v>
      </c>
      <c r="E61" s="142" t="e">
        <f t="shared" ca="1" si="70"/>
        <v>#NAME?</v>
      </c>
      <c r="F61" s="142" t="e">
        <f t="shared" ca="1" si="70"/>
        <v>#NAME?</v>
      </c>
      <c r="G61" s="142" t="e">
        <f t="shared" ca="1" si="70"/>
        <v>#NAME?</v>
      </c>
      <c r="H61" s="142" t="e">
        <f t="shared" ca="1" si="70"/>
        <v>#NAME?</v>
      </c>
      <c r="I61" s="142" t="e">
        <f t="shared" ca="1" si="70"/>
        <v>#NAME?</v>
      </c>
      <c r="J61" s="142" t="e">
        <f t="shared" ca="1" si="70"/>
        <v>#NAME?</v>
      </c>
      <c r="K61" s="142" t="e">
        <f t="shared" ca="1" si="70"/>
        <v>#NAME?</v>
      </c>
      <c r="L61" s="142" t="e">
        <f t="shared" ca="1" si="70"/>
        <v>#NAME?</v>
      </c>
      <c r="M61" s="142" t="e">
        <f t="shared" ca="1" si="70"/>
        <v>#NAME?</v>
      </c>
      <c r="N61" s="142"/>
      <c r="O61" s="142" t="e">
        <f ca="1">IF(O60&gt;0.05,"NS",IF(O60&gt;0.01,"*",IF(O60&gt;0.001,"**","***")))</f>
        <v>#NAME?</v>
      </c>
      <c r="P61" s="142" t="e">
        <f ca="1">IF(P60&gt;0.05,"NS",IF(P60&gt;0.01,"*",IF(P60&gt;0.001,"**","***")))</f>
        <v>#NAME?</v>
      </c>
      <c r="Q61" s="142" t="e">
        <f t="shared" ref="Q61" ca="1" si="71">IF(Q60&gt;0.05,"NS",IF(Q60&gt;0.01,"*",IF(Q60&gt;0.001,"**","***")))</f>
        <v>#NAME?</v>
      </c>
      <c r="R61" s="142" t="e">
        <f t="shared" ref="R61" ca="1" si="72">IF(R60&gt;0.05,"NS",IF(R60&gt;0.01,"*",IF(R60&gt;0.001,"**","***")))</f>
        <v>#NAME?</v>
      </c>
      <c r="S61" s="142" t="e">
        <f t="shared" ref="S61" ca="1" si="73">IF(S60&gt;0.05,"NS",IF(S60&gt;0.01,"*",IF(S60&gt;0.001,"**","***")))</f>
        <v>#NAME?</v>
      </c>
      <c r="T61" s="142" t="e">
        <f t="shared" ref="T61" ca="1" si="74">IF(T60&gt;0.05,"NS",IF(T60&gt;0.01,"*",IF(T60&gt;0.001,"**","***")))</f>
        <v>#NAME?</v>
      </c>
      <c r="U61" s="142" t="e">
        <f t="shared" ref="U61" ca="1" si="75">IF(U60&gt;0.05,"NS",IF(U60&gt;0.01,"*",IF(U60&gt;0.001,"**","***")))</f>
        <v>#NAME?</v>
      </c>
      <c r="V61" s="142" t="e">
        <f t="shared" ref="V61" ca="1" si="76">IF(V60&gt;0.05,"NS",IF(V60&gt;0.01,"*",IF(V60&gt;0.001,"**","***")))</f>
        <v>#NAME?</v>
      </c>
    </row>
    <row r="63" spans="1:22" x14ac:dyDescent="0.3">
      <c r="A63" s="2" t="s">
        <v>39</v>
      </c>
    </row>
    <row r="64" spans="1:22" x14ac:dyDescent="0.3">
      <c r="A64" s="1" t="s">
        <v>23</v>
      </c>
      <c r="B64" s="1">
        <f>B46+(3*B47)</f>
        <v>0.61130572669233729</v>
      </c>
    </row>
    <row r="65" spans="1:22" x14ac:dyDescent="0.3">
      <c r="A65" s="1" t="s">
        <v>24</v>
      </c>
      <c r="B65" s="1">
        <f>B46+(10*B47)</f>
        <v>1.77427745978905</v>
      </c>
    </row>
    <row r="66" spans="1:22" ht="15" thickBot="1" x14ac:dyDescent="0.35"/>
    <row r="67" spans="1:22" s="1" customFormat="1" ht="26.4" thickBot="1" x14ac:dyDescent="0.55000000000000004">
      <c r="A67" s="215" t="s">
        <v>52</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N70" s="12"/>
      <c r="O70" s="12"/>
      <c r="P70" s="12"/>
      <c r="Q70" s="12"/>
      <c r="R70" s="12"/>
      <c r="S70" s="12"/>
      <c r="T70" s="12"/>
      <c r="U70" s="12"/>
      <c r="V70" s="12"/>
    </row>
    <row r="71" spans="1:22" ht="16.8" x14ac:dyDescent="0.3">
      <c r="A71" s="12"/>
      <c r="B71" s="12"/>
      <c r="C71" s="12"/>
      <c r="D71" s="12"/>
      <c r="E71" s="12"/>
      <c r="F71" s="12"/>
      <c r="N71" s="12"/>
      <c r="O71" s="12"/>
      <c r="P71" s="12"/>
      <c r="Q71" s="12"/>
      <c r="R71" s="12"/>
      <c r="S71" s="12"/>
      <c r="T71" s="12"/>
      <c r="U71" s="12"/>
      <c r="V71" s="12"/>
    </row>
    <row r="72" spans="1:22" ht="16.8" x14ac:dyDescent="0.3">
      <c r="A72" s="12"/>
      <c r="B72" s="12"/>
      <c r="C72" s="12"/>
      <c r="D72" s="12"/>
      <c r="E72" s="12"/>
      <c r="F72" s="12"/>
      <c r="N72" s="12"/>
      <c r="O72" s="12"/>
      <c r="P72" s="12"/>
      <c r="Q72" s="12"/>
      <c r="R72" s="12"/>
      <c r="S72" s="12"/>
      <c r="T72" s="12"/>
      <c r="U72" s="12"/>
      <c r="V72" s="12"/>
    </row>
    <row r="73" spans="1:22" ht="16.8" x14ac:dyDescent="0.3">
      <c r="A73" s="12"/>
      <c r="B73" s="12"/>
      <c r="C73" s="12"/>
      <c r="D73" s="12"/>
      <c r="E73" s="12"/>
      <c r="F73" s="12"/>
      <c r="N73" s="12"/>
      <c r="O73" s="12"/>
      <c r="P73" s="12"/>
      <c r="Q73" s="12"/>
      <c r="R73" s="12"/>
      <c r="S73" s="12"/>
      <c r="T73" s="12"/>
      <c r="U73" s="12"/>
      <c r="V73" s="12"/>
    </row>
    <row r="74" spans="1:22" ht="16.8" x14ac:dyDescent="0.3">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A1521" zoomScale="80" zoomScaleNormal="80" workbookViewId="0">
      <selection activeCell="A1531" sqref="A1531"/>
    </sheetView>
  </sheetViews>
  <sheetFormatPr defaultColWidth="11.44140625" defaultRowHeight="14.4" x14ac:dyDescent="0.3"/>
  <cols>
    <col min="1" max="2" width="15" style="1" customWidth="1"/>
    <col min="3" max="3" width="25.44140625" style="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37.44140625" style="1" bestFit="1" customWidth="1"/>
    <col min="12" max="12" width="38.44140625" style="1" bestFit="1" customWidth="1"/>
    <col min="13" max="14" width="12.77734375" style="1" customWidth="1"/>
    <col min="15" max="25" width="12.21875" style="1" customWidth="1"/>
    <col min="26" max="16384" width="11.44140625" style="1"/>
  </cols>
  <sheetData>
    <row r="1" spans="1:144" x14ac:dyDescent="0.3">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
      </c>
      <c r="B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
      </c>
      <c r="B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
      </c>
      <c r="B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
      </c>
      <c r="B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
      </c>
      <c r="B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
      </c>
      <c r="B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
      </c>
      <c r="B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
      </c>
      <c r="B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
      </c>
      <c r="B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
      </c>
      <c r="B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 spans="1:144" x14ac:dyDescent="0.3">
      <c r="A12" s="1" t="str">
        <f t="shared" si="0"/>
        <v/>
      </c>
      <c r="B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 spans="1:144" x14ac:dyDescent="0.3">
      <c r="A13" s="1" t="str">
        <f t="shared" si="0"/>
        <v/>
      </c>
      <c r="B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 spans="1:144" x14ac:dyDescent="0.3">
      <c r="A14" s="1" t="str">
        <f t="shared" si="0"/>
        <v/>
      </c>
      <c r="B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 spans="1:144" x14ac:dyDescent="0.3">
      <c r="A15" s="1" t="str">
        <f t="shared" si="0"/>
        <v/>
      </c>
      <c r="B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 spans="1:144" x14ac:dyDescent="0.3">
      <c r="A16" s="1" t="str">
        <f t="shared" si="0"/>
        <v/>
      </c>
      <c r="B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 spans="1:2" x14ac:dyDescent="0.3">
      <c r="A17" s="1" t="str">
        <f t="shared" si="0"/>
        <v/>
      </c>
      <c r="B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 spans="1:2" x14ac:dyDescent="0.3">
      <c r="A18" s="1" t="str">
        <f t="shared" si="0"/>
        <v/>
      </c>
      <c r="B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 spans="1:2" x14ac:dyDescent="0.3">
      <c r="A19" s="1" t="str">
        <f t="shared" si="0"/>
        <v/>
      </c>
      <c r="B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 spans="1:2" x14ac:dyDescent="0.3">
      <c r="A20" s="1" t="str">
        <f t="shared" si="0"/>
        <v/>
      </c>
      <c r="B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 spans="1:2" x14ac:dyDescent="0.3">
      <c r="A21" s="1" t="str">
        <f t="shared" si="0"/>
        <v/>
      </c>
      <c r="B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 spans="1:2" x14ac:dyDescent="0.3">
      <c r="A22" s="1" t="str">
        <f t="shared" si="0"/>
        <v/>
      </c>
      <c r="B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 spans="1:2" x14ac:dyDescent="0.3">
      <c r="A23" s="1" t="str">
        <f t="shared" si="0"/>
        <v/>
      </c>
      <c r="B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 spans="1:2" x14ac:dyDescent="0.3">
      <c r="A24" s="1" t="str">
        <f t="shared" si="0"/>
        <v/>
      </c>
      <c r="B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 spans="1:2" x14ac:dyDescent="0.3">
      <c r="A25" s="1" t="str">
        <f t="shared" si="0"/>
        <v/>
      </c>
      <c r="B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 spans="1:2" x14ac:dyDescent="0.3">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 spans="1:2" x14ac:dyDescent="0.3">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 spans="1:2" x14ac:dyDescent="0.3">
      <c r="A28" s="1" t="str">
        <f t="shared" si="0"/>
        <v/>
      </c>
      <c r="B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 spans="1:2" x14ac:dyDescent="0.3">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 spans="1:2" x14ac:dyDescent="0.3">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 spans="1:2" x14ac:dyDescent="0.3">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 spans="1:2" x14ac:dyDescent="0.3">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 spans="1:2" x14ac:dyDescent="0.3">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 spans="1:2" x14ac:dyDescent="0.3">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 spans="1:2" x14ac:dyDescent="0.3">
      <c r="A35" s="1" t="str">
        <f t="shared" si="0"/>
        <v/>
      </c>
      <c r="B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 spans="1:2" x14ac:dyDescent="0.3">
      <c r="A36" s="1" t="str">
        <f t="shared" si="0"/>
        <v/>
      </c>
      <c r="B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 spans="1:2" x14ac:dyDescent="0.3">
      <c r="A37" s="1" t="str">
        <f t="shared" si="0"/>
        <v/>
      </c>
      <c r="B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 spans="1:2" x14ac:dyDescent="0.3">
      <c r="A38" s="1" t="str">
        <f t="shared" si="0"/>
        <v/>
      </c>
      <c r="B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 spans="1:2" x14ac:dyDescent="0.3">
      <c r="A39" s="1" t="str">
        <f t="shared" si="0"/>
        <v/>
      </c>
      <c r="B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 spans="1:2" x14ac:dyDescent="0.3">
      <c r="A40" s="1" t="str">
        <f t="shared" si="0"/>
        <v/>
      </c>
      <c r="B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 spans="1:2" x14ac:dyDescent="0.3">
      <c r="A41" s="1" t="str">
        <f t="shared" si="0"/>
        <v/>
      </c>
      <c r="B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 spans="1:2" x14ac:dyDescent="0.3">
      <c r="A42" s="1" t="str">
        <f t="shared" si="0"/>
        <v/>
      </c>
      <c r="B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 spans="1:2" x14ac:dyDescent="0.3">
      <c r="A43" s="1" t="str">
        <f t="shared" si="0"/>
        <v/>
      </c>
      <c r="B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 spans="1:2" x14ac:dyDescent="0.3">
      <c r="A44" s="1" t="str">
        <f t="shared" si="0"/>
        <v/>
      </c>
      <c r="B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 spans="1:2" x14ac:dyDescent="0.3">
      <c r="A45" s="1" t="str">
        <f t="shared" si="0"/>
        <v/>
      </c>
      <c r="B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 spans="1:2" x14ac:dyDescent="0.3">
      <c r="A46" s="1" t="str">
        <f t="shared" si="0"/>
        <v/>
      </c>
      <c r="B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 spans="1:2" x14ac:dyDescent="0.3">
      <c r="A47" s="1" t="str">
        <f t="shared" si="0"/>
        <v/>
      </c>
      <c r="B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 spans="1:2" x14ac:dyDescent="0.3">
      <c r="A48" s="1" t="str">
        <f t="shared" si="0"/>
        <v/>
      </c>
      <c r="B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 spans="1:2" x14ac:dyDescent="0.3">
      <c r="A49" s="1" t="str">
        <f t="shared" si="0"/>
        <v/>
      </c>
      <c r="B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 spans="1:2" x14ac:dyDescent="0.3">
      <c r="A50" s="1" t="str">
        <f t="shared" si="0"/>
        <v/>
      </c>
      <c r="B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 spans="1:2" x14ac:dyDescent="0.3">
      <c r="A51" s="1" t="str">
        <f t="shared" si="0"/>
        <v/>
      </c>
      <c r="B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 spans="1:2" x14ac:dyDescent="0.3">
      <c r="A52" s="1" t="str">
        <f t="shared" si="0"/>
        <v/>
      </c>
      <c r="B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 spans="1:2" x14ac:dyDescent="0.3">
      <c r="A53" s="1" t="str">
        <f t="shared" si="0"/>
        <v/>
      </c>
      <c r="B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 spans="1:2" x14ac:dyDescent="0.3">
      <c r="A54" s="1" t="str">
        <f t="shared" si="0"/>
        <v/>
      </c>
      <c r="B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 spans="1:2" x14ac:dyDescent="0.3">
      <c r="A55" s="1" t="str">
        <f t="shared" si="0"/>
        <v/>
      </c>
      <c r="B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 spans="1:2" x14ac:dyDescent="0.3">
      <c r="A56" s="1" t="str">
        <f t="shared" si="0"/>
        <v/>
      </c>
      <c r="B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 spans="1:2" x14ac:dyDescent="0.3">
      <c r="A57" s="1" t="str">
        <f t="shared" si="0"/>
        <v/>
      </c>
      <c r="B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 spans="1:2" x14ac:dyDescent="0.3">
      <c r="A58" s="1" t="str">
        <f t="shared" si="0"/>
        <v/>
      </c>
      <c r="B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 spans="1:2" x14ac:dyDescent="0.3">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 spans="1:2" x14ac:dyDescent="0.3">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 spans="1:2" x14ac:dyDescent="0.3">
      <c r="A61" s="1" t="str">
        <f t="shared" si="0"/>
        <v/>
      </c>
      <c r="B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 spans="1:2" x14ac:dyDescent="0.3">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 spans="1:2" x14ac:dyDescent="0.3">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 spans="1:2" x14ac:dyDescent="0.3">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 spans="1:2" x14ac:dyDescent="0.3">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 spans="1:2" x14ac:dyDescent="0.3">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 spans="1:2" x14ac:dyDescent="0.3">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 spans="1:2" x14ac:dyDescent="0.3">
      <c r="A68" s="1" t="str">
        <f t="shared" si="1"/>
        <v/>
      </c>
      <c r="B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 spans="1:2" x14ac:dyDescent="0.3">
      <c r="A69" s="1" t="str">
        <f t="shared" si="1"/>
        <v/>
      </c>
      <c r="B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 spans="1:2" x14ac:dyDescent="0.3">
      <c r="A70" s="1" t="str">
        <f t="shared" si="1"/>
        <v/>
      </c>
      <c r="B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 spans="1:2" x14ac:dyDescent="0.3">
      <c r="A71" s="1" t="str">
        <f t="shared" si="1"/>
        <v/>
      </c>
      <c r="B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 spans="1:2" x14ac:dyDescent="0.3">
      <c r="A72" s="1" t="str">
        <f t="shared" si="1"/>
        <v/>
      </c>
      <c r="B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 spans="1:2" x14ac:dyDescent="0.3">
      <c r="A73" s="1" t="str">
        <f t="shared" si="1"/>
        <v/>
      </c>
      <c r="B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 spans="1:2" x14ac:dyDescent="0.3">
      <c r="A74" s="1" t="str">
        <f t="shared" si="1"/>
        <v/>
      </c>
      <c r="B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 spans="1:2" x14ac:dyDescent="0.3">
      <c r="A75" s="1" t="str">
        <f t="shared" si="1"/>
        <v/>
      </c>
      <c r="B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 spans="1:2" x14ac:dyDescent="0.3">
      <c r="A76" s="1" t="str">
        <f t="shared" si="1"/>
        <v/>
      </c>
      <c r="B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 spans="1:2" x14ac:dyDescent="0.3">
      <c r="A77" s="1" t="str">
        <f t="shared" si="1"/>
        <v/>
      </c>
      <c r="B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 spans="1:2" x14ac:dyDescent="0.3">
      <c r="A78" s="1" t="str">
        <f t="shared" si="1"/>
        <v/>
      </c>
      <c r="B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 spans="1:2" x14ac:dyDescent="0.3">
      <c r="A79" s="1" t="str">
        <f t="shared" si="1"/>
        <v/>
      </c>
      <c r="B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 spans="1:2" x14ac:dyDescent="0.3">
      <c r="A80" s="1" t="str">
        <f t="shared" si="1"/>
        <v/>
      </c>
      <c r="B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 spans="1:2" x14ac:dyDescent="0.3">
      <c r="A81" s="1" t="str">
        <f t="shared" si="1"/>
        <v/>
      </c>
      <c r="B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 spans="1:2" x14ac:dyDescent="0.3">
      <c r="A82" s="1" t="str">
        <f t="shared" si="1"/>
        <v/>
      </c>
      <c r="B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 spans="1:2" x14ac:dyDescent="0.3">
      <c r="A83" s="1" t="str">
        <f t="shared" si="1"/>
        <v/>
      </c>
      <c r="B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 spans="1:2" x14ac:dyDescent="0.3">
      <c r="A84" s="1" t="str">
        <f t="shared" si="1"/>
        <v/>
      </c>
      <c r="B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 spans="1:2" x14ac:dyDescent="0.3">
      <c r="A85" s="1" t="str">
        <f t="shared" si="1"/>
        <v/>
      </c>
      <c r="B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 spans="1:2" x14ac:dyDescent="0.3">
      <c r="A86" s="1" t="str">
        <f t="shared" si="1"/>
        <v/>
      </c>
      <c r="B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 spans="1:2" x14ac:dyDescent="0.3">
      <c r="A87" s="1" t="str">
        <f t="shared" si="1"/>
        <v/>
      </c>
      <c r="B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 spans="1:2" x14ac:dyDescent="0.3">
      <c r="A88" s="1" t="str">
        <f t="shared" si="1"/>
        <v/>
      </c>
      <c r="B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 spans="1:2" x14ac:dyDescent="0.3">
      <c r="A89" s="1" t="str">
        <f t="shared" si="1"/>
        <v/>
      </c>
      <c r="B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 spans="1:2" x14ac:dyDescent="0.3">
      <c r="A90" s="1" t="str">
        <f t="shared" si="1"/>
        <v/>
      </c>
      <c r="B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 spans="1:2" x14ac:dyDescent="0.3">
      <c r="A91" s="1" t="str">
        <f t="shared" si="1"/>
        <v/>
      </c>
      <c r="B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 spans="1:2" x14ac:dyDescent="0.3">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 spans="1:2" x14ac:dyDescent="0.3">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 spans="1:2" x14ac:dyDescent="0.3">
      <c r="A94" s="1" t="str">
        <f t="shared" si="1"/>
        <v/>
      </c>
      <c r="B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 spans="1:2" x14ac:dyDescent="0.3">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 spans="1:2" x14ac:dyDescent="0.3">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 spans="1:2" x14ac:dyDescent="0.3">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 spans="1:2" x14ac:dyDescent="0.3">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 spans="1:2" x14ac:dyDescent="0.3">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 spans="1:2" x14ac:dyDescent="0.3">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 spans="1:2" x14ac:dyDescent="0.3">
      <c r="A101" s="1" t="str">
        <f t="shared" si="1"/>
        <v/>
      </c>
      <c r="B1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 spans="1:2" x14ac:dyDescent="0.3">
      <c r="A102" s="1" t="str">
        <f t="shared" si="1"/>
        <v/>
      </c>
      <c r="B1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 spans="1:2" x14ac:dyDescent="0.3">
      <c r="A103" s="1" t="str">
        <f t="shared" si="1"/>
        <v/>
      </c>
      <c r="B1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 spans="1:2" x14ac:dyDescent="0.3">
      <c r="A104" s="1" t="str">
        <f t="shared" si="1"/>
        <v/>
      </c>
      <c r="B1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 spans="1:2" x14ac:dyDescent="0.3">
      <c r="A105" s="1" t="str">
        <f t="shared" si="1"/>
        <v/>
      </c>
      <c r="B1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 spans="1:2" x14ac:dyDescent="0.3">
      <c r="A106" s="1" t="str">
        <f t="shared" si="1"/>
        <v/>
      </c>
      <c r="B1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 spans="1:2" x14ac:dyDescent="0.3">
      <c r="A107" s="1" t="str">
        <f t="shared" si="1"/>
        <v/>
      </c>
      <c r="B1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 spans="1:2" x14ac:dyDescent="0.3">
      <c r="A108" s="1" t="str">
        <f t="shared" si="1"/>
        <v/>
      </c>
      <c r="B1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 spans="1:2" x14ac:dyDescent="0.3">
      <c r="A109" s="1" t="str">
        <f t="shared" si="1"/>
        <v/>
      </c>
      <c r="B1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 spans="1:2" x14ac:dyDescent="0.3">
      <c r="A110" s="1" t="str">
        <f t="shared" si="1"/>
        <v/>
      </c>
      <c r="B1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 spans="1:2" x14ac:dyDescent="0.3">
      <c r="A111" s="1" t="str">
        <f t="shared" si="1"/>
        <v/>
      </c>
      <c r="B1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 spans="1:2" x14ac:dyDescent="0.3">
      <c r="A112" s="1" t="str">
        <f t="shared" si="1"/>
        <v/>
      </c>
      <c r="B1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 spans="1:2" x14ac:dyDescent="0.3">
      <c r="A113" s="1" t="str">
        <f t="shared" si="1"/>
        <v/>
      </c>
      <c r="B1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 spans="1:2" x14ac:dyDescent="0.3">
      <c r="A114" s="1" t="str">
        <f t="shared" si="1"/>
        <v/>
      </c>
      <c r="B1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 spans="1:2" x14ac:dyDescent="0.3">
      <c r="A115" s="1" t="str">
        <f t="shared" si="1"/>
        <v/>
      </c>
      <c r="B1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 spans="1:2" x14ac:dyDescent="0.3">
      <c r="A116" s="1" t="str">
        <f t="shared" si="1"/>
        <v/>
      </c>
      <c r="B1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 spans="1:2" x14ac:dyDescent="0.3">
      <c r="A117" s="1" t="str">
        <f t="shared" si="1"/>
        <v/>
      </c>
      <c r="B1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 spans="1:2" x14ac:dyDescent="0.3">
      <c r="A118" s="1" t="str">
        <f t="shared" si="1"/>
        <v/>
      </c>
      <c r="B1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 spans="1:2" x14ac:dyDescent="0.3">
      <c r="A119" s="1" t="str">
        <f t="shared" si="1"/>
        <v/>
      </c>
      <c r="B1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 spans="1:2" x14ac:dyDescent="0.3">
      <c r="A120" s="1" t="str">
        <f t="shared" si="1"/>
        <v/>
      </c>
      <c r="B1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 spans="1:2" x14ac:dyDescent="0.3">
      <c r="A121" s="1" t="str">
        <f t="shared" si="1"/>
        <v/>
      </c>
      <c r="B1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 spans="1:2" x14ac:dyDescent="0.3">
      <c r="A122" s="1" t="str">
        <f t="shared" si="1"/>
        <v/>
      </c>
      <c r="B1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 spans="1:2" x14ac:dyDescent="0.3">
      <c r="A123" s="1" t="str">
        <f t="shared" si="1"/>
        <v/>
      </c>
      <c r="B1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 spans="1:2" x14ac:dyDescent="0.3">
      <c r="A124" s="1" t="str">
        <f t="shared" si="1"/>
        <v/>
      </c>
      <c r="B1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 spans="1:2" x14ac:dyDescent="0.3">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 spans="1:2" x14ac:dyDescent="0.3">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 spans="1:2" x14ac:dyDescent="0.3">
      <c r="A127" s="1" t="str">
        <f t="shared" si="1"/>
        <v/>
      </c>
      <c r="B1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 spans="1:2" x14ac:dyDescent="0.3">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 spans="1:2" x14ac:dyDescent="0.3">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 spans="1:2" x14ac:dyDescent="0.3">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 spans="1:2" x14ac:dyDescent="0.3">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 spans="1:2" x14ac:dyDescent="0.3">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 spans="1:2" x14ac:dyDescent="0.3">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 spans="1:2" x14ac:dyDescent="0.3">
      <c r="A134" s="1" t="str">
        <f t="shared" si="2"/>
        <v/>
      </c>
      <c r="B1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 spans="1:2" x14ac:dyDescent="0.3">
      <c r="A135" s="1" t="str">
        <f t="shared" si="2"/>
        <v/>
      </c>
      <c r="B1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 spans="1:2" x14ac:dyDescent="0.3">
      <c r="A136" s="1" t="str">
        <f t="shared" si="2"/>
        <v/>
      </c>
      <c r="B1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 spans="1:2" x14ac:dyDescent="0.3">
      <c r="A137" s="1" t="str">
        <f t="shared" si="2"/>
        <v/>
      </c>
      <c r="B1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 spans="1:2" x14ac:dyDescent="0.3">
      <c r="A138" s="1" t="str">
        <f t="shared" si="2"/>
        <v/>
      </c>
      <c r="B1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 spans="1:2" x14ac:dyDescent="0.3">
      <c r="A139" s="1" t="str">
        <f t="shared" si="2"/>
        <v/>
      </c>
      <c r="B1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 spans="1:2" x14ac:dyDescent="0.3">
      <c r="A140" s="1" t="str">
        <f t="shared" si="2"/>
        <v/>
      </c>
      <c r="B1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 spans="1:2" x14ac:dyDescent="0.3">
      <c r="A141" s="1" t="str">
        <f t="shared" si="2"/>
        <v/>
      </c>
      <c r="B1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 spans="1:2" x14ac:dyDescent="0.3">
      <c r="A142" s="1" t="str">
        <f t="shared" si="2"/>
        <v/>
      </c>
      <c r="B1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 spans="1:2" x14ac:dyDescent="0.3">
      <c r="A143" s="1" t="str">
        <f t="shared" si="2"/>
        <v/>
      </c>
      <c r="B1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 spans="1:2" x14ac:dyDescent="0.3">
      <c r="A144" s="1" t="str">
        <f t="shared" si="2"/>
        <v/>
      </c>
      <c r="B1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 spans="1:2" x14ac:dyDescent="0.3">
      <c r="A145" s="1" t="str">
        <f t="shared" si="2"/>
        <v/>
      </c>
      <c r="B1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 spans="1:2" x14ac:dyDescent="0.3">
      <c r="A146" s="1" t="str">
        <f t="shared" si="2"/>
        <v/>
      </c>
      <c r="B1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 spans="1:2" x14ac:dyDescent="0.3">
      <c r="A147" s="1" t="str">
        <f t="shared" si="2"/>
        <v/>
      </c>
      <c r="B1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 spans="1:2" x14ac:dyDescent="0.3">
      <c r="A148" s="1" t="str">
        <f t="shared" si="2"/>
        <v/>
      </c>
      <c r="B1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 spans="1:2" x14ac:dyDescent="0.3">
      <c r="A149" s="1" t="str">
        <f t="shared" si="2"/>
        <v/>
      </c>
      <c r="B1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 spans="1:2" x14ac:dyDescent="0.3">
      <c r="A150" s="1" t="str">
        <f t="shared" si="2"/>
        <v/>
      </c>
      <c r="B1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 spans="1:2" x14ac:dyDescent="0.3">
      <c r="A151" s="1" t="str">
        <f t="shared" si="2"/>
        <v/>
      </c>
      <c r="B1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 spans="1:2" x14ac:dyDescent="0.3">
      <c r="A152" s="1" t="str">
        <f t="shared" si="2"/>
        <v/>
      </c>
      <c r="B1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 spans="1:2" x14ac:dyDescent="0.3">
      <c r="A153" s="1" t="str">
        <f t="shared" si="2"/>
        <v/>
      </c>
      <c r="B1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4" spans="1:2" x14ac:dyDescent="0.3">
      <c r="A154" s="1" t="str">
        <f t="shared" si="2"/>
        <v/>
      </c>
      <c r="B1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5" spans="1:2" x14ac:dyDescent="0.3">
      <c r="A155" s="1" t="str">
        <f t="shared" si="2"/>
        <v/>
      </c>
      <c r="B1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6" spans="1:2" x14ac:dyDescent="0.3">
      <c r="A156" s="1" t="str">
        <f t="shared" si="2"/>
        <v/>
      </c>
      <c r="B1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7" spans="1:2" x14ac:dyDescent="0.3">
      <c r="A157" s="1" t="str">
        <f t="shared" si="2"/>
        <v/>
      </c>
      <c r="B1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8" spans="1:2" x14ac:dyDescent="0.3">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9" spans="1:2" x14ac:dyDescent="0.3">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0" spans="1:2" x14ac:dyDescent="0.3">
      <c r="A160" s="1" t="str">
        <f t="shared" si="2"/>
        <v/>
      </c>
      <c r="B1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1" spans="1:2" x14ac:dyDescent="0.3">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2" spans="1:2" x14ac:dyDescent="0.3">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3" spans="1:2" x14ac:dyDescent="0.3">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4" spans="1:2" x14ac:dyDescent="0.3">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5" spans="1:2" x14ac:dyDescent="0.3">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6" spans="1:2" x14ac:dyDescent="0.3">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7" spans="1:2" x14ac:dyDescent="0.3">
      <c r="A167" s="1" t="str">
        <f t="shared" si="2"/>
        <v/>
      </c>
      <c r="B1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8" spans="1:2" x14ac:dyDescent="0.3">
      <c r="A168" s="1" t="str">
        <f t="shared" si="2"/>
        <v/>
      </c>
      <c r="B1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9" spans="1:2" x14ac:dyDescent="0.3">
      <c r="A169" s="1" t="str">
        <f t="shared" si="2"/>
        <v/>
      </c>
      <c r="B1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0" spans="1:2" x14ac:dyDescent="0.3">
      <c r="A170" s="1" t="str">
        <f t="shared" si="2"/>
        <v/>
      </c>
      <c r="B1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1" spans="1:2" x14ac:dyDescent="0.3">
      <c r="A171" s="1" t="str">
        <f t="shared" si="2"/>
        <v/>
      </c>
      <c r="B1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2" spans="1:2" x14ac:dyDescent="0.3">
      <c r="A172" s="1" t="str">
        <f t="shared" si="2"/>
        <v/>
      </c>
      <c r="B1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3" spans="1:2" x14ac:dyDescent="0.3">
      <c r="A173" s="1" t="str">
        <f t="shared" si="2"/>
        <v/>
      </c>
      <c r="B1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4" spans="1:2" x14ac:dyDescent="0.3">
      <c r="A174" s="1" t="str">
        <f t="shared" si="2"/>
        <v/>
      </c>
      <c r="B1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5" spans="1:2" x14ac:dyDescent="0.3">
      <c r="A175" s="1" t="str">
        <f t="shared" si="2"/>
        <v/>
      </c>
      <c r="B1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6" spans="1:2" x14ac:dyDescent="0.3">
      <c r="A176" s="1" t="str">
        <f t="shared" si="2"/>
        <v/>
      </c>
      <c r="B1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7" spans="1:2" x14ac:dyDescent="0.3">
      <c r="A177" s="1" t="str">
        <f t="shared" si="2"/>
        <v/>
      </c>
      <c r="B1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8" spans="1:2" x14ac:dyDescent="0.3">
      <c r="A178" s="1" t="str">
        <f t="shared" si="2"/>
        <v/>
      </c>
      <c r="B1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9" spans="1:2" x14ac:dyDescent="0.3">
      <c r="A179" s="1" t="str">
        <f t="shared" si="2"/>
        <v/>
      </c>
      <c r="B1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0" spans="1:2" x14ac:dyDescent="0.3">
      <c r="A180" s="1" t="str">
        <f t="shared" si="2"/>
        <v/>
      </c>
      <c r="B1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1" spans="1:2" x14ac:dyDescent="0.3">
      <c r="A181" s="1" t="str">
        <f t="shared" si="2"/>
        <v/>
      </c>
      <c r="B1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2" spans="1:2" x14ac:dyDescent="0.3">
      <c r="A182" s="1" t="str">
        <f t="shared" si="2"/>
        <v/>
      </c>
      <c r="B1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3" spans="1:2" x14ac:dyDescent="0.3">
      <c r="A183" s="1" t="str">
        <f t="shared" si="2"/>
        <v/>
      </c>
      <c r="B1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4" spans="1:2" x14ac:dyDescent="0.3">
      <c r="A184" s="1" t="str">
        <f t="shared" si="2"/>
        <v/>
      </c>
      <c r="B1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5" spans="1:2" x14ac:dyDescent="0.3">
      <c r="A185" s="1" t="str">
        <f t="shared" si="2"/>
        <v/>
      </c>
      <c r="B1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6" spans="1:2" x14ac:dyDescent="0.3">
      <c r="A186" s="1" t="str">
        <f t="shared" si="2"/>
        <v/>
      </c>
      <c r="B1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7" spans="1:2" x14ac:dyDescent="0.3">
      <c r="A187" s="1" t="str">
        <f t="shared" si="2"/>
        <v/>
      </c>
      <c r="B1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8" spans="1:2" x14ac:dyDescent="0.3">
      <c r="A188" s="1" t="str">
        <f t="shared" si="2"/>
        <v/>
      </c>
      <c r="B1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9" spans="1:2" x14ac:dyDescent="0.3">
      <c r="A189" s="1" t="str">
        <f t="shared" si="2"/>
        <v/>
      </c>
      <c r="B1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0" spans="1:2" x14ac:dyDescent="0.3">
      <c r="A190" s="1" t="str">
        <f t="shared" si="2"/>
        <v/>
      </c>
      <c r="B1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1" spans="1:2" x14ac:dyDescent="0.3">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2" spans="1:2" x14ac:dyDescent="0.3">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3" spans="1:2" x14ac:dyDescent="0.3">
      <c r="A193" s="1" t="str">
        <f t="shared" si="2"/>
        <v/>
      </c>
      <c r="B1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4" spans="1:2" x14ac:dyDescent="0.3">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5" spans="1:2" x14ac:dyDescent="0.3">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6" spans="1:2" x14ac:dyDescent="0.3">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7" spans="1:2" x14ac:dyDescent="0.3">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8" spans="1:2" x14ac:dyDescent="0.3">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9" spans="1:2" x14ac:dyDescent="0.3">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0" spans="1:2" x14ac:dyDescent="0.3">
      <c r="A200" s="1" t="str">
        <f t="shared" si="3"/>
        <v/>
      </c>
      <c r="B2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1" spans="1:2" x14ac:dyDescent="0.3">
      <c r="A201" s="1" t="str">
        <f t="shared" si="3"/>
        <v/>
      </c>
      <c r="B2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2" spans="1:2" x14ac:dyDescent="0.3">
      <c r="A202" s="1" t="str">
        <f t="shared" si="3"/>
        <v/>
      </c>
      <c r="B2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3" spans="1:2" x14ac:dyDescent="0.3">
      <c r="A203" s="1" t="str">
        <f t="shared" si="3"/>
        <v/>
      </c>
      <c r="B2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4" spans="1:2" x14ac:dyDescent="0.3">
      <c r="A204" s="1" t="str">
        <f t="shared" si="3"/>
        <v/>
      </c>
      <c r="B2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5" spans="1:2" x14ac:dyDescent="0.3">
      <c r="A205" s="1" t="str">
        <f t="shared" si="3"/>
        <v/>
      </c>
      <c r="B2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6" spans="1:2" x14ac:dyDescent="0.3">
      <c r="A206" s="1" t="str">
        <f t="shared" si="3"/>
        <v/>
      </c>
      <c r="B2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7" spans="1:2" x14ac:dyDescent="0.3">
      <c r="A207" s="1" t="str">
        <f t="shared" si="3"/>
        <v/>
      </c>
      <c r="B2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8" spans="1:2" x14ac:dyDescent="0.3">
      <c r="A208" s="1" t="str">
        <f t="shared" si="3"/>
        <v/>
      </c>
      <c r="B2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9" spans="1:2" x14ac:dyDescent="0.3">
      <c r="A209" s="1" t="str">
        <f t="shared" si="3"/>
        <v/>
      </c>
      <c r="B2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0" spans="1:2" x14ac:dyDescent="0.3">
      <c r="A210" s="1" t="str">
        <f t="shared" si="3"/>
        <v/>
      </c>
      <c r="B2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1" spans="1:2" x14ac:dyDescent="0.3">
      <c r="A211" s="1" t="str">
        <f t="shared" si="3"/>
        <v/>
      </c>
      <c r="B2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2" spans="1:2" x14ac:dyDescent="0.3">
      <c r="A212" s="1" t="str">
        <f t="shared" si="3"/>
        <v/>
      </c>
      <c r="B2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3" spans="1:2" x14ac:dyDescent="0.3">
      <c r="A213" s="1" t="str">
        <f t="shared" si="3"/>
        <v/>
      </c>
      <c r="B2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4" spans="1:2" x14ac:dyDescent="0.3">
      <c r="A214" s="1" t="str">
        <f t="shared" si="3"/>
        <v/>
      </c>
      <c r="B2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5" spans="1:2" x14ac:dyDescent="0.3">
      <c r="A215" s="1" t="str">
        <f t="shared" si="3"/>
        <v/>
      </c>
      <c r="B2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6" spans="1:2" x14ac:dyDescent="0.3">
      <c r="A216" s="1" t="str">
        <f t="shared" si="3"/>
        <v/>
      </c>
      <c r="B2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7" spans="1:2" x14ac:dyDescent="0.3">
      <c r="A217" s="1" t="str">
        <f t="shared" si="3"/>
        <v/>
      </c>
      <c r="B2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8" spans="1:2" x14ac:dyDescent="0.3">
      <c r="A218" s="1" t="str">
        <f t="shared" si="3"/>
        <v/>
      </c>
      <c r="B2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9" spans="1:2" x14ac:dyDescent="0.3">
      <c r="A219" s="1" t="str">
        <f t="shared" si="3"/>
        <v/>
      </c>
      <c r="B2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0" spans="1:2" x14ac:dyDescent="0.3">
      <c r="A220" s="1" t="str">
        <f t="shared" si="3"/>
        <v/>
      </c>
      <c r="B2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1" spans="1:2" x14ac:dyDescent="0.3">
      <c r="A221" s="1" t="str">
        <f t="shared" si="3"/>
        <v/>
      </c>
      <c r="B2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2" spans="1:2" x14ac:dyDescent="0.3">
      <c r="A222" s="1" t="str">
        <f t="shared" si="3"/>
        <v/>
      </c>
      <c r="B2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3" spans="1:2" x14ac:dyDescent="0.3">
      <c r="A223" s="1" t="str">
        <f t="shared" si="3"/>
        <v/>
      </c>
      <c r="B2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4" spans="1:2" x14ac:dyDescent="0.3">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5" spans="1:2" x14ac:dyDescent="0.3">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6" spans="1:2" x14ac:dyDescent="0.3">
      <c r="A226" s="1" t="str">
        <f t="shared" si="3"/>
        <v/>
      </c>
      <c r="B2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7" spans="1:2" x14ac:dyDescent="0.3">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8" spans="1:2" x14ac:dyDescent="0.3">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9" spans="1:2" x14ac:dyDescent="0.3">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0" spans="1:2" x14ac:dyDescent="0.3">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1" spans="1:2" x14ac:dyDescent="0.3">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2" spans="1:2" x14ac:dyDescent="0.3">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3" spans="1:2" x14ac:dyDescent="0.3">
      <c r="A233" s="1" t="str">
        <f t="shared" si="3"/>
        <v/>
      </c>
      <c r="B2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4" spans="1:2" x14ac:dyDescent="0.3">
      <c r="A234" s="1" t="str">
        <f t="shared" si="3"/>
        <v/>
      </c>
      <c r="B2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5" spans="1:2" x14ac:dyDescent="0.3">
      <c r="A235" s="1" t="str">
        <f t="shared" si="3"/>
        <v/>
      </c>
      <c r="B2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6" spans="1:2" x14ac:dyDescent="0.3">
      <c r="A236" s="1" t="str">
        <f t="shared" si="3"/>
        <v/>
      </c>
      <c r="B2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7" spans="1:2" x14ac:dyDescent="0.3">
      <c r="A237" s="1" t="str">
        <f t="shared" si="3"/>
        <v/>
      </c>
      <c r="B2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8" spans="1:2" x14ac:dyDescent="0.3">
      <c r="A238" s="1" t="str">
        <f t="shared" si="3"/>
        <v/>
      </c>
      <c r="B2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9" spans="1:2" x14ac:dyDescent="0.3">
      <c r="A239" s="1" t="str">
        <f t="shared" si="3"/>
        <v/>
      </c>
      <c r="B2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0" spans="1:2" x14ac:dyDescent="0.3">
      <c r="A240" s="1" t="str">
        <f t="shared" si="3"/>
        <v/>
      </c>
      <c r="B2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1" spans="1:2" x14ac:dyDescent="0.3">
      <c r="A241" s="1" t="str">
        <f t="shared" si="3"/>
        <v/>
      </c>
      <c r="B2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2" spans="1:2" x14ac:dyDescent="0.3">
      <c r="A242" s="1" t="str">
        <f t="shared" si="3"/>
        <v/>
      </c>
      <c r="B2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3" spans="1:2" x14ac:dyDescent="0.3">
      <c r="A243" s="1" t="str">
        <f t="shared" si="3"/>
        <v/>
      </c>
      <c r="B2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4" spans="1:2" x14ac:dyDescent="0.3">
      <c r="A244" s="1" t="str">
        <f t="shared" si="3"/>
        <v/>
      </c>
      <c r="B2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5" spans="1:2" x14ac:dyDescent="0.3">
      <c r="A245" s="1" t="str">
        <f t="shared" si="3"/>
        <v/>
      </c>
      <c r="B2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6" spans="1:2" x14ac:dyDescent="0.3">
      <c r="A246" s="1" t="str">
        <f t="shared" si="3"/>
        <v/>
      </c>
      <c r="B2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7" spans="1:2" x14ac:dyDescent="0.3">
      <c r="A247" s="1" t="str">
        <f t="shared" si="3"/>
        <v/>
      </c>
      <c r="B2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8" spans="1:2" x14ac:dyDescent="0.3">
      <c r="A248" s="1" t="str">
        <f t="shared" si="3"/>
        <v/>
      </c>
      <c r="B2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9" spans="1:2" x14ac:dyDescent="0.3">
      <c r="A249" s="1" t="str">
        <f t="shared" si="3"/>
        <v/>
      </c>
      <c r="B2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0" spans="1:2" x14ac:dyDescent="0.3">
      <c r="A250" s="1" t="str">
        <f t="shared" si="3"/>
        <v/>
      </c>
      <c r="B2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1" spans="1:2" x14ac:dyDescent="0.3">
      <c r="A251" s="1" t="str">
        <f t="shared" si="3"/>
        <v/>
      </c>
      <c r="B2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2" spans="1:2" x14ac:dyDescent="0.3">
      <c r="A252" s="1" t="str">
        <f t="shared" si="3"/>
        <v/>
      </c>
      <c r="B2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3" spans="1:2" x14ac:dyDescent="0.3">
      <c r="A253" s="1" t="str">
        <f t="shared" si="3"/>
        <v/>
      </c>
      <c r="B2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4" spans="1:2" x14ac:dyDescent="0.3">
      <c r="A254" s="1" t="str">
        <f t="shared" si="3"/>
        <v/>
      </c>
      <c r="B2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5" spans="1:2" x14ac:dyDescent="0.3">
      <c r="A255" s="1" t="str">
        <f t="shared" si="3"/>
        <v/>
      </c>
      <c r="B2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6" spans="1:2" x14ac:dyDescent="0.3">
      <c r="A256" s="1" t="str">
        <f t="shared" si="3"/>
        <v/>
      </c>
      <c r="B2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7" spans="1:2" x14ac:dyDescent="0.3">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8" spans="1:2" x14ac:dyDescent="0.3">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9" spans="1:2" x14ac:dyDescent="0.3">
      <c r="A259" s="1" t="str">
        <f t="shared" si="4"/>
        <v/>
      </c>
      <c r="B2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0" spans="1:2" x14ac:dyDescent="0.3">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1" spans="1:2" x14ac:dyDescent="0.3">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2" spans="1:2" x14ac:dyDescent="0.3">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3" spans="1:2" x14ac:dyDescent="0.3">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4" spans="1:2" x14ac:dyDescent="0.3">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5" spans="1:2" x14ac:dyDescent="0.3">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6" spans="1:2" x14ac:dyDescent="0.3">
      <c r="A266" s="1" t="str">
        <f t="shared" si="4"/>
        <v/>
      </c>
      <c r="B2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7" spans="1:2" x14ac:dyDescent="0.3">
      <c r="A267" s="1" t="str">
        <f t="shared" si="4"/>
        <v/>
      </c>
      <c r="B2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8" spans="1:2" x14ac:dyDescent="0.3">
      <c r="A268" s="1" t="str">
        <f t="shared" si="4"/>
        <v/>
      </c>
      <c r="B2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9" spans="1:2" x14ac:dyDescent="0.3">
      <c r="A269" s="1" t="str">
        <f t="shared" si="4"/>
        <v/>
      </c>
      <c r="B2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0" spans="1:2" x14ac:dyDescent="0.3">
      <c r="A270" s="1" t="str">
        <f t="shared" si="4"/>
        <v/>
      </c>
      <c r="B2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1" spans="1:2" x14ac:dyDescent="0.3">
      <c r="A271" s="1" t="str">
        <f t="shared" si="4"/>
        <v/>
      </c>
      <c r="B2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2" spans="1:2" x14ac:dyDescent="0.3">
      <c r="A272" s="1" t="str">
        <f t="shared" si="4"/>
        <v/>
      </c>
      <c r="B2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3" spans="1:2" x14ac:dyDescent="0.3">
      <c r="A273" s="1" t="str">
        <f t="shared" si="4"/>
        <v/>
      </c>
      <c r="B2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4" spans="1:2" x14ac:dyDescent="0.3">
      <c r="A274" s="1" t="str">
        <f t="shared" si="4"/>
        <v/>
      </c>
      <c r="B2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5" spans="1:2" x14ac:dyDescent="0.3">
      <c r="A275" s="1" t="str">
        <f t="shared" si="4"/>
        <v/>
      </c>
      <c r="B2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6" spans="1:2" x14ac:dyDescent="0.3">
      <c r="A276" s="1" t="str">
        <f t="shared" si="4"/>
        <v/>
      </c>
      <c r="B2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7" spans="1:2" x14ac:dyDescent="0.3">
      <c r="A277" s="1" t="str">
        <f t="shared" si="4"/>
        <v/>
      </c>
      <c r="B2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8" spans="1:2" x14ac:dyDescent="0.3">
      <c r="A278" s="1" t="str">
        <f t="shared" si="4"/>
        <v/>
      </c>
      <c r="B2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9" spans="1:2" x14ac:dyDescent="0.3">
      <c r="A279" s="1" t="str">
        <f t="shared" si="4"/>
        <v/>
      </c>
      <c r="B2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0" spans="1:2" x14ac:dyDescent="0.3">
      <c r="A280" s="1" t="str">
        <f t="shared" si="4"/>
        <v/>
      </c>
      <c r="B2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1" spans="1:2" x14ac:dyDescent="0.3">
      <c r="A281" s="1" t="str">
        <f t="shared" si="4"/>
        <v/>
      </c>
      <c r="B2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2" spans="1:2" x14ac:dyDescent="0.3">
      <c r="A282" s="1" t="str">
        <f t="shared" si="4"/>
        <v/>
      </c>
      <c r="B2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3" spans="1:2" x14ac:dyDescent="0.3">
      <c r="A283" s="1" t="str">
        <f t="shared" si="4"/>
        <v/>
      </c>
      <c r="B2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4" spans="1:2" x14ac:dyDescent="0.3">
      <c r="A284" s="1" t="str">
        <f t="shared" si="4"/>
        <v/>
      </c>
      <c r="B2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5" spans="1:2" x14ac:dyDescent="0.3">
      <c r="A285" s="1" t="str">
        <f t="shared" si="4"/>
        <v/>
      </c>
      <c r="B2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6" spans="1:2" x14ac:dyDescent="0.3">
      <c r="A286" s="1" t="str">
        <f t="shared" si="4"/>
        <v/>
      </c>
      <c r="B2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7" spans="1:2" x14ac:dyDescent="0.3">
      <c r="A287" s="1" t="str">
        <f t="shared" si="4"/>
        <v/>
      </c>
      <c r="B2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8" spans="1:2" x14ac:dyDescent="0.3">
      <c r="A288" s="1" t="str">
        <f t="shared" si="4"/>
        <v/>
      </c>
      <c r="B2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9" spans="1:2" x14ac:dyDescent="0.3">
      <c r="A289" s="1" t="str">
        <f t="shared" si="4"/>
        <v/>
      </c>
      <c r="B2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0" spans="1:2" x14ac:dyDescent="0.3">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1" spans="1:2" x14ac:dyDescent="0.3">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2" spans="1:2" x14ac:dyDescent="0.3">
      <c r="A292" s="1" t="str">
        <f t="shared" si="4"/>
        <v/>
      </c>
      <c r="B2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3" spans="1:2" x14ac:dyDescent="0.3">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4" spans="1:2" x14ac:dyDescent="0.3">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5" spans="1:2" x14ac:dyDescent="0.3">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6" spans="1:2" x14ac:dyDescent="0.3">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7" spans="1:2" x14ac:dyDescent="0.3">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8" spans="1:2" x14ac:dyDescent="0.3">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9" spans="1:2" x14ac:dyDescent="0.3">
      <c r="A299" s="1" t="str">
        <f t="shared" si="4"/>
        <v/>
      </c>
      <c r="B2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0" spans="1:2" x14ac:dyDescent="0.3">
      <c r="A300" s="1" t="str">
        <f t="shared" si="4"/>
        <v/>
      </c>
      <c r="B3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1" spans="1:2" x14ac:dyDescent="0.3">
      <c r="A301" s="1" t="str">
        <f t="shared" si="4"/>
        <v/>
      </c>
      <c r="B3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2" spans="1:2" x14ac:dyDescent="0.3">
      <c r="A302" s="1" t="str">
        <f t="shared" si="4"/>
        <v/>
      </c>
      <c r="B3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3" spans="1:2" x14ac:dyDescent="0.3">
      <c r="A303" s="1" t="str">
        <f t="shared" si="4"/>
        <v/>
      </c>
      <c r="B3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4" spans="1:2" x14ac:dyDescent="0.3">
      <c r="A304" s="1" t="str">
        <f t="shared" si="4"/>
        <v/>
      </c>
      <c r="B3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5" spans="1:2" x14ac:dyDescent="0.3">
      <c r="A305" s="1" t="str">
        <f t="shared" si="4"/>
        <v/>
      </c>
      <c r="B3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6" spans="1:2" x14ac:dyDescent="0.3">
      <c r="A306" s="1" t="str">
        <f t="shared" si="4"/>
        <v/>
      </c>
      <c r="B3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7" spans="1:2" x14ac:dyDescent="0.3">
      <c r="A307" s="1" t="str">
        <f t="shared" si="4"/>
        <v/>
      </c>
      <c r="B3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8" spans="1:2" x14ac:dyDescent="0.3">
      <c r="A308" s="1" t="str">
        <f t="shared" si="4"/>
        <v/>
      </c>
      <c r="B3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9" spans="1:2" x14ac:dyDescent="0.3">
      <c r="A309" s="1" t="str">
        <f t="shared" si="4"/>
        <v/>
      </c>
      <c r="B3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0" spans="1:2" x14ac:dyDescent="0.3">
      <c r="A310" s="1" t="str">
        <f t="shared" si="4"/>
        <v/>
      </c>
      <c r="B3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1" spans="1:2" x14ac:dyDescent="0.3">
      <c r="A311" s="1" t="str">
        <f t="shared" si="4"/>
        <v/>
      </c>
      <c r="B3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2" spans="1:2" x14ac:dyDescent="0.3">
      <c r="A312" s="1" t="str">
        <f t="shared" si="4"/>
        <v/>
      </c>
      <c r="B3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3" spans="1:2" x14ac:dyDescent="0.3">
      <c r="A313" s="1" t="str">
        <f t="shared" si="4"/>
        <v/>
      </c>
      <c r="B3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4" spans="1:2" x14ac:dyDescent="0.3">
      <c r="A314" s="1" t="str">
        <f t="shared" si="4"/>
        <v/>
      </c>
      <c r="B3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5" spans="1:2" x14ac:dyDescent="0.3">
      <c r="A315" s="1" t="str">
        <f t="shared" si="4"/>
        <v/>
      </c>
      <c r="B3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6" spans="1:2" x14ac:dyDescent="0.3">
      <c r="A316" s="1" t="str">
        <f t="shared" si="4"/>
        <v/>
      </c>
      <c r="B3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7" spans="1:2" x14ac:dyDescent="0.3">
      <c r="A317" s="1" t="str">
        <f t="shared" si="4"/>
        <v/>
      </c>
      <c r="B3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8" spans="1:2" x14ac:dyDescent="0.3">
      <c r="A318" s="1" t="str">
        <f t="shared" si="4"/>
        <v/>
      </c>
      <c r="B3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9" spans="1:2" x14ac:dyDescent="0.3">
      <c r="A319" s="1" t="str">
        <f t="shared" si="4"/>
        <v/>
      </c>
      <c r="B3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0" spans="1:2" x14ac:dyDescent="0.3">
      <c r="A320" s="1" t="str">
        <f t="shared" si="4"/>
        <v/>
      </c>
      <c r="B3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1" spans="1:2" x14ac:dyDescent="0.3">
      <c r="A321" s="1" t="str">
        <f t="shared" si="4"/>
        <v/>
      </c>
      <c r="B3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2" spans="1:2" x14ac:dyDescent="0.3">
      <c r="A322" s="1" t="str">
        <f t="shared" ref="A322:A385" si="5">IFERROR(LEFT(RIGHT(C322,LEN(C322)-SEARCH("@",C322)),SEARCH("/",RIGHT(C322,LEN(C322)-SEARCH("@",C322)-1))),"")</f>
        <v/>
      </c>
      <c r="B3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3" spans="1:2" x14ac:dyDescent="0.3">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4" spans="1:2" x14ac:dyDescent="0.3">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5" spans="1:2" x14ac:dyDescent="0.3">
      <c r="A325" s="1" t="str">
        <f t="shared" si="5"/>
        <v/>
      </c>
      <c r="B3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6" spans="1:2" x14ac:dyDescent="0.3">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7" spans="1:2" x14ac:dyDescent="0.3">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8" spans="1:2" x14ac:dyDescent="0.3">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9" spans="1:2" x14ac:dyDescent="0.3">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0" spans="1:2" x14ac:dyDescent="0.3">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1" spans="1:2" x14ac:dyDescent="0.3">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2" spans="1:2" x14ac:dyDescent="0.3">
      <c r="A332" s="1" t="str">
        <f t="shared" si="5"/>
        <v/>
      </c>
      <c r="B3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3" spans="1:2" x14ac:dyDescent="0.3">
      <c r="A333" s="1" t="str">
        <f t="shared" si="5"/>
        <v/>
      </c>
      <c r="B3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4" spans="1:2" x14ac:dyDescent="0.3">
      <c r="A334" s="1" t="str">
        <f t="shared" si="5"/>
        <v/>
      </c>
      <c r="B3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5" spans="1:2" x14ac:dyDescent="0.3">
      <c r="A335" s="1" t="str">
        <f t="shared" si="5"/>
        <v/>
      </c>
      <c r="B3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6" spans="1:2" x14ac:dyDescent="0.3">
      <c r="A336" s="1" t="str">
        <f t="shared" si="5"/>
        <v/>
      </c>
      <c r="B3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7" spans="1:2" x14ac:dyDescent="0.3">
      <c r="A337" s="1" t="str">
        <f t="shared" si="5"/>
        <v/>
      </c>
      <c r="B3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8" spans="1:2" x14ac:dyDescent="0.3">
      <c r="A338" s="1" t="str">
        <f t="shared" si="5"/>
        <v/>
      </c>
      <c r="B3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9" spans="1:2" x14ac:dyDescent="0.3">
      <c r="A339" s="1" t="str">
        <f t="shared" si="5"/>
        <v/>
      </c>
      <c r="B3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0" spans="1:2" x14ac:dyDescent="0.3">
      <c r="A340" s="1" t="str">
        <f t="shared" si="5"/>
        <v/>
      </c>
      <c r="B3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1" spans="1:2" x14ac:dyDescent="0.3">
      <c r="A341" s="1" t="str">
        <f t="shared" si="5"/>
        <v/>
      </c>
      <c r="B3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2" spans="1:2" x14ac:dyDescent="0.3">
      <c r="A342" s="1" t="str">
        <f t="shared" si="5"/>
        <v/>
      </c>
      <c r="B3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3" spans="1:2" x14ac:dyDescent="0.3">
      <c r="A343" s="1" t="str">
        <f t="shared" si="5"/>
        <v/>
      </c>
      <c r="B3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4" spans="1:2" x14ac:dyDescent="0.3">
      <c r="A344" s="1" t="str">
        <f t="shared" si="5"/>
        <v/>
      </c>
      <c r="B3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5" spans="1:2" x14ac:dyDescent="0.3">
      <c r="A345" s="1" t="str">
        <f t="shared" si="5"/>
        <v/>
      </c>
      <c r="B3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6" spans="1:2" x14ac:dyDescent="0.3">
      <c r="A346" s="1" t="str">
        <f t="shared" si="5"/>
        <v/>
      </c>
      <c r="B3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7" spans="1:2" x14ac:dyDescent="0.3">
      <c r="A347" s="1" t="str">
        <f t="shared" si="5"/>
        <v/>
      </c>
      <c r="B3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8" spans="1:2" x14ac:dyDescent="0.3">
      <c r="A348" s="1" t="str">
        <f t="shared" si="5"/>
        <v/>
      </c>
      <c r="B3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9" spans="1:2" x14ac:dyDescent="0.3">
      <c r="A349" s="1" t="str">
        <f t="shared" si="5"/>
        <v/>
      </c>
      <c r="B3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0" spans="1:2" x14ac:dyDescent="0.3">
      <c r="A350" s="1" t="str">
        <f t="shared" si="5"/>
        <v/>
      </c>
      <c r="B3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1" spans="1:2" x14ac:dyDescent="0.3">
      <c r="A351" s="1" t="str">
        <f t="shared" si="5"/>
        <v/>
      </c>
      <c r="B3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2" spans="1:2" x14ac:dyDescent="0.3">
      <c r="A352" s="1" t="str">
        <f t="shared" si="5"/>
        <v/>
      </c>
      <c r="B3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3" spans="1:2" x14ac:dyDescent="0.3">
      <c r="A353" s="1" t="str">
        <f t="shared" si="5"/>
        <v/>
      </c>
      <c r="B3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4" spans="1:2" x14ac:dyDescent="0.3">
      <c r="A354" s="1" t="str">
        <f t="shared" si="5"/>
        <v/>
      </c>
      <c r="B3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5" spans="1:2" x14ac:dyDescent="0.3">
      <c r="A355" s="1" t="str">
        <f t="shared" si="5"/>
        <v/>
      </c>
      <c r="B3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6" spans="1:2" x14ac:dyDescent="0.3">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7" spans="1:2" x14ac:dyDescent="0.3">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8" spans="1:2" x14ac:dyDescent="0.3">
      <c r="A358" s="1" t="str">
        <f t="shared" si="5"/>
        <v/>
      </c>
      <c r="B3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9" spans="1:2" x14ac:dyDescent="0.3">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0" spans="1:2" x14ac:dyDescent="0.3">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1" spans="1:2" x14ac:dyDescent="0.3">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2" spans="1:2" x14ac:dyDescent="0.3">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3" spans="1:2" x14ac:dyDescent="0.3">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4" spans="1:2" x14ac:dyDescent="0.3">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5" spans="1:2" x14ac:dyDescent="0.3">
      <c r="A365" s="1" t="str">
        <f t="shared" si="5"/>
        <v/>
      </c>
      <c r="B3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6" spans="1:2" x14ac:dyDescent="0.3">
      <c r="A366" s="1" t="str">
        <f t="shared" si="5"/>
        <v/>
      </c>
      <c r="B3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7" spans="1:2" x14ac:dyDescent="0.3">
      <c r="A367" s="1" t="str">
        <f t="shared" si="5"/>
        <v/>
      </c>
      <c r="B3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8" spans="1:2" x14ac:dyDescent="0.3">
      <c r="A368" s="1" t="str">
        <f t="shared" si="5"/>
        <v/>
      </c>
      <c r="B3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9" spans="1:2" x14ac:dyDescent="0.3">
      <c r="A369" s="1" t="str">
        <f t="shared" si="5"/>
        <v/>
      </c>
      <c r="B3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0" spans="1:2" x14ac:dyDescent="0.3">
      <c r="A370" s="1" t="str">
        <f t="shared" si="5"/>
        <v/>
      </c>
      <c r="B3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1" spans="1:2" x14ac:dyDescent="0.3">
      <c r="A371" s="1" t="str">
        <f t="shared" si="5"/>
        <v/>
      </c>
      <c r="B3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2" spans="1:2" x14ac:dyDescent="0.3">
      <c r="A372" s="1" t="str">
        <f t="shared" si="5"/>
        <v/>
      </c>
      <c r="B3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3" spans="1:2" x14ac:dyDescent="0.3">
      <c r="A373" s="1" t="str">
        <f t="shared" si="5"/>
        <v/>
      </c>
      <c r="B3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4" spans="1:2" x14ac:dyDescent="0.3">
      <c r="A374" s="1" t="str">
        <f t="shared" si="5"/>
        <v/>
      </c>
      <c r="B3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5" spans="1:2" x14ac:dyDescent="0.3">
      <c r="A375" s="1" t="str">
        <f t="shared" si="5"/>
        <v/>
      </c>
      <c r="B3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6" spans="1:2" x14ac:dyDescent="0.3">
      <c r="A376" s="1" t="str">
        <f t="shared" si="5"/>
        <v/>
      </c>
      <c r="B3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7" spans="1:2" x14ac:dyDescent="0.3">
      <c r="A377" s="1" t="str">
        <f t="shared" si="5"/>
        <v/>
      </c>
      <c r="B3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8" spans="1:2" x14ac:dyDescent="0.3">
      <c r="A378" s="1" t="str">
        <f t="shared" si="5"/>
        <v/>
      </c>
      <c r="B3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9" spans="1:2" x14ac:dyDescent="0.3">
      <c r="A379" s="1" t="str">
        <f t="shared" si="5"/>
        <v/>
      </c>
      <c r="B3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0" spans="1:2" x14ac:dyDescent="0.3">
      <c r="A380" s="1" t="str">
        <f t="shared" si="5"/>
        <v/>
      </c>
      <c r="B3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1" spans="1:2" x14ac:dyDescent="0.3">
      <c r="A381" s="1" t="str">
        <f t="shared" si="5"/>
        <v/>
      </c>
      <c r="B3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2" spans="1:2" x14ac:dyDescent="0.3">
      <c r="A382" s="1" t="str">
        <f t="shared" si="5"/>
        <v/>
      </c>
      <c r="B3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3" spans="1:2" x14ac:dyDescent="0.3">
      <c r="A383" s="1" t="str">
        <f t="shared" si="5"/>
        <v/>
      </c>
      <c r="B3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4" spans="1:2" x14ac:dyDescent="0.3">
      <c r="A384" s="1" t="str">
        <f t="shared" si="5"/>
        <v/>
      </c>
      <c r="B3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5" spans="1:2" x14ac:dyDescent="0.3">
      <c r="A385" s="1" t="str">
        <f t="shared" si="5"/>
        <v/>
      </c>
      <c r="B3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6" spans="1:2" x14ac:dyDescent="0.3">
      <c r="A386" s="1" t="str">
        <f t="shared" ref="A386:A449" si="6">IFERROR(LEFT(RIGHT(C386,LEN(C386)-SEARCH("@",C386)),SEARCH("/",RIGHT(C386,LEN(C386)-SEARCH("@",C386)-1))),"")</f>
        <v/>
      </c>
      <c r="B3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7" spans="1:2" x14ac:dyDescent="0.3">
      <c r="A387" s="1" t="str">
        <f t="shared" si="6"/>
        <v/>
      </c>
      <c r="B3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8" spans="1:2" x14ac:dyDescent="0.3">
      <c r="A388" s="1" t="str">
        <f t="shared" si="6"/>
        <v/>
      </c>
      <c r="B3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9" spans="1:2" x14ac:dyDescent="0.3">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0" spans="1:2" x14ac:dyDescent="0.3">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1" spans="1:2" x14ac:dyDescent="0.3">
      <c r="A391" s="1" t="str">
        <f t="shared" si="6"/>
        <v/>
      </c>
      <c r="B3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2" spans="1:2" x14ac:dyDescent="0.3">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3" spans="1:2" x14ac:dyDescent="0.3">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4" spans="1:2" x14ac:dyDescent="0.3">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5" spans="1:2" x14ac:dyDescent="0.3">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6" spans="1:2" x14ac:dyDescent="0.3">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7" spans="1:2" x14ac:dyDescent="0.3">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8" spans="1:2" x14ac:dyDescent="0.3">
      <c r="A398" s="1" t="str">
        <f t="shared" si="6"/>
        <v/>
      </c>
      <c r="B3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9" spans="1:2" x14ac:dyDescent="0.3">
      <c r="A399" s="1" t="str">
        <f t="shared" si="6"/>
        <v/>
      </c>
      <c r="B3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0" spans="1:2" x14ac:dyDescent="0.3">
      <c r="A400" s="1" t="str">
        <f t="shared" si="6"/>
        <v/>
      </c>
      <c r="B4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1" spans="1:2" x14ac:dyDescent="0.3">
      <c r="A401" s="1" t="str">
        <f t="shared" si="6"/>
        <v/>
      </c>
      <c r="B4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2" spans="1:2" x14ac:dyDescent="0.3">
      <c r="A402" s="1" t="str">
        <f t="shared" si="6"/>
        <v/>
      </c>
      <c r="B4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3" spans="1:2" x14ac:dyDescent="0.3">
      <c r="A403" s="1" t="str">
        <f t="shared" si="6"/>
        <v/>
      </c>
      <c r="B4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4" spans="1:2" x14ac:dyDescent="0.3">
      <c r="A404" s="1" t="str">
        <f t="shared" si="6"/>
        <v/>
      </c>
      <c r="B4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5" spans="1:2" x14ac:dyDescent="0.3">
      <c r="A405" s="1" t="str">
        <f t="shared" si="6"/>
        <v/>
      </c>
      <c r="B4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6" spans="1:2" x14ac:dyDescent="0.3">
      <c r="A406" s="1" t="str">
        <f t="shared" si="6"/>
        <v/>
      </c>
      <c r="B4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7" spans="1:2" x14ac:dyDescent="0.3">
      <c r="A407" s="1" t="str">
        <f t="shared" si="6"/>
        <v/>
      </c>
      <c r="B4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8" spans="1:2" x14ac:dyDescent="0.3">
      <c r="A408" s="1" t="str">
        <f t="shared" si="6"/>
        <v/>
      </c>
      <c r="B4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9" spans="1:2" x14ac:dyDescent="0.3">
      <c r="A409" s="1" t="str">
        <f t="shared" si="6"/>
        <v/>
      </c>
      <c r="B4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0" spans="1:2" x14ac:dyDescent="0.3">
      <c r="A410" s="1" t="str">
        <f t="shared" si="6"/>
        <v/>
      </c>
      <c r="B4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1" spans="1:2" x14ac:dyDescent="0.3">
      <c r="A411" s="1" t="str">
        <f t="shared" si="6"/>
        <v/>
      </c>
      <c r="B4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2" spans="1:2" x14ac:dyDescent="0.3">
      <c r="A412" s="1" t="str">
        <f t="shared" si="6"/>
        <v/>
      </c>
      <c r="B4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3" spans="1:2" x14ac:dyDescent="0.3">
      <c r="A413" s="1" t="str">
        <f t="shared" si="6"/>
        <v/>
      </c>
      <c r="B4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4" spans="1:2" x14ac:dyDescent="0.3">
      <c r="A414" s="1" t="str">
        <f t="shared" si="6"/>
        <v/>
      </c>
      <c r="B4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5" spans="1:2" x14ac:dyDescent="0.3">
      <c r="A415" s="1" t="str">
        <f t="shared" si="6"/>
        <v/>
      </c>
      <c r="B4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6" spans="1:2" x14ac:dyDescent="0.3">
      <c r="A416" s="1" t="str">
        <f t="shared" si="6"/>
        <v/>
      </c>
      <c r="B4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7" spans="1:2" x14ac:dyDescent="0.3">
      <c r="A417" s="1" t="str">
        <f t="shared" si="6"/>
        <v/>
      </c>
      <c r="B4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8" spans="1:2" x14ac:dyDescent="0.3">
      <c r="A418" s="1" t="str">
        <f t="shared" si="6"/>
        <v/>
      </c>
      <c r="B4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9" spans="1:2" x14ac:dyDescent="0.3">
      <c r="A419" s="1" t="str">
        <f t="shared" si="6"/>
        <v/>
      </c>
      <c r="B4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0" spans="1:2" x14ac:dyDescent="0.3">
      <c r="A420" s="1" t="str">
        <f t="shared" si="6"/>
        <v/>
      </c>
      <c r="B4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1" spans="1:2" x14ac:dyDescent="0.3">
      <c r="A421" s="1" t="str">
        <f t="shared" si="6"/>
        <v/>
      </c>
      <c r="B4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2" spans="1:2" x14ac:dyDescent="0.3">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3" spans="1:2" x14ac:dyDescent="0.3">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4" spans="1:2" x14ac:dyDescent="0.3">
      <c r="A424" s="1" t="str">
        <f t="shared" si="6"/>
        <v/>
      </c>
      <c r="B4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5" spans="1:2" x14ac:dyDescent="0.3">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6" spans="1:2" x14ac:dyDescent="0.3">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7" spans="1:2" x14ac:dyDescent="0.3">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8" spans="1:2" x14ac:dyDescent="0.3">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9" spans="1:2" x14ac:dyDescent="0.3">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0" spans="1:2" x14ac:dyDescent="0.3">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1" spans="1:2" x14ac:dyDescent="0.3">
      <c r="A431" s="1" t="str">
        <f t="shared" si="6"/>
        <v/>
      </c>
      <c r="B4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2" spans="1:2" x14ac:dyDescent="0.3">
      <c r="A432" s="1" t="str">
        <f t="shared" si="6"/>
        <v/>
      </c>
      <c r="B4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3" spans="1:2" x14ac:dyDescent="0.3">
      <c r="A433" s="1" t="str">
        <f t="shared" si="6"/>
        <v/>
      </c>
      <c r="B4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4" spans="1:2" x14ac:dyDescent="0.3">
      <c r="A434" s="1" t="str">
        <f t="shared" si="6"/>
        <v/>
      </c>
      <c r="B4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5" spans="1:2" x14ac:dyDescent="0.3">
      <c r="A435" s="1" t="str">
        <f t="shared" si="6"/>
        <v/>
      </c>
      <c r="B4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6" spans="1:2" x14ac:dyDescent="0.3">
      <c r="A436" s="1" t="str">
        <f t="shared" si="6"/>
        <v/>
      </c>
      <c r="B4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7" spans="1:2" x14ac:dyDescent="0.3">
      <c r="A437" s="1" t="str">
        <f t="shared" si="6"/>
        <v/>
      </c>
      <c r="B4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8" spans="1:2" x14ac:dyDescent="0.3">
      <c r="A438" s="1" t="str">
        <f t="shared" si="6"/>
        <v/>
      </c>
      <c r="B4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9" spans="1:2" x14ac:dyDescent="0.3">
      <c r="A439" s="1" t="str">
        <f t="shared" si="6"/>
        <v/>
      </c>
      <c r="B4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0" spans="1:2" x14ac:dyDescent="0.3">
      <c r="A440" s="1" t="str">
        <f t="shared" si="6"/>
        <v/>
      </c>
      <c r="B4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1" spans="1:2" x14ac:dyDescent="0.3">
      <c r="A441" s="1" t="str">
        <f t="shared" si="6"/>
        <v/>
      </c>
      <c r="B4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2" spans="1:2" x14ac:dyDescent="0.3">
      <c r="A442" s="1" t="str">
        <f t="shared" si="6"/>
        <v/>
      </c>
      <c r="B4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3" spans="1:2" x14ac:dyDescent="0.3">
      <c r="A443" s="1" t="str">
        <f t="shared" si="6"/>
        <v/>
      </c>
      <c r="B4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4" spans="1:2" x14ac:dyDescent="0.3">
      <c r="A444" s="1" t="str">
        <f t="shared" si="6"/>
        <v/>
      </c>
      <c r="B4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5" spans="1:2" x14ac:dyDescent="0.3">
      <c r="A445" s="1" t="str">
        <f t="shared" si="6"/>
        <v/>
      </c>
      <c r="B4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6" spans="1:2" x14ac:dyDescent="0.3">
      <c r="A446" s="1" t="str">
        <f t="shared" si="6"/>
        <v/>
      </c>
      <c r="B4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7" spans="1:2" x14ac:dyDescent="0.3">
      <c r="A447" s="1" t="str">
        <f t="shared" si="6"/>
        <v/>
      </c>
      <c r="B4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8" spans="1:2" x14ac:dyDescent="0.3">
      <c r="A448" s="1" t="str">
        <f t="shared" si="6"/>
        <v/>
      </c>
      <c r="B4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9" spans="1:2" x14ac:dyDescent="0.3">
      <c r="A449" s="1" t="str">
        <f t="shared" si="6"/>
        <v/>
      </c>
      <c r="B4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0" spans="1:2" x14ac:dyDescent="0.3">
      <c r="A450" s="1" t="str">
        <f t="shared" ref="A450:A513" si="7">IFERROR(LEFT(RIGHT(C450,LEN(C450)-SEARCH("@",C450)),SEARCH("/",RIGHT(C450,LEN(C450)-SEARCH("@",C450)-1))),"")</f>
        <v/>
      </c>
      <c r="B4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1" spans="1:2" x14ac:dyDescent="0.3">
      <c r="A451" s="1" t="str">
        <f t="shared" si="7"/>
        <v/>
      </c>
      <c r="B4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2" spans="1:2" x14ac:dyDescent="0.3">
      <c r="A452" s="1" t="str">
        <f t="shared" si="7"/>
        <v/>
      </c>
      <c r="B4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3" spans="1:2" x14ac:dyDescent="0.3">
      <c r="A453" s="1" t="str">
        <f t="shared" si="7"/>
        <v/>
      </c>
      <c r="B4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4" spans="1:2" x14ac:dyDescent="0.3">
      <c r="A454" s="1" t="str">
        <f t="shared" si="7"/>
        <v/>
      </c>
      <c r="B4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5" spans="1:2" x14ac:dyDescent="0.3">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6" spans="1:2" x14ac:dyDescent="0.3">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7" spans="1:2" x14ac:dyDescent="0.3">
      <c r="A457" s="1" t="str">
        <f t="shared" si="7"/>
        <v/>
      </c>
      <c r="B4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8" spans="1:2" x14ac:dyDescent="0.3">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9" spans="1:2" x14ac:dyDescent="0.3">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0" spans="1:2" x14ac:dyDescent="0.3">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1" spans="1:2" x14ac:dyDescent="0.3">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2" spans="1:2" x14ac:dyDescent="0.3">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3" spans="1:2" x14ac:dyDescent="0.3">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4" spans="1:2" x14ac:dyDescent="0.3">
      <c r="A464" s="1" t="str">
        <f t="shared" si="7"/>
        <v/>
      </c>
      <c r="B4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5" spans="1:2" x14ac:dyDescent="0.3">
      <c r="A465" s="1" t="str">
        <f t="shared" si="7"/>
        <v/>
      </c>
      <c r="B4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6" spans="1:2" x14ac:dyDescent="0.3">
      <c r="A466" s="1" t="str">
        <f t="shared" si="7"/>
        <v/>
      </c>
      <c r="B4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7" spans="1:2" x14ac:dyDescent="0.3">
      <c r="A467" s="1" t="str">
        <f t="shared" si="7"/>
        <v/>
      </c>
      <c r="B4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8" spans="1:2" x14ac:dyDescent="0.3">
      <c r="A468" s="1" t="str">
        <f t="shared" si="7"/>
        <v/>
      </c>
      <c r="B4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9" spans="1:2" x14ac:dyDescent="0.3">
      <c r="A469" s="1" t="str">
        <f t="shared" si="7"/>
        <v/>
      </c>
      <c r="B4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0" spans="1:2" x14ac:dyDescent="0.3">
      <c r="A470" s="1" t="str">
        <f t="shared" si="7"/>
        <v/>
      </c>
      <c r="B4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1" spans="1:2" x14ac:dyDescent="0.3">
      <c r="A471" s="1" t="str">
        <f t="shared" si="7"/>
        <v/>
      </c>
      <c r="B4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2" spans="1:2" x14ac:dyDescent="0.3">
      <c r="A472" s="1" t="str">
        <f t="shared" si="7"/>
        <v/>
      </c>
      <c r="B4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3" spans="1:2" x14ac:dyDescent="0.3">
      <c r="A473" s="1" t="str">
        <f t="shared" si="7"/>
        <v/>
      </c>
      <c r="B4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4" spans="1:2" x14ac:dyDescent="0.3">
      <c r="A474" s="1" t="str">
        <f t="shared" si="7"/>
        <v/>
      </c>
      <c r="B4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5" spans="1:2" x14ac:dyDescent="0.3">
      <c r="A475" s="1" t="str">
        <f t="shared" si="7"/>
        <v/>
      </c>
      <c r="B4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6" spans="1:2" x14ac:dyDescent="0.3">
      <c r="A476" s="1" t="str">
        <f t="shared" si="7"/>
        <v/>
      </c>
      <c r="B4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7" spans="1:2" x14ac:dyDescent="0.3">
      <c r="A477" s="1" t="str">
        <f t="shared" si="7"/>
        <v/>
      </c>
      <c r="B4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8" spans="1:2" x14ac:dyDescent="0.3">
      <c r="A478" s="1" t="str">
        <f t="shared" si="7"/>
        <v/>
      </c>
      <c r="B4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9" spans="1:2" x14ac:dyDescent="0.3">
      <c r="A479" s="1" t="str">
        <f t="shared" si="7"/>
        <v/>
      </c>
      <c r="B4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0" spans="1:2" x14ac:dyDescent="0.3">
      <c r="A480" s="1" t="str">
        <f t="shared" si="7"/>
        <v/>
      </c>
      <c r="B4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1" spans="1:2" x14ac:dyDescent="0.3">
      <c r="A481" s="1" t="str">
        <f t="shared" si="7"/>
        <v/>
      </c>
      <c r="B4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2" spans="1:2" x14ac:dyDescent="0.3">
      <c r="A482" s="1" t="str">
        <f t="shared" si="7"/>
        <v/>
      </c>
      <c r="B4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3" spans="1:2" x14ac:dyDescent="0.3">
      <c r="A483" s="1" t="str">
        <f t="shared" si="7"/>
        <v/>
      </c>
      <c r="B4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4" spans="1:2" x14ac:dyDescent="0.3">
      <c r="A484" s="1" t="str">
        <f t="shared" si="7"/>
        <v/>
      </c>
      <c r="B4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5" spans="1:2" x14ac:dyDescent="0.3">
      <c r="A485" s="1" t="str">
        <f t="shared" si="7"/>
        <v/>
      </c>
      <c r="B4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6" spans="1:2" x14ac:dyDescent="0.3">
      <c r="A486" s="1" t="str">
        <f t="shared" si="7"/>
        <v/>
      </c>
      <c r="B4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7" spans="1:2" x14ac:dyDescent="0.3">
      <c r="A487" s="1" t="str">
        <f t="shared" si="7"/>
        <v/>
      </c>
      <c r="B4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8" spans="1:2" x14ac:dyDescent="0.3">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9" spans="1:2" x14ac:dyDescent="0.3">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0" spans="1:2" x14ac:dyDescent="0.3">
      <c r="A490" s="1" t="str">
        <f t="shared" si="7"/>
        <v/>
      </c>
      <c r="B4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1" spans="1:2" x14ac:dyDescent="0.3">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2" spans="1:2" x14ac:dyDescent="0.3">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3" spans="1:2" x14ac:dyDescent="0.3">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4" spans="1:2" x14ac:dyDescent="0.3">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5" spans="1:2" x14ac:dyDescent="0.3">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6" spans="1:2" x14ac:dyDescent="0.3">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7" spans="1:2" x14ac:dyDescent="0.3">
      <c r="A497" s="1" t="str">
        <f t="shared" si="7"/>
        <v/>
      </c>
      <c r="B4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8" spans="1:2" x14ac:dyDescent="0.3">
      <c r="A498" s="1" t="str">
        <f t="shared" si="7"/>
        <v/>
      </c>
      <c r="B4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9" spans="1:2" x14ac:dyDescent="0.3">
      <c r="A499" s="1" t="str">
        <f t="shared" si="7"/>
        <v/>
      </c>
      <c r="B4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0" spans="1:2" x14ac:dyDescent="0.3">
      <c r="A500" s="1" t="str">
        <f t="shared" si="7"/>
        <v/>
      </c>
      <c r="B5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1" spans="1:2" x14ac:dyDescent="0.3">
      <c r="A501" s="1" t="str">
        <f t="shared" si="7"/>
        <v/>
      </c>
      <c r="B5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2" spans="1:2" x14ac:dyDescent="0.3">
      <c r="A502" s="1" t="str">
        <f t="shared" si="7"/>
        <v/>
      </c>
      <c r="B5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3" spans="1:2" x14ac:dyDescent="0.3">
      <c r="A503" s="1" t="str">
        <f t="shared" si="7"/>
        <v/>
      </c>
      <c r="B5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4" spans="1:2" x14ac:dyDescent="0.3">
      <c r="A504" s="1" t="str">
        <f t="shared" si="7"/>
        <v/>
      </c>
      <c r="B5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5" spans="1:2" x14ac:dyDescent="0.3">
      <c r="A505" s="1" t="str">
        <f t="shared" si="7"/>
        <v/>
      </c>
      <c r="B5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6" spans="1:2" x14ac:dyDescent="0.3">
      <c r="A506" s="1" t="str">
        <f t="shared" si="7"/>
        <v/>
      </c>
      <c r="B5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7" spans="1:2" x14ac:dyDescent="0.3">
      <c r="A507" s="1" t="str">
        <f t="shared" si="7"/>
        <v/>
      </c>
      <c r="B5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8" spans="1:2" x14ac:dyDescent="0.3">
      <c r="A508" s="1" t="str">
        <f t="shared" si="7"/>
        <v/>
      </c>
      <c r="B5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9" spans="1:2" x14ac:dyDescent="0.3">
      <c r="A509" s="1" t="str">
        <f t="shared" si="7"/>
        <v/>
      </c>
      <c r="B5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0" spans="1:2" x14ac:dyDescent="0.3">
      <c r="A510" s="1" t="str">
        <f t="shared" si="7"/>
        <v/>
      </c>
      <c r="B5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1" spans="1:2" x14ac:dyDescent="0.3">
      <c r="A511" s="1" t="str">
        <f t="shared" si="7"/>
        <v/>
      </c>
      <c r="B5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2" spans="1:2" x14ac:dyDescent="0.3">
      <c r="A512" s="1" t="str">
        <f t="shared" si="7"/>
        <v/>
      </c>
      <c r="B5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3" spans="1:2" x14ac:dyDescent="0.3">
      <c r="A513" s="1" t="str">
        <f t="shared" si="7"/>
        <v/>
      </c>
      <c r="B5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4" spans="1:2" x14ac:dyDescent="0.3">
      <c r="A514" s="1" t="str">
        <f t="shared" ref="A514:A577" si="8">IFERROR(LEFT(RIGHT(C514,LEN(C514)-SEARCH("@",C514)),SEARCH("/",RIGHT(C514,LEN(C514)-SEARCH("@",C514)-1))),"")</f>
        <v/>
      </c>
      <c r="B5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5" spans="1:2" x14ac:dyDescent="0.3">
      <c r="A515" s="1" t="str">
        <f t="shared" si="8"/>
        <v/>
      </c>
      <c r="B5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6" spans="1:2" x14ac:dyDescent="0.3">
      <c r="A516" s="1" t="str">
        <f t="shared" si="8"/>
        <v/>
      </c>
      <c r="B5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7" spans="1:2" x14ac:dyDescent="0.3">
      <c r="A517" s="1" t="str">
        <f t="shared" si="8"/>
        <v/>
      </c>
      <c r="B5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8" spans="1:2" x14ac:dyDescent="0.3">
      <c r="A518" s="1" t="str">
        <f t="shared" si="8"/>
        <v/>
      </c>
      <c r="B5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9" spans="1:2" x14ac:dyDescent="0.3">
      <c r="A519" s="1" t="str">
        <f t="shared" si="8"/>
        <v/>
      </c>
      <c r="B5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0" spans="1:2" x14ac:dyDescent="0.3">
      <c r="A520" s="1" t="str">
        <f t="shared" si="8"/>
        <v/>
      </c>
      <c r="B5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1" spans="1:2" x14ac:dyDescent="0.3">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2" spans="1:2" x14ac:dyDescent="0.3">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3" spans="1:2" x14ac:dyDescent="0.3">
      <c r="A523" s="1" t="str">
        <f t="shared" si="8"/>
        <v/>
      </c>
      <c r="B5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4" spans="1:2" x14ac:dyDescent="0.3">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5" spans="1:2" x14ac:dyDescent="0.3">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6" spans="1:2" x14ac:dyDescent="0.3">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7" spans="1:2" x14ac:dyDescent="0.3">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8" spans="1:2" x14ac:dyDescent="0.3">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9" spans="1:2" x14ac:dyDescent="0.3">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0" spans="1:2" x14ac:dyDescent="0.3">
      <c r="A530" s="1" t="str">
        <f t="shared" si="8"/>
        <v/>
      </c>
      <c r="B5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1" spans="1:2" x14ac:dyDescent="0.3">
      <c r="A531" s="1" t="str">
        <f t="shared" si="8"/>
        <v/>
      </c>
      <c r="B5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2" spans="1:2" x14ac:dyDescent="0.3">
      <c r="A532" s="1" t="str">
        <f t="shared" si="8"/>
        <v/>
      </c>
      <c r="B5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3" spans="1:2" x14ac:dyDescent="0.3">
      <c r="A533" s="1" t="str">
        <f t="shared" si="8"/>
        <v/>
      </c>
      <c r="B5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4" spans="1:2" x14ac:dyDescent="0.3">
      <c r="A534" s="1" t="str">
        <f t="shared" si="8"/>
        <v/>
      </c>
      <c r="B5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5" spans="1:2" x14ac:dyDescent="0.3">
      <c r="A535" s="1" t="str">
        <f t="shared" si="8"/>
        <v/>
      </c>
      <c r="B5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6" spans="1:2" x14ac:dyDescent="0.3">
      <c r="A536" s="1" t="str">
        <f t="shared" si="8"/>
        <v/>
      </c>
      <c r="B5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7" spans="1:2" x14ac:dyDescent="0.3">
      <c r="A537" s="1" t="str">
        <f t="shared" si="8"/>
        <v/>
      </c>
      <c r="B5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8" spans="1:2" x14ac:dyDescent="0.3">
      <c r="A538" s="1" t="str">
        <f t="shared" si="8"/>
        <v/>
      </c>
      <c r="B5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9" spans="1:2" x14ac:dyDescent="0.3">
      <c r="A539" s="1" t="str">
        <f t="shared" si="8"/>
        <v/>
      </c>
      <c r="B5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0" spans="1:2" x14ac:dyDescent="0.3">
      <c r="A540" s="1" t="str">
        <f t="shared" si="8"/>
        <v/>
      </c>
      <c r="B5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1" spans="1:2" x14ac:dyDescent="0.3">
      <c r="A541" s="1" t="str">
        <f t="shared" si="8"/>
        <v/>
      </c>
      <c r="B5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2" spans="1:2" x14ac:dyDescent="0.3">
      <c r="A542" s="1" t="str">
        <f t="shared" si="8"/>
        <v/>
      </c>
      <c r="B5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3" spans="1:2" x14ac:dyDescent="0.3">
      <c r="A543" s="1" t="str">
        <f t="shared" si="8"/>
        <v/>
      </c>
      <c r="B5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4" spans="1:2" x14ac:dyDescent="0.3">
      <c r="A544" s="1" t="str">
        <f t="shared" si="8"/>
        <v/>
      </c>
      <c r="B5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5" spans="1:2" x14ac:dyDescent="0.3">
      <c r="A545" s="1" t="str">
        <f t="shared" si="8"/>
        <v/>
      </c>
      <c r="B5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6" spans="1:2" x14ac:dyDescent="0.3">
      <c r="A546" s="1" t="str">
        <f t="shared" si="8"/>
        <v/>
      </c>
      <c r="B5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7" spans="1:2" x14ac:dyDescent="0.3">
      <c r="A547" s="1" t="str">
        <f t="shared" si="8"/>
        <v/>
      </c>
      <c r="B5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8" spans="1:2" x14ac:dyDescent="0.3">
      <c r="A548" s="1" t="str">
        <f t="shared" si="8"/>
        <v/>
      </c>
      <c r="B5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9" spans="1:2" x14ac:dyDescent="0.3">
      <c r="A549" s="1" t="str">
        <f t="shared" si="8"/>
        <v/>
      </c>
      <c r="B5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0" spans="1:2" x14ac:dyDescent="0.3">
      <c r="A550" s="1" t="str">
        <f t="shared" si="8"/>
        <v/>
      </c>
      <c r="B5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1" spans="1:2" x14ac:dyDescent="0.3">
      <c r="A551" s="1" t="str">
        <f t="shared" si="8"/>
        <v/>
      </c>
      <c r="B5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2" spans="1:2" x14ac:dyDescent="0.3">
      <c r="A552" s="1" t="str">
        <f t="shared" si="8"/>
        <v/>
      </c>
      <c r="B5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3" spans="1:2" x14ac:dyDescent="0.3">
      <c r="A553" s="1" t="str">
        <f t="shared" si="8"/>
        <v/>
      </c>
      <c r="B5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4" spans="1:2" x14ac:dyDescent="0.3">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5" spans="1:2" x14ac:dyDescent="0.3">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6" spans="1:2" x14ac:dyDescent="0.3">
      <c r="A556" s="1" t="str">
        <f t="shared" si="8"/>
        <v/>
      </c>
      <c r="B5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7" spans="1:2" x14ac:dyDescent="0.3">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8" spans="1:2" x14ac:dyDescent="0.3">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9" spans="1:2" x14ac:dyDescent="0.3">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0" spans="1:2" x14ac:dyDescent="0.3">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1" spans="1:2" x14ac:dyDescent="0.3">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2" spans="1:2" x14ac:dyDescent="0.3">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3" spans="1:2" x14ac:dyDescent="0.3">
      <c r="A563" s="1" t="str">
        <f t="shared" si="8"/>
        <v/>
      </c>
      <c r="B5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4" spans="1:2" x14ac:dyDescent="0.3">
      <c r="A564" s="1" t="str">
        <f t="shared" si="8"/>
        <v/>
      </c>
      <c r="B5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5" spans="1:2" x14ac:dyDescent="0.3">
      <c r="A565" s="1" t="str">
        <f t="shared" si="8"/>
        <v/>
      </c>
      <c r="B5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6" spans="1:2" x14ac:dyDescent="0.3">
      <c r="A566" s="1" t="str">
        <f t="shared" si="8"/>
        <v/>
      </c>
      <c r="B5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7" spans="1:2" x14ac:dyDescent="0.3">
      <c r="A567" s="1" t="str">
        <f t="shared" si="8"/>
        <v/>
      </c>
      <c r="B5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8" spans="1:2" x14ac:dyDescent="0.3">
      <c r="A568" s="1" t="str">
        <f t="shared" si="8"/>
        <v/>
      </c>
      <c r="B5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9" spans="1:2" x14ac:dyDescent="0.3">
      <c r="A569" s="1" t="str">
        <f t="shared" si="8"/>
        <v/>
      </c>
      <c r="B5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0" spans="1:2" x14ac:dyDescent="0.3">
      <c r="A570" s="1" t="str">
        <f t="shared" si="8"/>
        <v/>
      </c>
      <c r="B5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1" spans="1:2" x14ac:dyDescent="0.3">
      <c r="A571" s="1" t="str">
        <f t="shared" si="8"/>
        <v/>
      </c>
      <c r="B5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2" spans="1:2" x14ac:dyDescent="0.3">
      <c r="A572" s="1" t="str">
        <f t="shared" si="8"/>
        <v/>
      </c>
      <c r="B5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3" spans="1:2" x14ac:dyDescent="0.3">
      <c r="A573" s="1" t="str">
        <f t="shared" si="8"/>
        <v/>
      </c>
      <c r="B5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4" spans="1:2" x14ac:dyDescent="0.3">
      <c r="A574" s="1" t="str">
        <f t="shared" si="8"/>
        <v/>
      </c>
      <c r="B5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5" spans="1:2" x14ac:dyDescent="0.3">
      <c r="A575" s="1" t="str">
        <f t="shared" si="8"/>
        <v/>
      </c>
      <c r="B5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6" spans="1:2" x14ac:dyDescent="0.3">
      <c r="A576" s="1" t="str">
        <f t="shared" si="8"/>
        <v/>
      </c>
      <c r="B5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7" spans="1:2" x14ac:dyDescent="0.3">
      <c r="A577" s="1" t="str">
        <f t="shared" si="8"/>
        <v/>
      </c>
      <c r="B5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8" spans="1:2" x14ac:dyDescent="0.3">
      <c r="A578" s="1" t="str">
        <f t="shared" ref="A578:A641" si="9">IFERROR(LEFT(RIGHT(C578,LEN(C578)-SEARCH("@",C578)),SEARCH("/",RIGHT(C578,LEN(C578)-SEARCH("@",C578)-1))),"")</f>
        <v/>
      </c>
      <c r="B5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9" spans="1:2" x14ac:dyDescent="0.3">
      <c r="A579" s="1" t="str">
        <f t="shared" si="9"/>
        <v/>
      </c>
      <c r="B5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0" spans="1:2" x14ac:dyDescent="0.3">
      <c r="A580" s="1" t="str">
        <f t="shared" si="9"/>
        <v/>
      </c>
      <c r="B5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1" spans="1:2" x14ac:dyDescent="0.3">
      <c r="A581" s="1" t="str">
        <f t="shared" si="9"/>
        <v/>
      </c>
      <c r="B5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2" spans="1:2" x14ac:dyDescent="0.3">
      <c r="A582" s="1" t="str">
        <f t="shared" si="9"/>
        <v/>
      </c>
      <c r="B5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3" spans="1:2" x14ac:dyDescent="0.3">
      <c r="A583" s="1" t="str">
        <f t="shared" si="9"/>
        <v/>
      </c>
      <c r="B5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4" spans="1:2" x14ac:dyDescent="0.3">
      <c r="A584" s="1" t="str">
        <f t="shared" si="9"/>
        <v/>
      </c>
      <c r="B5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5" spans="1:2" x14ac:dyDescent="0.3">
      <c r="A585" s="1" t="str">
        <f t="shared" si="9"/>
        <v/>
      </c>
      <c r="B5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6" spans="1:2" x14ac:dyDescent="0.3">
      <c r="A586" s="1" t="str">
        <f t="shared" si="9"/>
        <v/>
      </c>
      <c r="B5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7" spans="1:2" x14ac:dyDescent="0.3">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8" spans="1:2" x14ac:dyDescent="0.3">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9" spans="1:2" x14ac:dyDescent="0.3">
      <c r="A589" s="1" t="str">
        <f t="shared" si="9"/>
        <v/>
      </c>
      <c r="B5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0" spans="1:2" x14ac:dyDescent="0.3">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1" spans="1:2" x14ac:dyDescent="0.3">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2" spans="1:2" x14ac:dyDescent="0.3">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3" spans="1:2" x14ac:dyDescent="0.3">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4" spans="1:2" x14ac:dyDescent="0.3">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5" spans="1:2" x14ac:dyDescent="0.3">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6" spans="1:2" x14ac:dyDescent="0.3">
      <c r="A596" s="1" t="str">
        <f t="shared" si="9"/>
        <v/>
      </c>
      <c r="B5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7" spans="1:2" x14ac:dyDescent="0.3">
      <c r="A597" s="1" t="str">
        <f t="shared" si="9"/>
        <v/>
      </c>
      <c r="B5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8" spans="1:2" x14ac:dyDescent="0.3">
      <c r="A598" s="1" t="str">
        <f t="shared" si="9"/>
        <v/>
      </c>
      <c r="B5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9" spans="1:2" x14ac:dyDescent="0.3">
      <c r="A599" s="1" t="str">
        <f t="shared" si="9"/>
        <v/>
      </c>
      <c r="B5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0" spans="1:2" x14ac:dyDescent="0.3">
      <c r="A600" s="1" t="str">
        <f t="shared" si="9"/>
        <v/>
      </c>
      <c r="B6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1" spans="1:2" x14ac:dyDescent="0.3">
      <c r="A601" s="1" t="str">
        <f t="shared" si="9"/>
        <v/>
      </c>
      <c r="B6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2" spans="1:2" x14ac:dyDescent="0.3">
      <c r="A602" s="1" t="str">
        <f t="shared" si="9"/>
        <v/>
      </c>
      <c r="B6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3" spans="1:2" x14ac:dyDescent="0.3">
      <c r="A603" s="1" t="str">
        <f t="shared" si="9"/>
        <v/>
      </c>
      <c r="B6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4" spans="1:2" x14ac:dyDescent="0.3">
      <c r="A604" s="1" t="str">
        <f t="shared" si="9"/>
        <v/>
      </c>
      <c r="B6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5" spans="1:2" x14ac:dyDescent="0.3">
      <c r="A605" s="1" t="str">
        <f t="shared" si="9"/>
        <v/>
      </c>
      <c r="B6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6" spans="1:2" x14ac:dyDescent="0.3">
      <c r="A606" s="1" t="str">
        <f t="shared" si="9"/>
        <v/>
      </c>
      <c r="B6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7" spans="1:2" x14ac:dyDescent="0.3">
      <c r="A607" s="1" t="str">
        <f t="shared" si="9"/>
        <v/>
      </c>
      <c r="B6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8" spans="1:2" x14ac:dyDescent="0.3">
      <c r="A608" s="1" t="str">
        <f t="shared" si="9"/>
        <v/>
      </c>
      <c r="B6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9" spans="1:2" x14ac:dyDescent="0.3">
      <c r="A609" s="1" t="str">
        <f t="shared" si="9"/>
        <v/>
      </c>
      <c r="B6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0" spans="1:2" x14ac:dyDescent="0.3">
      <c r="A610" s="1" t="str">
        <f t="shared" si="9"/>
        <v/>
      </c>
      <c r="B6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1" spans="1:2" x14ac:dyDescent="0.3">
      <c r="A611" s="1" t="str">
        <f t="shared" si="9"/>
        <v/>
      </c>
      <c r="B6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2" spans="1:2" x14ac:dyDescent="0.3">
      <c r="A612" s="1" t="str">
        <f t="shared" si="9"/>
        <v/>
      </c>
      <c r="B6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3" spans="1:2" x14ac:dyDescent="0.3">
      <c r="A613" s="1" t="str">
        <f t="shared" si="9"/>
        <v/>
      </c>
      <c r="B6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4" spans="1:2" x14ac:dyDescent="0.3">
      <c r="A614" s="1" t="str">
        <f t="shared" si="9"/>
        <v/>
      </c>
      <c r="B6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5" spans="1:2" x14ac:dyDescent="0.3">
      <c r="A615" s="1" t="str">
        <f t="shared" si="9"/>
        <v/>
      </c>
      <c r="B6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6" spans="1:2" x14ac:dyDescent="0.3">
      <c r="A616" s="1" t="str">
        <f t="shared" si="9"/>
        <v/>
      </c>
      <c r="B6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7" spans="1:2" x14ac:dyDescent="0.3">
      <c r="A617" s="1" t="str">
        <f t="shared" si="9"/>
        <v/>
      </c>
      <c r="B6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8" spans="1:2" x14ac:dyDescent="0.3">
      <c r="A618" s="1" t="str">
        <f t="shared" si="9"/>
        <v/>
      </c>
      <c r="B6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9" spans="1:2" x14ac:dyDescent="0.3">
      <c r="A619" s="1" t="str">
        <f t="shared" si="9"/>
        <v/>
      </c>
      <c r="B6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0" spans="1:2" x14ac:dyDescent="0.3">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1" spans="1:2" x14ac:dyDescent="0.3">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2" spans="1:2" x14ac:dyDescent="0.3">
      <c r="A622" s="1" t="str">
        <f t="shared" si="9"/>
        <v/>
      </c>
      <c r="B6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3" spans="1:2" x14ac:dyDescent="0.3">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4" spans="1:2" x14ac:dyDescent="0.3">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5" spans="1:2" x14ac:dyDescent="0.3">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6" spans="1:2" x14ac:dyDescent="0.3">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7" spans="1:2" x14ac:dyDescent="0.3">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8" spans="1:2" x14ac:dyDescent="0.3">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9" spans="1:2" x14ac:dyDescent="0.3">
      <c r="A629" s="1" t="str">
        <f t="shared" si="9"/>
        <v/>
      </c>
      <c r="B6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0" spans="1:2" x14ac:dyDescent="0.3">
      <c r="A630" s="1" t="str">
        <f t="shared" si="9"/>
        <v/>
      </c>
      <c r="B6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1" spans="1:2" x14ac:dyDescent="0.3">
      <c r="A631" s="1" t="str">
        <f t="shared" si="9"/>
        <v/>
      </c>
      <c r="B6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2" spans="1:2" x14ac:dyDescent="0.3">
      <c r="A632" s="1" t="str">
        <f t="shared" si="9"/>
        <v/>
      </c>
      <c r="B6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3" spans="1:2" x14ac:dyDescent="0.3">
      <c r="A633" s="1" t="str">
        <f t="shared" si="9"/>
        <v/>
      </c>
      <c r="B6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4" spans="1:2" x14ac:dyDescent="0.3">
      <c r="A634" s="1" t="str">
        <f t="shared" si="9"/>
        <v/>
      </c>
      <c r="B6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5" spans="1:2" x14ac:dyDescent="0.3">
      <c r="A635" s="1" t="str">
        <f t="shared" si="9"/>
        <v/>
      </c>
      <c r="B6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6" spans="1:2" x14ac:dyDescent="0.3">
      <c r="A636" s="1" t="str">
        <f t="shared" si="9"/>
        <v/>
      </c>
      <c r="B6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7" spans="1:2" x14ac:dyDescent="0.3">
      <c r="A637" s="1" t="str">
        <f t="shared" si="9"/>
        <v/>
      </c>
      <c r="B6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8" spans="1:2" x14ac:dyDescent="0.3">
      <c r="A638" s="1" t="str">
        <f t="shared" si="9"/>
        <v/>
      </c>
      <c r="B6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9" spans="1:2" x14ac:dyDescent="0.3">
      <c r="A639" s="1" t="str">
        <f t="shared" si="9"/>
        <v/>
      </c>
      <c r="B6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0" spans="1:2" x14ac:dyDescent="0.3">
      <c r="A640" s="1" t="str">
        <f t="shared" si="9"/>
        <v/>
      </c>
      <c r="B6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1" spans="1:2" x14ac:dyDescent="0.3">
      <c r="A641" s="1" t="str">
        <f t="shared" si="9"/>
        <v/>
      </c>
      <c r="B6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2" spans="1:2" x14ac:dyDescent="0.3">
      <c r="A642" s="1" t="str">
        <f t="shared" ref="A642:A705" si="10">IFERROR(LEFT(RIGHT(C642,LEN(C642)-SEARCH("@",C642)),SEARCH("/",RIGHT(C642,LEN(C642)-SEARCH("@",C642)-1))),"")</f>
        <v/>
      </c>
      <c r="B6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3" spans="1:2" x14ac:dyDescent="0.3">
      <c r="A643" s="1" t="str">
        <f t="shared" si="10"/>
        <v/>
      </c>
      <c r="B6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4" spans="1:2" x14ac:dyDescent="0.3">
      <c r="A644" s="1" t="str">
        <f t="shared" si="10"/>
        <v/>
      </c>
      <c r="B6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5" spans="1:2" x14ac:dyDescent="0.3">
      <c r="A645" s="1" t="str">
        <f t="shared" si="10"/>
        <v/>
      </c>
      <c r="B6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6" spans="1:2" x14ac:dyDescent="0.3">
      <c r="A646" s="1" t="str">
        <f t="shared" si="10"/>
        <v/>
      </c>
      <c r="B6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7" spans="1:2" x14ac:dyDescent="0.3">
      <c r="A647" s="1" t="str">
        <f t="shared" si="10"/>
        <v/>
      </c>
      <c r="B6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8" spans="1:2" x14ac:dyDescent="0.3">
      <c r="A648" s="1" t="str">
        <f t="shared" si="10"/>
        <v/>
      </c>
      <c r="B6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9" spans="1:2" x14ac:dyDescent="0.3">
      <c r="A649" s="1" t="str">
        <f t="shared" si="10"/>
        <v/>
      </c>
      <c r="B6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0" spans="1:2" x14ac:dyDescent="0.3">
      <c r="A650" s="1" t="str">
        <f t="shared" si="10"/>
        <v/>
      </c>
      <c r="B6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1" spans="1:2" x14ac:dyDescent="0.3">
      <c r="A651" s="1" t="str">
        <f t="shared" si="10"/>
        <v/>
      </c>
      <c r="B6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2" spans="1:2" x14ac:dyDescent="0.3">
      <c r="A652" s="1" t="str">
        <f t="shared" si="10"/>
        <v/>
      </c>
      <c r="B6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3" spans="1:2" x14ac:dyDescent="0.3">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4" spans="1:2" x14ac:dyDescent="0.3">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5" spans="1:2" x14ac:dyDescent="0.3">
      <c r="A655" s="1" t="str">
        <f t="shared" si="10"/>
        <v/>
      </c>
      <c r="B6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6" spans="1:2" x14ac:dyDescent="0.3">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7" spans="1:2" x14ac:dyDescent="0.3">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8" spans="1:2" x14ac:dyDescent="0.3">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9" spans="1:2" x14ac:dyDescent="0.3">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0" spans="1:2" x14ac:dyDescent="0.3">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1" spans="1:2" x14ac:dyDescent="0.3">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2" spans="1:2" x14ac:dyDescent="0.3">
      <c r="A662" s="1" t="str">
        <f t="shared" si="10"/>
        <v/>
      </c>
      <c r="B6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3" spans="1:2" x14ac:dyDescent="0.3">
      <c r="A663" s="1" t="str">
        <f t="shared" si="10"/>
        <v/>
      </c>
      <c r="B6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4" spans="1:2" x14ac:dyDescent="0.3">
      <c r="A664" s="1" t="str">
        <f t="shared" si="10"/>
        <v/>
      </c>
      <c r="B6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5" spans="1:2" x14ac:dyDescent="0.3">
      <c r="A665" s="1" t="str">
        <f t="shared" si="10"/>
        <v/>
      </c>
      <c r="B6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6" spans="1:2" x14ac:dyDescent="0.3">
      <c r="A666" s="1" t="str">
        <f t="shared" si="10"/>
        <v/>
      </c>
      <c r="B6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7" spans="1:2" x14ac:dyDescent="0.3">
      <c r="A667" s="1" t="str">
        <f t="shared" si="10"/>
        <v/>
      </c>
      <c r="B6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8" spans="1:2" x14ac:dyDescent="0.3">
      <c r="A668" s="1" t="str">
        <f t="shared" si="10"/>
        <v/>
      </c>
      <c r="B6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9" spans="1:2" x14ac:dyDescent="0.3">
      <c r="A669" s="1" t="str">
        <f t="shared" si="10"/>
        <v/>
      </c>
      <c r="B6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0" spans="1:2" x14ac:dyDescent="0.3">
      <c r="A670" s="1" t="str">
        <f t="shared" si="10"/>
        <v/>
      </c>
      <c r="B6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1" spans="1:2" x14ac:dyDescent="0.3">
      <c r="A671" s="1" t="str">
        <f t="shared" si="10"/>
        <v/>
      </c>
      <c r="B6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2" spans="1:2" x14ac:dyDescent="0.3">
      <c r="A672" s="1" t="str">
        <f t="shared" si="10"/>
        <v/>
      </c>
      <c r="B6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3" spans="1:2" x14ac:dyDescent="0.3">
      <c r="A673" s="1" t="str">
        <f t="shared" si="10"/>
        <v/>
      </c>
      <c r="B6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4" spans="1:2" x14ac:dyDescent="0.3">
      <c r="A674" s="1" t="str">
        <f t="shared" si="10"/>
        <v/>
      </c>
      <c r="B6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5" spans="1:2" x14ac:dyDescent="0.3">
      <c r="A675" s="1" t="str">
        <f t="shared" si="10"/>
        <v/>
      </c>
      <c r="B6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6" spans="1:2" x14ac:dyDescent="0.3">
      <c r="A676" s="1" t="str">
        <f t="shared" si="10"/>
        <v/>
      </c>
      <c r="B6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7" spans="1:2" x14ac:dyDescent="0.3">
      <c r="A677" s="1" t="str">
        <f t="shared" si="10"/>
        <v/>
      </c>
      <c r="B6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8" spans="1:2" x14ac:dyDescent="0.3">
      <c r="A678" s="1" t="str">
        <f t="shared" si="10"/>
        <v/>
      </c>
      <c r="B6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9" spans="1:2" x14ac:dyDescent="0.3">
      <c r="A679" s="1" t="str">
        <f t="shared" si="10"/>
        <v/>
      </c>
      <c r="B6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0" spans="1:2" x14ac:dyDescent="0.3">
      <c r="A680" s="1" t="str">
        <f t="shared" si="10"/>
        <v/>
      </c>
      <c r="B6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1" spans="1:2" x14ac:dyDescent="0.3">
      <c r="A681" s="1" t="str">
        <f t="shared" si="10"/>
        <v/>
      </c>
      <c r="B6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2" spans="1:2" x14ac:dyDescent="0.3">
      <c r="A682" s="1" t="str">
        <f t="shared" si="10"/>
        <v/>
      </c>
      <c r="B6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3" spans="1:2" x14ac:dyDescent="0.3">
      <c r="A683" s="1" t="str">
        <f t="shared" si="10"/>
        <v/>
      </c>
      <c r="B6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4" spans="1:2" x14ac:dyDescent="0.3">
      <c r="A684" s="1" t="str">
        <f t="shared" si="10"/>
        <v/>
      </c>
      <c r="B6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5" spans="1:2" x14ac:dyDescent="0.3">
      <c r="A685" s="1" t="str">
        <f t="shared" si="10"/>
        <v/>
      </c>
      <c r="B6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6" spans="1:2" x14ac:dyDescent="0.3">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7" spans="1:2" x14ac:dyDescent="0.3">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8" spans="1:2" x14ac:dyDescent="0.3">
      <c r="A688" s="1" t="str">
        <f t="shared" si="10"/>
        <v/>
      </c>
      <c r="B6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9" spans="1:2" x14ac:dyDescent="0.3">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0" spans="1:2" x14ac:dyDescent="0.3">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2" x14ac:dyDescent="0.3">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2" x14ac:dyDescent="0.3">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2" x14ac:dyDescent="0.3">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2" x14ac:dyDescent="0.3">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2" x14ac:dyDescent="0.3">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2" x14ac:dyDescent="0.3">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2" x14ac:dyDescent="0.3">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2" x14ac:dyDescent="0.3">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2" x14ac:dyDescent="0.3">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2" x14ac:dyDescent="0.3">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2" x14ac:dyDescent="0.3">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2" x14ac:dyDescent="0.3">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2" x14ac:dyDescent="0.3">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2" x14ac:dyDescent="0.3">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B11:K11 M11:XFD11 A1:J2 EO1:XFD10 B12:XFD13 K1:L4 A1532:XFD1048576 M14:XFD19 K6:L6 B14:J19 K5 B3:J10 B20:XFD1531 A3:A1531">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abSelected="1" topLeftCell="J1" zoomScale="70" zoomScaleNormal="70" zoomScaleSheetLayoutView="40" zoomScalePageLayoutView="30" workbookViewId="0">
      <selection activeCell="N19" sqref="N19"/>
    </sheetView>
  </sheetViews>
  <sheetFormatPr defaultColWidth="9.21875" defaultRowHeight="14.4" x14ac:dyDescent="0.3"/>
  <cols>
    <col min="1" max="1" width="33.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1.77734375" style="1" customWidth="1"/>
    <col min="15" max="15" width="14.77734375" style="1" customWidth="1"/>
    <col min="16" max="16" width="17.77734375" style="1" customWidth="1"/>
    <col min="17" max="18" width="25.77734375" style="1" bestFit="1" customWidth="1"/>
    <col min="19" max="22" width="25.77734375" style="1" customWidth="1"/>
    <col min="23" max="16384" width="9.21875" style="1"/>
  </cols>
  <sheetData>
    <row r="1" spans="1:22" ht="26.4" thickBot="1" x14ac:dyDescent="0.55000000000000004">
      <c r="A1" s="213" t="s">
        <v>43</v>
      </c>
      <c r="B1" s="214"/>
      <c r="C1" s="214"/>
      <c r="D1" s="214"/>
      <c r="E1" s="214"/>
      <c r="F1" s="214"/>
      <c r="G1" s="214"/>
      <c r="H1" s="214"/>
      <c r="I1" s="214"/>
      <c r="J1" s="214"/>
      <c r="K1" s="214"/>
      <c r="L1" s="214"/>
      <c r="M1" s="214"/>
      <c r="N1" s="214"/>
      <c r="O1" s="214"/>
      <c r="P1" s="214"/>
      <c r="Q1" s="214"/>
      <c r="R1" s="214"/>
      <c r="S1" s="214"/>
      <c r="T1" s="214"/>
      <c r="U1" s="214"/>
      <c r="V1" s="214"/>
    </row>
    <row r="2" spans="1:22" customFormat="1" ht="15" thickBot="1" x14ac:dyDescent="0.35"/>
    <row r="3" spans="1:22" ht="15" thickBot="1" x14ac:dyDescent="0.35">
      <c r="A3" s="51" t="s">
        <v>18</v>
      </c>
      <c r="B3" s="221" t="s">
        <v>6</v>
      </c>
      <c r="C3" s="222"/>
      <c r="D3" s="222"/>
      <c r="E3" s="222"/>
      <c r="F3" s="222"/>
      <c r="G3" s="222"/>
      <c r="H3" s="222"/>
      <c r="I3" s="222"/>
      <c r="J3" s="222"/>
      <c r="K3" s="222"/>
      <c r="L3" s="222"/>
      <c r="M3" s="222"/>
      <c r="O3" s="221" t="s">
        <v>3</v>
      </c>
      <c r="P3" s="222"/>
      <c r="Q3" s="222"/>
      <c r="R3" s="222"/>
      <c r="S3" s="222"/>
      <c r="T3" s="222"/>
      <c r="U3" s="222"/>
      <c r="V3" s="222"/>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Testosterone-3.7µg/L</v>
      </c>
      <c r="J4" s="35" t="str">
        <f>'Page de garde'!A16</f>
        <v>Testosterone-11µg/L</v>
      </c>
      <c r="K4" s="35" t="str">
        <f>'Page de garde'!A17</f>
        <v>Testosterone-33µg/L</v>
      </c>
      <c r="L4" s="35" t="str">
        <f>'Page de garde'!A18</f>
        <v>Testosterone-100µg/L</v>
      </c>
      <c r="M4" s="35" t="str">
        <f>'Page de garde'!A19</f>
        <v>Testosterone-300µg/L</v>
      </c>
      <c r="N4" s="3"/>
      <c r="O4" s="36" t="str">
        <f>'Page de garde'!A36</f>
        <v>Testo -30µg/L</v>
      </c>
      <c r="P4" s="36" t="str">
        <f>'Page de garde'!A37</f>
        <v>Testo 30µg/L + EE2 -64ng/L</v>
      </c>
      <c r="Q4" s="36" t="str">
        <f>'Page de garde'!A38</f>
        <v>Testo 30µg/L + FAD-10µg/L</v>
      </c>
      <c r="R4" s="36" t="str">
        <f>'Page de garde'!A39</f>
        <v>Testosterone-3.7µg/L + Testostérone</v>
      </c>
      <c r="S4" s="36" t="str">
        <f>'Page de garde'!A40</f>
        <v>Testosterone-11µg/L + Testostérone</v>
      </c>
      <c r="T4" s="36" t="str">
        <f>'Page de garde'!A41</f>
        <v>Testosterone-33µg/L + Testostérone</v>
      </c>
      <c r="U4" s="36" t="str">
        <f>'Page de garde'!A42</f>
        <v>Testosterone-100µg/L + Testostérone</v>
      </c>
      <c r="V4" s="36" t="str">
        <f>'Page de garde'!A43</f>
        <v>Testosterone-300µg/L + Testostérone</v>
      </c>
    </row>
    <row r="5" spans="1:22" x14ac:dyDescent="0.3">
      <c r="A5" s="223" t="s">
        <v>33</v>
      </c>
      <c r="B5" s="32">
        <v>20425</v>
      </c>
      <c r="C5" s="32">
        <v>5266</v>
      </c>
      <c r="D5" s="32">
        <v>20553</v>
      </c>
      <c r="E5" s="32">
        <v>128302</v>
      </c>
      <c r="F5" s="32">
        <v>2580598</v>
      </c>
      <c r="G5" s="32">
        <v>3454849</v>
      </c>
      <c r="H5" s="32">
        <v>11408250</v>
      </c>
      <c r="I5" s="32">
        <v>12678</v>
      </c>
      <c r="J5" s="32">
        <v>3178</v>
      </c>
      <c r="K5" s="13">
        <v>64726</v>
      </c>
      <c r="L5" s="13">
        <v>9528</v>
      </c>
      <c r="M5" s="13">
        <v>1187973</v>
      </c>
      <c r="N5" s="3"/>
      <c r="O5" s="32">
        <v>194963</v>
      </c>
      <c r="P5" s="13">
        <v>6070749</v>
      </c>
      <c r="Q5" s="13">
        <v>75076</v>
      </c>
      <c r="R5" s="32">
        <v>25337</v>
      </c>
      <c r="S5" s="32">
        <v>20568</v>
      </c>
      <c r="T5" s="32">
        <v>2725958</v>
      </c>
      <c r="U5" s="32">
        <v>2290105</v>
      </c>
      <c r="V5" s="32">
        <v>64940</v>
      </c>
    </row>
    <row r="6" spans="1:22" ht="16.8" x14ac:dyDescent="0.3">
      <c r="A6" s="223"/>
      <c r="B6" s="14">
        <v>32635</v>
      </c>
      <c r="C6" s="13">
        <v>5201</v>
      </c>
      <c r="D6" s="32">
        <v>96829</v>
      </c>
      <c r="E6" s="32">
        <v>66856</v>
      </c>
      <c r="F6" s="32">
        <v>885196</v>
      </c>
      <c r="G6" s="32">
        <v>3028557</v>
      </c>
      <c r="H6" s="32">
        <v>5936158</v>
      </c>
      <c r="I6" s="32">
        <v>25</v>
      </c>
      <c r="J6" s="32">
        <v>4517</v>
      </c>
      <c r="K6" s="13">
        <v>8635</v>
      </c>
      <c r="L6" s="13">
        <v>776466</v>
      </c>
      <c r="M6" s="13">
        <v>49833</v>
      </c>
      <c r="N6" s="3"/>
      <c r="O6" s="32">
        <v>1134466</v>
      </c>
      <c r="P6" s="13">
        <v>8310940</v>
      </c>
      <c r="Q6" s="13">
        <v>157</v>
      </c>
      <c r="R6" s="32">
        <v>1226701</v>
      </c>
      <c r="S6" s="32">
        <v>9067</v>
      </c>
      <c r="T6" s="32">
        <v>3131689</v>
      </c>
      <c r="U6" s="32">
        <v>103088</v>
      </c>
      <c r="V6" s="32">
        <v>2777103</v>
      </c>
    </row>
    <row r="7" spans="1:22" ht="16.8" x14ac:dyDescent="0.3">
      <c r="A7" s="223"/>
      <c r="B7" s="14">
        <v>1139</v>
      </c>
      <c r="C7" s="13">
        <v>28796</v>
      </c>
      <c r="D7" s="32">
        <v>28299</v>
      </c>
      <c r="E7" s="32">
        <v>179643</v>
      </c>
      <c r="F7" s="32">
        <v>871190</v>
      </c>
      <c r="G7" s="32">
        <v>1398458</v>
      </c>
      <c r="H7" s="32">
        <v>8722663</v>
      </c>
      <c r="I7" s="32">
        <v>14830</v>
      </c>
      <c r="J7" s="32">
        <v>36612</v>
      </c>
      <c r="K7" s="13">
        <v>0</v>
      </c>
      <c r="L7" s="13">
        <v>816367</v>
      </c>
      <c r="M7" s="13">
        <v>739531</v>
      </c>
      <c r="N7" s="3"/>
      <c r="O7" s="32">
        <v>243058</v>
      </c>
      <c r="P7" s="13">
        <v>11367047</v>
      </c>
      <c r="Q7" s="13">
        <v>2464</v>
      </c>
      <c r="R7" s="32">
        <v>1531</v>
      </c>
      <c r="S7" s="32">
        <v>508711</v>
      </c>
      <c r="T7" s="32">
        <v>1663880</v>
      </c>
      <c r="U7" s="32">
        <v>139923</v>
      </c>
      <c r="V7" s="32">
        <v>499625</v>
      </c>
    </row>
    <row r="8" spans="1:22" ht="16.8" x14ac:dyDescent="0.3">
      <c r="A8" s="223"/>
      <c r="B8" s="14">
        <v>30470</v>
      </c>
      <c r="C8" s="13">
        <v>370</v>
      </c>
      <c r="D8" s="32">
        <v>2034472</v>
      </c>
      <c r="E8" s="32">
        <v>30966</v>
      </c>
      <c r="F8" s="32">
        <v>2085460</v>
      </c>
      <c r="G8" s="32">
        <v>2681815</v>
      </c>
      <c r="H8" s="32">
        <v>3792581</v>
      </c>
      <c r="I8" s="32">
        <v>3553</v>
      </c>
      <c r="J8" s="32">
        <v>64338</v>
      </c>
      <c r="K8" s="13">
        <v>493625</v>
      </c>
      <c r="L8" s="13">
        <v>429</v>
      </c>
      <c r="M8" s="13">
        <v>2222638</v>
      </c>
      <c r="N8" s="3"/>
      <c r="O8" s="32">
        <v>15329</v>
      </c>
      <c r="P8" s="13">
        <v>2918381</v>
      </c>
      <c r="Q8" s="13">
        <v>7204</v>
      </c>
      <c r="R8" s="32">
        <v>18764</v>
      </c>
      <c r="S8" s="32">
        <v>2264719</v>
      </c>
      <c r="T8" s="32">
        <v>746616</v>
      </c>
      <c r="U8" s="32">
        <v>824251</v>
      </c>
      <c r="V8" s="32">
        <v>132650</v>
      </c>
    </row>
    <row r="9" spans="1:22" ht="16.8" x14ac:dyDescent="0.3">
      <c r="A9" s="223"/>
      <c r="B9" s="14">
        <v>6298</v>
      </c>
      <c r="C9" s="13">
        <v>1971</v>
      </c>
      <c r="D9" s="32">
        <v>39163</v>
      </c>
      <c r="E9" s="32">
        <v>3075288</v>
      </c>
      <c r="F9" s="32">
        <v>1300276</v>
      </c>
      <c r="G9" s="32">
        <v>2910091</v>
      </c>
      <c r="H9" s="32">
        <v>4361678</v>
      </c>
      <c r="I9" s="32">
        <v>12271</v>
      </c>
      <c r="J9" s="32">
        <v>9136</v>
      </c>
      <c r="K9" s="13">
        <v>781836</v>
      </c>
      <c r="L9" s="13"/>
      <c r="M9" s="13">
        <v>1605</v>
      </c>
      <c r="N9" s="3"/>
      <c r="O9" s="32">
        <v>670341</v>
      </c>
      <c r="P9" s="13">
        <v>3507096</v>
      </c>
      <c r="Q9" s="13">
        <v>17771</v>
      </c>
      <c r="R9" s="32">
        <v>219783</v>
      </c>
      <c r="S9" s="32">
        <v>28577</v>
      </c>
      <c r="T9" s="32">
        <v>2773585</v>
      </c>
      <c r="U9" s="32">
        <v>1301583</v>
      </c>
      <c r="V9" s="32">
        <v>1888787</v>
      </c>
    </row>
    <row r="10" spans="1:22" ht="16.8" x14ac:dyDescent="0.3">
      <c r="A10" s="223"/>
      <c r="B10" s="14">
        <v>21291</v>
      </c>
      <c r="C10" s="13">
        <v>28</v>
      </c>
      <c r="D10" s="32">
        <v>10345</v>
      </c>
      <c r="E10" s="32">
        <v>16916</v>
      </c>
      <c r="F10" s="32">
        <v>1004811</v>
      </c>
      <c r="G10" s="32">
        <v>1903433</v>
      </c>
      <c r="H10" s="32">
        <v>6052165</v>
      </c>
      <c r="I10" s="32">
        <v>86029</v>
      </c>
      <c r="J10" s="32">
        <v>7114</v>
      </c>
      <c r="K10" s="13">
        <v>498720</v>
      </c>
      <c r="L10" s="13"/>
      <c r="M10" s="13">
        <v>0</v>
      </c>
      <c r="N10" s="3"/>
      <c r="O10" s="32">
        <v>1195331</v>
      </c>
      <c r="P10" s="13">
        <v>4729680</v>
      </c>
      <c r="Q10" s="13">
        <v>29626</v>
      </c>
      <c r="R10" s="32">
        <v>150548</v>
      </c>
      <c r="S10" s="32">
        <v>3249586</v>
      </c>
      <c r="T10" s="32">
        <v>1564504</v>
      </c>
      <c r="U10" s="32">
        <v>3088702</v>
      </c>
      <c r="V10" s="32">
        <v>895730</v>
      </c>
    </row>
    <row r="11" spans="1:22" ht="16.8" x14ac:dyDescent="0.3">
      <c r="A11" s="223"/>
      <c r="B11" s="14">
        <v>2065</v>
      </c>
      <c r="C11" s="13">
        <v>130</v>
      </c>
      <c r="D11" s="32">
        <v>53999</v>
      </c>
      <c r="E11" s="32">
        <v>349294</v>
      </c>
      <c r="F11" s="32">
        <v>150975</v>
      </c>
      <c r="G11" s="32">
        <v>3809116</v>
      </c>
      <c r="H11" s="32"/>
      <c r="I11" s="32">
        <v>4470</v>
      </c>
      <c r="J11" s="32">
        <v>31923</v>
      </c>
      <c r="K11" s="13">
        <v>746</v>
      </c>
      <c r="L11" s="13"/>
      <c r="M11" s="13">
        <v>1682282</v>
      </c>
      <c r="N11" s="3"/>
      <c r="O11" s="32">
        <v>30683</v>
      </c>
      <c r="P11" s="13">
        <v>10342504</v>
      </c>
      <c r="Q11" s="13">
        <v>11046</v>
      </c>
      <c r="R11" s="32">
        <v>16306</v>
      </c>
      <c r="S11" s="32">
        <v>10449</v>
      </c>
      <c r="T11" s="32">
        <v>2227353</v>
      </c>
      <c r="U11" s="32">
        <v>291</v>
      </c>
      <c r="V11" s="32">
        <v>809248</v>
      </c>
    </row>
    <row r="12" spans="1:22" ht="16.8" x14ac:dyDescent="0.3">
      <c r="A12" s="223"/>
      <c r="B12" s="14"/>
      <c r="C12" s="13">
        <v>580662</v>
      </c>
      <c r="D12" s="32">
        <v>52353</v>
      </c>
      <c r="E12" s="32"/>
      <c r="F12" s="32"/>
      <c r="G12" s="32"/>
      <c r="H12" s="32"/>
      <c r="I12" s="32">
        <v>9746</v>
      </c>
      <c r="J12" s="32">
        <v>54756</v>
      </c>
      <c r="K12" s="13">
        <v>5836</v>
      </c>
      <c r="L12" s="13"/>
      <c r="M12" s="13">
        <v>397016</v>
      </c>
      <c r="N12" s="3"/>
      <c r="O12" s="32">
        <v>642339</v>
      </c>
      <c r="P12" s="13">
        <v>10194498</v>
      </c>
      <c r="Q12" s="13">
        <v>24173</v>
      </c>
      <c r="R12" s="32">
        <v>48699</v>
      </c>
      <c r="S12" s="32">
        <v>8543</v>
      </c>
      <c r="T12" s="32">
        <v>1727947</v>
      </c>
      <c r="U12" s="32">
        <v>1915141</v>
      </c>
      <c r="V12" s="32"/>
    </row>
    <row r="13" spans="1:22" ht="16.8" x14ac:dyDescent="0.3">
      <c r="A13" s="223"/>
      <c r="B13" s="14"/>
      <c r="C13" s="13"/>
      <c r="D13" s="32"/>
      <c r="E13" s="32"/>
      <c r="F13" s="32"/>
      <c r="G13" s="32"/>
      <c r="H13" s="32"/>
      <c r="I13" s="32"/>
      <c r="J13" s="32"/>
      <c r="K13" s="13"/>
      <c r="L13" s="13"/>
      <c r="M13" s="13"/>
      <c r="N13" s="3"/>
      <c r="O13" s="32">
        <v>5320920</v>
      </c>
      <c r="P13" s="13"/>
      <c r="Q13" s="13"/>
      <c r="R13" s="32"/>
      <c r="S13" s="32"/>
      <c r="T13" s="32"/>
      <c r="U13" s="32"/>
      <c r="V13" s="32"/>
    </row>
    <row r="14" spans="1:22" ht="16.8" x14ac:dyDescent="0.3">
      <c r="A14" s="223"/>
      <c r="B14" s="14"/>
      <c r="C14" s="32"/>
      <c r="D14" s="32"/>
      <c r="E14" s="32"/>
      <c r="F14" s="32"/>
      <c r="G14" s="32"/>
      <c r="H14" s="32"/>
      <c r="I14" s="32"/>
      <c r="J14" s="32"/>
      <c r="K14" s="13"/>
      <c r="L14" s="13"/>
      <c r="M14" s="13"/>
      <c r="N14" s="3"/>
      <c r="O14" s="32">
        <v>6723</v>
      </c>
      <c r="P14" s="13"/>
      <c r="Q14" s="13"/>
      <c r="R14" s="32"/>
      <c r="S14" s="32"/>
      <c r="T14" s="32"/>
      <c r="U14" s="32"/>
      <c r="V14" s="32"/>
    </row>
    <row r="15" spans="1:22" ht="16.8" x14ac:dyDescent="0.3">
      <c r="A15" s="223"/>
      <c r="B15" s="14"/>
      <c r="C15" s="32"/>
      <c r="D15" s="32"/>
      <c r="E15" s="32"/>
      <c r="F15" s="32"/>
      <c r="G15" s="32"/>
      <c r="H15" s="32"/>
      <c r="I15" s="32"/>
      <c r="J15" s="32"/>
      <c r="K15" s="13"/>
      <c r="L15" s="13"/>
      <c r="M15" s="13"/>
      <c r="N15" s="3"/>
      <c r="O15" s="32">
        <v>125073</v>
      </c>
      <c r="P15" s="13"/>
      <c r="Q15" s="13"/>
      <c r="R15" s="32"/>
      <c r="S15" s="32"/>
      <c r="T15" s="32"/>
      <c r="U15" s="32"/>
      <c r="V15" s="32"/>
    </row>
    <row r="16" spans="1:22" ht="16.8" x14ac:dyDescent="0.3">
      <c r="A16" s="223"/>
      <c r="B16" s="14"/>
      <c r="C16" s="32"/>
      <c r="D16" s="32"/>
      <c r="E16" s="32"/>
      <c r="F16" s="32"/>
      <c r="G16" s="32"/>
      <c r="H16" s="32"/>
      <c r="I16" s="32"/>
      <c r="J16" s="32"/>
      <c r="K16" s="13"/>
      <c r="L16" s="13"/>
      <c r="M16" s="13"/>
      <c r="N16" s="3"/>
      <c r="O16" s="32">
        <v>1072115</v>
      </c>
      <c r="P16" s="13"/>
      <c r="Q16" s="13"/>
      <c r="R16" s="32"/>
      <c r="S16" s="32"/>
      <c r="T16" s="32"/>
      <c r="U16" s="32"/>
      <c r="V16" s="32"/>
    </row>
    <row r="17" spans="1:22" ht="16.8" x14ac:dyDescent="0.3">
      <c r="A17" s="223"/>
      <c r="B17" s="14"/>
      <c r="C17" s="32"/>
      <c r="D17" s="32"/>
      <c r="E17" s="32"/>
      <c r="F17" s="32"/>
      <c r="G17" s="32"/>
      <c r="H17" s="32"/>
      <c r="I17" s="32"/>
      <c r="J17" s="32"/>
      <c r="K17" s="13"/>
      <c r="L17" s="13"/>
      <c r="M17" s="13"/>
      <c r="N17" s="3"/>
      <c r="O17" s="32">
        <v>2237625</v>
      </c>
      <c r="P17" s="13"/>
      <c r="Q17" s="13"/>
      <c r="R17" s="32"/>
      <c r="S17" s="32"/>
      <c r="T17" s="32"/>
      <c r="U17" s="32"/>
      <c r="V17" s="32"/>
    </row>
    <row r="18" spans="1:22" ht="16.8" x14ac:dyDescent="0.3">
      <c r="A18" s="223"/>
      <c r="B18" s="14"/>
      <c r="C18" s="32"/>
      <c r="D18" s="32"/>
      <c r="E18" s="32"/>
      <c r="F18" s="32"/>
      <c r="G18" s="32"/>
      <c r="H18" s="32"/>
      <c r="I18" s="32"/>
      <c r="J18" s="32"/>
      <c r="K18" s="13"/>
      <c r="L18" s="13"/>
      <c r="M18" s="13"/>
      <c r="N18" s="3"/>
      <c r="O18" s="32">
        <v>695941</v>
      </c>
      <c r="P18" s="13"/>
      <c r="Q18" s="13"/>
      <c r="R18" s="32"/>
      <c r="S18" s="32"/>
      <c r="T18" s="32"/>
      <c r="U18" s="32"/>
      <c r="V18" s="32"/>
    </row>
    <row r="19" spans="1:22" ht="16.8" x14ac:dyDescent="0.3">
      <c r="A19" s="223"/>
      <c r="B19" s="14"/>
      <c r="C19" s="32"/>
      <c r="D19" s="32"/>
      <c r="E19" s="32"/>
      <c r="F19" s="32"/>
      <c r="G19" s="32"/>
      <c r="H19" s="32"/>
      <c r="I19" s="32"/>
      <c r="J19" s="32"/>
      <c r="K19" s="13"/>
      <c r="L19" s="13"/>
      <c r="M19" s="13"/>
      <c r="N19" s="3"/>
      <c r="O19" s="32">
        <v>2663838</v>
      </c>
      <c r="P19" s="13"/>
      <c r="Q19" s="13"/>
      <c r="R19" s="32"/>
      <c r="S19" s="32"/>
      <c r="T19" s="32"/>
      <c r="U19" s="32"/>
      <c r="V19" s="32"/>
    </row>
    <row r="20" spans="1:22" ht="16.8" x14ac:dyDescent="0.3">
      <c r="A20" s="223"/>
      <c r="B20" s="14"/>
      <c r="C20" s="32"/>
      <c r="D20" s="32"/>
      <c r="E20" s="32"/>
      <c r="F20" s="32"/>
      <c r="G20" s="32"/>
      <c r="H20" s="32"/>
      <c r="I20" s="32"/>
      <c r="J20" s="32"/>
      <c r="K20" s="13"/>
      <c r="L20" s="13"/>
      <c r="M20" s="13"/>
      <c r="N20" s="3"/>
      <c r="O20" s="32"/>
      <c r="P20" s="13"/>
      <c r="Q20" s="13"/>
      <c r="R20" s="32"/>
      <c r="S20" s="32"/>
      <c r="T20" s="32"/>
      <c r="U20" s="32"/>
      <c r="V20" s="32"/>
    </row>
    <row r="21" spans="1:22" x14ac:dyDescent="0.3">
      <c r="A21" s="3"/>
      <c r="B21" s="7"/>
      <c r="C21" s="7"/>
      <c r="D21" s="7"/>
      <c r="E21" s="7"/>
      <c r="F21" s="7"/>
      <c r="G21" s="7"/>
      <c r="H21" s="7"/>
      <c r="I21" s="7"/>
      <c r="J21" s="7"/>
      <c r="N21" s="3"/>
      <c r="O21" s="7"/>
      <c r="R21" s="7"/>
      <c r="S21" s="7"/>
      <c r="T21" s="7"/>
      <c r="U21" s="7"/>
      <c r="V21" s="7"/>
    </row>
    <row r="22" spans="1:22" x14ac:dyDescent="0.3">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Testosterone-3.7µg/L</v>
      </c>
      <c r="J22" s="3" t="str">
        <f t="shared" si="0"/>
        <v>Testosterone-11µg/L</v>
      </c>
      <c r="K22" s="3" t="str">
        <f t="shared" si="0"/>
        <v>Testosterone-33µg/L</v>
      </c>
      <c r="L22" s="3" t="str">
        <f t="shared" si="0"/>
        <v>Testosterone-100µg/L</v>
      </c>
      <c r="M22" s="3" t="str">
        <f t="shared" si="0"/>
        <v>Testosterone-300µg/L</v>
      </c>
      <c r="N22" s="3" t="s">
        <v>41</v>
      </c>
      <c r="O22" s="3" t="str">
        <f t="shared" si="0"/>
        <v>Testo -30µg/L</v>
      </c>
      <c r="P22" s="3" t="str">
        <f t="shared" si="0"/>
        <v>Testo 30µg/L + EE2 -64ng/L</v>
      </c>
      <c r="Q22" s="3" t="str">
        <f t="shared" si="0"/>
        <v>Testo 30µg/L + FAD-10µg/L</v>
      </c>
      <c r="R22" s="3" t="str">
        <f t="shared" si="0"/>
        <v>Testosterone-3.7µg/L + Testostérone</v>
      </c>
      <c r="S22" s="3" t="str">
        <f t="shared" si="0"/>
        <v>Testosterone-11µg/L + Testostérone</v>
      </c>
      <c r="T22" s="3" t="str">
        <f t="shared" si="0"/>
        <v>Testosterone-33µg/L + Testostérone</v>
      </c>
      <c r="U22" s="3" t="str">
        <f t="shared" si="0"/>
        <v>Testosterone-100µg/L + Testostérone</v>
      </c>
      <c r="V22" s="3" t="str">
        <f t="shared" si="0"/>
        <v>Testosterone-300µg/L + Testostérone</v>
      </c>
    </row>
    <row r="23" spans="1:22" x14ac:dyDescent="0.3">
      <c r="A23" s="5" t="s">
        <v>0</v>
      </c>
      <c r="B23" s="5">
        <f t="shared" ref="B23:J23" si="1">AVERAGE(B5:B20)</f>
        <v>16331.857142857143</v>
      </c>
      <c r="C23" s="5">
        <f t="shared" si="1"/>
        <v>77803</v>
      </c>
      <c r="D23" s="5">
        <f t="shared" si="1"/>
        <v>292001.625</v>
      </c>
      <c r="E23" s="5">
        <f t="shared" si="1"/>
        <v>549609.28571428568</v>
      </c>
      <c r="F23" s="5">
        <f t="shared" si="1"/>
        <v>1268358</v>
      </c>
      <c r="G23" s="5">
        <f t="shared" si="1"/>
        <v>2740902.7142857141</v>
      </c>
      <c r="H23" s="5">
        <f t="shared" si="1"/>
        <v>6712249.166666667</v>
      </c>
      <c r="I23" s="5">
        <f t="shared" si="1"/>
        <v>17950.25</v>
      </c>
      <c r="J23" s="5">
        <f t="shared" si="1"/>
        <v>26446.75</v>
      </c>
      <c r="K23" s="5"/>
      <c r="L23" s="5">
        <f>AVERAGE(L5:L20)</f>
        <v>400697.5</v>
      </c>
      <c r="M23" s="5"/>
      <c r="N23" s="5" t="s">
        <v>0</v>
      </c>
      <c r="O23" s="5">
        <f>AVERAGE(O5:O20)</f>
        <v>1083249.6666666667</v>
      </c>
      <c r="P23" s="5">
        <f>AVERAGE(P5:P20)</f>
        <v>7180111.875</v>
      </c>
      <c r="Q23" s="5">
        <f>AVERAGE(Q5:Q20)</f>
        <v>20939.625</v>
      </c>
      <c r="R23" s="5">
        <f>AVERAGE(R5:R20)</f>
        <v>213458.625</v>
      </c>
      <c r="S23" s="5">
        <f>AVERAGE(S5:S20)</f>
        <v>762527.5</v>
      </c>
      <c r="T23" s="5">
        <f t="shared" ref="T23:V23" si="2">AVERAGE(T5:T20)</f>
        <v>2070191.5</v>
      </c>
      <c r="U23" s="5">
        <f t="shared" si="2"/>
        <v>1207885.5</v>
      </c>
      <c r="V23" s="5">
        <f t="shared" si="2"/>
        <v>1009726.1428571428</v>
      </c>
    </row>
    <row r="24" spans="1:22" x14ac:dyDescent="0.3">
      <c r="A24" s="3" t="s">
        <v>1</v>
      </c>
      <c r="B24" s="3">
        <f t="shared" ref="B24:J24" si="3">STDEV(B5:B20)</f>
        <v>13178.713119124737</v>
      </c>
      <c r="C24" s="3">
        <f t="shared" si="3"/>
        <v>203410.18866531033</v>
      </c>
      <c r="D24" s="3">
        <f t="shared" si="3"/>
        <v>704562.00471517618</v>
      </c>
      <c r="E24" s="3">
        <f t="shared" si="3"/>
        <v>1119475.9035948794</v>
      </c>
      <c r="F24" s="3">
        <f t="shared" si="3"/>
        <v>817843.25954447617</v>
      </c>
      <c r="G24" s="3">
        <f t="shared" si="3"/>
        <v>843521.71262446162</v>
      </c>
      <c r="H24" s="3">
        <f t="shared" si="3"/>
        <v>2869908.1249057031</v>
      </c>
      <c r="I24" s="3">
        <f t="shared" si="3"/>
        <v>27985.008526250011</v>
      </c>
      <c r="J24" s="3">
        <f t="shared" si="3"/>
        <v>24101.713138577634</v>
      </c>
      <c r="K24" s="3"/>
      <c r="L24" s="3">
        <f>STDEV(L5:L20)</f>
        <v>457242.29486673692</v>
      </c>
      <c r="M24" s="3"/>
      <c r="N24" s="3" t="s">
        <v>1</v>
      </c>
      <c r="O24" s="3">
        <f>STDEV(O5:O20)</f>
        <v>1417725.6286645809</v>
      </c>
      <c r="P24" s="3">
        <f>STDEV(P5:P20)</f>
        <v>3311994.29958703</v>
      </c>
      <c r="Q24" s="3">
        <f>STDEV(Q5:Q20)</f>
        <v>24161.69500284933</v>
      </c>
      <c r="R24" s="3">
        <f>STDEV(R5:R20)</f>
        <v>416598.78052799281</v>
      </c>
      <c r="S24" s="3">
        <f>STDEV(S5:S20)</f>
        <v>1270403.0158249557</v>
      </c>
      <c r="T24" s="3">
        <f t="shared" ref="T24:V24" si="4">STDEV(T5:T20)</f>
        <v>789761.36383286235</v>
      </c>
      <c r="U24" s="3">
        <f t="shared" si="4"/>
        <v>1145440.6912420839</v>
      </c>
      <c r="V24" s="3">
        <f t="shared" si="4"/>
        <v>989245.68435777177</v>
      </c>
    </row>
    <row r="25" spans="1:22" ht="15" thickBot="1" x14ac:dyDescent="0.35"/>
    <row r="26" spans="1:22" ht="15" thickBot="1" x14ac:dyDescent="0.35">
      <c r="B26" s="221" t="s">
        <v>6</v>
      </c>
      <c r="C26" s="222"/>
      <c r="D26" s="222"/>
      <c r="E26" s="222"/>
      <c r="F26" s="222"/>
      <c r="G26" s="222"/>
      <c r="H26" s="222"/>
      <c r="I26" s="222"/>
      <c r="J26" s="222"/>
      <c r="K26" s="222"/>
      <c r="L26" s="222"/>
      <c r="M26" s="222"/>
      <c r="O26" s="221" t="s">
        <v>3</v>
      </c>
      <c r="P26" s="222"/>
      <c r="Q26" s="222"/>
      <c r="R26" s="222"/>
      <c r="S26" s="222"/>
      <c r="T26" s="222"/>
      <c r="U26" s="222"/>
      <c r="V26" s="222"/>
    </row>
    <row r="27" spans="1:22" x14ac:dyDescent="0.3">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Testosterone-3.7µg/L</v>
      </c>
      <c r="J27" s="35" t="str">
        <f t="shared" si="5"/>
        <v>Testosterone-11µg/L</v>
      </c>
      <c r="K27" s="35" t="str">
        <f t="shared" si="5"/>
        <v>Testosterone-33µg/L</v>
      </c>
      <c r="L27" s="35" t="str">
        <f t="shared" si="5"/>
        <v>Testosterone-100µg/L</v>
      </c>
      <c r="M27" s="35" t="str">
        <f t="shared" si="5"/>
        <v>Testosterone-300µg/L</v>
      </c>
      <c r="N27" s="3"/>
      <c r="O27" s="36" t="str">
        <f>O4</f>
        <v>Testo -30µg/L</v>
      </c>
      <c r="P27" s="36" t="str">
        <f t="shared" ref="P27:R27" si="6">P4</f>
        <v>Testo 30µg/L + EE2 -64ng/L</v>
      </c>
      <c r="Q27" s="36" t="str">
        <f t="shared" si="6"/>
        <v>Testo 30µg/L + FAD-10µg/L</v>
      </c>
      <c r="R27" s="36" t="str">
        <f t="shared" si="6"/>
        <v>Testosterone-3.7µg/L + Testostérone</v>
      </c>
      <c r="S27" s="36" t="str">
        <f t="shared" ref="S27:V27" si="7">S4</f>
        <v>Testosterone-11µg/L + Testostérone</v>
      </c>
      <c r="T27" s="36" t="str">
        <f t="shared" si="7"/>
        <v>Testosterone-33µg/L + Testostérone</v>
      </c>
      <c r="U27" s="36" t="str">
        <f t="shared" si="7"/>
        <v>Testosterone-100µg/L + Testostérone</v>
      </c>
      <c r="V27" s="36" t="str">
        <f t="shared" si="7"/>
        <v>Testosterone-300µg/L + Testostérone</v>
      </c>
    </row>
    <row r="28" spans="1:22" x14ac:dyDescent="0.3">
      <c r="A28" s="224" t="s">
        <v>34</v>
      </c>
      <c r="B28" s="11">
        <f t="shared" ref="B28:M28" si="8">IF(B5="","",(B5/$O$23))</f>
        <v>1.8855302363351752E-2</v>
      </c>
      <c r="C28" s="11">
        <f t="shared" si="8"/>
        <v>4.8612985187471399E-3</v>
      </c>
      <c r="D28" s="11">
        <f t="shared" si="8"/>
        <v>1.897346533532282E-2</v>
      </c>
      <c r="E28" s="11">
        <f t="shared" si="8"/>
        <v>0.1184417627330603</v>
      </c>
      <c r="F28" s="11">
        <f t="shared" si="8"/>
        <v>2.3822744464264778</v>
      </c>
      <c r="G28" s="11">
        <f t="shared" si="8"/>
        <v>3.1893376996192626</v>
      </c>
      <c r="H28" s="11">
        <f t="shared" si="8"/>
        <v>10.531505663975894</v>
      </c>
      <c r="I28" s="11">
        <f t="shared" si="8"/>
        <v>1.1703673114446684E-2</v>
      </c>
      <c r="J28" s="11">
        <f t="shared" si="8"/>
        <v>2.9337650384691247E-3</v>
      </c>
      <c r="K28" s="11">
        <f t="shared" si="8"/>
        <v>5.9751691592181425E-2</v>
      </c>
      <c r="L28" s="11">
        <f t="shared" si="8"/>
        <v>8.7957562260962303E-3</v>
      </c>
      <c r="M28" s="11">
        <f t="shared" si="8"/>
        <v>1.0966751586045567</v>
      </c>
      <c r="N28" s="6"/>
      <c r="O28" s="11">
        <f t="shared" ref="O28:S37" si="9">IF(O5="","",(O5/$O$23))</f>
        <v>0.17997974612808557</v>
      </c>
      <c r="P28" s="11">
        <f t="shared" si="9"/>
        <v>5.6042011244560728</v>
      </c>
      <c r="Q28" s="11">
        <f t="shared" si="9"/>
        <v>6.9306275653904348E-2</v>
      </c>
      <c r="R28" s="11">
        <f t="shared" si="9"/>
        <v>2.3389806412741413E-2</v>
      </c>
      <c r="S28" s="11">
        <f t="shared" si="9"/>
        <v>1.8987312558600679E-2</v>
      </c>
      <c r="T28" s="11">
        <f t="shared" ref="T28:V43" si="10">IF(T5="","",(T5/$O$23))</f>
        <v>2.5164632714711197</v>
      </c>
      <c r="U28" s="11">
        <f t="shared" si="10"/>
        <v>2.1141063509827989</v>
      </c>
      <c r="V28" s="11">
        <f t="shared" si="10"/>
        <v>5.9949245310945545E-2</v>
      </c>
    </row>
    <row r="29" spans="1:22" x14ac:dyDescent="0.3">
      <c r="A29" s="224"/>
      <c r="B29" s="11">
        <f t="shared" ref="B29:M29" si="11">IF(B6="","",(B6/$O$23))</f>
        <v>3.0126942111529227E-2</v>
      </c>
      <c r="C29" s="11">
        <f t="shared" si="11"/>
        <v>4.8012938845430828E-3</v>
      </c>
      <c r="D29" s="11">
        <f t="shared" si="11"/>
        <v>8.9387518851455905E-2</v>
      </c>
      <c r="E29" s="11">
        <f t="shared" si="11"/>
        <v>6.1717997297637446E-2</v>
      </c>
      <c r="F29" s="11">
        <f t="shared" si="11"/>
        <v>0.81716711044452961</v>
      </c>
      <c r="G29" s="11">
        <f t="shared" si="11"/>
        <v>2.7958069992482493</v>
      </c>
      <c r="H29" s="11">
        <f t="shared" si="11"/>
        <v>5.4799536825767152</v>
      </c>
      <c r="I29" s="11">
        <f t="shared" si="11"/>
        <v>2.3078705463098842E-5</v>
      </c>
      <c r="J29" s="11">
        <f t="shared" si="11"/>
        <v>4.1698605030726981E-3</v>
      </c>
      <c r="K29" s="11">
        <f t="shared" si="11"/>
        <v>7.9713848669543397E-3</v>
      </c>
      <c r="L29" s="11">
        <f t="shared" si="11"/>
        <v>0.7167932046444202</v>
      </c>
      <c r="M29" s="11">
        <f t="shared" si="11"/>
        <v>4.6003245173704181E-2</v>
      </c>
      <c r="N29" s="6"/>
      <c r="O29" s="11">
        <f t="shared" si="9"/>
        <v>1.0472802668759955</v>
      </c>
      <c r="P29" s="11">
        <f t="shared" si="9"/>
        <v>7.6722294552594672</v>
      </c>
      <c r="Q29" s="11">
        <f t="shared" si="9"/>
        <v>1.4493427030826071E-4</v>
      </c>
      <c r="R29" s="11">
        <f t="shared" si="9"/>
        <v>1.1324268428115525</v>
      </c>
      <c r="S29" s="11">
        <f t="shared" si="9"/>
        <v>8.3701848973566882E-3</v>
      </c>
      <c r="T29" s="11">
        <f t="shared" si="10"/>
        <v>2.8910131213210617</v>
      </c>
      <c r="U29" s="11">
        <f t="shared" si="10"/>
        <v>9.5165503551197336E-2</v>
      </c>
      <c r="V29" s="11">
        <f t="shared" si="10"/>
        <v>2.5636776871075271</v>
      </c>
    </row>
    <row r="30" spans="1:22" x14ac:dyDescent="0.3">
      <c r="A30" s="224"/>
      <c r="B30" s="11">
        <f t="shared" ref="B30:M30" si="12">IF(B7="","",(B7/$O$23))</f>
        <v>1.0514658208987831E-3</v>
      </c>
      <c r="C30" s="11">
        <f t="shared" si="12"/>
        <v>2.658297610061577E-2</v>
      </c>
      <c r="D30" s="11">
        <f t="shared" si="12"/>
        <v>2.6124171436009362E-2</v>
      </c>
      <c r="E30" s="11">
        <f t="shared" si="12"/>
        <v>0.16583711542029861</v>
      </c>
      <c r="F30" s="11">
        <f t="shared" si="12"/>
        <v>0.80423749649588316</v>
      </c>
      <c r="G30" s="11">
        <f t="shared" si="12"/>
        <v>1.2909840113805711</v>
      </c>
      <c r="H30" s="11">
        <f t="shared" si="12"/>
        <v>8.0523108092348057</v>
      </c>
      <c r="I30" s="11">
        <f t="shared" si="12"/>
        <v>1.3690288080710232E-2</v>
      </c>
      <c r="J30" s="11">
        <f t="shared" si="12"/>
        <v>3.3798302576598993E-2</v>
      </c>
      <c r="K30" s="11">
        <f t="shared" si="12"/>
        <v>0</v>
      </c>
      <c r="L30" s="11">
        <f t="shared" si="12"/>
        <v>0.7536277417117444</v>
      </c>
      <c r="M30" s="11">
        <f t="shared" si="12"/>
        <v>0.68269672519323799</v>
      </c>
      <c r="N30" s="6"/>
      <c r="O30" s="11">
        <f t="shared" si="9"/>
        <v>0.22437855969799511</v>
      </c>
      <c r="P30" s="11">
        <f t="shared" si="9"/>
        <v>10.493469187928051</v>
      </c>
      <c r="Q30" s="11">
        <f t="shared" si="9"/>
        <v>2.2746372104430219E-3</v>
      </c>
      <c r="R30" s="11">
        <f t="shared" si="9"/>
        <v>1.413339922560173E-3</v>
      </c>
      <c r="S30" s="11">
        <f t="shared" si="9"/>
        <v>0.469615653393539</v>
      </c>
      <c r="T30" s="11">
        <f t="shared" si="10"/>
        <v>1.5360078578376359</v>
      </c>
      <c r="U30" s="11">
        <f t="shared" si="10"/>
        <v>0.12916966818052716</v>
      </c>
      <c r="V30" s="11">
        <f t="shared" si="10"/>
        <v>0.46122792868003032</v>
      </c>
    </row>
    <row r="31" spans="1:22" x14ac:dyDescent="0.3">
      <c r="A31" s="224"/>
      <c r="B31" s="11">
        <f t="shared" ref="B31:M31" si="13">IF(B8="","",(B8/$O$23))</f>
        <v>2.8128326218424867E-2</v>
      </c>
      <c r="C31" s="11">
        <f t="shared" si="13"/>
        <v>3.4156484085386287E-4</v>
      </c>
      <c r="D31" s="11">
        <f t="shared" si="13"/>
        <v>1.8781192024368649</v>
      </c>
      <c r="E31" s="11">
        <f t="shared" si="13"/>
        <v>2.8586207734812748E-2</v>
      </c>
      <c r="F31" s="11">
        <f t="shared" si="13"/>
        <v>1.9251886838029644</v>
      </c>
      <c r="G31" s="11">
        <f t="shared" si="13"/>
        <v>2.4757127396608167</v>
      </c>
      <c r="H31" s="11">
        <f t="shared" si="13"/>
        <v>3.5011143937577947</v>
      </c>
      <c r="I31" s="11">
        <f t="shared" si="13"/>
        <v>3.2799456204156072E-3</v>
      </c>
      <c r="J31" s="11">
        <f t="shared" si="13"/>
        <v>5.9393510083394128E-2</v>
      </c>
      <c r="K31" s="11">
        <f t="shared" si="13"/>
        <v>0.45568903936888661</v>
      </c>
      <c r="L31" s="11">
        <f t="shared" si="13"/>
        <v>3.9603058574677613E-4</v>
      </c>
      <c r="M31" s="11">
        <f t="shared" si="13"/>
        <v>2.0518243101236431</v>
      </c>
      <c r="N31" s="6"/>
      <c r="O31" s="11">
        <f t="shared" si="9"/>
        <v>1.4150939041753685E-2</v>
      </c>
      <c r="P31" s="11">
        <f t="shared" si="9"/>
        <v>2.6940982211241544</v>
      </c>
      <c r="Q31" s="11">
        <f t="shared" si="9"/>
        <v>6.6503597662465616E-3</v>
      </c>
      <c r="R31" s="11">
        <f t="shared" si="9"/>
        <v>1.7321953172383466E-2</v>
      </c>
      <c r="S31" s="11">
        <f t="shared" si="9"/>
        <v>2.0906713103073495</v>
      </c>
      <c r="T31" s="11">
        <f t="shared" si="10"/>
        <v>0.68923723032148021</v>
      </c>
      <c r="U31" s="11">
        <f t="shared" si="10"/>
        <v>0.76090584226658731</v>
      </c>
      <c r="V31" s="11">
        <f t="shared" si="10"/>
        <v>0.12245561118720245</v>
      </c>
    </row>
    <row r="32" spans="1:22" x14ac:dyDescent="0.3">
      <c r="A32" s="224"/>
      <c r="B32" s="11">
        <f t="shared" ref="B32:M32" si="14">IF(B9="","",(B9/$O$23))</f>
        <v>5.8139874802638596E-3</v>
      </c>
      <c r="C32" s="11">
        <f t="shared" si="14"/>
        <v>1.8195251387107126E-3</v>
      </c>
      <c r="D32" s="11">
        <f t="shared" si="14"/>
        <v>3.6153253682053597E-2</v>
      </c>
      <c r="E32" s="11">
        <f t="shared" si="14"/>
        <v>2.8389466386480922</v>
      </c>
      <c r="F32" s="11">
        <f t="shared" si="14"/>
        <v>1.2003474729894523</v>
      </c>
      <c r="G32" s="11">
        <f t="shared" si="14"/>
        <v>2.6864453223925908</v>
      </c>
      <c r="H32" s="11">
        <f t="shared" si="14"/>
        <v>4.0264752754751214</v>
      </c>
      <c r="I32" s="11">
        <f t="shared" si="14"/>
        <v>1.1327951789507434E-2</v>
      </c>
      <c r="J32" s="11">
        <f t="shared" si="14"/>
        <v>8.4338821244348411E-3</v>
      </c>
      <c r="K32" s="11">
        <f t="shared" si="14"/>
        <v>0.72175051057789386</v>
      </c>
      <c r="L32" s="11" t="str">
        <f t="shared" si="14"/>
        <v/>
      </c>
      <c r="M32" s="11">
        <f t="shared" si="14"/>
        <v>1.4816528907309456E-3</v>
      </c>
      <c r="N32" s="6"/>
      <c r="O32" s="11">
        <f t="shared" si="9"/>
        <v>0.61882409995356558</v>
      </c>
      <c r="P32" s="11">
        <f t="shared" si="9"/>
        <v>3.2375694245924835</v>
      </c>
      <c r="Q32" s="11">
        <f t="shared" si="9"/>
        <v>1.6405266991389181E-2</v>
      </c>
      <c r="R32" s="11">
        <f t="shared" si="9"/>
        <v>0.2028922849118501</v>
      </c>
      <c r="S32" s="11">
        <f t="shared" si="9"/>
        <v>2.6380806640759022E-2</v>
      </c>
      <c r="T32" s="11">
        <f t="shared" si="10"/>
        <v>2.5604300516747598</v>
      </c>
      <c r="U32" s="11">
        <f t="shared" si="10"/>
        <v>1.2015540277110632</v>
      </c>
      <c r="V32" s="11">
        <f t="shared" si="10"/>
        <v>1.7436303542212028</v>
      </c>
    </row>
    <row r="33" spans="1:22" x14ac:dyDescent="0.3">
      <c r="A33" s="224"/>
      <c r="B33" s="11">
        <f t="shared" ref="B33:M33" si="15">IF(B10="","",(B10/$O$23))</f>
        <v>1.9654748720593498E-2</v>
      </c>
      <c r="C33" s="11">
        <f t="shared" si="15"/>
        <v>2.5848150118670703E-5</v>
      </c>
      <c r="D33" s="11">
        <f t="shared" si="15"/>
        <v>9.5499683206303008E-3</v>
      </c>
      <c r="E33" s="11">
        <f t="shared" si="15"/>
        <v>1.5615975264551199E-2</v>
      </c>
      <c r="F33" s="11">
        <f t="shared" si="15"/>
        <v>0.9275894846032724</v>
      </c>
      <c r="G33" s="11">
        <f t="shared" si="15"/>
        <v>1.7571507830297046</v>
      </c>
      <c r="H33" s="11">
        <f t="shared" si="15"/>
        <v>5.5870453379630236</v>
      </c>
      <c r="I33" s="11">
        <f t="shared" si="15"/>
        <v>7.9417518091397202E-2</v>
      </c>
      <c r="J33" s="11">
        <f t="shared" si="15"/>
        <v>6.5672764265794058E-3</v>
      </c>
      <c r="K33" s="11">
        <f t="shared" si="15"/>
        <v>0.46039247954226614</v>
      </c>
      <c r="L33" s="11" t="str">
        <f t="shared" si="15"/>
        <v/>
      </c>
      <c r="M33" s="11">
        <f t="shared" si="15"/>
        <v>0</v>
      </c>
      <c r="N33" s="6"/>
      <c r="O33" s="11">
        <f t="shared" si="9"/>
        <v>1.1034676831964561</v>
      </c>
      <c r="P33" s="11">
        <f t="shared" si="9"/>
        <v>4.3661956661883732</v>
      </c>
      <c r="Q33" s="11">
        <f t="shared" si="9"/>
        <v>2.734918912199065E-2</v>
      </c>
      <c r="R33" s="11">
        <f t="shared" si="9"/>
        <v>0.13897811800234416</v>
      </c>
      <c r="S33" s="11">
        <f t="shared" si="9"/>
        <v>2.9998495268403804</v>
      </c>
      <c r="T33" s="11">
        <f t="shared" si="10"/>
        <v>1.4442690804735996</v>
      </c>
      <c r="U33" s="11">
        <f t="shared" si="10"/>
        <v>2.8513297488513727</v>
      </c>
      <c r="V33" s="11">
        <f t="shared" si="10"/>
        <v>0.82689155377846102</v>
      </c>
    </row>
    <row r="34" spans="1:22" x14ac:dyDescent="0.3">
      <c r="A34" s="224"/>
      <c r="B34" s="11">
        <f t="shared" ref="B34:M34" si="16">IF(B11="","",(B11/$O$23))</f>
        <v>1.9063010712519642E-3</v>
      </c>
      <c r="C34" s="11">
        <f t="shared" si="16"/>
        <v>1.2000926840811397E-4</v>
      </c>
      <c r="D34" s="11">
        <f t="shared" si="16"/>
        <v>4.9849080652074974E-2</v>
      </c>
      <c r="E34" s="11">
        <f t="shared" si="16"/>
        <v>0.32245013384110588</v>
      </c>
      <c r="F34" s="11">
        <f t="shared" si="16"/>
        <v>0.1393723022916539</v>
      </c>
      <c r="G34" s="11">
        <f t="shared" si="16"/>
        <v>3.516378649551088</v>
      </c>
      <c r="H34" s="11" t="str">
        <f t="shared" si="16"/>
        <v/>
      </c>
      <c r="I34" s="11">
        <f t="shared" si="16"/>
        <v>4.1264725368020724E-3</v>
      </c>
      <c r="J34" s="11">
        <f t="shared" si="16"/>
        <v>2.946966057994017E-2</v>
      </c>
      <c r="K34" s="11">
        <f t="shared" si="16"/>
        <v>6.8866857101886937E-4</v>
      </c>
      <c r="L34" s="11" t="str">
        <f t="shared" si="16"/>
        <v/>
      </c>
      <c r="M34" s="11">
        <f t="shared" si="16"/>
        <v>1.5529956313549138</v>
      </c>
      <c r="N34" s="6"/>
      <c r="O34" s="11">
        <f t="shared" si="9"/>
        <v>2.8324956788970471E-2</v>
      </c>
      <c r="P34" s="11">
        <f t="shared" si="9"/>
        <v>9.5476641426768651</v>
      </c>
      <c r="Q34" s="11">
        <f t="shared" si="9"/>
        <v>1.0197095221815592E-2</v>
      </c>
      <c r="R34" s="11">
        <f t="shared" si="9"/>
        <v>1.5052854851251588E-2</v>
      </c>
      <c r="S34" s="11">
        <f t="shared" si="9"/>
        <v>9.6459757353567922E-3</v>
      </c>
      <c r="T34" s="11">
        <f t="shared" si="10"/>
        <v>2.0561769539739836</v>
      </c>
      <c r="U34" s="11">
        <f t="shared" si="10"/>
        <v>2.686361315904705E-4</v>
      </c>
      <c r="V34" s="11">
        <f t="shared" si="10"/>
        <v>0.74705584954407245</v>
      </c>
    </row>
    <row r="35" spans="1:22" x14ac:dyDescent="0.3">
      <c r="A35" s="224"/>
      <c r="B35" s="11" t="str">
        <f t="shared" ref="B35:M35" si="17">IF(B12="","",(B12/$O$23))</f>
        <v/>
      </c>
      <c r="C35" s="11">
        <f t="shared" si="17"/>
        <v>0.53603709086455598</v>
      </c>
      <c r="D35" s="11">
        <f t="shared" si="17"/>
        <v>4.8329578684384547E-2</v>
      </c>
      <c r="E35" s="11" t="str">
        <f t="shared" si="17"/>
        <v/>
      </c>
      <c r="F35" s="11" t="str">
        <f t="shared" si="17"/>
        <v/>
      </c>
      <c r="G35" s="11" t="str">
        <f t="shared" si="17"/>
        <v/>
      </c>
      <c r="H35" s="11" t="str">
        <f t="shared" si="17"/>
        <v/>
      </c>
      <c r="I35" s="11">
        <f t="shared" si="17"/>
        <v>8.9970025377344529E-3</v>
      </c>
      <c r="J35" s="11">
        <f t="shared" si="17"/>
        <v>5.0547903853497604E-2</v>
      </c>
      <c r="K35" s="11">
        <f t="shared" si="17"/>
        <v>5.3874930033057933E-3</v>
      </c>
      <c r="L35" s="11" t="str">
        <f t="shared" si="17"/>
        <v/>
      </c>
      <c r="M35" s="11">
        <f t="shared" si="17"/>
        <v>0.36650461312550597</v>
      </c>
      <c r="N35" s="6"/>
      <c r="O35" s="11">
        <f t="shared" si="9"/>
        <v>0.59297410353845781</v>
      </c>
      <c r="P35" s="11">
        <f t="shared" si="9"/>
        <v>9.4110326674460083</v>
      </c>
      <c r="Q35" s="11">
        <f t="shared" si="9"/>
        <v>2.2315261886379532E-2</v>
      </c>
      <c r="R35" s="11">
        <f t="shared" si="9"/>
        <v>4.4956395093898018E-2</v>
      </c>
      <c r="S35" s="11">
        <f t="shared" si="9"/>
        <v>7.8864552308501364E-3</v>
      </c>
      <c r="T35" s="11">
        <f t="shared" si="10"/>
        <v>1.5951511947538102</v>
      </c>
      <c r="U35" s="11">
        <f t="shared" si="10"/>
        <v>1.7679590023721832</v>
      </c>
      <c r="V35" s="11" t="str">
        <f t="shared" si="10"/>
        <v/>
      </c>
    </row>
    <row r="36" spans="1:22" x14ac:dyDescent="0.3">
      <c r="A36" s="224"/>
      <c r="B36" s="11" t="str">
        <f t="shared" ref="B36:M36" si="18">IF(B13="","",(B13/$O$23))</f>
        <v/>
      </c>
      <c r="C36" s="11" t="str">
        <f t="shared" si="18"/>
        <v/>
      </c>
      <c r="D36" s="11" t="str">
        <f t="shared" si="18"/>
        <v/>
      </c>
      <c r="E36" s="11" t="str">
        <f t="shared" si="18"/>
        <v/>
      </c>
      <c r="F36" s="11" t="str">
        <f t="shared" si="18"/>
        <v/>
      </c>
      <c r="G36" s="11" t="str">
        <f t="shared" si="18"/>
        <v/>
      </c>
      <c r="H36" s="11" t="str">
        <f t="shared" si="18"/>
        <v/>
      </c>
      <c r="I36" s="11" t="str">
        <f t="shared" si="18"/>
        <v/>
      </c>
      <c r="J36" s="11" t="str">
        <f t="shared" si="18"/>
        <v/>
      </c>
      <c r="K36" s="11" t="str">
        <f t="shared" si="18"/>
        <v/>
      </c>
      <c r="L36" s="11" t="str">
        <f t="shared" si="18"/>
        <v/>
      </c>
      <c r="M36" s="11" t="str">
        <f t="shared" si="18"/>
        <v/>
      </c>
      <c r="N36" s="6"/>
      <c r="O36" s="11">
        <f t="shared" si="9"/>
        <v>4.9119978189084756</v>
      </c>
      <c r="P36" s="11" t="str">
        <f t="shared" si="9"/>
        <v/>
      </c>
      <c r="Q36" s="11" t="str">
        <f t="shared" si="9"/>
        <v/>
      </c>
      <c r="R36" s="11" t="str">
        <f t="shared" si="9"/>
        <v/>
      </c>
      <c r="S36" s="11" t="str">
        <f t="shared" si="9"/>
        <v/>
      </c>
      <c r="T36" s="11" t="str">
        <f t="shared" si="10"/>
        <v/>
      </c>
      <c r="U36" s="11" t="str">
        <f t="shared" si="10"/>
        <v/>
      </c>
      <c r="V36" s="11" t="str">
        <f t="shared" si="10"/>
        <v/>
      </c>
    </row>
    <row r="37" spans="1:22" x14ac:dyDescent="0.3">
      <c r="A37" s="224"/>
      <c r="B37" s="11" t="str">
        <f t="shared" ref="B37:M37" si="19">IF(B14="","",(B14/$O$23))</f>
        <v/>
      </c>
      <c r="C37" s="11" t="str">
        <f t="shared" si="19"/>
        <v/>
      </c>
      <c r="D37" s="11" t="str">
        <f t="shared" si="19"/>
        <v/>
      </c>
      <c r="E37" s="11" t="str">
        <f t="shared" si="19"/>
        <v/>
      </c>
      <c r="F37" s="11" t="str">
        <f t="shared" si="19"/>
        <v/>
      </c>
      <c r="G37" s="11" t="str">
        <f t="shared" si="19"/>
        <v/>
      </c>
      <c r="H37" s="11" t="str">
        <f t="shared" si="19"/>
        <v/>
      </c>
      <c r="I37" s="11" t="str">
        <f t="shared" si="19"/>
        <v/>
      </c>
      <c r="J37" s="11" t="str">
        <f t="shared" si="19"/>
        <v/>
      </c>
      <c r="K37" s="11" t="str">
        <f t="shared" si="19"/>
        <v/>
      </c>
      <c r="L37" s="11" t="str">
        <f t="shared" si="19"/>
        <v/>
      </c>
      <c r="M37" s="11" t="str">
        <f t="shared" si="19"/>
        <v/>
      </c>
      <c r="N37" s="6"/>
      <c r="O37" s="11">
        <f t="shared" si="9"/>
        <v>6.2063254731365399E-3</v>
      </c>
      <c r="P37" s="11" t="str">
        <f t="shared" si="9"/>
        <v/>
      </c>
      <c r="Q37" s="11" t="str">
        <f t="shared" si="9"/>
        <v/>
      </c>
      <c r="R37" s="11" t="str">
        <f t="shared" si="9"/>
        <v/>
      </c>
      <c r="S37" s="11" t="str">
        <f t="shared" si="9"/>
        <v/>
      </c>
      <c r="T37" s="11" t="str">
        <f t="shared" si="10"/>
        <v/>
      </c>
      <c r="U37" s="11" t="str">
        <f t="shared" si="10"/>
        <v/>
      </c>
      <c r="V37" s="11" t="str">
        <f t="shared" si="10"/>
        <v/>
      </c>
    </row>
    <row r="38" spans="1:22" x14ac:dyDescent="0.3">
      <c r="A38" s="224"/>
      <c r="B38" s="11" t="str">
        <f t="shared" ref="B38:M38" si="20">IF(B15="","",(B15/$O$23))</f>
        <v/>
      </c>
      <c r="C38" s="11" t="str">
        <f t="shared" si="20"/>
        <v/>
      </c>
      <c r="D38" s="11" t="str">
        <f t="shared" si="20"/>
        <v/>
      </c>
      <c r="E38" s="11" t="str">
        <f t="shared" si="20"/>
        <v/>
      </c>
      <c r="F38" s="11" t="str">
        <f t="shared" si="20"/>
        <v/>
      </c>
      <c r="G38" s="11" t="str">
        <f t="shared" si="20"/>
        <v/>
      </c>
      <c r="H38" s="11" t="str">
        <f t="shared" si="20"/>
        <v/>
      </c>
      <c r="I38" s="11" t="str">
        <f t="shared" si="20"/>
        <v/>
      </c>
      <c r="J38" s="11" t="str">
        <f t="shared" si="20"/>
        <v/>
      </c>
      <c r="K38" s="11" t="str">
        <f t="shared" si="20"/>
        <v/>
      </c>
      <c r="L38" s="11" t="str">
        <f t="shared" si="20"/>
        <v/>
      </c>
      <c r="M38" s="11" t="str">
        <f t="shared" si="20"/>
        <v/>
      </c>
      <c r="N38" s="6"/>
      <c r="O38" s="11">
        <f t="shared" ref="O38:S43" si="21">IF(O15="","",(O15/$O$23))</f>
        <v>0.11546091713544646</v>
      </c>
      <c r="P38" s="11" t="str">
        <f t="shared" si="21"/>
        <v/>
      </c>
      <c r="Q38" s="11" t="str">
        <f t="shared" si="21"/>
        <v/>
      </c>
      <c r="R38" s="11" t="str">
        <f t="shared" si="21"/>
        <v/>
      </c>
      <c r="S38" s="11" t="str">
        <f t="shared" si="21"/>
        <v/>
      </c>
      <c r="T38" s="11" t="str">
        <f t="shared" si="10"/>
        <v/>
      </c>
      <c r="U38" s="11" t="str">
        <f t="shared" si="10"/>
        <v/>
      </c>
      <c r="V38" s="11" t="str">
        <f t="shared" si="10"/>
        <v/>
      </c>
    </row>
    <row r="39" spans="1:22" x14ac:dyDescent="0.3">
      <c r="A39" s="224"/>
      <c r="B39" s="11" t="str">
        <f t="shared" ref="B39:M39" si="22">IF(B16="","",(B16/$O$23))</f>
        <v/>
      </c>
      <c r="C39" s="11" t="str">
        <f t="shared" si="22"/>
        <v/>
      </c>
      <c r="D39" s="11" t="str">
        <f t="shared" si="22"/>
        <v/>
      </c>
      <c r="E39" s="11" t="str">
        <f t="shared" si="22"/>
        <v/>
      </c>
      <c r="F39" s="11" t="str">
        <f t="shared" si="22"/>
        <v/>
      </c>
      <c r="G39" s="11" t="str">
        <f t="shared" si="22"/>
        <v/>
      </c>
      <c r="H39" s="11" t="str">
        <f t="shared" si="22"/>
        <v/>
      </c>
      <c r="I39" s="11" t="str">
        <f t="shared" si="22"/>
        <v/>
      </c>
      <c r="J39" s="11" t="str">
        <f t="shared" si="22"/>
        <v/>
      </c>
      <c r="K39" s="11" t="str">
        <f t="shared" si="22"/>
        <v/>
      </c>
      <c r="L39" s="11" t="str">
        <f t="shared" si="22"/>
        <v/>
      </c>
      <c r="M39" s="11" t="str">
        <f t="shared" si="22"/>
        <v/>
      </c>
      <c r="N39" s="6"/>
      <c r="O39" s="11">
        <f t="shared" si="21"/>
        <v>0.98972105230280849</v>
      </c>
      <c r="P39" s="11" t="str">
        <f t="shared" si="21"/>
        <v/>
      </c>
      <c r="Q39" s="11" t="str">
        <f t="shared" si="21"/>
        <v/>
      </c>
      <c r="R39" s="11" t="str">
        <f t="shared" si="21"/>
        <v/>
      </c>
      <c r="S39" s="11" t="str">
        <f t="shared" si="21"/>
        <v/>
      </c>
      <c r="T39" s="11" t="str">
        <f t="shared" si="10"/>
        <v/>
      </c>
      <c r="U39" s="11" t="str">
        <f t="shared" si="10"/>
        <v/>
      </c>
      <c r="V39" s="11" t="str">
        <f t="shared" si="10"/>
        <v/>
      </c>
    </row>
    <row r="40" spans="1:22" x14ac:dyDescent="0.3">
      <c r="A40" s="224"/>
      <c r="B40" s="11" t="str">
        <f t="shared" ref="B40:M40" si="23">IF(B17="","",(B17/$O$23))</f>
        <v/>
      </c>
      <c r="C40" s="11" t="str">
        <f t="shared" si="23"/>
        <v/>
      </c>
      <c r="D40" s="11" t="str">
        <f t="shared" si="23"/>
        <v/>
      </c>
      <c r="E40" s="11" t="str">
        <f t="shared" si="23"/>
        <v/>
      </c>
      <c r="F40" s="11" t="str">
        <f t="shared" si="23"/>
        <v/>
      </c>
      <c r="G40" s="11" t="str">
        <f t="shared" si="23"/>
        <v/>
      </c>
      <c r="H40" s="11" t="str">
        <f t="shared" si="23"/>
        <v/>
      </c>
      <c r="I40" s="11" t="str">
        <f t="shared" si="23"/>
        <v/>
      </c>
      <c r="J40" s="11" t="str">
        <f t="shared" si="23"/>
        <v/>
      </c>
      <c r="K40" s="11" t="str">
        <f t="shared" si="23"/>
        <v/>
      </c>
      <c r="L40" s="11" t="str">
        <f t="shared" si="23"/>
        <v/>
      </c>
      <c r="M40" s="11" t="str">
        <f t="shared" si="23"/>
        <v/>
      </c>
      <c r="N40" s="6"/>
      <c r="O40" s="11">
        <f t="shared" si="21"/>
        <v>2.0656595324746618</v>
      </c>
      <c r="P40" s="11" t="str">
        <f t="shared" si="21"/>
        <v/>
      </c>
      <c r="Q40" s="11" t="str">
        <f t="shared" si="21"/>
        <v/>
      </c>
      <c r="R40" s="11" t="str">
        <f t="shared" si="21"/>
        <v/>
      </c>
      <c r="S40" s="11" t="str">
        <f t="shared" si="21"/>
        <v/>
      </c>
      <c r="T40" s="11" t="str">
        <f t="shared" si="10"/>
        <v/>
      </c>
      <c r="U40" s="11" t="str">
        <f t="shared" si="10"/>
        <v/>
      </c>
      <c r="V40" s="11" t="str">
        <f t="shared" si="10"/>
        <v/>
      </c>
    </row>
    <row r="41" spans="1:22" x14ac:dyDescent="0.3">
      <c r="A41" s="224"/>
      <c r="B41" s="11" t="str">
        <f t="shared" ref="B41:M41" si="24">IF(B18="","",(B18/$O$23))</f>
        <v/>
      </c>
      <c r="C41" s="11" t="str">
        <f t="shared" si="24"/>
        <v/>
      </c>
      <c r="D41" s="11" t="str">
        <f t="shared" si="24"/>
        <v/>
      </c>
      <c r="E41" s="11" t="str">
        <f t="shared" si="24"/>
        <v/>
      </c>
      <c r="F41" s="11" t="str">
        <f t="shared" si="24"/>
        <v/>
      </c>
      <c r="G41" s="11" t="str">
        <f t="shared" si="24"/>
        <v/>
      </c>
      <c r="H41" s="11" t="str">
        <f t="shared" si="24"/>
        <v/>
      </c>
      <c r="I41" s="11" t="str">
        <f t="shared" si="24"/>
        <v/>
      </c>
      <c r="J41" s="11" t="str">
        <f t="shared" si="24"/>
        <v/>
      </c>
      <c r="K41" s="11" t="str">
        <f t="shared" si="24"/>
        <v/>
      </c>
      <c r="L41" s="11" t="str">
        <f t="shared" si="24"/>
        <v/>
      </c>
      <c r="M41" s="11" t="str">
        <f t="shared" si="24"/>
        <v/>
      </c>
      <c r="N41" s="6"/>
      <c r="O41" s="11">
        <f t="shared" si="21"/>
        <v>0.64245669434777886</v>
      </c>
      <c r="P41" s="11" t="str">
        <f t="shared" si="21"/>
        <v/>
      </c>
      <c r="Q41" s="11" t="str">
        <f t="shared" si="21"/>
        <v/>
      </c>
      <c r="R41" s="11" t="str">
        <f t="shared" si="21"/>
        <v/>
      </c>
      <c r="S41" s="11" t="str">
        <f t="shared" si="21"/>
        <v/>
      </c>
      <c r="T41" s="11" t="str">
        <f t="shared" si="10"/>
        <v/>
      </c>
      <c r="U41" s="11" t="str">
        <f t="shared" si="10"/>
        <v/>
      </c>
      <c r="V41" s="11" t="str">
        <f t="shared" si="10"/>
        <v/>
      </c>
    </row>
    <row r="42" spans="1:22" x14ac:dyDescent="0.3">
      <c r="A42" s="224"/>
      <c r="B42" s="11" t="str">
        <f t="shared" ref="B42:M42" si="25">IF(B19="","",(B19/$O$23))</f>
        <v/>
      </c>
      <c r="C42" s="11" t="str">
        <f t="shared" si="25"/>
        <v/>
      </c>
      <c r="D42" s="11" t="str">
        <f t="shared" si="25"/>
        <v/>
      </c>
      <c r="E42" s="11" t="str">
        <f t="shared" si="25"/>
        <v/>
      </c>
      <c r="F42" s="11" t="str">
        <f t="shared" si="25"/>
        <v/>
      </c>
      <c r="G42" s="11" t="str">
        <f t="shared" si="25"/>
        <v/>
      </c>
      <c r="H42" s="11" t="str">
        <f t="shared" si="25"/>
        <v/>
      </c>
      <c r="I42" s="11" t="str">
        <f t="shared" si="25"/>
        <v/>
      </c>
      <c r="J42" s="11" t="str">
        <f t="shared" si="25"/>
        <v/>
      </c>
      <c r="K42" s="11" t="str">
        <f t="shared" si="25"/>
        <v/>
      </c>
      <c r="L42" s="11" t="str">
        <f t="shared" si="25"/>
        <v/>
      </c>
      <c r="M42" s="11" t="str">
        <f t="shared" si="25"/>
        <v/>
      </c>
      <c r="N42" s="6"/>
      <c r="O42" s="11">
        <f t="shared" si="21"/>
        <v>2.4591173041364116</v>
      </c>
      <c r="P42" s="11" t="str">
        <f t="shared" si="21"/>
        <v/>
      </c>
      <c r="Q42" s="11" t="str">
        <f t="shared" si="21"/>
        <v/>
      </c>
      <c r="R42" s="11" t="str">
        <f t="shared" si="21"/>
        <v/>
      </c>
      <c r="S42" s="11" t="str">
        <f t="shared" si="21"/>
        <v/>
      </c>
      <c r="T42" s="11" t="str">
        <f t="shared" si="10"/>
        <v/>
      </c>
      <c r="U42" s="11" t="str">
        <f t="shared" si="10"/>
        <v/>
      </c>
      <c r="V42" s="11" t="str">
        <f t="shared" si="10"/>
        <v/>
      </c>
    </row>
    <row r="43" spans="1:22" x14ac:dyDescent="0.3">
      <c r="A43" s="224"/>
      <c r="B43" s="11" t="str">
        <f t="shared" ref="B43:M43" si="26">IF(B20="","",(B20/$O$23))</f>
        <v/>
      </c>
      <c r="C43" s="11" t="str">
        <f t="shared" si="26"/>
        <v/>
      </c>
      <c r="D43" s="11" t="str">
        <f t="shared" si="26"/>
        <v/>
      </c>
      <c r="E43" s="11" t="str">
        <f t="shared" si="26"/>
        <v/>
      </c>
      <c r="F43" s="11" t="str">
        <f t="shared" si="26"/>
        <v/>
      </c>
      <c r="G43" s="11" t="str">
        <f t="shared" si="26"/>
        <v/>
      </c>
      <c r="H43" s="11" t="str">
        <f t="shared" si="26"/>
        <v/>
      </c>
      <c r="I43" s="11" t="str">
        <f t="shared" si="26"/>
        <v/>
      </c>
      <c r="J43" s="11" t="str">
        <f t="shared" si="26"/>
        <v/>
      </c>
      <c r="K43" s="11" t="str">
        <f t="shared" si="26"/>
        <v/>
      </c>
      <c r="L43" s="11" t="str">
        <f t="shared" si="26"/>
        <v/>
      </c>
      <c r="M43" s="11" t="str">
        <f t="shared" si="26"/>
        <v/>
      </c>
      <c r="N43" s="6"/>
      <c r="O43" s="11" t="str">
        <f t="shared" si="21"/>
        <v/>
      </c>
      <c r="P43" s="11" t="str">
        <f t="shared" si="21"/>
        <v/>
      </c>
      <c r="Q43" s="11" t="str">
        <f t="shared" si="21"/>
        <v/>
      </c>
      <c r="R43" s="11" t="str">
        <f t="shared" si="21"/>
        <v/>
      </c>
      <c r="S43" s="11" t="str">
        <f t="shared" si="21"/>
        <v/>
      </c>
      <c r="T43" s="11" t="str">
        <f t="shared" si="10"/>
        <v/>
      </c>
      <c r="U43" s="11" t="str">
        <f t="shared" si="10"/>
        <v/>
      </c>
      <c r="V43" s="11" t="str">
        <f t="shared" si="10"/>
        <v/>
      </c>
    </row>
    <row r="44" spans="1:22" x14ac:dyDescent="0.3">
      <c r="A44" s="7"/>
      <c r="B44" s="3"/>
      <c r="C44" s="3"/>
      <c r="D44" s="3"/>
      <c r="E44" s="3"/>
      <c r="F44" s="3"/>
      <c r="G44" s="3"/>
      <c r="H44" s="3"/>
      <c r="I44" s="3"/>
      <c r="J44" s="3"/>
      <c r="K44" s="3"/>
      <c r="L44" s="3"/>
      <c r="M44" s="3"/>
      <c r="N44" s="7"/>
      <c r="O44" s="3"/>
      <c r="P44" s="3"/>
      <c r="Q44" s="3"/>
      <c r="R44" s="3"/>
      <c r="S44" s="3"/>
      <c r="T44" s="3"/>
      <c r="U44" s="3"/>
      <c r="V44" s="3"/>
    </row>
    <row r="45" spans="1:22" x14ac:dyDescent="0.3">
      <c r="A45" s="7" t="str">
        <f>A4</f>
        <v>Noms des groupes</v>
      </c>
      <c r="B45" s="7" t="str">
        <f t="shared" ref="B45:R45" si="27">B4</f>
        <v>Témoin solvant</v>
      </c>
      <c r="C45" s="7" t="str">
        <f t="shared" si="27"/>
        <v>EE2-33.8ng/L</v>
      </c>
      <c r="D45" s="7" t="str">
        <f t="shared" si="27"/>
        <v>EE2-50.6ng/L</v>
      </c>
      <c r="E45" s="7" t="str">
        <f t="shared" si="27"/>
        <v>EE2-76ng/L</v>
      </c>
      <c r="F45" s="7" t="str">
        <f t="shared" si="27"/>
        <v>EE2-114ng/L</v>
      </c>
      <c r="G45" s="7" t="str">
        <f t="shared" si="27"/>
        <v>EE2-170.9ng/L</v>
      </c>
      <c r="H45" s="7" t="str">
        <f t="shared" si="27"/>
        <v>EE2-488ng/L</v>
      </c>
      <c r="I45" s="7" t="str">
        <f t="shared" si="27"/>
        <v>Testosterone-3.7µg/L</v>
      </c>
      <c r="J45" s="7" t="str">
        <f t="shared" si="27"/>
        <v>Testosterone-11µg/L</v>
      </c>
      <c r="K45" s="7" t="str">
        <f t="shared" ref="K45:M45" si="28">K4</f>
        <v>Testosterone-33µg/L</v>
      </c>
      <c r="L45" s="7" t="str">
        <f t="shared" si="28"/>
        <v>Testosterone-100µg/L</v>
      </c>
      <c r="M45" s="7" t="str">
        <f t="shared" si="28"/>
        <v>Testosterone-300µg/L</v>
      </c>
      <c r="N45" s="7"/>
      <c r="O45" s="7" t="str">
        <f t="shared" si="27"/>
        <v>Testo -30µg/L</v>
      </c>
      <c r="P45" s="7" t="str">
        <f t="shared" si="27"/>
        <v>Testo 30µg/L + EE2 -64ng/L</v>
      </c>
      <c r="Q45" s="7" t="str">
        <f t="shared" si="27"/>
        <v>Testo 30µg/L + FAD-10µg/L</v>
      </c>
      <c r="R45" s="7" t="str">
        <f t="shared" si="27"/>
        <v>Testosterone-3.7µg/L + Testostérone</v>
      </c>
      <c r="S45" s="7" t="str">
        <f t="shared" ref="S45:V45" si="29">S4</f>
        <v>Testosterone-11µg/L + Testostérone</v>
      </c>
      <c r="T45" s="7" t="str">
        <f t="shared" si="29"/>
        <v>Testosterone-33µg/L + Testostérone</v>
      </c>
      <c r="U45" s="7" t="str">
        <f t="shared" si="29"/>
        <v>Testosterone-100µg/L + Testostérone</v>
      </c>
      <c r="V45" s="7" t="str">
        <f t="shared" si="29"/>
        <v>Testosterone-300µg/L + Testostérone</v>
      </c>
    </row>
    <row r="46" spans="1:22" x14ac:dyDescent="0.3">
      <c r="A46" s="8" t="s">
        <v>0</v>
      </c>
      <c r="B46" s="10">
        <f t="shared" ref="B46:H46" si="30">AVERAGE(B28:B43)</f>
        <v>1.5076724826616279E-2</v>
      </c>
      <c r="C46" s="10">
        <f t="shared" si="30"/>
        <v>7.1823700845819169E-2</v>
      </c>
      <c r="D46" s="10">
        <f t="shared" si="30"/>
        <v>0.26956077992484956</v>
      </c>
      <c r="E46" s="10">
        <f t="shared" si="30"/>
        <v>0.50737083299136554</v>
      </c>
      <c r="F46" s="10">
        <f t="shared" si="30"/>
        <v>1.1708824281506049</v>
      </c>
      <c r="G46" s="10">
        <f t="shared" si="30"/>
        <v>2.5302594578403261</v>
      </c>
      <c r="H46" s="10">
        <f t="shared" si="30"/>
        <v>6.1964008604972269</v>
      </c>
      <c r="I46" s="10">
        <f>AVERAGE(I28:I43)</f>
        <v>1.6570741309559597E-2</v>
      </c>
      <c r="J46" s="9">
        <f>AVERAGE(J28:J43)</f>
        <v>2.441427014824837E-2</v>
      </c>
      <c r="K46" s="9">
        <f t="shared" ref="K46:M46" si="31">AVERAGE(K28:K43)</f>
        <v>0.21395390844031334</v>
      </c>
      <c r="L46" s="9">
        <f t="shared" si="31"/>
        <v>0.36990318329200189</v>
      </c>
      <c r="M46" s="9">
        <f t="shared" si="31"/>
        <v>0.72477266705828658</v>
      </c>
      <c r="N46" s="8" t="s">
        <v>0</v>
      </c>
      <c r="O46" s="10">
        <f t="shared" ref="O46:R46" si="32">AVERAGE(O28:O43)</f>
        <v>1</v>
      </c>
      <c r="P46" s="10">
        <f t="shared" si="32"/>
        <v>6.6283074862089348</v>
      </c>
      <c r="Q46" s="10">
        <f t="shared" si="32"/>
        <v>1.9330377515309641E-2</v>
      </c>
      <c r="R46" s="10">
        <f t="shared" si="32"/>
        <v>0.19705394939732268</v>
      </c>
      <c r="S46" s="10">
        <f t="shared" ref="S46:V46" si="33">AVERAGE(S28:S43)</f>
        <v>0.70392590320052406</v>
      </c>
      <c r="T46" s="10">
        <f t="shared" si="33"/>
        <v>1.9110935952284314</v>
      </c>
      <c r="U46" s="10">
        <f t="shared" si="33"/>
        <v>1.1150573475059149</v>
      </c>
      <c r="V46" s="10">
        <f t="shared" si="33"/>
        <v>0.93212688997563453</v>
      </c>
    </row>
    <row r="47" spans="1:22" x14ac:dyDescent="0.3">
      <c r="A47" s="8" t="s">
        <v>1</v>
      </c>
      <c r="B47" s="8">
        <f t="shared" ref="B47:J47" si="34">STDEV(B28:B43)</f>
        <v>1.2165905538358258E-2</v>
      </c>
      <c r="C47" s="8">
        <f t="shared" si="34"/>
        <v>0.18777775329600255</v>
      </c>
      <c r="D47" s="8">
        <f t="shared" si="34"/>
        <v>0.65041515949248019</v>
      </c>
      <c r="E47" s="8">
        <f t="shared" si="34"/>
        <v>1.0334421860841059</v>
      </c>
      <c r="F47" s="8">
        <f t="shared" si="34"/>
        <v>0.7549905480803063</v>
      </c>
      <c r="G47" s="8">
        <f t="shared" si="34"/>
        <v>0.77869556629554637</v>
      </c>
      <c r="H47" s="8">
        <f t="shared" si="34"/>
        <v>2.649350572834118</v>
      </c>
      <c r="I47" s="8">
        <f t="shared" si="34"/>
        <v>2.583431076638535E-2</v>
      </c>
      <c r="J47" s="8">
        <f t="shared" si="34"/>
        <v>2.2249453547253311E-2</v>
      </c>
      <c r="K47" s="8">
        <f t="shared" ref="K47:M47" si="35">STDEV(K28:K43)</f>
        <v>0.28735012063793808</v>
      </c>
      <c r="L47" s="8">
        <f t="shared" si="35"/>
        <v>0.42210240994003251</v>
      </c>
      <c r="M47" s="8">
        <f t="shared" si="35"/>
        <v>0.77686461651008543</v>
      </c>
      <c r="N47" s="8" t="s">
        <v>1</v>
      </c>
      <c r="O47" s="8">
        <f t="shared" ref="O47:R47" si="36">STDEV(O28:O43)</f>
        <v>1.30877088845746</v>
      </c>
      <c r="P47" s="8">
        <f t="shared" si="36"/>
        <v>3.057461637425257</v>
      </c>
      <c r="Q47" s="8">
        <f t="shared" si="36"/>
        <v>2.2304825698399477E-2</v>
      </c>
      <c r="R47" s="8">
        <f t="shared" si="36"/>
        <v>0.38458242208366811</v>
      </c>
      <c r="S47" s="8">
        <f t="shared" ref="S47:V47" si="37">STDEV(S28:S43)</f>
        <v>1.1727702808662659</v>
      </c>
      <c r="T47" s="8">
        <f t="shared" si="37"/>
        <v>0.72906679608135427</v>
      </c>
      <c r="U47" s="8">
        <f t="shared" si="37"/>
        <v>1.0574115335449759</v>
      </c>
      <c r="V47" s="8">
        <f t="shared" si="37"/>
        <v>0.91322039119738618</v>
      </c>
    </row>
    <row r="48" spans="1:22" x14ac:dyDescent="0.3">
      <c r="A48" s="8" t="s">
        <v>2</v>
      </c>
      <c r="B48" s="8">
        <f t="shared" ref="B48:J48" si="38" xml:space="preserve"> B47/SQRT(COUNT(B28:B43))</f>
        <v>4.5982800754856175E-3</v>
      </c>
      <c r="C48" s="8">
        <f t="shared" si="38"/>
        <v>6.6389461355788978E-2</v>
      </c>
      <c r="D48" s="8">
        <f t="shared" si="38"/>
        <v>0.2299564849318313</v>
      </c>
      <c r="E48" s="8">
        <f t="shared" si="38"/>
        <v>0.3906044312487828</v>
      </c>
      <c r="F48" s="8">
        <f t="shared" si="38"/>
        <v>0.28535960463212057</v>
      </c>
      <c r="G48" s="8">
        <f t="shared" si="38"/>
        <v>0.29431925934951791</v>
      </c>
      <c r="H48" s="8">
        <f t="shared" si="38"/>
        <v>1.0815928421989849</v>
      </c>
      <c r="I48" s="8">
        <f t="shared" si="38"/>
        <v>9.1338081650958573E-3</v>
      </c>
      <c r="J48" s="8">
        <f t="shared" si="38"/>
        <v>7.8663697404789505E-3</v>
      </c>
      <c r="K48" s="8">
        <f t="shared" ref="K48:M48" si="39" xml:space="preserve"> K47/SQRT(COUNT(K28:K43))</f>
        <v>0.10159360943892926</v>
      </c>
      <c r="L48" s="8">
        <f t="shared" si="39"/>
        <v>0.21105120497001625</v>
      </c>
      <c r="M48" s="8">
        <f t="shared" si="39"/>
        <v>0.27466311919908404</v>
      </c>
      <c r="N48" s="8" t="s">
        <v>2</v>
      </c>
      <c r="O48" s="8">
        <f t="shared" ref="O48:R48" si="40" xml:space="preserve"> O47/SQRT(COUNT(O28:O43))</f>
        <v>0.33792319033312185</v>
      </c>
      <c r="P48" s="8">
        <f t="shared" si="40"/>
        <v>1.0809759285205622</v>
      </c>
      <c r="Q48" s="8">
        <f t="shared" si="40"/>
        <v>7.8859467522611193E-3</v>
      </c>
      <c r="R48" s="8">
        <f t="shared" si="40"/>
        <v>0.13597041929025439</v>
      </c>
      <c r="S48" s="8">
        <f t="shared" ref="S48:V48" si="41" xml:space="preserve"> S47/SQRT(COUNT(S28:S43))</f>
        <v>0.41463690918729423</v>
      </c>
      <c r="T48" s="8">
        <f t="shared" si="41"/>
        <v>0.25776403772353768</v>
      </c>
      <c r="U48" s="8">
        <f t="shared" si="41"/>
        <v>0.37385143293725942</v>
      </c>
      <c r="V48" s="8">
        <f t="shared" si="41"/>
        <v>0.3451648639002004</v>
      </c>
    </row>
    <row r="49" spans="1:22"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5" t="s">
        <v>44</v>
      </c>
      <c r="B50" s="216"/>
      <c r="C50" s="216"/>
      <c r="D50" s="216"/>
      <c r="E50" s="216"/>
      <c r="F50" s="216"/>
      <c r="G50" s="216"/>
      <c r="H50" s="216"/>
      <c r="I50" s="216"/>
      <c r="J50" s="216"/>
      <c r="K50" s="216"/>
      <c r="L50" s="216"/>
      <c r="M50" s="216"/>
      <c r="N50" s="216"/>
      <c r="O50" s="216"/>
      <c r="P50" s="216"/>
      <c r="Q50" s="216"/>
      <c r="R50" s="216"/>
      <c r="S50" s="216"/>
      <c r="T50" s="216"/>
      <c r="U50" s="216"/>
      <c r="V50" s="216"/>
    </row>
    <row r="51" spans="1:22" customFormat="1" ht="15" thickBot="1" x14ac:dyDescent="0.35"/>
    <row r="52" spans="1:22" x14ac:dyDescent="0.3">
      <c r="A52" s="45" t="str">
        <f t="shared" ref="A52:H52" si="42">A27</f>
        <v>Noms des groupes</v>
      </c>
      <c r="B52" s="46" t="str">
        <f t="shared" si="42"/>
        <v>Témoin solvant</v>
      </c>
      <c r="C52" s="46" t="str">
        <f t="shared" si="42"/>
        <v>EE2-33.8ng/L</v>
      </c>
      <c r="D52" s="46" t="str">
        <f t="shared" si="42"/>
        <v>EE2-50.6ng/L</v>
      </c>
      <c r="E52" s="46" t="str">
        <f t="shared" si="42"/>
        <v>EE2-76ng/L</v>
      </c>
      <c r="F52" s="46" t="str">
        <f t="shared" si="42"/>
        <v>EE2-114ng/L</v>
      </c>
      <c r="G52" s="46" t="str">
        <f t="shared" si="42"/>
        <v>EE2-170.9ng/L</v>
      </c>
      <c r="H52" s="46" t="str">
        <f t="shared" si="42"/>
        <v>EE2-488ng/L</v>
      </c>
      <c r="I52" s="46" t="str">
        <f>I4</f>
        <v>Testosterone-3.7µg/L</v>
      </c>
      <c r="J52" s="46" t="str">
        <f>J4</f>
        <v>Testosterone-11µg/L</v>
      </c>
      <c r="K52" s="46" t="str">
        <f t="shared" ref="K52:M52" si="43">K4</f>
        <v>Testosterone-33µg/L</v>
      </c>
      <c r="L52" s="46" t="str">
        <f t="shared" si="43"/>
        <v>Testosterone-100µg/L</v>
      </c>
      <c r="M52" s="46" t="str">
        <f t="shared" si="43"/>
        <v>Testosterone-300µg/L</v>
      </c>
      <c r="N52" s="47"/>
      <c r="O52" s="46" t="str">
        <f>O27</f>
        <v>Testo -30µg/L</v>
      </c>
      <c r="P52" s="46" t="str">
        <f>P27</f>
        <v>Testo 30µg/L + EE2 -64ng/L</v>
      </c>
      <c r="Q52" s="46" t="str">
        <f>Q27</f>
        <v>Testo 30µg/L + FAD-10µg/L</v>
      </c>
      <c r="R52" s="46" t="str">
        <f>R27</f>
        <v>Testosterone-3.7µg/L + Testostérone</v>
      </c>
      <c r="S52" s="46" t="str">
        <f t="shared" ref="S52:V52" si="44">S27</f>
        <v>Testosterone-11µg/L + Testostérone</v>
      </c>
      <c r="T52" s="46" t="str">
        <f t="shared" si="44"/>
        <v>Testosterone-33µg/L + Testostérone</v>
      </c>
      <c r="U52" s="46" t="str">
        <f t="shared" si="44"/>
        <v>Testosterone-100µg/L + Testostérone</v>
      </c>
      <c r="V52" s="46" t="str">
        <f t="shared" si="44"/>
        <v>Testosterone-300µg/L + Testostérone</v>
      </c>
    </row>
    <row r="53" spans="1:22" s="3" customFormat="1" x14ac:dyDescent="0.3">
      <c r="A53" s="61" t="s">
        <v>32</v>
      </c>
      <c r="B53" s="141">
        <f t="shared" ref="B53" si="45">B46</f>
        <v>1.5076724826616279E-2</v>
      </c>
      <c r="C53" s="141">
        <f t="shared" ref="C53:V53" si="46">C46</f>
        <v>7.1823700845819169E-2</v>
      </c>
      <c r="D53" s="141">
        <f t="shared" si="46"/>
        <v>0.26956077992484956</v>
      </c>
      <c r="E53" s="141">
        <f t="shared" si="46"/>
        <v>0.50737083299136554</v>
      </c>
      <c r="F53" s="141">
        <f t="shared" si="46"/>
        <v>1.1708824281506049</v>
      </c>
      <c r="G53" s="141">
        <f t="shared" si="46"/>
        <v>2.5302594578403261</v>
      </c>
      <c r="H53" s="141">
        <f t="shared" si="46"/>
        <v>6.1964008604972269</v>
      </c>
      <c r="I53" s="141">
        <f t="shared" si="46"/>
        <v>1.6570741309559597E-2</v>
      </c>
      <c r="J53" s="141">
        <f t="shared" si="46"/>
        <v>2.441427014824837E-2</v>
      </c>
      <c r="K53" s="141">
        <f t="shared" si="46"/>
        <v>0.21395390844031334</v>
      </c>
      <c r="L53" s="141">
        <f t="shared" si="46"/>
        <v>0.36990318329200189</v>
      </c>
      <c r="M53" s="141">
        <f t="shared" si="46"/>
        <v>0.72477266705828658</v>
      </c>
      <c r="N53" s="141"/>
      <c r="O53" s="141">
        <f t="shared" si="46"/>
        <v>1</v>
      </c>
      <c r="P53" s="141">
        <f t="shared" si="46"/>
        <v>6.6283074862089348</v>
      </c>
      <c r="Q53" s="141">
        <f t="shared" si="46"/>
        <v>1.9330377515309641E-2</v>
      </c>
      <c r="R53" s="141">
        <f t="shared" si="46"/>
        <v>0.19705394939732268</v>
      </c>
      <c r="S53" s="141">
        <f t="shared" si="46"/>
        <v>0.70392590320052406</v>
      </c>
      <c r="T53" s="141">
        <f t="shared" si="46"/>
        <v>1.9110935952284314</v>
      </c>
      <c r="U53" s="141">
        <f t="shared" si="46"/>
        <v>1.1150573475059149</v>
      </c>
      <c r="V53" s="141">
        <f t="shared" si="46"/>
        <v>0.93212688997563453</v>
      </c>
    </row>
    <row r="54" spans="1:22" s="3" customFormat="1" x14ac:dyDescent="0.3">
      <c r="A54" s="61" t="s">
        <v>2</v>
      </c>
      <c r="B54" s="141">
        <f t="shared" ref="B54" si="47">B48</f>
        <v>4.5982800754856175E-3</v>
      </c>
      <c r="C54" s="141">
        <f t="shared" ref="C54:V54" si="48">C48</f>
        <v>6.6389461355788978E-2</v>
      </c>
      <c r="D54" s="141">
        <f t="shared" si="48"/>
        <v>0.2299564849318313</v>
      </c>
      <c r="E54" s="141">
        <f t="shared" si="48"/>
        <v>0.3906044312487828</v>
      </c>
      <c r="F54" s="141">
        <f t="shared" si="48"/>
        <v>0.28535960463212057</v>
      </c>
      <c r="G54" s="141">
        <f t="shared" si="48"/>
        <v>0.29431925934951791</v>
      </c>
      <c r="H54" s="141">
        <f t="shared" si="48"/>
        <v>1.0815928421989849</v>
      </c>
      <c r="I54" s="141">
        <f t="shared" si="48"/>
        <v>9.1338081650958573E-3</v>
      </c>
      <c r="J54" s="141">
        <f t="shared" si="48"/>
        <v>7.8663697404789505E-3</v>
      </c>
      <c r="K54" s="141">
        <f t="shared" si="48"/>
        <v>0.10159360943892926</v>
      </c>
      <c r="L54" s="141">
        <f t="shared" si="48"/>
        <v>0.21105120497001625</v>
      </c>
      <c r="M54" s="141">
        <f t="shared" si="48"/>
        <v>0.27466311919908404</v>
      </c>
      <c r="N54" s="141"/>
      <c r="O54" s="141">
        <f t="shared" si="48"/>
        <v>0.33792319033312185</v>
      </c>
      <c r="P54" s="141">
        <f t="shared" si="48"/>
        <v>1.0809759285205622</v>
      </c>
      <c r="Q54" s="141">
        <f t="shared" si="48"/>
        <v>7.8859467522611193E-3</v>
      </c>
      <c r="R54" s="141">
        <f t="shared" si="48"/>
        <v>0.13597041929025439</v>
      </c>
      <c r="S54" s="141">
        <f t="shared" si="48"/>
        <v>0.41463690918729423</v>
      </c>
      <c r="T54" s="141">
        <f t="shared" si="48"/>
        <v>0.25776403772353768</v>
      </c>
      <c r="U54" s="141">
        <f t="shared" si="48"/>
        <v>0.37385143293725942</v>
      </c>
      <c r="V54" s="141">
        <f t="shared" si="48"/>
        <v>0.3451648639002004</v>
      </c>
    </row>
    <row r="55" spans="1:22" s="3" customFormat="1" x14ac:dyDescent="0.3">
      <c r="A55" s="61" t="s">
        <v>79</v>
      </c>
      <c r="B55" s="141">
        <f>(B53*100/$B53)-100</f>
        <v>0</v>
      </c>
      <c r="C55" s="141">
        <f t="shared" ref="C55:M55" si="49">(C53*100/$B53)-100</f>
        <v>376.38795343019348</v>
      </c>
      <c r="D55" s="141">
        <f t="shared" si="49"/>
        <v>1687.9266420580286</v>
      </c>
      <c r="E55" s="141">
        <f t="shared" si="49"/>
        <v>3265.2589592645404</v>
      </c>
      <c r="F55" s="141">
        <f t="shared" si="49"/>
        <v>7666.1590406130017</v>
      </c>
      <c r="G55" s="141">
        <f t="shared" si="49"/>
        <v>16682.553816817264</v>
      </c>
      <c r="H55" s="141">
        <f t="shared" si="49"/>
        <v>40999.117558729806</v>
      </c>
      <c r="I55" s="141">
        <f t="shared" si="49"/>
        <v>9.9094233006481431</v>
      </c>
      <c r="J55" s="141">
        <f t="shared" si="49"/>
        <v>61.933512941402853</v>
      </c>
      <c r="K55" s="141">
        <f t="shared" si="49"/>
        <v>1319.1007058947016</v>
      </c>
      <c r="L55" s="141">
        <f t="shared" si="49"/>
        <v>2353.4717423440602</v>
      </c>
      <c r="M55" s="141">
        <f t="shared" si="49"/>
        <v>4707.2288603343159</v>
      </c>
      <c r="N55" s="141"/>
      <c r="O55" s="141">
        <f t="shared" ref="O55:V55" si="50">(O53*100/$O53)-100</f>
        <v>0</v>
      </c>
      <c r="P55" s="141">
        <f t="shared" si="50"/>
        <v>562.83074862089347</v>
      </c>
      <c r="Q55" s="141">
        <f t="shared" si="50"/>
        <v>-98.066962248469039</v>
      </c>
      <c r="R55" s="141">
        <f t="shared" si="50"/>
        <v>-80.294605060267727</v>
      </c>
      <c r="S55" s="141">
        <f t="shared" si="50"/>
        <v>-29.607409679947594</v>
      </c>
      <c r="T55" s="141">
        <f t="shared" si="50"/>
        <v>91.109359522843135</v>
      </c>
      <c r="U55" s="141">
        <f t="shared" si="50"/>
        <v>11.505734750591486</v>
      </c>
      <c r="V55" s="141">
        <f t="shared" si="50"/>
        <v>-6.7873110024365531</v>
      </c>
    </row>
    <row r="56" spans="1:22" s="3" customFormat="1" x14ac:dyDescent="0.3">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
      <c r="A57" s="61" t="s">
        <v>85</v>
      </c>
      <c r="B57" s="141" t="e">
        <f ca="1">IF(B56&gt;0.05,"Oui","Non")</f>
        <v>#NAME?</v>
      </c>
      <c r="C57" s="141" t="e">
        <f t="shared" ref="C57:V57" ca="1" si="51">IF(C56&gt;0.05,"Oui","Non")</f>
        <v>#NAME?</v>
      </c>
      <c r="D57" s="141" t="e">
        <f t="shared" ca="1" si="51"/>
        <v>#NAME?</v>
      </c>
      <c r="E57" s="141" t="e">
        <f t="shared" ca="1" si="51"/>
        <v>#NAME?</v>
      </c>
      <c r="F57" s="141" t="e">
        <f t="shared" ca="1" si="51"/>
        <v>#NAME?</v>
      </c>
      <c r="G57" s="141" t="e">
        <f t="shared" ca="1" si="51"/>
        <v>#NAME?</v>
      </c>
      <c r="H57" s="141" t="e">
        <f t="shared" ca="1" si="51"/>
        <v>#NAME?</v>
      </c>
      <c r="I57" s="141" t="e">
        <f t="shared" ca="1" si="51"/>
        <v>#NAME?</v>
      </c>
      <c r="J57" s="141" t="e">
        <f t="shared" ca="1" si="51"/>
        <v>#NAME?</v>
      </c>
      <c r="K57" s="141" t="e">
        <f t="shared" ca="1" si="51"/>
        <v>#NAME?</v>
      </c>
      <c r="L57" s="141" t="e">
        <f t="shared" ca="1" si="51"/>
        <v>#NAME?</v>
      </c>
      <c r="M57" s="141" t="e">
        <f t="shared" ca="1" si="51"/>
        <v>#NAME?</v>
      </c>
      <c r="N57" s="141"/>
      <c r="O57" s="141" t="e">
        <f t="shared" ca="1" si="51"/>
        <v>#NAME?</v>
      </c>
      <c r="P57" s="141" t="e">
        <f t="shared" ca="1" si="51"/>
        <v>#NAME?</v>
      </c>
      <c r="Q57" s="141" t="e">
        <f t="shared" ca="1" si="51"/>
        <v>#NAME?</v>
      </c>
      <c r="R57" s="141" t="e">
        <f t="shared" ca="1" si="51"/>
        <v>#NAME?</v>
      </c>
      <c r="S57" s="141" t="e">
        <f t="shared" ca="1" si="51"/>
        <v>#NAME?</v>
      </c>
      <c r="T57" s="141" t="e">
        <f t="shared" ca="1" si="51"/>
        <v>#NAME?</v>
      </c>
      <c r="U57" s="141" t="e">
        <f t="shared" ca="1" si="51"/>
        <v>#NAME?</v>
      </c>
      <c r="V57" s="141" t="e">
        <f t="shared" ca="1" si="51"/>
        <v>#NAME?</v>
      </c>
    </row>
    <row r="58" spans="1:22" s="3" customFormat="1" x14ac:dyDescent="0.3">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
      <c r="A59" s="61" t="s">
        <v>82</v>
      </c>
      <c r="B59" s="150"/>
      <c r="C59" s="150" t="e">
        <f t="shared" ref="C59:O59" ca="1" si="52">IF($B57="Non",IF(C57="Non","MW",IF(C57="Oui","MW","")),IF($B57="Oui",IF(C57="Oui","T-Test Welch",IF(C57="Non","MW",""))))</f>
        <v>#NAME?</v>
      </c>
      <c r="D59" s="150" t="e">
        <f t="shared" ca="1" si="52"/>
        <v>#NAME?</v>
      </c>
      <c r="E59" s="150" t="e">
        <f t="shared" ca="1" si="52"/>
        <v>#NAME?</v>
      </c>
      <c r="F59" s="150" t="e">
        <f t="shared" ca="1" si="52"/>
        <v>#NAME?</v>
      </c>
      <c r="G59" s="150" t="e">
        <f t="shared" ca="1" si="52"/>
        <v>#NAME?</v>
      </c>
      <c r="H59" s="150" t="e">
        <f t="shared" ca="1" si="52"/>
        <v>#NAME?</v>
      </c>
      <c r="I59" s="150" t="e">
        <f t="shared" ca="1" si="52"/>
        <v>#NAME?</v>
      </c>
      <c r="J59" s="150" t="e">
        <f t="shared" ca="1" si="52"/>
        <v>#NAME?</v>
      </c>
      <c r="K59" s="150" t="e">
        <f t="shared" ca="1" si="52"/>
        <v>#NAME?</v>
      </c>
      <c r="L59" s="150" t="e">
        <f t="shared" ca="1" si="52"/>
        <v>#NAME?</v>
      </c>
      <c r="M59" s="150" t="e">
        <f t="shared" ca="1" si="52"/>
        <v>#NAME?</v>
      </c>
      <c r="N59" s="150"/>
      <c r="O59" s="150" t="e">
        <f t="shared" ca="1" si="52"/>
        <v>#NAME?</v>
      </c>
      <c r="P59" s="150" t="e">
        <f t="shared" ref="P59:V59" ca="1" si="53">IF($O57="Non",IF(P57="Non","MW",IF(P57="Oui","MW","")),IF($O57="Oui",IF(P57="Oui","T-Test Welch",IF(P57="Non","MW",""))))</f>
        <v>#NAME?</v>
      </c>
      <c r="Q59" s="150" t="e">
        <f t="shared" ca="1" si="53"/>
        <v>#NAME?</v>
      </c>
      <c r="R59" s="150" t="e">
        <f t="shared" ca="1" si="53"/>
        <v>#NAME?</v>
      </c>
      <c r="S59" s="150" t="e">
        <f t="shared" ca="1" si="53"/>
        <v>#NAME?</v>
      </c>
      <c r="T59" s="150" t="e">
        <f t="shared" ca="1" si="53"/>
        <v>#NAME?</v>
      </c>
      <c r="U59" s="150" t="e">
        <f t="shared" ca="1" si="53"/>
        <v>#NAME?</v>
      </c>
      <c r="V59" s="150" t="e">
        <f t="shared" ca="1" si="53"/>
        <v>#NAME?</v>
      </c>
    </row>
    <row r="60" spans="1:22" s="3" customFormat="1" x14ac:dyDescent="0.3">
      <c r="A60" s="61" t="s">
        <v>83</v>
      </c>
      <c r="B60" s="151"/>
      <c r="C60" s="151" t="e">
        <f ca="1">IF(C59="MW",[1]!MTEST($B28:$B43,C28:C43,2), IF(C59="T-Test Welch",_xlfn.T.TEST($B28:$B43,C28:C43,2,3),""))</f>
        <v>#NAME?</v>
      </c>
      <c r="D60" s="151" t="e">
        <f ca="1">IF(D59="MW",[1]!MTEST($B28:$B43,D28:D43,2), IF(D59="T-Test Welch",_xlfn.T.TEST($B28:$B43,D28:D43,2,3),""))</f>
        <v>#NAME?</v>
      </c>
      <c r="E60" s="151" t="e">
        <f ca="1">IF(E59="MW",[1]!MTEST($B28:$B43,E28:E43,2), IF(E59="T-Test Welch",_xlfn.T.TEST($B28:$B43,E28:E43,2,3),""))</f>
        <v>#NAME?</v>
      </c>
      <c r="F60" s="151" t="e">
        <f ca="1">IF(F59="MW",[1]!MTEST($B28:$B43,F28:F43,2), IF(F59="T-Test Welch",_xlfn.T.TEST($B28:$B43,F28:F43,2,3),""))</f>
        <v>#NAME?</v>
      </c>
      <c r="G60" s="151" t="e">
        <f ca="1">IF(G59="MW",[1]!MTEST($B28:$B43,G28:G43,2), IF(G59="T-Test Welch",_xlfn.T.TEST($B28:$B43,G28:G43,2,3),""))</f>
        <v>#NAME?</v>
      </c>
      <c r="H60" s="151" t="e">
        <f ca="1">IF(H59="MW",[1]!MTEST($B28:$B43,H28:H43,2), IF(H59="T-Test Welch",_xlfn.T.TEST($B28:$B43,H28:H43,2,3),""))</f>
        <v>#NAME?</v>
      </c>
      <c r="I60" s="151" t="e">
        <f ca="1">IF(I59="MW",[1]!MTEST($B28:$B43,I28:I43,2), IF(I59="T-Test Welch",_xlfn.T.TEST($B28:$B43,I28:I43,2,3),""))</f>
        <v>#NAME?</v>
      </c>
      <c r="J60" s="151" t="e">
        <f ca="1">IF(J59="MW",[1]!MTEST($B28:$B43,J28:J43,2), IF(J59="T-Test Welch",_xlfn.T.TEST($B28:$B43,J28:J43,2,3),""))</f>
        <v>#NAME?</v>
      </c>
      <c r="K60" s="151" t="e">
        <f ca="1">IF(K59="MW",[1]!MTEST($B28:$B43,K28:K43,2), IF(K59="T-Test Welch",_xlfn.T.TEST($B28:$B43,K28:K43,2,3),""))</f>
        <v>#NAME?</v>
      </c>
      <c r="L60" s="151" t="e">
        <f ca="1">IF(L59="MW",[1]!MTEST($B28:$B43,L28:L43,2), IF(L59="T-Test Welch",_xlfn.T.TEST($B28:$B43,L28:L43,2,3),""))</f>
        <v>#NAME?</v>
      </c>
      <c r="M60" s="151" t="e">
        <f ca="1">IF(M59="MW",[1]!MTEST($B28:$B43,M28:M43,2), IF(M59="T-Test Welch",_xlfn.T.TEST($B28:$B43,M28:M43,2,3),""))</f>
        <v>#NAME?</v>
      </c>
      <c r="N60" s="151"/>
      <c r="O60" s="151" t="e">
        <f ca="1">IF(O59="MW",[1]!MTEST($B28:$B43,O28:O43,2), IF(O59="T-Test Welch",_xlfn.T.TEST($B28:$B43,O28:O43,2,3),""))</f>
        <v>#NAME?</v>
      </c>
      <c r="P60" s="151" t="e">
        <f ca="1">IF(P59="MW",[1]!MTEST($O28:$O43,P28:P43,2), IF(P59="T-Test Welch",_xlfn.T.TEST($O28:$O43,P28:P43,2,3),""))</f>
        <v>#NAME?</v>
      </c>
      <c r="Q60" s="151" t="e">
        <f ca="1">IF(Q59="MW",[1]!MTEST($O28:$O43,Q28:Q43,2), IF(Q59="T-Test Welch",_xlfn.T.TEST($O28:$O43,Q28:Q43,2,3),""))</f>
        <v>#NAME?</v>
      </c>
      <c r="R60" s="151" t="e">
        <f ca="1">IF(R59="MW",[1]!MTEST($O28:$O43,R28:R43,2), IF(R59="T-Test Welch",_xlfn.T.TEST($O28:$O43,R28:R43,2,3),""))</f>
        <v>#NAME?</v>
      </c>
      <c r="S60" s="151" t="e">
        <f ca="1">IF(S59="MW",[1]!MTEST($O28:$O43,S28:S43,2), IF(S59="T-Test Welch",_xlfn.T.TEST($O28:$O43,S28:S43,2,3),""))</f>
        <v>#NAME?</v>
      </c>
      <c r="T60" s="151" t="e">
        <f ca="1">IF(T59="MW",[1]!MTEST($O28:$O43,T28:T43,2), IF(T59="T-Test Welch",_xlfn.T.TEST($O28:$O43,T28:T43,2,3),""))</f>
        <v>#NAME?</v>
      </c>
      <c r="U60" s="151" t="e">
        <f ca="1">IF(U59="MW",[1]!MTEST($O28:$O43,U28:U43,2), IF(U59="T-Test Welch",_xlfn.T.TEST($O28:$O43,U28:U43,2,3),""))</f>
        <v>#NAME?</v>
      </c>
      <c r="V60" s="151" t="e">
        <f ca="1">IF(V59="MW",[1]!MTEST($O28:$O43,V28:V43,2), IF(V59="T-Test Welch",_xlfn.T.TEST($O28:$O43,V28:V43,2,3),""))</f>
        <v>#NAME?</v>
      </c>
    </row>
    <row r="61" spans="1:22" s="3" customFormat="1" ht="15" thickBot="1" x14ac:dyDescent="0.35">
      <c r="A61" s="62" t="s">
        <v>84</v>
      </c>
      <c r="B61" s="142"/>
      <c r="C61" s="142" t="e">
        <f t="shared" ref="C61:O61" ca="1" si="54">IF(C60&gt;0.05,"NS",IF(C60&gt;0.01,"*",IF(C60&gt;0.001,"**","***")))</f>
        <v>#NAME?</v>
      </c>
      <c r="D61" s="142" t="e">
        <f t="shared" ca="1" si="54"/>
        <v>#NAME?</v>
      </c>
      <c r="E61" s="142" t="e">
        <f t="shared" ca="1" si="54"/>
        <v>#NAME?</v>
      </c>
      <c r="F61" s="142" t="e">
        <f t="shared" ca="1" si="54"/>
        <v>#NAME?</v>
      </c>
      <c r="G61" s="142" t="e">
        <f t="shared" ca="1" si="54"/>
        <v>#NAME?</v>
      </c>
      <c r="H61" s="142" t="e">
        <f t="shared" ca="1" si="54"/>
        <v>#NAME?</v>
      </c>
      <c r="I61" s="142" t="e">
        <f t="shared" ca="1" si="54"/>
        <v>#NAME?</v>
      </c>
      <c r="J61" s="142" t="e">
        <f t="shared" ca="1" si="54"/>
        <v>#NAME?</v>
      </c>
      <c r="K61" s="142" t="e">
        <f t="shared" ca="1" si="54"/>
        <v>#NAME?</v>
      </c>
      <c r="L61" s="142" t="e">
        <f t="shared" ca="1" si="54"/>
        <v>#NAME?</v>
      </c>
      <c r="M61" s="142" t="e">
        <f t="shared" ca="1" si="54"/>
        <v>#NAME?</v>
      </c>
      <c r="N61" s="142"/>
      <c r="O61" s="142" t="e">
        <f t="shared" ca="1" si="54"/>
        <v>#NAME?</v>
      </c>
      <c r="P61" s="142" t="e">
        <f ca="1">IF(P60&gt;0.05,"NS",IF(P60&gt;0.01,"*",IF(P60&gt;0.001,"**","***")))</f>
        <v>#NAME?</v>
      </c>
      <c r="Q61" s="142" t="e">
        <f t="shared" ref="Q61:V61" ca="1" si="55">IF(Q60&gt;0.05,"NS",IF(Q60&gt;0.01,"*",IF(Q60&gt;0.001,"**","***")))</f>
        <v>#NAME?</v>
      </c>
      <c r="R61" s="142" t="e">
        <f t="shared" ca="1" si="55"/>
        <v>#NAME?</v>
      </c>
      <c r="S61" s="142" t="e">
        <f t="shared" ca="1" si="55"/>
        <v>#NAME?</v>
      </c>
      <c r="T61" s="142" t="e">
        <f t="shared" ca="1" si="55"/>
        <v>#NAME?</v>
      </c>
      <c r="U61" s="142" t="e">
        <f t="shared" ca="1" si="55"/>
        <v>#NAME?</v>
      </c>
      <c r="V61" s="142" t="e">
        <f t="shared" ca="1" si="55"/>
        <v>#NAME?</v>
      </c>
    </row>
    <row r="63" spans="1:22" x14ac:dyDescent="0.3">
      <c r="A63" s="2" t="s">
        <v>39</v>
      </c>
    </row>
    <row r="64" spans="1:22" x14ac:dyDescent="0.3">
      <c r="A64" s="1" t="s">
        <v>23</v>
      </c>
      <c r="B64" s="1">
        <f>B46+(3*B47)</f>
        <v>5.1574441441691057E-2</v>
      </c>
    </row>
    <row r="65" spans="1:22" x14ac:dyDescent="0.3">
      <c r="A65" s="1" t="s">
        <v>24</v>
      </c>
      <c r="B65" s="1">
        <f>B46+(10*B47)</f>
        <v>0.13673578021019886</v>
      </c>
    </row>
    <row r="66" spans="1:22" ht="15" thickBot="1" x14ac:dyDescent="0.35"/>
    <row r="67" spans="1:22" ht="26.4" thickBot="1" x14ac:dyDescent="0.55000000000000004">
      <c r="A67" s="215" t="s">
        <v>45</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N70" s="12"/>
      <c r="O70" s="12"/>
      <c r="P70" s="12"/>
      <c r="Q70" s="12"/>
      <c r="R70" s="12"/>
      <c r="S70" s="12"/>
      <c r="T70" s="12"/>
      <c r="U70" s="12"/>
      <c r="V70" s="12"/>
    </row>
    <row r="71" spans="1:22" ht="16.8" x14ac:dyDescent="0.3">
      <c r="A71" s="12"/>
      <c r="B71" s="12"/>
      <c r="C71" s="12"/>
      <c r="D71" s="12"/>
      <c r="E71" s="12"/>
      <c r="F71" s="12"/>
      <c r="N71" s="12"/>
      <c r="O71" s="12"/>
      <c r="P71" s="12"/>
      <c r="Q71" s="12"/>
      <c r="R71" s="12"/>
      <c r="S71" s="12"/>
      <c r="T71" s="12"/>
      <c r="U71" s="12"/>
      <c r="V71" s="12"/>
    </row>
    <row r="72" spans="1:22" ht="16.8" x14ac:dyDescent="0.3">
      <c r="A72" s="12"/>
      <c r="B72" s="12"/>
      <c r="C72" s="12"/>
      <c r="D72" s="12"/>
      <c r="E72" s="12"/>
      <c r="F72" s="12"/>
      <c r="N72" s="12"/>
      <c r="O72" s="12"/>
      <c r="P72" s="12"/>
      <c r="Q72" s="12"/>
      <c r="R72" s="12"/>
      <c r="S72" s="12"/>
      <c r="T72" s="12"/>
      <c r="U72" s="12"/>
      <c r="V72" s="12"/>
    </row>
    <row r="73" spans="1:22" ht="16.8" x14ac:dyDescent="0.3">
      <c r="A73" s="12"/>
      <c r="B73" s="12"/>
      <c r="C73" s="12"/>
      <c r="D73" s="12"/>
      <c r="E73" s="12"/>
      <c r="F73" s="12"/>
      <c r="N73" s="12"/>
      <c r="O73" s="12"/>
      <c r="P73" s="12"/>
      <c r="Q73" s="12"/>
      <c r="R73" s="12"/>
      <c r="S73" s="12"/>
      <c r="T73" s="12"/>
      <c r="U73" s="12"/>
      <c r="V73" s="12"/>
    </row>
    <row r="74" spans="1:22" ht="16.8" x14ac:dyDescent="0.3">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A1686" zoomScale="80" zoomScaleNormal="80" workbookViewId="0">
      <selection activeCell="A1010" sqref="A1010:I1711"/>
    </sheetView>
  </sheetViews>
  <sheetFormatPr defaultColWidth="11.44140625" defaultRowHeight="14.4" x14ac:dyDescent="0.3"/>
  <cols>
    <col min="1" max="2" width="15" style="1" customWidth="1"/>
    <col min="3" max="3" width="25.44140625" style="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37.44140625" style="1" bestFit="1" customWidth="1"/>
    <col min="12" max="12" width="38.44140625" style="1" bestFit="1" customWidth="1"/>
    <col min="13" max="14" width="12.77734375" style="1" customWidth="1"/>
    <col min="15" max="25" width="12.21875" style="1" customWidth="1"/>
    <col min="26" max="16384" width="11.44140625" style="1"/>
  </cols>
  <sheetData>
    <row r="1" spans="1:144" x14ac:dyDescent="0.3">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
      </c>
      <c r="B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
      </c>
      <c r="B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
      </c>
      <c r="B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
      </c>
      <c r="B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
      </c>
      <c r="B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
      </c>
      <c r="B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
      </c>
      <c r="B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
      </c>
      <c r="B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
      </c>
      <c r="B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
      </c>
      <c r="B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 spans="1:144" x14ac:dyDescent="0.3">
      <c r="A12" s="1" t="str">
        <f t="shared" si="0"/>
        <v/>
      </c>
      <c r="B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 spans="1:144" x14ac:dyDescent="0.3">
      <c r="A13" s="1" t="str">
        <f t="shared" si="0"/>
        <v/>
      </c>
      <c r="B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 spans="1:144" x14ac:dyDescent="0.3">
      <c r="A14" s="1" t="str">
        <f t="shared" si="0"/>
        <v/>
      </c>
      <c r="B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 spans="1:144" x14ac:dyDescent="0.3">
      <c r="A15" s="1" t="str">
        <f t="shared" si="0"/>
        <v/>
      </c>
      <c r="B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 spans="1:144" x14ac:dyDescent="0.3">
      <c r="A16" s="1" t="str">
        <f t="shared" si="0"/>
        <v/>
      </c>
      <c r="B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 spans="1:2" x14ac:dyDescent="0.3">
      <c r="A17" s="1" t="str">
        <f t="shared" si="0"/>
        <v/>
      </c>
      <c r="B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 spans="1:2" x14ac:dyDescent="0.3">
      <c r="A18" s="1" t="str">
        <f t="shared" si="0"/>
        <v/>
      </c>
      <c r="B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 spans="1:2" x14ac:dyDescent="0.3">
      <c r="A19" s="1" t="str">
        <f t="shared" si="0"/>
        <v/>
      </c>
      <c r="B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 spans="1:2" x14ac:dyDescent="0.3">
      <c r="A20" s="1" t="str">
        <f t="shared" si="0"/>
        <v/>
      </c>
      <c r="B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 spans="1:2" x14ac:dyDescent="0.3">
      <c r="A21" s="1" t="str">
        <f t="shared" si="0"/>
        <v/>
      </c>
      <c r="B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 spans="1:2" x14ac:dyDescent="0.3">
      <c r="A22" s="1" t="str">
        <f t="shared" si="0"/>
        <v/>
      </c>
      <c r="B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 spans="1:2" x14ac:dyDescent="0.3">
      <c r="A23" s="1" t="str">
        <f t="shared" si="0"/>
        <v/>
      </c>
      <c r="B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 spans="1:2" x14ac:dyDescent="0.3">
      <c r="A24" s="1" t="str">
        <f t="shared" si="0"/>
        <v/>
      </c>
      <c r="B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 spans="1:2" x14ac:dyDescent="0.3">
      <c r="A25" s="1" t="str">
        <f t="shared" si="0"/>
        <v/>
      </c>
      <c r="B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 spans="1:2" x14ac:dyDescent="0.3">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 spans="1:2" x14ac:dyDescent="0.3">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 spans="1:2" x14ac:dyDescent="0.3">
      <c r="A28" s="1" t="str">
        <f t="shared" si="0"/>
        <v/>
      </c>
      <c r="B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 spans="1:2" x14ac:dyDescent="0.3">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 spans="1:2" x14ac:dyDescent="0.3">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 spans="1:2" x14ac:dyDescent="0.3">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 spans="1:2" x14ac:dyDescent="0.3">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 spans="1:2" x14ac:dyDescent="0.3">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 spans="1:2" x14ac:dyDescent="0.3">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 spans="1:2" x14ac:dyDescent="0.3">
      <c r="A35" s="1" t="str">
        <f t="shared" si="0"/>
        <v/>
      </c>
      <c r="B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 spans="1:2" x14ac:dyDescent="0.3">
      <c r="A36" s="1" t="str">
        <f t="shared" si="0"/>
        <v/>
      </c>
      <c r="B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 spans="1:2" x14ac:dyDescent="0.3">
      <c r="A37" s="1" t="str">
        <f t="shared" si="0"/>
        <v/>
      </c>
      <c r="B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 spans="1:2" x14ac:dyDescent="0.3">
      <c r="A38" s="1" t="str">
        <f t="shared" si="0"/>
        <v/>
      </c>
      <c r="B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 spans="1:2" x14ac:dyDescent="0.3">
      <c r="A39" s="1" t="str">
        <f t="shared" si="0"/>
        <v/>
      </c>
      <c r="B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 spans="1:2" x14ac:dyDescent="0.3">
      <c r="A40" s="1" t="str">
        <f t="shared" si="0"/>
        <v/>
      </c>
      <c r="B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 spans="1:2" x14ac:dyDescent="0.3">
      <c r="A41" s="1" t="str">
        <f t="shared" si="0"/>
        <v/>
      </c>
      <c r="B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 spans="1:2" x14ac:dyDescent="0.3">
      <c r="A42" s="1" t="str">
        <f t="shared" si="0"/>
        <v/>
      </c>
      <c r="B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 spans="1:2" x14ac:dyDescent="0.3">
      <c r="A43" s="1" t="str">
        <f t="shared" si="0"/>
        <v/>
      </c>
      <c r="B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 spans="1:2" x14ac:dyDescent="0.3">
      <c r="A44" s="1" t="str">
        <f t="shared" si="0"/>
        <v/>
      </c>
      <c r="B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 spans="1:2" x14ac:dyDescent="0.3">
      <c r="A45" s="1" t="str">
        <f t="shared" si="0"/>
        <v/>
      </c>
      <c r="B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 spans="1:2" x14ac:dyDescent="0.3">
      <c r="A46" s="1" t="str">
        <f t="shared" si="0"/>
        <v/>
      </c>
      <c r="B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 spans="1:2" x14ac:dyDescent="0.3">
      <c r="A47" s="1" t="str">
        <f t="shared" si="0"/>
        <v/>
      </c>
      <c r="B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 spans="1:2" x14ac:dyDescent="0.3">
      <c r="A48" s="1" t="str">
        <f t="shared" si="0"/>
        <v/>
      </c>
      <c r="B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 spans="1:2" x14ac:dyDescent="0.3">
      <c r="A49" s="1" t="str">
        <f t="shared" si="0"/>
        <v/>
      </c>
      <c r="B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 spans="1:2" x14ac:dyDescent="0.3">
      <c r="A50" s="1" t="str">
        <f t="shared" si="0"/>
        <v/>
      </c>
      <c r="B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 spans="1:2" x14ac:dyDescent="0.3">
      <c r="A51" s="1" t="str">
        <f t="shared" si="0"/>
        <v/>
      </c>
      <c r="B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 spans="1:2" x14ac:dyDescent="0.3">
      <c r="A52" s="1" t="str">
        <f t="shared" si="0"/>
        <v/>
      </c>
      <c r="B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 spans="1:2" x14ac:dyDescent="0.3">
      <c r="A53" s="1" t="str">
        <f t="shared" si="0"/>
        <v/>
      </c>
      <c r="B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 spans="1:2" x14ac:dyDescent="0.3">
      <c r="A54" s="1" t="str">
        <f t="shared" si="0"/>
        <v/>
      </c>
      <c r="B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 spans="1:2" x14ac:dyDescent="0.3">
      <c r="A55" s="1" t="str">
        <f t="shared" si="0"/>
        <v/>
      </c>
      <c r="B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 spans="1:2" x14ac:dyDescent="0.3">
      <c r="A56" s="1" t="str">
        <f t="shared" si="0"/>
        <v/>
      </c>
      <c r="B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 spans="1:2" x14ac:dyDescent="0.3">
      <c r="A57" s="1" t="str">
        <f t="shared" si="0"/>
        <v/>
      </c>
      <c r="B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 spans="1:2" x14ac:dyDescent="0.3">
      <c r="A58" s="1" t="str">
        <f t="shared" si="0"/>
        <v/>
      </c>
      <c r="B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 spans="1:2" x14ac:dyDescent="0.3">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 spans="1:2" x14ac:dyDescent="0.3">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 spans="1:2" x14ac:dyDescent="0.3">
      <c r="A61" s="1" t="str">
        <f t="shared" si="0"/>
        <v/>
      </c>
      <c r="B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 spans="1:2" x14ac:dyDescent="0.3">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 spans="1:2" x14ac:dyDescent="0.3">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 spans="1:2" x14ac:dyDescent="0.3">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 spans="1:2" x14ac:dyDescent="0.3">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 spans="1:2" x14ac:dyDescent="0.3">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 spans="1:2" x14ac:dyDescent="0.3">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 spans="1:2" x14ac:dyDescent="0.3">
      <c r="A68" s="1" t="str">
        <f t="shared" si="1"/>
        <v/>
      </c>
      <c r="B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 spans="1:2" x14ac:dyDescent="0.3">
      <c r="A69" s="1" t="str">
        <f t="shared" si="1"/>
        <v/>
      </c>
      <c r="B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 spans="1:2" x14ac:dyDescent="0.3">
      <c r="A70" s="1" t="str">
        <f t="shared" si="1"/>
        <v/>
      </c>
      <c r="B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 spans="1:2" x14ac:dyDescent="0.3">
      <c r="A71" s="1" t="str">
        <f t="shared" si="1"/>
        <v/>
      </c>
      <c r="B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 spans="1:2" x14ac:dyDescent="0.3">
      <c r="A72" s="1" t="str">
        <f t="shared" si="1"/>
        <v/>
      </c>
      <c r="B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 spans="1:2" x14ac:dyDescent="0.3">
      <c r="A73" s="1" t="str">
        <f t="shared" si="1"/>
        <v/>
      </c>
      <c r="B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 spans="1:2" x14ac:dyDescent="0.3">
      <c r="A74" s="1" t="str">
        <f t="shared" si="1"/>
        <v/>
      </c>
      <c r="B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 spans="1:2" x14ac:dyDescent="0.3">
      <c r="A75" s="1" t="str">
        <f t="shared" si="1"/>
        <v/>
      </c>
      <c r="B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 spans="1:2" x14ac:dyDescent="0.3">
      <c r="A76" s="1" t="str">
        <f t="shared" si="1"/>
        <v/>
      </c>
      <c r="B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 spans="1:2" x14ac:dyDescent="0.3">
      <c r="A77" s="1" t="str">
        <f t="shared" si="1"/>
        <v/>
      </c>
      <c r="B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 spans="1:2" x14ac:dyDescent="0.3">
      <c r="A78" s="1" t="str">
        <f t="shared" si="1"/>
        <v/>
      </c>
      <c r="B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 spans="1:2" x14ac:dyDescent="0.3">
      <c r="A79" s="1" t="str">
        <f t="shared" si="1"/>
        <v/>
      </c>
      <c r="B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 spans="1:2" x14ac:dyDescent="0.3">
      <c r="A80" s="1" t="str">
        <f t="shared" si="1"/>
        <v/>
      </c>
      <c r="B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 spans="1:2" x14ac:dyDescent="0.3">
      <c r="A81" s="1" t="str">
        <f t="shared" si="1"/>
        <v/>
      </c>
      <c r="B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 spans="1:2" x14ac:dyDescent="0.3">
      <c r="A82" s="1" t="str">
        <f t="shared" si="1"/>
        <v/>
      </c>
      <c r="B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 spans="1:2" x14ac:dyDescent="0.3">
      <c r="A83" s="1" t="str">
        <f t="shared" si="1"/>
        <v/>
      </c>
      <c r="B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 spans="1:2" x14ac:dyDescent="0.3">
      <c r="A84" s="1" t="str">
        <f t="shared" si="1"/>
        <v/>
      </c>
      <c r="B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 spans="1:2" x14ac:dyDescent="0.3">
      <c r="A85" s="1" t="str">
        <f t="shared" si="1"/>
        <v/>
      </c>
      <c r="B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 spans="1:2" x14ac:dyDescent="0.3">
      <c r="A86" s="1" t="str">
        <f t="shared" si="1"/>
        <v/>
      </c>
      <c r="B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 spans="1:2" x14ac:dyDescent="0.3">
      <c r="A87" s="1" t="str">
        <f t="shared" si="1"/>
        <v/>
      </c>
      <c r="B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 spans="1:2" x14ac:dyDescent="0.3">
      <c r="A88" s="1" t="str">
        <f t="shared" si="1"/>
        <v/>
      </c>
      <c r="B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 spans="1:2" x14ac:dyDescent="0.3">
      <c r="A89" s="1" t="str">
        <f t="shared" si="1"/>
        <v/>
      </c>
      <c r="B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 spans="1:2" x14ac:dyDescent="0.3">
      <c r="A90" s="1" t="str">
        <f t="shared" si="1"/>
        <v/>
      </c>
      <c r="B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 spans="1:2" x14ac:dyDescent="0.3">
      <c r="A91" s="1" t="str">
        <f t="shared" si="1"/>
        <v/>
      </c>
      <c r="B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 spans="1:2" x14ac:dyDescent="0.3">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 spans="1:2" x14ac:dyDescent="0.3">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 spans="1:2" x14ac:dyDescent="0.3">
      <c r="A94" s="1" t="str">
        <f t="shared" si="1"/>
        <v/>
      </c>
      <c r="B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 spans="1:2" x14ac:dyDescent="0.3">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 spans="1:2" x14ac:dyDescent="0.3">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 spans="1:2" x14ac:dyDescent="0.3">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 spans="1:2" x14ac:dyDescent="0.3">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 spans="1:2" x14ac:dyDescent="0.3">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 spans="1:2" x14ac:dyDescent="0.3">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 spans="1:2" x14ac:dyDescent="0.3">
      <c r="A101" s="1" t="str">
        <f t="shared" si="1"/>
        <v/>
      </c>
      <c r="B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 spans="1:2" x14ac:dyDescent="0.3">
      <c r="A102" s="1" t="str">
        <f t="shared" si="1"/>
        <v/>
      </c>
      <c r="B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 spans="1:2" x14ac:dyDescent="0.3">
      <c r="A103" s="1" t="str">
        <f t="shared" si="1"/>
        <v/>
      </c>
      <c r="B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 spans="1:2" x14ac:dyDescent="0.3">
      <c r="A104" s="1" t="str">
        <f t="shared" si="1"/>
        <v/>
      </c>
      <c r="B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 spans="1:2" x14ac:dyDescent="0.3">
      <c r="A105" s="1" t="str">
        <f t="shared" si="1"/>
        <v/>
      </c>
      <c r="B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 spans="1:2" x14ac:dyDescent="0.3">
      <c r="A106" s="1" t="str">
        <f t="shared" si="1"/>
        <v/>
      </c>
      <c r="B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 spans="1:2" x14ac:dyDescent="0.3">
      <c r="A107" s="1" t="str">
        <f t="shared" si="1"/>
        <v/>
      </c>
      <c r="B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 spans="1:2" x14ac:dyDescent="0.3">
      <c r="A108" s="1" t="str">
        <f t="shared" si="1"/>
        <v/>
      </c>
      <c r="B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 spans="1:2" x14ac:dyDescent="0.3">
      <c r="A109" s="1" t="str">
        <f t="shared" si="1"/>
        <v/>
      </c>
      <c r="B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 spans="1:2" x14ac:dyDescent="0.3">
      <c r="A110" s="1" t="str">
        <f t="shared" si="1"/>
        <v/>
      </c>
      <c r="B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 spans="1:2" x14ac:dyDescent="0.3">
      <c r="A111" s="1" t="str">
        <f t="shared" si="1"/>
        <v/>
      </c>
      <c r="B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 spans="1:2" x14ac:dyDescent="0.3">
      <c r="A112" s="1" t="str">
        <f t="shared" si="1"/>
        <v/>
      </c>
      <c r="B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 spans="1:2" x14ac:dyDescent="0.3">
      <c r="A113" s="1" t="str">
        <f t="shared" si="1"/>
        <v/>
      </c>
      <c r="B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 spans="1:2" x14ac:dyDescent="0.3">
      <c r="A114" s="1" t="str">
        <f t="shared" si="1"/>
        <v/>
      </c>
      <c r="B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 spans="1:2" x14ac:dyDescent="0.3">
      <c r="A115" s="1" t="str">
        <f t="shared" si="1"/>
        <v/>
      </c>
      <c r="B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 spans="1:2" x14ac:dyDescent="0.3">
      <c r="A116" s="1" t="str">
        <f t="shared" si="1"/>
        <v/>
      </c>
      <c r="B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 spans="1:2" x14ac:dyDescent="0.3">
      <c r="A117" s="1" t="str">
        <f t="shared" si="1"/>
        <v/>
      </c>
      <c r="B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 spans="1:2" x14ac:dyDescent="0.3">
      <c r="A118" s="1" t="str">
        <f t="shared" si="1"/>
        <v/>
      </c>
      <c r="B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 spans="1:2" x14ac:dyDescent="0.3">
      <c r="A119" s="1" t="str">
        <f t="shared" si="1"/>
        <v/>
      </c>
      <c r="B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 spans="1:2" x14ac:dyDescent="0.3">
      <c r="A120" s="1" t="str">
        <f t="shared" si="1"/>
        <v/>
      </c>
      <c r="B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 spans="1:2" x14ac:dyDescent="0.3">
      <c r="A121" s="1" t="str">
        <f t="shared" si="1"/>
        <v/>
      </c>
      <c r="B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 spans="1:2" x14ac:dyDescent="0.3">
      <c r="A122" s="1" t="str">
        <f t="shared" si="1"/>
        <v/>
      </c>
      <c r="B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 spans="1:2" x14ac:dyDescent="0.3">
      <c r="A123" s="1" t="str">
        <f t="shared" si="1"/>
        <v/>
      </c>
      <c r="B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 spans="1:2" x14ac:dyDescent="0.3">
      <c r="A124" s="1" t="str">
        <f t="shared" si="1"/>
        <v/>
      </c>
      <c r="B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 spans="1:2" x14ac:dyDescent="0.3">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 spans="1:2" x14ac:dyDescent="0.3">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 spans="1:2" x14ac:dyDescent="0.3">
      <c r="A127" s="1" t="str">
        <f t="shared" si="1"/>
        <v/>
      </c>
      <c r="B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 spans="1:2" x14ac:dyDescent="0.3">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 spans="1:2" x14ac:dyDescent="0.3">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 spans="1:2" x14ac:dyDescent="0.3">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 spans="1:2" x14ac:dyDescent="0.3">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 spans="1:2" x14ac:dyDescent="0.3">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 spans="1:2" x14ac:dyDescent="0.3">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 spans="1:2" x14ac:dyDescent="0.3">
      <c r="A134" s="1" t="str">
        <f t="shared" si="2"/>
        <v/>
      </c>
      <c r="B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 spans="1:2" x14ac:dyDescent="0.3">
      <c r="A135" s="1" t="str">
        <f t="shared" si="2"/>
        <v/>
      </c>
      <c r="B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 spans="1:2" x14ac:dyDescent="0.3">
      <c r="A136" s="1" t="str">
        <f t="shared" si="2"/>
        <v/>
      </c>
      <c r="B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 spans="1:2" x14ac:dyDescent="0.3">
      <c r="A137" s="1" t="str">
        <f t="shared" si="2"/>
        <v/>
      </c>
      <c r="B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 spans="1:2" x14ac:dyDescent="0.3">
      <c r="A138" s="1" t="str">
        <f t="shared" si="2"/>
        <v/>
      </c>
      <c r="B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 spans="1:2" x14ac:dyDescent="0.3">
      <c r="A139" s="1" t="str">
        <f t="shared" si="2"/>
        <v/>
      </c>
      <c r="B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 spans="1:2" x14ac:dyDescent="0.3">
      <c r="A140" s="1" t="str">
        <f t="shared" si="2"/>
        <v/>
      </c>
      <c r="B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 spans="1:2" x14ac:dyDescent="0.3">
      <c r="A141" s="1" t="str">
        <f t="shared" si="2"/>
        <v/>
      </c>
      <c r="B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 spans="1:2" x14ac:dyDescent="0.3">
      <c r="A142" s="1" t="str">
        <f t="shared" si="2"/>
        <v/>
      </c>
      <c r="B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 spans="1:2" x14ac:dyDescent="0.3">
      <c r="A143" s="1" t="str">
        <f t="shared" si="2"/>
        <v/>
      </c>
      <c r="B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 spans="1:2" x14ac:dyDescent="0.3">
      <c r="A144" s="1" t="str">
        <f t="shared" si="2"/>
        <v/>
      </c>
      <c r="B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 spans="1:2" x14ac:dyDescent="0.3">
      <c r="A145" s="1" t="str">
        <f t="shared" si="2"/>
        <v/>
      </c>
      <c r="B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 spans="1:2" x14ac:dyDescent="0.3">
      <c r="A146" s="1" t="str">
        <f t="shared" si="2"/>
        <v/>
      </c>
      <c r="B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 spans="1:2" x14ac:dyDescent="0.3">
      <c r="A147" s="1" t="str">
        <f t="shared" si="2"/>
        <v/>
      </c>
      <c r="B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 spans="1:2" x14ac:dyDescent="0.3">
      <c r="A148" s="1" t="str">
        <f t="shared" si="2"/>
        <v/>
      </c>
      <c r="B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 spans="1:2" x14ac:dyDescent="0.3">
      <c r="A149" s="1" t="str">
        <f t="shared" si="2"/>
        <v/>
      </c>
      <c r="B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 spans="1:2" x14ac:dyDescent="0.3">
      <c r="A150" s="1" t="str">
        <f t="shared" si="2"/>
        <v/>
      </c>
      <c r="B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 spans="1:2" x14ac:dyDescent="0.3">
      <c r="A151" s="1" t="str">
        <f t="shared" si="2"/>
        <v/>
      </c>
      <c r="B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 spans="1:2" x14ac:dyDescent="0.3">
      <c r="A152" s="1" t="str">
        <f t="shared" si="2"/>
        <v/>
      </c>
      <c r="B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 spans="1:2" x14ac:dyDescent="0.3">
      <c r="A153" s="1" t="str">
        <f t="shared" si="2"/>
        <v/>
      </c>
      <c r="B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 spans="1:2" x14ac:dyDescent="0.3">
      <c r="A154" s="1" t="str">
        <f t="shared" si="2"/>
        <v/>
      </c>
      <c r="B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 spans="1:2" x14ac:dyDescent="0.3">
      <c r="A155" s="1" t="str">
        <f t="shared" si="2"/>
        <v/>
      </c>
      <c r="B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 spans="1:2" x14ac:dyDescent="0.3">
      <c r="A156" s="1" t="str">
        <f t="shared" si="2"/>
        <v/>
      </c>
      <c r="B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 spans="1:2" x14ac:dyDescent="0.3">
      <c r="A157" s="1" t="str">
        <f t="shared" si="2"/>
        <v/>
      </c>
      <c r="B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 spans="1:2" x14ac:dyDescent="0.3">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 spans="1:2" x14ac:dyDescent="0.3">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 spans="1:2" x14ac:dyDescent="0.3">
      <c r="A160" s="1" t="str">
        <f t="shared" si="2"/>
        <v/>
      </c>
      <c r="B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 spans="1:2" x14ac:dyDescent="0.3">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 spans="1:2" x14ac:dyDescent="0.3">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 spans="1:2" x14ac:dyDescent="0.3">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 spans="1:2" x14ac:dyDescent="0.3">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 spans="1:2" x14ac:dyDescent="0.3">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 spans="1:2" x14ac:dyDescent="0.3">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 spans="1:2" x14ac:dyDescent="0.3">
      <c r="A167" s="1" t="str">
        <f t="shared" si="2"/>
        <v/>
      </c>
      <c r="B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 spans="1:2" x14ac:dyDescent="0.3">
      <c r="A168" s="1" t="str">
        <f t="shared" si="2"/>
        <v/>
      </c>
      <c r="B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 spans="1:2" x14ac:dyDescent="0.3">
      <c r="A169" s="1" t="str">
        <f t="shared" si="2"/>
        <v/>
      </c>
      <c r="B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 spans="1:2" x14ac:dyDescent="0.3">
      <c r="A170" s="1" t="str">
        <f t="shared" si="2"/>
        <v/>
      </c>
      <c r="B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 spans="1:2" x14ac:dyDescent="0.3">
      <c r="A171" s="1" t="str">
        <f t="shared" si="2"/>
        <v/>
      </c>
      <c r="B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2" spans="1:2" x14ac:dyDescent="0.3">
      <c r="A172" s="1" t="str">
        <f t="shared" si="2"/>
        <v/>
      </c>
      <c r="B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3" spans="1:2" x14ac:dyDescent="0.3">
      <c r="A173" s="1" t="str">
        <f t="shared" si="2"/>
        <v/>
      </c>
      <c r="B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4" spans="1:2" x14ac:dyDescent="0.3">
      <c r="A174" s="1" t="str">
        <f t="shared" si="2"/>
        <v/>
      </c>
      <c r="B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5" spans="1:2" x14ac:dyDescent="0.3">
      <c r="A175" s="1" t="str">
        <f t="shared" si="2"/>
        <v/>
      </c>
      <c r="B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6" spans="1:2" x14ac:dyDescent="0.3">
      <c r="A176" s="1" t="str">
        <f t="shared" si="2"/>
        <v/>
      </c>
      <c r="B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7" spans="1:2" x14ac:dyDescent="0.3">
      <c r="A177" s="1" t="str">
        <f t="shared" si="2"/>
        <v/>
      </c>
      <c r="B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8" spans="1:2" x14ac:dyDescent="0.3">
      <c r="A178" s="1" t="str">
        <f t="shared" si="2"/>
        <v/>
      </c>
      <c r="B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9" spans="1:2" x14ac:dyDescent="0.3">
      <c r="A179" s="1" t="str">
        <f t="shared" si="2"/>
        <v/>
      </c>
      <c r="B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0" spans="1:2" x14ac:dyDescent="0.3">
      <c r="A180" s="1" t="str">
        <f t="shared" si="2"/>
        <v/>
      </c>
      <c r="B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1" spans="1:2" x14ac:dyDescent="0.3">
      <c r="A181" s="1" t="str">
        <f t="shared" si="2"/>
        <v/>
      </c>
      <c r="B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2" spans="1:2" x14ac:dyDescent="0.3">
      <c r="A182" s="1" t="str">
        <f t="shared" si="2"/>
        <v/>
      </c>
      <c r="B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3" spans="1:2" x14ac:dyDescent="0.3">
      <c r="A183" s="1" t="str">
        <f t="shared" si="2"/>
        <v/>
      </c>
      <c r="B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4" spans="1:2" x14ac:dyDescent="0.3">
      <c r="A184" s="1" t="str">
        <f t="shared" si="2"/>
        <v/>
      </c>
      <c r="B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5" spans="1:2" x14ac:dyDescent="0.3">
      <c r="A185" s="1" t="str">
        <f t="shared" si="2"/>
        <v/>
      </c>
      <c r="B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6" spans="1:2" x14ac:dyDescent="0.3">
      <c r="A186" s="1" t="str">
        <f t="shared" si="2"/>
        <v/>
      </c>
      <c r="B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7" spans="1:2" x14ac:dyDescent="0.3">
      <c r="A187" s="1" t="str">
        <f t="shared" si="2"/>
        <v/>
      </c>
      <c r="B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8" spans="1:2" x14ac:dyDescent="0.3">
      <c r="A188" s="1" t="str">
        <f t="shared" si="2"/>
        <v/>
      </c>
      <c r="B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9" spans="1:2" x14ac:dyDescent="0.3">
      <c r="A189" s="1" t="str">
        <f t="shared" si="2"/>
        <v/>
      </c>
      <c r="B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0" spans="1:2" x14ac:dyDescent="0.3">
      <c r="A190" s="1" t="str">
        <f t="shared" si="2"/>
        <v/>
      </c>
      <c r="B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1" spans="1:2" x14ac:dyDescent="0.3">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2" spans="1:2" x14ac:dyDescent="0.3">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3" spans="1:2" x14ac:dyDescent="0.3">
      <c r="A193" s="1" t="str">
        <f t="shared" si="2"/>
        <v/>
      </c>
      <c r="B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4" spans="1:2" x14ac:dyDescent="0.3">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5" spans="1:2" x14ac:dyDescent="0.3">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6" spans="1:2" x14ac:dyDescent="0.3">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7" spans="1:2" x14ac:dyDescent="0.3">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8" spans="1:2" x14ac:dyDescent="0.3">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9" spans="1:2" x14ac:dyDescent="0.3">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0" spans="1:2" x14ac:dyDescent="0.3">
      <c r="A200" s="1" t="str">
        <f t="shared" si="3"/>
        <v/>
      </c>
      <c r="B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1" spans="1:2" x14ac:dyDescent="0.3">
      <c r="A201" s="1" t="str">
        <f t="shared" si="3"/>
        <v/>
      </c>
      <c r="B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2" spans="1:2" x14ac:dyDescent="0.3">
      <c r="A202" s="1" t="str">
        <f t="shared" si="3"/>
        <v/>
      </c>
      <c r="B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3" spans="1:2" x14ac:dyDescent="0.3">
      <c r="A203" s="1" t="str">
        <f t="shared" si="3"/>
        <v/>
      </c>
      <c r="B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4" spans="1:2" x14ac:dyDescent="0.3">
      <c r="A204" s="1" t="str">
        <f t="shared" si="3"/>
        <v/>
      </c>
      <c r="B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5" spans="1:2" x14ac:dyDescent="0.3">
      <c r="A205" s="1" t="str">
        <f t="shared" si="3"/>
        <v/>
      </c>
      <c r="B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6" spans="1:2" x14ac:dyDescent="0.3">
      <c r="A206" s="1" t="str">
        <f t="shared" si="3"/>
        <v/>
      </c>
      <c r="B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7" spans="1:2" x14ac:dyDescent="0.3">
      <c r="A207" s="1" t="str">
        <f t="shared" si="3"/>
        <v/>
      </c>
      <c r="B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8" spans="1:2" x14ac:dyDescent="0.3">
      <c r="A208" s="1" t="str">
        <f t="shared" si="3"/>
        <v/>
      </c>
      <c r="B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9" spans="1:2" x14ac:dyDescent="0.3">
      <c r="A209" s="1" t="str">
        <f t="shared" si="3"/>
        <v/>
      </c>
      <c r="B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0" spans="1:2" x14ac:dyDescent="0.3">
      <c r="A210" s="1" t="str">
        <f t="shared" si="3"/>
        <v/>
      </c>
      <c r="B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1" spans="1:2" x14ac:dyDescent="0.3">
      <c r="A211" s="1" t="str">
        <f t="shared" si="3"/>
        <v/>
      </c>
      <c r="B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2" spans="1:2" x14ac:dyDescent="0.3">
      <c r="A212" s="1" t="str">
        <f t="shared" si="3"/>
        <v/>
      </c>
      <c r="B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3" spans="1:2" x14ac:dyDescent="0.3">
      <c r="A213" s="1" t="str">
        <f t="shared" si="3"/>
        <v/>
      </c>
      <c r="B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4" spans="1:2" x14ac:dyDescent="0.3">
      <c r="A214" s="1" t="str">
        <f t="shared" si="3"/>
        <v/>
      </c>
      <c r="B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5" spans="1:2" x14ac:dyDescent="0.3">
      <c r="A215" s="1" t="str">
        <f t="shared" si="3"/>
        <v/>
      </c>
      <c r="B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6" spans="1:2" x14ac:dyDescent="0.3">
      <c r="A216" s="1" t="str">
        <f t="shared" si="3"/>
        <v/>
      </c>
      <c r="B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7" spans="1:2" x14ac:dyDescent="0.3">
      <c r="A217" s="1" t="str">
        <f t="shared" si="3"/>
        <v/>
      </c>
      <c r="B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8" spans="1:2" x14ac:dyDescent="0.3">
      <c r="A218" s="1" t="str">
        <f t="shared" si="3"/>
        <v/>
      </c>
      <c r="B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9" spans="1:2" x14ac:dyDescent="0.3">
      <c r="A219" s="1" t="str">
        <f t="shared" si="3"/>
        <v/>
      </c>
      <c r="B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0" spans="1:2" x14ac:dyDescent="0.3">
      <c r="A220" s="1" t="str">
        <f t="shared" si="3"/>
        <v/>
      </c>
      <c r="B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1" spans="1:2" x14ac:dyDescent="0.3">
      <c r="A221" s="1" t="str">
        <f t="shared" si="3"/>
        <v/>
      </c>
      <c r="B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2" spans="1:2" x14ac:dyDescent="0.3">
      <c r="A222" s="1" t="str">
        <f t="shared" si="3"/>
        <v/>
      </c>
      <c r="B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3" spans="1:2" x14ac:dyDescent="0.3">
      <c r="A223" s="1" t="str">
        <f t="shared" si="3"/>
        <v/>
      </c>
      <c r="B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4" spans="1:2" x14ac:dyDescent="0.3">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5" spans="1:2" x14ac:dyDescent="0.3">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6" spans="1:2" x14ac:dyDescent="0.3">
      <c r="A226" s="1" t="str">
        <f t="shared" si="3"/>
        <v/>
      </c>
      <c r="B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7" spans="1:2" x14ac:dyDescent="0.3">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8" spans="1:2" x14ac:dyDescent="0.3">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9" spans="1:2" x14ac:dyDescent="0.3">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0" spans="1:2" x14ac:dyDescent="0.3">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1" spans="1:2" x14ac:dyDescent="0.3">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2" spans="1:2" x14ac:dyDescent="0.3">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3" spans="1:2" x14ac:dyDescent="0.3">
      <c r="A233" s="1" t="str">
        <f t="shared" si="3"/>
        <v/>
      </c>
      <c r="B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4" spans="1:2" x14ac:dyDescent="0.3">
      <c r="A234" s="1" t="str">
        <f t="shared" si="3"/>
        <v/>
      </c>
      <c r="B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5" spans="1:2" x14ac:dyDescent="0.3">
      <c r="A235" s="1" t="str">
        <f t="shared" si="3"/>
        <v/>
      </c>
      <c r="B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6" spans="1:2" x14ac:dyDescent="0.3">
      <c r="A236" s="1" t="str">
        <f t="shared" si="3"/>
        <v/>
      </c>
      <c r="B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7" spans="1:2" x14ac:dyDescent="0.3">
      <c r="A237" s="1" t="str">
        <f t="shared" si="3"/>
        <v/>
      </c>
      <c r="B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8" spans="1:2" x14ac:dyDescent="0.3">
      <c r="A238" s="1" t="str">
        <f t="shared" si="3"/>
        <v/>
      </c>
      <c r="B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9" spans="1:2" x14ac:dyDescent="0.3">
      <c r="A239" s="1" t="str">
        <f t="shared" si="3"/>
        <v/>
      </c>
      <c r="B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0" spans="1:2" x14ac:dyDescent="0.3">
      <c r="A240" s="1" t="str">
        <f t="shared" si="3"/>
        <v/>
      </c>
      <c r="B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1" spans="1:2" x14ac:dyDescent="0.3">
      <c r="A241" s="1" t="str">
        <f t="shared" si="3"/>
        <v/>
      </c>
      <c r="B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2" spans="1:2" x14ac:dyDescent="0.3">
      <c r="A242" s="1" t="str">
        <f t="shared" si="3"/>
        <v/>
      </c>
      <c r="B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3" spans="1:2" x14ac:dyDescent="0.3">
      <c r="A243" s="1" t="str">
        <f t="shared" si="3"/>
        <v/>
      </c>
      <c r="B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4" spans="1:2" x14ac:dyDescent="0.3">
      <c r="A244" s="1" t="str">
        <f t="shared" si="3"/>
        <v/>
      </c>
      <c r="B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5" spans="1:2" x14ac:dyDescent="0.3">
      <c r="A245" s="1" t="str">
        <f t="shared" si="3"/>
        <v/>
      </c>
      <c r="B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6" spans="1:2" x14ac:dyDescent="0.3">
      <c r="A246" s="1" t="str">
        <f t="shared" si="3"/>
        <v/>
      </c>
      <c r="B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7" spans="1:2" x14ac:dyDescent="0.3">
      <c r="A247" s="1" t="str">
        <f t="shared" si="3"/>
        <v/>
      </c>
      <c r="B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8" spans="1:2" x14ac:dyDescent="0.3">
      <c r="A248" s="1" t="str">
        <f t="shared" si="3"/>
        <v/>
      </c>
      <c r="B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9" spans="1:2" x14ac:dyDescent="0.3">
      <c r="A249" s="1" t="str">
        <f t="shared" si="3"/>
        <v/>
      </c>
      <c r="B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0" spans="1:2" x14ac:dyDescent="0.3">
      <c r="A250" s="1" t="str">
        <f t="shared" si="3"/>
        <v/>
      </c>
      <c r="B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1" spans="1:2" x14ac:dyDescent="0.3">
      <c r="A251" s="1" t="str">
        <f t="shared" si="3"/>
        <v/>
      </c>
      <c r="B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2" spans="1:2" x14ac:dyDescent="0.3">
      <c r="A252" s="1" t="str">
        <f t="shared" si="3"/>
        <v/>
      </c>
      <c r="B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3" spans="1:2" x14ac:dyDescent="0.3">
      <c r="A253" s="1" t="str">
        <f t="shared" si="3"/>
        <v/>
      </c>
      <c r="B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4" spans="1:2" x14ac:dyDescent="0.3">
      <c r="A254" s="1" t="str">
        <f t="shared" si="3"/>
        <v/>
      </c>
      <c r="B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5" spans="1:2" x14ac:dyDescent="0.3">
      <c r="A255" s="1" t="str">
        <f t="shared" si="3"/>
        <v/>
      </c>
      <c r="B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6" spans="1:2" x14ac:dyDescent="0.3">
      <c r="A256" s="1" t="str">
        <f t="shared" si="3"/>
        <v/>
      </c>
      <c r="B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7" spans="1:2" x14ac:dyDescent="0.3">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8" spans="1:2" x14ac:dyDescent="0.3">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9" spans="1:2" x14ac:dyDescent="0.3">
      <c r="A259" s="1" t="str">
        <f t="shared" si="4"/>
        <v/>
      </c>
      <c r="B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0" spans="1:2" x14ac:dyDescent="0.3">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1" spans="1:2" x14ac:dyDescent="0.3">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2" spans="1:2" x14ac:dyDescent="0.3">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3" spans="1:2" x14ac:dyDescent="0.3">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4" spans="1:2" x14ac:dyDescent="0.3">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5" spans="1:2" x14ac:dyDescent="0.3">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6" spans="1:2" x14ac:dyDescent="0.3">
      <c r="A266" s="1" t="str">
        <f t="shared" si="4"/>
        <v/>
      </c>
      <c r="B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7" spans="1:2" x14ac:dyDescent="0.3">
      <c r="A267" s="1" t="str">
        <f t="shared" si="4"/>
        <v/>
      </c>
      <c r="B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8" spans="1:2" x14ac:dyDescent="0.3">
      <c r="A268" s="1" t="str">
        <f t="shared" si="4"/>
        <v/>
      </c>
      <c r="B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9" spans="1:2" x14ac:dyDescent="0.3">
      <c r="A269" s="1" t="str">
        <f t="shared" si="4"/>
        <v/>
      </c>
      <c r="B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0" spans="1:2" x14ac:dyDescent="0.3">
      <c r="A270" s="1" t="str">
        <f t="shared" si="4"/>
        <v/>
      </c>
      <c r="B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1" spans="1:2" x14ac:dyDescent="0.3">
      <c r="A271" s="1" t="str">
        <f t="shared" si="4"/>
        <v/>
      </c>
      <c r="B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2" spans="1:2" x14ac:dyDescent="0.3">
      <c r="A272" s="1" t="str">
        <f t="shared" si="4"/>
        <v/>
      </c>
      <c r="B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3" spans="1:2" x14ac:dyDescent="0.3">
      <c r="A273" s="1" t="str">
        <f t="shared" si="4"/>
        <v/>
      </c>
      <c r="B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4" spans="1:2" x14ac:dyDescent="0.3">
      <c r="A274" s="1" t="str">
        <f t="shared" si="4"/>
        <v/>
      </c>
      <c r="B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5" spans="1:2" x14ac:dyDescent="0.3">
      <c r="A275" s="1" t="str">
        <f t="shared" si="4"/>
        <v/>
      </c>
      <c r="B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6" spans="1:2" x14ac:dyDescent="0.3">
      <c r="A276" s="1" t="str">
        <f t="shared" si="4"/>
        <v/>
      </c>
      <c r="B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7" spans="1:2" x14ac:dyDescent="0.3">
      <c r="A277" s="1" t="str">
        <f t="shared" si="4"/>
        <v/>
      </c>
      <c r="B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8" spans="1:2" x14ac:dyDescent="0.3">
      <c r="A278" s="1" t="str">
        <f t="shared" si="4"/>
        <v/>
      </c>
      <c r="B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9" spans="1:2" x14ac:dyDescent="0.3">
      <c r="A279" s="1" t="str">
        <f t="shared" si="4"/>
        <v/>
      </c>
      <c r="B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0" spans="1:2" x14ac:dyDescent="0.3">
      <c r="A280" s="1" t="str">
        <f t="shared" si="4"/>
        <v/>
      </c>
      <c r="B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1" spans="1:2" x14ac:dyDescent="0.3">
      <c r="A281" s="1" t="str">
        <f t="shared" si="4"/>
        <v/>
      </c>
      <c r="B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2" spans="1:2" x14ac:dyDescent="0.3">
      <c r="A282" s="1" t="str">
        <f t="shared" si="4"/>
        <v/>
      </c>
      <c r="B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3" spans="1:2" x14ac:dyDescent="0.3">
      <c r="A283" s="1" t="str">
        <f t="shared" si="4"/>
        <v/>
      </c>
      <c r="B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4" spans="1:2" x14ac:dyDescent="0.3">
      <c r="A284" s="1" t="str">
        <f t="shared" si="4"/>
        <v/>
      </c>
      <c r="B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5" spans="1:2" x14ac:dyDescent="0.3">
      <c r="A285" s="1" t="str">
        <f t="shared" si="4"/>
        <v/>
      </c>
      <c r="B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6" spans="1:2" x14ac:dyDescent="0.3">
      <c r="A286" s="1" t="str">
        <f t="shared" si="4"/>
        <v/>
      </c>
      <c r="B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7" spans="1:2" x14ac:dyDescent="0.3">
      <c r="A287" s="1" t="str">
        <f t="shared" si="4"/>
        <v/>
      </c>
      <c r="B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8" spans="1:2" x14ac:dyDescent="0.3">
      <c r="A288" s="1" t="str">
        <f t="shared" si="4"/>
        <v/>
      </c>
      <c r="B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9" spans="1:2" x14ac:dyDescent="0.3">
      <c r="A289" s="1" t="str">
        <f t="shared" si="4"/>
        <v/>
      </c>
      <c r="B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0" spans="1:2" x14ac:dyDescent="0.3">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1" spans="1:2" x14ac:dyDescent="0.3">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2" spans="1:2" x14ac:dyDescent="0.3">
      <c r="A292" s="1" t="str">
        <f t="shared" si="4"/>
        <v/>
      </c>
      <c r="B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3" spans="1:2" x14ac:dyDescent="0.3">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4" spans="1:2" x14ac:dyDescent="0.3">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5" spans="1:2" x14ac:dyDescent="0.3">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6" spans="1:2" x14ac:dyDescent="0.3">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7" spans="1:2" x14ac:dyDescent="0.3">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8" spans="1:2" x14ac:dyDescent="0.3">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9" spans="1:2" x14ac:dyDescent="0.3">
      <c r="A299" s="1" t="str">
        <f t="shared" si="4"/>
        <v/>
      </c>
      <c r="B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0" spans="1:2" x14ac:dyDescent="0.3">
      <c r="A300" s="1" t="str">
        <f t="shared" si="4"/>
        <v/>
      </c>
      <c r="B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1" spans="1:2" x14ac:dyDescent="0.3">
      <c r="A301" s="1" t="str">
        <f t="shared" si="4"/>
        <v/>
      </c>
      <c r="B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2" spans="1:2" x14ac:dyDescent="0.3">
      <c r="A302" s="1" t="str">
        <f t="shared" si="4"/>
        <v/>
      </c>
      <c r="B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3" spans="1:2" x14ac:dyDescent="0.3">
      <c r="A303" s="1" t="str">
        <f t="shared" si="4"/>
        <v/>
      </c>
      <c r="B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4" spans="1:2" x14ac:dyDescent="0.3">
      <c r="A304" s="1" t="str">
        <f t="shared" si="4"/>
        <v/>
      </c>
      <c r="B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5" spans="1:2" x14ac:dyDescent="0.3">
      <c r="A305" s="1" t="str">
        <f t="shared" si="4"/>
        <v/>
      </c>
      <c r="B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6" spans="1:2" x14ac:dyDescent="0.3">
      <c r="A306" s="1" t="str">
        <f t="shared" si="4"/>
        <v/>
      </c>
      <c r="B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7" spans="1:2" x14ac:dyDescent="0.3">
      <c r="A307" s="1" t="str">
        <f t="shared" si="4"/>
        <v/>
      </c>
      <c r="B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8" spans="1:2" x14ac:dyDescent="0.3">
      <c r="A308" s="1" t="str">
        <f t="shared" si="4"/>
        <v/>
      </c>
      <c r="B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9" spans="1:2" x14ac:dyDescent="0.3">
      <c r="A309" s="1" t="str">
        <f t="shared" si="4"/>
        <v/>
      </c>
      <c r="B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0" spans="1:2" x14ac:dyDescent="0.3">
      <c r="A310" s="1" t="str">
        <f t="shared" si="4"/>
        <v/>
      </c>
      <c r="B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1" spans="1:2" x14ac:dyDescent="0.3">
      <c r="A311" s="1" t="str">
        <f t="shared" si="4"/>
        <v/>
      </c>
      <c r="B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2" spans="1:2" x14ac:dyDescent="0.3">
      <c r="A312" s="1" t="str">
        <f t="shared" si="4"/>
        <v/>
      </c>
      <c r="B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3" spans="1:2" x14ac:dyDescent="0.3">
      <c r="A313" s="1" t="str">
        <f t="shared" si="4"/>
        <v/>
      </c>
      <c r="B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4" spans="1:2" x14ac:dyDescent="0.3">
      <c r="A314" s="1" t="str">
        <f t="shared" si="4"/>
        <v/>
      </c>
      <c r="B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5" spans="1:2" x14ac:dyDescent="0.3">
      <c r="A315" s="1" t="str">
        <f t="shared" si="4"/>
        <v/>
      </c>
      <c r="B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6" spans="1:2" x14ac:dyDescent="0.3">
      <c r="A316" s="1" t="str">
        <f t="shared" si="4"/>
        <v/>
      </c>
      <c r="B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7" spans="1:2" x14ac:dyDescent="0.3">
      <c r="A317" s="1" t="str">
        <f t="shared" si="4"/>
        <v/>
      </c>
      <c r="B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8" spans="1:2" x14ac:dyDescent="0.3">
      <c r="A318" s="1" t="str">
        <f t="shared" si="4"/>
        <v/>
      </c>
      <c r="B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9" spans="1:2" x14ac:dyDescent="0.3">
      <c r="A319" s="1" t="str">
        <f t="shared" si="4"/>
        <v/>
      </c>
      <c r="B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0" spans="1:2" x14ac:dyDescent="0.3">
      <c r="A320" s="1" t="str">
        <f t="shared" si="4"/>
        <v/>
      </c>
      <c r="B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1" spans="1:2" x14ac:dyDescent="0.3">
      <c r="A321" s="1" t="str">
        <f t="shared" si="4"/>
        <v/>
      </c>
      <c r="B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2" spans="1:2" x14ac:dyDescent="0.3">
      <c r="A322" s="1" t="str">
        <f t="shared" ref="A322:A385" si="5">IFERROR(LEFT(RIGHT(C322,LEN(C322)-SEARCH("@",C322)),SEARCH("/",RIGHT(C322,LEN(C322)-SEARCH("@",C322)-1))),"")</f>
        <v/>
      </c>
      <c r="B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3" spans="1:2" x14ac:dyDescent="0.3">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4" spans="1:2" x14ac:dyDescent="0.3">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5" spans="1:2" x14ac:dyDescent="0.3">
      <c r="A325" s="1" t="str">
        <f t="shared" si="5"/>
        <v/>
      </c>
      <c r="B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6" spans="1:2" x14ac:dyDescent="0.3">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7" spans="1:2" x14ac:dyDescent="0.3">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8" spans="1:2" x14ac:dyDescent="0.3">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9" spans="1:2" x14ac:dyDescent="0.3">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0" spans="1:2" x14ac:dyDescent="0.3">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1" spans="1:2" x14ac:dyDescent="0.3">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2" spans="1:2" x14ac:dyDescent="0.3">
      <c r="A332" s="1" t="str">
        <f t="shared" si="5"/>
        <v/>
      </c>
      <c r="B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3" spans="1:2" x14ac:dyDescent="0.3">
      <c r="A333" s="1" t="str">
        <f t="shared" si="5"/>
        <v/>
      </c>
      <c r="B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4" spans="1:2" x14ac:dyDescent="0.3">
      <c r="A334" s="1" t="str">
        <f t="shared" si="5"/>
        <v/>
      </c>
      <c r="B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5" spans="1:2" x14ac:dyDescent="0.3">
      <c r="A335" s="1" t="str">
        <f t="shared" si="5"/>
        <v/>
      </c>
      <c r="B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6" spans="1:2" x14ac:dyDescent="0.3">
      <c r="A336" s="1" t="str">
        <f t="shared" si="5"/>
        <v/>
      </c>
      <c r="B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7" spans="1:2" x14ac:dyDescent="0.3">
      <c r="A337" s="1" t="str">
        <f t="shared" si="5"/>
        <v/>
      </c>
      <c r="B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8" spans="1:2" x14ac:dyDescent="0.3">
      <c r="A338" s="1" t="str">
        <f t="shared" si="5"/>
        <v/>
      </c>
      <c r="B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9" spans="1:2" x14ac:dyDescent="0.3">
      <c r="A339" s="1" t="str">
        <f t="shared" si="5"/>
        <v/>
      </c>
      <c r="B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0" spans="1:2" x14ac:dyDescent="0.3">
      <c r="A340" s="1" t="str">
        <f t="shared" si="5"/>
        <v/>
      </c>
      <c r="B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1" spans="1:2" x14ac:dyDescent="0.3">
      <c r="A341" s="1" t="str">
        <f t="shared" si="5"/>
        <v/>
      </c>
      <c r="B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2" spans="1:2" x14ac:dyDescent="0.3">
      <c r="A342" s="1" t="str">
        <f t="shared" si="5"/>
        <v/>
      </c>
      <c r="B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3" spans="1:2" x14ac:dyDescent="0.3">
      <c r="A343" s="1" t="str">
        <f t="shared" si="5"/>
        <v/>
      </c>
      <c r="B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4" spans="1:2" x14ac:dyDescent="0.3">
      <c r="A344" s="1" t="str">
        <f t="shared" si="5"/>
        <v/>
      </c>
      <c r="B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5" spans="1:2" x14ac:dyDescent="0.3">
      <c r="A345" s="1" t="str">
        <f t="shared" si="5"/>
        <v/>
      </c>
      <c r="B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6" spans="1:2" x14ac:dyDescent="0.3">
      <c r="A346" s="1" t="str">
        <f t="shared" si="5"/>
        <v/>
      </c>
      <c r="B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7" spans="1:2" x14ac:dyDescent="0.3">
      <c r="A347" s="1" t="str">
        <f t="shared" si="5"/>
        <v/>
      </c>
      <c r="B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8" spans="1:2" x14ac:dyDescent="0.3">
      <c r="A348" s="1" t="str">
        <f t="shared" si="5"/>
        <v/>
      </c>
      <c r="B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9" spans="1:2" x14ac:dyDescent="0.3">
      <c r="A349" s="1" t="str">
        <f t="shared" si="5"/>
        <v/>
      </c>
      <c r="B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0" spans="1:2" x14ac:dyDescent="0.3">
      <c r="A350" s="1" t="str">
        <f t="shared" si="5"/>
        <v/>
      </c>
      <c r="B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1" spans="1:2" x14ac:dyDescent="0.3">
      <c r="A351" s="1" t="str">
        <f t="shared" si="5"/>
        <v/>
      </c>
      <c r="B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2" spans="1:2" x14ac:dyDescent="0.3">
      <c r="A352" s="1" t="str">
        <f t="shared" si="5"/>
        <v/>
      </c>
      <c r="B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3" spans="1:2" x14ac:dyDescent="0.3">
      <c r="A353" s="1" t="str">
        <f t="shared" si="5"/>
        <v/>
      </c>
      <c r="B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4" spans="1:2" x14ac:dyDescent="0.3">
      <c r="A354" s="1" t="str">
        <f t="shared" si="5"/>
        <v/>
      </c>
      <c r="B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5" spans="1:2" x14ac:dyDescent="0.3">
      <c r="A355" s="1" t="str">
        <f t="shared" si="5"/>
        <v/>
      </c>
      <c r="B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6" spans="1:2" x14ac:dyDescent="0.3">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7" spans="1:2" x14ac:dyDescent="0.3">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8" spans="1:2" x14ac:dyDescent="0.3">
      <c r="A358" s="1" t="str">
        <f t="shared" si="5"/>
        <v/>
      </c>
      <c r="B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9" spans="1:2" x14ac:dyDescent="0.3">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0" spans="1:2" x14ac:dyDescent="0.3">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1" spans="1:2" x14ac:dyDescent="0.3">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2" spans="1:2" x14ac:dyDescent="0.3">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3" spans="1:2" x14ac:dyDescent="0.3">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4" spans="1:2" x14ac:dyDescent="0.3">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5" spans="1:2" x14ac:dyDescent="0.3">
      <c r="A365" s="1" t="str">
        <f t="shared" si="5"/>
        <v/>
      </c>
      <c r="B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6" spans="1:2" x14ac:dyDescent="0.3">
      <c r="A366" s="1" t="str">
        <f t="shared" si="5"/>
        <v/>
      </c>
      <c r="B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7" spans="1:2" x14ac:dyDescent="0.3">
      <c r="A367" s="1" t="str">
        <f t="shared" si="5"/>
        <v/>
      </c>
      <c r="B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8" spans="1:2" x14ac:dyDescent="0.3">
      <c r="A368" s="1" t="str">
        <f t="shared" si="5"/>
        <v/>
      </c>
      <c r="B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9" spans="1:2" x14ac:dyDescent="0.3">
      <c r="A369" s="1" t="str">
        <f t="shared" si="5"/>
        <v/>
      </c>
      <c r="B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0" spans="1:2" x14ac:dyDescent="0.3">
      <c r="A370" s="1" t="str">
        <f t="shared" si="5"/>
        <v/>
      </c>
      <c r="B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1" spans="1:2" x14ac:dyDescent="0.3">
      <c r="A371" s="1" t="str">
        <f t="shared" si="5"/>
        <v/>
      </c>
      <c r="B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2" spans="1:2" x14ac:dyDescent="0.3">
      <c r="A372" s="1" t="str">
        <f t="shared" si="5"/>
        <v/>
      </c>
      <c r="B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3" spans="1:2" x14ac:dyDescent="0.3">
      <c r="A373" s="1" t="str">
        <f t="shared" si="5"/>
        <v/>
      </c>
      <c r="B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4" spans="1:2" x14ac:dyDescent="0.3">
      <c r="A374" s="1" t="str">
        <f t="shared" si="5"/>
        <v/>
      </c>
      <c r="B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5" spans="1:2" x14ac:dyDescent="0.3">
      <c r="A375" s="1" t="str">
        <f t="shared" si="5"/>
        <v/>
      </c>
      <c r="B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6" spans="1:2" x14ac:dyDescent="0.3">
      <c r="A376" s="1" t="str">
        <f t="shared" si="5"/>
        <v/>
      </c>
      <c r="B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7" spans="1:2" x14ac:dyDescent="0.3">
      <c r="A377" s="1" t="str">
        <f t="shared" si="5"/>
        <v/>
      </c>
      <c r="B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8" spans="1:2" x14ac:dyDescent="0.3">
      <c r="A378" s="1" t="str">
        <f t="shared" si="5"/>
        <v/>
      </c>
      <c r="B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9" spans="1:2" x14ac:dyDescent="0.3">
      <c r="A379" s="1" t="str">
        <f t="shared" si="5"/>
        <v/>
      </c>
      <c r="B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0" spans="1:2" x14ac:dyDescent="0.3">
      <c r="A380" s="1" t="str">
        <f t="shared" si="5"/>
        <v/>
      </c>
      <c r="B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1" spans="1:2" x14ac:dyDescent="0.3">
      <c r="A381" s="1" t="str">
        <f t="shared" si="5"/>
        <v/>
      </c>
      <c r="B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2" spans="1:2" x14ac:dyDescent="0.3">
      <c r="A382" s="1" t="str">
        <f t="shared" si="5"/>
        <v/>
      </c>
      <c r="B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3" spans="1:2" x14ac:dyDescent="0.3">
      <c r="A383" s="1" t="str">
        <f t="shared" si="5"/>
        <v/>
      </c>
      <c r="B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4" spans="1:2" x14ac:dyDescent="0.3">
      <c r="A384" s="1" t="str">
        <f t="shared" si="5"/>
        <v/>
      </c>
      <c r="B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5" spans="1:2" x14ac:dyDescent="0.3">
      <c r="A385" s="1" t="str">
        <f t="shared" si="5"/>
        <v/>
      </c>
      <c r="B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6" spans="1:2" x14ac:dyDescent="0.3">
      <c r="A386" s="1" t="str">
        <f t="shared" ref="A386:A449" si="6">IFERROR(LEFT(RIGHT(C386,LEN(C386)-SEARCH("@",C386)),SEARCH("/",RIGHT(C386,LEN(C386)-SEARCH("@",C386)-1))),"")</f>
        <v/>
      </c>
      <c r="B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7" spans="1:2" x14ac:dyDescent="0.3">
      <c r="A387" s="1" t="str">
        <f t="shared" si="6"/>
        <v/>
      </c>
      <c r="B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8" spans="1:2" x14ac:dyDescent="0.3">
      <c r="A388" s="1" t="str">
        <f t="shared" si="6"/>
        <v/>
      </c>
      <c r="B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9" spans="1:2" x14ac:dyDescent="0.3">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0" spans="1:2" x14ac:dyDescent="0.3">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1" spans="1:2" x14ac:dyDescent="0.3">
      <c r="A391" s="1" t="str">
        <f t="shared" si="6"/>
        <v/>
      </c>
      <c r="B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2" spans="1:2" x14ac:dyDescent="0.3">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3" spans="1:2" x14ac:dyDescent="0.3">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4" spans="1:2" x14ac:dyDescent="0.3">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5" spans="1:2" x14ac:dyDescent="0.3">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6" spans="1:2" x14ac:dyDescent="0.3">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7" spans="1:2" x14ac:dyDescent="0.3">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8" spans="1:2" x14ac:dyDescent="0.3">
      <c r="A398" s="1" t="str">
        <f t="shared" si="6"/>
        <v/>
      </c>
      <c r="B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9" spans="1:2" x14ac:dyDescent="0.3">
      <c r="A399" s="1" t="str">
        <f t="shared" si="6"/>
        <v/>
      </c>
      <c r="B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0" spans="1:2" x14ac:dyDescent="0.3">
      <c r="A400" s="1" t="str">
        <f t="shared" si="6"/>
        <v/>
      </c>
      <c r="B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1" spans="1:2" x14ac:dyDescent="0.3">
      <c r="A401" s="1" t="str">
        <f t="shared" si="6"/>
        <v/>
      </c>
      <c r="B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2" spans="1:2" x14ac:dyDescent="0.3">
      <c r="A402" s="1" t="str">
        <f t="shared" si="6"/>
        <v/>
      </c>
      <c r="B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3" spans="1:2" x14ac:dyDescent="0.3">
      <c r="A403" s="1" t="str">
        <f t="shared" si="6"/>
        <v/>
      </c>
      <c r="B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4" spans="1:2" x14ac:dyDescent="0.3">
      <c r="A404" s="1" t="str">
        <f t="shared" si="6"/>
        <v/>
      </c>
      <c r="B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5" spans="1:2" x14ac:dyDescent="0.3">
      <c r="A405" s="1" t="str">
        <f t="shared" si="6"/>
        <v/>
      </c>
      <c r="B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6" spans="1:2" x14ac:dyDescent="0.3">
      <c r="A406" s="1" t="str">
        <f t="shared" si="6"/>
        <v/>
      </c>
      <c r="B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7" spans="1:2" x14ac:dyDescent="0.3">
      <c r="A407" s="1" t="str">
        <f t="shared" si="6"/>
        <v/>
      </c>
      <c r="B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8" spans="1:2" x14ac:dyDescent="0.3">
      <c r="A408" s="1" t="str">
        <f t="shared" si="6"/>
        <v/>
      </c>
      <c r="B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9" spans="1:2" x14ac:dyDescent="0.3">
      <c r="A409" s="1" t="str">
        <f t="shared" si="6"/>
        <v/>
      </c>
      <c r="B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0" spans="1:2" x14ac:dyDescent="0.3">
      <c r="A410" s="1" t="str">
        <f t="shared" si="6"/>
        <v/>
      </c>
      <c r="B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1" spans="1:2" x14ac:dyDescent="0.3">
      <c r="A411" s="1" t="str">
        <f t="shared" si="6"/>
        <v/>
      </c>
      <c r="B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2" spans="1:2" x14ac:dyDescent="0.3">
      <c r="A412" s="1" t="str">
        <f t="shared" si="6"/>
        <v/>
      </c>
      <c r="B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3" spans="1:2" x14ac:dyDescent="0.3">
      <c r="A413" s="1" t="str">
        <f t="shared" si="6"/>
        <v/>
      </c>
      <c r="B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4" spans="1:2" x14ac:dyDescent="0.3">
      <c r="A414" s="1" t="str">
        <f t="shared" si="6"/>
        <v/>
      </c>
      <c r="B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5" spans="1:2" x14ac:dyDescent="0.3">
      <c r="A415" s="1" t="str">
        <f t="shared" si="6"/>
        <v/>
      </c>
      <c r="B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6" spans="1:2" x14ac:dyDescent="0.3">
      <c r="A416" s="1" t="str">
        <f t="shared" si="6"/>
        <v/>
      </c>
      <c r="B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7" spans="1:2" x14ac:dyDescent="0.3">
      <c r="A417" s="1" t="str">
        <f t="shared" si="6"/>
        <v/>
      </c>
      <c r="B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8" spans="1:2" x14ac:dyDescent="0.3">
      <c r="A418" s="1" t="str">
        <f t="shared" si="6"/>
        <v/>
      </c>
      <c r="B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9" spans="1:2" x14ac:dyDescent="0.3">
      <c r="A419" s="1" t="str">
        <f t="shared" si="6"/>
        <v/>
      </c>
      <c r="B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0" spans="1:2" x14ac:dyDescent="0.3">
      <c r="A420" s="1" t="str">
        <f t="shared" si="6"/>
        <v/>
      </c>
      <c r="B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1" spans="1:2" x14ac:dyDescent="0.3">
      <c r="A421" s="1" t="str">
        <f t="shared" si="6"/>
        <v/>
      </c>
      <c r="B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2" spans="1:2" x14ac:dyDescent="0.3">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3" spans="1:2" x14ac:dyDescent="0.3">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4" spans="1:2" x14ac:dyDescent="0.3">
      <c r="A424" s="1" t="str">
        <f t="shared" si="6"/>
        <v/>
      </c>
      <c r="B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5" spans="1:2" x14ac:dyDescent="0.3">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6" spans="1:2" x14ac:dyDescent="0.3">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7" spans="1:2" x14ac:dyDescent="0.3">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8" spans="1:2" x14ac:dyDescent="0.3">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9" spans="1:2" x14ac:dyDescent="0.3">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0" spans="1:2" x14ac:dyDescent="0.3">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1" spans="1:2" x14ac:dyDescent="0.3">
      <c r="A431" s="1" t="str">
        <f t="shared" si="6"/>
        <v/>
      </c>
      <c r="B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2" spans="1:2" x14ac:dyDescent="0.3">
      <c r="A432" s="1" t="str">
        <f t="shared" si="6"/>
        <v/>
      </c>
      <c r="B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3" spans="1:2" x14ac:dyDescent="0.3">
      <c r="A433" s="1" t="str">
        <f t="shared" si="6"/>
        <v/>
      </c>
      <c r="B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4" spans="1:2" x14ac:dyDescent="0.3">
      <c r="A434" s="1" t="str">
        <f t="shared" si="6"/>
        <v/>
      </c>
      <c r="B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5" spans="1:2" x14ac:dyDescent="0.3">
      <c r="A435" s="1" t="str">
        <f t="shared" si="6"/>
        <v/>
      </c>
      <c r="B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6" spans="1:2" x14ac:dyDescent="0.3">
      <c r="A436" s="1" t="str">
        <f t="shared" si="6"/>
        <v/>
      </c>
      <c r="B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7" spans="1:2" x14ac:dyDescent="0.3">
      <c r="A437" s="1" t="str">
        <f t="shared" si="6"/>
        <v/>
      </c>
      <c r="B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8" spans="1:2" x14ac:dyDescent="0.3">
      <c r="A438" s="1" t="str">
        <f t="shared" si="6"/>
        <v/>
      </c>
      <c r="B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9" spans="1:2" x14ac:dyDescent="0.3">
      <c r="A439" s="1" t="str">
        <f t="shared" si="6"/>
        <v/>
      </c>
      <c r="B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0" spans="1:2" x14ac:dyDescent="0.3">
      <c r="A440" s="1" t="str">
        <f t="shared" si="6"/>
        <v/>
      </c>
      <c r="B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1" spans="1:2" x14ac:dyDescent="0.3">
      <c r="A441" s="1" t="str">
        <f t="shared" si="6"/>
        <v/>
      </c>
      <c r="B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2" spans="1:2" x14ac:dyDescent="0.3">
      <c r="A442" s="1" t="str">
        <f t="shared" si="6"/>
        <v/>
      </c>
      <c r="B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3" spans="1:2" x14ac:dyDescent="0.3">
      <c r="A443" s="1" t="str">
        <f t="shared" si="6"/>
        <v/>
      </c>
      <c r="B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4" spans="1:2" x14ac:dyDescent="0.3">
      <c r="A444" s="1" t="str">
        <f t="shared" si="6"/>
        <v/>
      </c>
      <c r="B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5" spans="1:2" x14ac:dyDescent="0.3">
      <c r="A445" s="1" t="str">
        <f t="shared" si="6"/>
        <v/>
      </c>
      <c r="B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6" spans="1:2" x14ac:dyDescent="0.3">
      <c r="A446" s="1" t="str">
        <f t="shared" si="6"/>
        <v/>
      </c>
      <c r="B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7" spans="1:2" x14ac:dyDescent="0.3">
      <c r="A447" s="1" t="str">
        <f t="shared" si="6"/>
        <v/>
      </c>
      <c r="B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8" spans="1:2" x14ac:dyDescent="0.3">
      <c r="A448" s="1" t="str">
        <f t="shared" si="6"/>
        <v/>
      </c>
      <c r="B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9" spans="1:2" x14ac:dyDescent="0.3">
      <c r="A449" s="1" t="str">
        <f t="shared" si="6"/>
        <v/>
      </c>
      <c r="B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0" spans="1:2" x14ac:dyDescent="0.3">
      <c r="A450" s="1" t="str">
        <f t="shared" ref="A450:A513" si="7">IFERROR(LEFT(RIGHT(C450,LEN(C450)-SEARCH("@",C450)),SEARCH("/",RIGHT(C450,LEN(C450)-SEARCH("@",C450)-1))),"")</f>
        <v/>
      </c>
      <c r="B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1" spans="1:2" x14ac:dyDescent="0.3">
      <c r="A451" s="1" t="str">
        <f t="shared" si="7"/>
        <v/>
      </c>
      <c r="B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2" spans="1:2" x14ac:dyDescent="0.3">
      <c r="A452" s="1" t="str">
        <f t="shared" si="7"/>
        <v/>
      </c>
      <c r="B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3" spans="1:2" x14ac:dyDescent="0.3">
      <c r="A453" s="1" t="str">
        <f t="shared" si="7"/>
        <v/>
      </c>
      <c r="B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4" spans="1:2" x14ac:dyDescent="0.3">
      <c r="A454" s="1" t="str">
        <f t="shared" si="7"/>
        <v/>
      </c>
      <c r="B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5" spans="1:2" x14ac:dyDescent="0.3">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6" spans="1:2" x14ac:dyDescent="0.3">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7" spans="1:2" x14ac:dyDescent="0.3">
      <c r="A457" s="1" t="str">
        <f t="shared" si="7"/>
        <v/>
      </c>
      <c r="B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8" spans="1:2" x14ac:dyDescent="0.3">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9" spans="1:2" x14ac:dyDescent="0.3">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0" spans="1:2" x14ac:dyDescent="0.3">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1" spans="1:2" x14ac:dyDescent="0.3">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2" spans="1:2" x14ac:dyDescent="0.3">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3" spans="1:2" x14ac:dyDescent="0.3">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4" spans="1:2" x14ac:dyDescent="0.3">
      <c r="A464" s="1" t="str">
        <f t="shared" si="7"/>
        <v/>
      </c>
      <c r="B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5" spans="1:2" x14ac:dyDescent="0.3">
      <c r="A465" s="1" t="str">
        <f t="shared" si="7"/>
        <v/>
      </c>
      <c r="B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6" spans="1:2" x14ac:dyDescent="0.3">
      <c r="A466" s="1" t="str">
        <f t="shared" si="7"/>
        <v/>
      </c>
      <c r="B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7" spans="1:2" x14ac:dyDescent="0.3">
      <c r="A467" s="1" t="str">
        <f t="shared" si="7"/>
        <v/>
      </c>
      <c r="B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8" spans="1:2" x14ac:dyDescent="0.3">
      <c r="A468" s="1" t="str">
        <f t="shared" si="7"/>
        <v/>
      </c>
      <c r="B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9" spans="1:2" x14ac:dyDescent="0.3">
      <c r="A469" s="1" t="str">
        <f t="shared" si="7"/>
        <v/>
      </c>
      <c r="B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0" spans="1:2" x14ac:dyDescent="0.3">
      <c r="A470" s="1" t="str">
        <f t="shared" si="7"/>
        <v/>
      </c>
      <c r="B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1" spans="1:2" x14ac:dyDescent="0.3">
      <c r="A471" s="1" t="str">
        <f t="shared" si="7"/>
        <v/>
      </c>
      <c r="B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2" spans="1:2" x14ac:dyDescent="0.3">
      <c r="A472" s="1" t="str">
        <f t="shared" si="7"/>
        <v/>
      </c>
      <c r="B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3" spans="1:2" x14ac:dyDescent="0.3">
      <c r="A473" s="1" t="str">
        <f t="shared" si="7"/>
        <v/>
      </c>
      <c r="B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4" spans="1:2" x14ac:dyDescent="0.3">
      <c r="A474" s="1" t="str">
        <f t="shared" si="7"/>
        <v/>
      </c>
      <c r="B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5" spans="1:2" x14ac:dyDescent="0.3">
      <c r="A475" s="1" t="str">
        <f t="shared" si="7"/>
        <v/>
      </c>
      <c r="B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6" spans="1:2" x14ac:dyDescent="0.3">
      <c r="A476" s="1" t="str">
        <f t="shared" si="7"/>
        <v/>
      </c>
      <c r="B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7" spans="1:2" x14ac:dyDescent="0.3">
      <c r="A477" s="1" t="str">
        <f t="shared" si="7"/>
        <v/>
      </c>
      <c r="B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8" spans="1:2" x14ac:dyDescent="0.3">
      <c r="A478" s="1" t="str">
        <f t="shared" si="7"/>
        <v/>
      </c>
      <c r="B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9" spans="1:2" x14ac:dyDescent="0.3">
      <c r="A479" s="1" t="str">
        <f t="shared" si="7"/>
        <v/>
      </c>
      <c r="B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0" spans="1:2" x14ac:dyDescent="0.3">
      <c r="A480" s="1" t="str">
        <f t="shared" si="7"/>
        <v/>
      </c>
      <c r="B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1" spans="1:2" x14ac:dyDescent="0.3">
      <c r="A481" s="1" t="str">
        <f t="shared" si="7"/>
        <v/>
      </c>
      <c r="B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2" spans="1:2" x14ac:dyDescent="0.3">
      <c r="A482" s="1" t="str">
        <f t="shared" si="7"/>
        <v/>
      </c>
      <c r="B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3" spans="1:2" x14ac:dyDescent="0.3">
      <c r="A483" s="1" t="str">
        <f t="shared" si="7"/>
        <v/>
      </c>
      <c r="B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4" spans="1:2" x14ac:dyDescent="0.3">
      <c r="A484" s="1" t="str">
        <f t="shared" si="7"/>
        <v/>
      </c>
      <c r="B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5" spans="1:2" x14ac:dyDescent="0.3">
      <c r="A485" s="1" t="str">
        <f t="shared" si="7"/>
        <v/>
      </c>
      <c r="B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6" spans="1:2" x14ac:dyDescent="0.3">
      <c r="A486" s="1" t="str">
        <f t="shared" si="7"/>
        <v/>
      </c>
      <c r="B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7" spans="1:2" x14ac:dyDescent="0.3">
      <c r="A487" s="1" t="str">
        <f t="shared" si="7"/>
        <v/>
      </c>
      <c r="B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8" spans="1:2" x14ac:dyDescent="0.3">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9" spans="1:2" x14ac:dyDescent="0.3">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0" spans="1:2" x14ac:dyDescent="0.3">
      <c r="A490" s="1" t="str">
        <f t="shared" si="7"/>
        <v/>
      </c>
      <c r="B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1" spans="1:2" x14ac:dyDescent="0.3">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2" spans="1:2" x14ac:dyDescent="0.3">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3" spans="1:2" x14ac:dyDescent="0.3">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4" spans="1:2" x14ac:dyDescent="0.3">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5" spans="1:2" x14ac:dyDescent="0.3">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6" spans="1:2" x14ac:dyDescent="0.3">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7" spans="1:2" x14ac:dyDescent="0.3">
      <c r="A497" s="1" t="str">
        <f t="shared" si="7"/>
        <v/>
      </c>
      <c r="B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8" spans="1:2" x14ac:dyDescent="0.3">
      <c r="A498" s="1" t="str">
        <f t="shared" si="7"/>
        <v/>
      </c>
      <c r="B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9" spans="1:2" x14ac:dyDescent="0.3">
      <c r="A499" s="1" t="str">
        <f t="shared" si="7"/>
        <v/>
      </c>
      <c r="B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0" spans="1:2" x14ac:dyDescent="0.3">
      <c r="A500" s="1" t="str">
        <f t="shared" si="7"/>
        <v/>
      </c>
      <c r="B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1" spans="1:2" x14ac:dyDescent="0.3">
      <c r="A501" s="1" t="str">
        <f t="shared" si="7"/>
        <v/>
      </c>
      <c r="B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2" spans="1:2" x14ac:dyDescent="0.3">
      <c r="A502" s="1" t="str">
        <f t="shared" si="7"/>
        <v/>
      </c>
      <c r="B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3" spans="1:2" x14ac:dyDescent="0.3">
      <c r="A503" s="1" t="str">
        <f t="shared" si="7"/>
        <v/>
      </c>
      <c r="B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4" spans="1:2" x14ac:dyDescent="0.3">
      <c r="A504" s="1" t="str">
        <f t="shared" si="7"/>
        <v/>
      </c>
      <c r="B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5" spans="1:2" x14ac:dyDescent="0.3">
      <c r="A505" s="1" t="str">
        <f t="shared" si="7"/>
        <v/>
      </c>
      <c r="B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6" spans="1:2" x14ac:dyDescent="0.3">
      <c r="A506" s="1" t="str">
        <f t="shared" si="7"/>
        <v/>
      </c>
      <c r="B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7" spans="1:2" x14ac:dyDescent="0.3">
      <c r="A507" s="1" t="str">
        <f t="shared" si="7"/>
        <v/>
      </c>
      <c r="B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8" spans="1:2" x14ac:dyDescent="0.3">
      <c r="A508" s="1" t="str">
        <f t="shared" si="7"/>
        <v/>
      </c>
      <c r="B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9" spans="1:2" x14ac:dyDescent="0.3">
      <c r="A509" s="1" t="str">
        <f t="shared" si="7"/>
        <v/>
      </c>
      <c r="B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0" spans="1:2" x14ac:dyDescent="0.3">
      <c r="A510" s="1" t="str">
        <f t="shared" si="7"/>
        <v/>
      </c>
      <c r="B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1" spans="1:2" x14ac:dyDescent="0.3">
      <c r="A511" s="1" t="str">
        <f t="shared" si="7"/>
        <v/>
      </c>
      <c r="B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2" spans="1:2" x14ac:dyDescent="0.3">
      <c r="A512" s="1" t="str">
        <f t="shared" si="7"/>
        <v/>
      </c>
      <c r="B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3" spans="1:2" x14ac:dyDescent="0.3">
      <c r="A513" s="1" t="str">
        <f t="shared" si="7"/>
        <v/>
      </c>
      <c r="B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4" spans="1:2" x14ac:dyDescent="0.3">
      <c r="A514" s="1" t="str">
        <f t="shared" ref="A514:A577" si="8">IFERROR(LEFT(RIGHT(C514,LEN(C514)-SEARCH("@",C514)),SEARCH("/",RIGHT(C514,LEN(C514)-SEARCH("@",C514)-1))),"")</f>
        <v/>
      </c>
      <c r="B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5" spans="1:2" x14ac:dyDescent="0.3">
      <c r="A515" s="1" t="str">
        <f t="shared" si="8"/>
        <v/>
      </c>
      <c r="B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6" spans="1:2" x14ac:dyDescent="0.3">
      <c r="A516" s="1" t="str">
        <f t="shared" si="8"/>
        <v/>
      </c>
      <c r="B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7" spans="1:2" x14ac:dyDescent="0.3">
      <c r="A517" s="1" t="str">
        <f t="shared" si="8"/>
        <v/>
      </c>
      <c r="B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8" spans="1:2" x14ac:dyDescent="0.3">
      <c r="A518" s="1" t="str">
        <f t="shared" si="8"/>
        <v/>
      </c>
      <c r="B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9" spans="1:2" x14ac:dyDescent="0.3">
      <c r="A519" s="1" t="str">
        <f t="shared" si="8"/>
        <v/>
      </c>
      <c r="B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0" spans="1:2" x14ac:dyDescent="0.3">
      <c r="A520" s="1" t="str">
        <f t="shared" si="8"/>
        <v/>
      </c>
      <c r="B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1" spans="1:2" x14ac:dyDescent="0.3">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2" spans="1:2" x14ac:dyDescent="0.3">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3" spans="1:2" x14ac:dyDescent="0.3">
      <c r="A523" s="1" t="str">
        <f t="shared" si="8"/>
        <v/>
      </c>
      <c r="B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4" spans="1:2" x14ac:dyDescent="0.3">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5" spans="1:2" x14ac:dyDescent="0.3">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6" spans="1:2" x14ac:dyDescent="0.3">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7" spans="1:2" x14ac:dyDescent="0.3">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8" spans="1:2" x14ac:dyDescent="0.3">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9" spans="1:2" x14ac:dyDescent="0.3">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0" spans="1:2" x14ac:dyDescent="0.3">
      <c r="A530" s="1" t="str">
        <f t="shared" si="8"/>
        <v/>
      </c>
      <c r="B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1" spans="1:2" x14ac:dyDescent="0.3">
      <c r="A531" s="1" t="str">
        <f t="shared" si="8"/>
        <v/>
      </c>
      <c r="B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2" spans="1:2" x14ac:dyDescent="0.3">
      <c r="A532" s="1" t="str">
        <f t="shared" si="8"/>
        <v/>
      </c>
      <c r="B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3" spans="1:2" x14ac:dyDescent="0.3">
      <c r="A533" s="1" t="str">
        <f t="shared" si="8"/>
        <v/>
      </c>
      <c r="B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4" spans="1:2" x14ac:dyDescent="0.3">
      <c r="A534" s="1" t="str">
        <f t="shared" si="8"/>
        <v/>
      </c>
      <c r="B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5" spans="1:2" x14ac:dyDescent="0.3">
      <c r="A535" s="1" t="str">
        <f t="shared" si="8"/>
        <v/>
      </c>
      <c r="B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6" spans="1:2" x14ac:dyDescent="0.3">
      <c r="A536" s="1" t="str">
        <f t="shared" si="8"/>
        <v/>
      </c>
      <c r="B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7" spans="1:2" x14ac:dyDescent="0.3">
      <c r="A537" s="1" t="str">
        <f t="shared" si="8"/>
        <v/>
      </c>
      <c r="B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8" spans="1:2" x14ac:dyDescent="0.3">
      <c r="A538" s="1" t="str">
        <f t="shared" si="8"/>
        <v/>
      </c>
      <c r="B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9" spans="1:2" x14ac:dyDescent="0.3">
      <c r="A539" s="1" t="str">
        <f t="shared" si="8"/>
        <v/>
      </c>
      <c r="B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0" spans="1:2" x14ac:dyDescent="0.3">
      <c r="A540" s="1" t="str">
        <f t="shared" si="8"/>
        <v/>
      </c>
      <c r="B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1" spans="1:2" x14ac:dyDescent="0.3">
      <c r="A541" s="1" t="str">
        <f t="shared" si="8"/>
        <v/>
      </c>
      <c r="B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2" spans="1:2" x14ac:dyDescent="0.3">
      <c r="A542" s="1" t="str">
        <f t="shared" si="8"/>
        <v/>
      </c>
      <c r="B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3" spans="1:2" x14ac:dyDescent="0.3">
      <c r="A543" s="1" t="str">
        <f t="shared" si="8"/>
        <v/>
      </c>
      <c r="B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4" spans="1:2" x14ac:dyDescent="0.3">
      <c r="A544" s="1" t="str">
        <f t="shared" si="8"/>
        <v/>
      </c>
      <c r="B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5" spans="1:2" x14ac:dyDescent="0.3">
      <c r="A545" s="1" t="str">
        <f t="shared" si="8"/>
        <v/>
      </c>
      <c r="B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6" spans="1:2" x14ac:dyDescent="0.3">
      <c r="A546" s="1" t="str">
        <f t="shared" si="8"/>
        <v/>
      </c>
      <c r="B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7" spans="1:2" x14ac:dyDescent="0.3">
      <c r="A547" s="1" t="str">
        <f t="shared" si="8"/>
        <v/>
      </c>
      <c r="B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8" spans="1:2" x14ac:dyDescent="0.3">
      <c r="A548" s="1" t="str">
        <f t="shared" si="8"/>
        <v/>
      </c>
      <c r="B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9" spans="1:2" x14ac:dyDescent="0.3">
      <c r="A549" s="1" t="str">
        <f t="shared" si="8"/>
        <v/>
      </c>
      <c r="B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0" spans="1:2" x14ac:dyDescent="0.3">
      <c r="A550" s="1" t="str">
        <f t="shared" si="8"/>
        <v/>
      </c>
      <c r="B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1" spans="1:2" x14ac:dyDescent="0.3">
      <c r="A551" s="1" t="str">
        <f t="shared" si="8"/>
        <v/>
      </c>
      <c r="B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2" spans="1:2" x14ac:dyDescent="0.3">
      <c r="A552" s="1" t="str">
        <f t="shared" si="8"/>
        <v/>
      </c>
      <c r="B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3" spans="1:2" x14ac:dyDescent="0.3">
      <c r="A553" s="1" t="str">
        <f t="shared" si="8"/>
        <v/>
      </c>
      <c r="B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4" spans="1:2" x14ac:dyDescent="0.3">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5" spans="1:2" x14ac:dyDescent="0.3">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6" spans="1:2" x14ac:dyDescent="0.3">
      <c r="A556" s="1" t="str">
        <f t="shared" si="8"/>
        <v/>
      </c>
      <c r="B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7" spans="1:2" x14ac:dyDescent="0.3">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8" spans="1:2" x14ac:dyDescent="0.3">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9" spans="1:2" x14ac:dyDescent="0.3">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0" spans="1:2" x14ac:dyDescent="0.3">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1" spans="1:2" x14ac:dyDescent="0.3">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2" spans="1:2" x14ac:dyDescent="0.3">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3" spans="1:2" x14ac:dyDescent="0.3">
      <c r="A563" s="1" t="str">
        <f t="shared" si="8"/>
        <v/>
      </c>
      <c r="B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4" spans="1:2" x14ac:dyDescent="0.3">
      <c r="A564" s="1" t="str">
        <f t="shared" si="8"/>
        <v/>
      </c>
      <c r="B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5" spans="1:2" x14ac:dyDescent="0.3">
      <c r="A565" s="1" t="str">
        <f t="shared" si="8"/>
        <v/>
      </c>
      <c r="B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6" spans="1:2" x14ac:dyDescent="0.3">
      <c r="A566" s="1" t="str">
        <f t="shared" si="8"/>
        <v/>
      </c>
      <c r="B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7" spans="1:2" x14ac:dyDescent="0.3">
      <c r="A567" s="1" t="str">
        <f t="shared" si="8"/>
        <v/>
      </c>
      <c r="B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8" spans="1:2" x14ac:dyDescent="0.3">
      <c r="A568" s="1" t="str">
        <f t="shared" si="8"/>
        <v/>
      </c>
      <c r="B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9" spans="1:2" x14ac:dyDescent="0.3">
      <c r="A569" s="1" t="str">
        <f t="shared" si="8"/>
        <v/>
      </c>
      <c r="B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0" spans="1:2" x14ac:dyDescent="0.3">
      <c r="A570" s="1" t="str">
        <f t="shared" si="8"/>
        <v/>
      </c>
      <c r="B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1" spans="1:2" x14ac:dyDescent="0.3">
      <c r="A571" s="1" t="str">
        <f t="shared" si="8"/>
        <v/>
      </c>
      <c r="B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2" spans="1:2" x14ac:dyDescent="0.3">
      <c r="A572" s="1" t="str">
        <f t="shared" si="8"/>
        <v/>
      </c>
      <c r="B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3" spans="1:2" x14ac:dyDescent="0.3">
      <c r="A573" s="1" t="str">
        <f t="shared" si="8"/>
        <v/>
      </c>
      <c r="B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4" spans="1:2" x14ac:dyDescent="0.3">
      <c r="A574" s="1" t="str">
        <f t="shared" si="8"/>
        <v/>
      </c>
      <c r="B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5" spans="1:2" x14ac:dyDescent="0.3">
      <c r="A575" s="1" t="str">
        <f t="shared" si="8"/>
        <v/>
      </c>
      <c r="B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6" spans="1:2" x14ac:dyDescent="0.3">
      <c r="A576" s="1" t="str">
        <f t="shared" si="8"/>
        <v/>
      </c>
      <c r="B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7" spans="1:2" x14ac:dyDescent="0.3">
      <c r="A577" s="1" t="str">
        <f t="shared" si="8"/>
        <v/>
      </c>
      <c r="B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8" spans="1:2" x14ac:dyDescent="0.3">
      <c r="A578" s="1" t="str">
        <f t="shared" ref="A578:A641" si="9">IFERROR(LEFT(RIGHT(C578,LEN(C578)-SEARCH("@",C578)),SEARCH("/",RIGHT(C578,LEN(C578)-SEARCH("@",C578)-1))),"")</f>
        <v/>
      </c>
      <c r="B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9" spans="1:2" x14ac:dyDescent="0.3">
      <c r="A579" s="1" t="str">
        <f t="shared" si="9"/>
        <v/>
      </c>
      <c r="B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0" spans="1:2" x14ac:dyDescent="0.3">
      <c r="A580" s="1" t="str">
        <f t="shared" si="9"/>
        <v/>
      </c>
      <c r="B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1" spans="1:2" x14ac:dyDescent="0.3">
      <c r="A581" s="1" t="str">
        <f t="shared" si="9"/>
        <v/>
      </c>
      <c r="B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2" spans="1:2" x14ac:dyDescent="0.3">
      <c r="A582" s="1" t="str">
        <f t="shared" si="9"/>
        <v/>
      </c>
      <c r="B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3" spans="1:2" x14ac:dyDescent="0.3">
      <c r="A583" s="1" t="str">
        <f t="shared" si="9"/>
        <v/>
      </c>
      <c r="B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4" spans="1:2" x14ac:dyDescent="0.3">
      <c r="A584" s="1" t="str">
        <f t="shared" si="9"/>
        <v/>
      </c>
      <c r="B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5" spans="1:2" x14ac:dyDescent="0.3">
      <c r="A585" s="1" t="str">
        <f t="shared" si="9"/>
        <v/>
      </c>
      <c r="B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6" spans="1:2" x14ac:dyDescent="0.3">
      <c r="A586" s="1" t="str">
        <f t="shared" si="9"/>
        <v/>
      </c>
      <c r="B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7" spans="1:2" x14ac:dyDescent="0.3">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8" spans="1:2" x14ac:dyDescent="0.3">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9" spans="1:2" x14ac:dyDescent="0.3">
      <c r="A589" s="1" t="str">
        <f t="shared" si="9"/>
        <v/>
      </c>
      <c r="B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0" spans="1:2" x14ac:dyDescent="0.3">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1" spans="1:2" x14ac:dyDescent="0.3">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2" spans="1:2" x14ac:dyDescent="0.3">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3" spans="1:2" x14ac:dyDescent="0.3">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4" spans="1:2" x14ac:dyDescent="0.3">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5" spans="1:2" x14ac:dyDescent="0.3">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6" spans="1:2" x14ac:dyDescent="0.3">
      <c r="A596" s="1" t="str">
        <f t="shared" si="9"/>
        <v/>
      </c>
      <c r="B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7" spans="1:2" x14ac:dyDescent="0.3">
      <c r="A597" s="1" t="str">
        <f t="shared" si="9"/>
        <v/>
      </c>
      <c r="B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8" spans="1:2" x14ac:dyDescent="0.3">
      <c r="A598" s="1" t="str">
        <f t="shared" si="9"/>
        <v/>
      </c>
      <c r="B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9" spans="1:2" x14ac:dyDescent="0.3">
      <c r="A599" s="1" t="str">
        <f t="shared" si="9"/>
        <v/>
      </c>
      <c r="B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0" spans="1:2" x14ac:dyDescent="0.3">
      <c r="A600" s="1" t="str">
        <f t="shared" si="9"/>
        <v/>
      </c>
      <c r="B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1" spans="1:2" x14ac:dyDescent="0.3">
      <c r="A601" s="1" t="str">
        <f t="shared" si="9"/>
        <v/>
      </c>
      <c r="B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2" spans="1:2" x14ac:dyDescent="0.3">
      <c r="A602" s="1" t="str">
        <f t="shared" si="9"/>
        <v/>
      </c>
      <c r="B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3" spans="1:2" x14ac:dyDescent="0.3">
      <c r="A603" s="1" t="str">
        <f t="shared" si="9"/>
        <v/>
      </c>
      <c r="B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4" spans="1:2" x14ac:dyDescent="0.3">
      <c r="A604" s="1" t="str">
        <f t="shared" si="9"/>
        <v/>
      </c>
      <c r="B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5" spans="1:2" x14ac:dyDescent="0.3">
      <c r="A605" s="1" t="str">
        <f t="shared" si="9"/>
        <v/>
      </c>
      <c r="B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6" spans="1:2" x14ac:dyDescent="0.3">
      <c r="A606" s="1" t="str">
        <f t="shared" si="9"/>
        <v/>
      </c>
      <c r="B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7" spans="1:2" x14ac:dyDescent="0.3">
      <c r="A607" s="1" t="str">
        <f t="shared" si="9"/>
        <v/>
      </c>
      <c r="B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8" spans="1:2" x14ac:dyDescent="0.3">
      <c r="A608" s="1" t="str">
        <f t="shared" si="9"/>
        <v/>
      </c>
      <c r="B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9" spans="1:2" x14ac:dyDescent="0.3">
      <c r="A609" s="1" t="str">
        <f t="shared" si="9"/>
        <v/>
      </c>
      <c r="B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0" spans="1:2" x14ac:dyDescent="0.3">
      <c r="A610" s="1" t="str">
        <f t="shared" si="9"/>
        <v/>
      </c>
      <c r="B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1" spans="1:2" x14ac:dyDescent="0.3">
      <c r="A611" s="1" t="str">
        <f t="shared" si="9"/>
        <v/>
      </c>
      <c r="B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2" spans="1:2" x14ac:dyDescent="0.3">
      <c r="A612" s="1" t="str">
        <f t="shared" si="9"/>
        <v/>
      </c>
      <c r="B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3" spans="1:2" x14ac:dyDescent="0.3">
      <c r="A613" s="1" t="str">
        <f t="shared" si="9"/>
        <v/>
      </c>
      <c r="B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4" spans="1:2" x14ac:dyDescent="0.3">
      <c r="A614" s="1" t="str">
        <f t="shared" si="9"/>
        <v/>
      </c>
      <c r="B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5" spans="1:2" x14ac:dyDescent="0.3">
      <c r="A615" s="1" t="str">
        <f t="shared" si="9"/>
        <v/>
      </c>
      <c r="B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6" spans="1:2" x14ac:dyDescent="0.3">
      <c r="A616" s="1" t="str">
        <f t="shared" si="9"/>
        <v/>
      </c>
      <c r="B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7" spans="1:2" x14ac:dyDescent="0.3">
      <c r="A617" s="1" t="str">
        <f t="shared" si="9"/>
        <v/>
      </c>
      <c r="B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8" spans="1:2" x14ac:dyDescent="0.3">
      <c r="A618" s="1" t="str">
        <f t="shared" si="9"/>
        <v/>
      </c>
      <c r="B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9" spans="1:2" x14ac:dyDescent="0.3">
      <c r="A619" s="1" t="str">
        <f t="shared" si="9"/>
        <v/>
      </c>
      <c r="B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0" spans="1:2" x14ac:dyDescent="0.3">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1" spans="1:2" x14ac:dyDescent="0.3">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2" spans="1:2" x14ac:dyDescent="0.3">
      <c r="A622" s="1" t="str">
        <f t="shared" si="9"/>
        <v/>
      </c>
      <c r="B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3" spans="1:2" x14ac:dyDescent="0.3">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4" spans="1:2" x14ac:dyDescent="0.3">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5" spans="1:2" x14ac:dyDescent="0.3">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6" spans="1:2" x14ac:dyDescent="0.3">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7" spans="1:2" x14ac:dyDescent="0.3">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8" spans="1:2" x14ac:dyDescent="0.3">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9" spans="1:2" x14ac:dyDescent="0.3">
      <c r="A629" s="1" t="str">
        <f t="shared" si="9"/>
        <v/>
      </c>
      <c r="B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0" spans="1:2" x14ac:dyDescent="0.3">
      <c r="A630" s="1" t="str">
        <f t="shared" si="9"/>
        <v/>
      </c>
      <c r="B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1" spans="1:2" x14ac:dyDescent="0.3">
      <c r="A631" s="1" t="str">
        <f t="shared" si="9"/>
        <v/>
      </c>
      <c r="B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2" spans="1:2" x14ac:dyDescent="0.3">
      <c r="A632" s="1" t="str">
        <f t="shared" si="9"/>
        <v/>
      </c>
      <c r="B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3" spans="1:2" x14ac:dyDescent="0.3">
      <c r="A633" s="1" t="str">
        <f t="shared" si="9"/>
        <v/>
      </c>
      <c r="B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4" spans="1:2" x14ac:dyDescent="0.3">
      <c r="A634" s="1" t="str">
        <f t="shared" si="9"/>
        <v/>
      </c>
      <c r="B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5" spans="1:2" x14ac:dyDescent="0.3">
      <c r="A635" s="1" t="str">
        <f t="shared" si="9"/>
        <v/>
      </c>
      <c r="B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6" spans="1:2" x14ac:dyDescent="0.3">
      <c r="A636" s="1" t="str">
        <f t="shared" si="9"/>
        <v/>
      </c>
      <c r="B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7" spans="1:2" x14ac:dyDescent="0.3">
      <c r="A637" s="1" t="str">
        <f t="shared" si="9"/>
        <v/>
      </c>
      <c r="B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8" spans="1:2" x14ac:dyDescent="0.3">
      <c r="A638" s="1" t="str">
        <f t="shared" si="9"/>
        <v/>
      </c>
      <c r="B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9" spans="1:2" x14ac:dyDescent="0.3">
      <c r="A639" s="1" t="str">
        <f t="shared" si="9"/>
        <v/>
      </c>
      <c r="B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0" spans="1:2" x14ac:dyDescent="0.3">
      <c r="A640" s="1" t="str">
        <f t="shared" si="9"/>
        <v/>
      </c>
      <c r="B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1" spans="1:2" x14ac:dyDescent="0.3">
      <c r="A641" s="1" t="str">
        <f t="shared" si="9"/>
        <v/>
      </c>
      <c r="B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2" spans="1:2" x14ac:dyDescent="0.3">
      <c r="A642" s="1" t="str">
        <f t="shared" ref="A642:A705" si="10">IFERROR(LEFT(RIGHT(C642,LEN(C642)-SEARCH("@",C642)),SEARCH("/",RIGHT(C642,LEN(C642)-SEARCH("@",C642)-1))),"")</f>
        <v/>
      </c>
      <c r="B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3" spans="1:2" x14ac:dyDescent="0.3">
      <c r="A643" s="1" t="str">
        <f t="shared" si="10"/>
        <v/>
      </c>
      <c r="B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4" spans="1:2" x14ac:dyDescent="0.3">
      <c r="A644" s="1" t="str">
        <f t="shared" si="10"/>
        <v/>
      </c>
      <c r="B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5" spans="1:2" x14ac:dyDescent="0.3">
      <c r="A645" s="1" t="str">
        <f t="shared" si="10"/>
        <v/>
      </c>
      <c r="B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6" spans="1:2" x14ac:dyDescent="0.3">
      <c r="A646" s="1" t="str">
        <f t="shared" si="10"/>
        <v/>
      </c>
      <c r="B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7" spans="1:2" x14ac:dyDescent="0.3">
      <c r="A647" s="1" t="str">
        <f t="shared" si="10"/>
        <v/>
      </c>
      <c r="B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8" spans="1:2" x14ac:dyDescent="0.3">
      <c r="A648" s="1" t="str">
        <f t="shared" si="10"/>
        <v/>
      </c>
      <c r="B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9" spans="1:2" x14ac:dyDescent="0.3">
      <c r="A649" s="1" t="str">
        <f t="shared" si="10"/>
        <v/>
      </c>
      <c r="B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0" spans="1:2" x14ac:dyDescent="0.3">
      <c r="A650" s="1" t="str">
        <f t="shared" si="10"/>
        <v/>
      </c>
      <c r="B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1" spans="1:2" x14ac:dyDescent="0.3">
      <c r="A651" s="1" t="str">
        <f t="shared" si="10"/>
        <v/>
      </c>
      <c r="B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2" spans="1:2" x14ac:dyDescent="0.3">
      <c r="A652" s="1" t="str">
        <f t="shared" si="10"/>
        <v/>
      </c>
      <c r="B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3" spans="1:2" x14ac:dyDescent="0.3">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4" spans="1:2" x14ac:dyDescent="0.3">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5" spans="1:2" x14ac:dyDescent="0.3">
      <c r="A655" s="1" t="str">
        <f t="shared" si="10"/>
        <v/>
      </c>
      <c r="B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6" spans="1:2" x14ac:dyDescent="0.3">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7" spans="1:2" x14ac:dyDescent="0.3">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8" spans="1:2" x14ac:dyDescent="0.3">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9" spans="1:2" x14ac:dyDescent="0.3">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0" spans="1:2" x14ac:dyDescent="0.3">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1" spans="1:2" x14ac:dyDescent="0.3">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2" spans="1:2" x14ac:dyDescent="0.3">
      <c r="A662" s="1" t="str">
        <f t="shared" si="10"/>
        <v/>
      </c>
      <c r="B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3" spans="1:2" x14ac:dyDescent="0.3">
      <c r="A663" s="1" t="str">
        <f t="shared" si="10"/>
        <v/>
      </c>
      <c r="B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4" spans="1:2" x14ac:dyDescent="0.3">
      <c r="A664" s="1" t="str">
        <f t="shared" si="10"/>
        <v/>
      </c>
      <c r="B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5" spans="1:2" x14ac:dyDescent="0.3">
      <c r="A665" s="1" t="str">
        <f t="shared" si="10"/>
        <v/>
      </c>
      <c r="B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6" spans="1:2" x14ac:dyDescent="0.3">
      <c r="A666" s="1" t="str">
        <f t="shared" si="10"/>
        <v/>
      </c>
      <c r="B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7" spans="1:2" x14ac:dyDescent="0.3">
      <c r="A667" s="1" t="str">
        <f t="shared" si="10"/>
        <v/>
      </c>
      <c r="B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8" spans="1:2" x14ac:dyDescent="0.3">
      <c r="A668" s="1" t="str">
        <f t="shared" si="10"/>
        <v/>
      </c>
      <c r="B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9" spans="1:2" x14ac:dyDescent="0.3">
      <c r="A669" s="1" t="str">
        <f t="shared" si="10"/>
        <v/>
      </c>
      <c r="B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0" spans="1:2" x14ac:dyDescent="0.3">
      <c r="A670" s="1" t="str">
        <f t="shared" si="10"/>
        <v/>
      </c>
      <c r="B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1" spans="1:2" x14ac:dyDescent="0.3">
      <c r="A671" s="1" t="str">
        <f t="shared" si="10"/>
        <v/>
      </c>
      <c r="B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2" spans="1:2" x14ac:dyDescent="0.3">
      <c r="A672" s="1" t="str">
        <f t="shared" si="10"/>
        <v/>
      </c>
      <c r="B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3" spans="1:2" x14ac:dyDescent="0.3">
      <c r="A673" s="1" t="str">
        <f t="shared" si="10"/>
        <v/>
      </c>
      <c r="B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4" spans="1:2" x14ac:dyDescent="0.3">
      <c r="A674" s="1" t="str">
        <f t="shared" si="10"/>
        <v/>
      </c>
      <c r="B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5" spans="1:2" x14ac:dyDescent="0.3">
      <c r="A675" s="1" t="str">
        <f t="shared" si="10"/>
        <v/>
      </c>
      <c r="B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6" spans="1:2" x14ac:dyDescent="0.3">
      <c r="A676" s="1" t="str">
        <f t="shared" si="10"/>
        <v/>
      </c>
      <c r="B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7" spans="1:2" x14ac:dyDescent="0.3">
      <c r="A677" s="1" t="str">
        <f t="shared" si="10"/>
        <v/>
      </c>
      <c r="B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8" spans="1:2" x14ac:dyDescent="0.3">
      <c r="A678" s="1" t="str">
        <f t="shared" si="10"/>
        <v/>
      </c>
      <c r="B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9" spans="1:2" x14ac:dyDescent="0.3">
      <c r="A679" s="1" t="str">
        <f t="shared" si="10"/>
        <v/>
      </c>
      <c r="B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0" spans="1:2" x14ac:dyDescent="0.3">
      <c r="A680" s="1" t="str">
        <f t="shared" si="10"/>
        <v/>
      </c>
      <c r="B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1" spans="1:2" x14ac:dyDescent="0.3">
      <c r="A681" s="1" t="str">
        <f t="shared" si="10"/>
        <v/>
      </c>
      <c r="B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2" spans="1:2" x14ac:dyDescent="0.3">
      <c r="A682" s="1" t="str">
        <f t="shared" si="10"/>
        <v/>
      </c>
      <c r="B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3" spans="1:2" x14ac:dyDescent="0.3">
      <c r="A683" s="1" t="str">
        <f t="shared" si="10"/>
        <v/>
      </c>
      <c r="B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4" spans="1:2" x14ac:dyDescent="0.3">
      <c r="A684" s="1" t="str">
        <f t="shared" si="10"/>
        <v/>
      </c>
      <c r="B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5" spans="1:2" x14ac:dyDescent="0.3">
      <c r="A685" s="1" t="str">
        <f t="shared" si="10"/>
        <v/>
      </c>
      <c r="B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6" spans="1:2" x14ac:dyDescent="0.3">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7" spans="1:2" x14ac:dyDescent="0.3">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8" spans="1:2" x14ac:dyDescent="0.3">
      <c r="A688" s="1" t="str">
        <f t="shared" si="10"/>
        <v/>
      </c>
      <c r="B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9" spans="1:2" x14ac:dyDescent="0.3">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0" spans="1:2" x14ac:dyDescent="0.3">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2" x14ac:dyDescent="0.3">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2" x14ac:dyDescent="0.3">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2" x14ac:dyDescent="0.3">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2" x14ac:dyDescent="0.3">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2" x14ac:dyDescent="0.3">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2" x14ac:dyDescent="0.3">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2" x14ac:dyDescent="0.3">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2" x14ac:dyDescent="0.3">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2" x14ac:dyDescent="0.3">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2" x14ac:dyDescent="0.3">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2" x14ac:dyDescent="0.3">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2" x14ac:dyDescent="0.3">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2" x14ac:dyDescent="0.3">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2" x14ac:dyDescent="0.3">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1:K11 M11:XFD11 A1:J10 EO1:XFD10 A12:XFD13 M14:XFD18 K1:L4 A14:J18 K5 A19:XFD1048576">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zoomScale="70" zoomScaleNormal="70" zoomScaleSheetLayoutView="40" zoomScalePageLayoutView="30" workbookViewId="0">
      <selection activeCell="E5" sqref="E5:E12"/>
    </sheetView>
  </sheetViews>
  <sheetFormatPr defaultColWidth="9.21875" defaultRowHeight="14.4" x14ac:dyDescent="0.3"/>
  <cols>
    <col min="1" max="1" width="33.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1.77734375" style="1" customWidth="1"/>
    <col min="15" max="15" width="14.77734375" style="1" customWidth="1"/>
    <col min="16" max="16" width="17.77734375" style="1" customWidth="1"/>
    <col min="17" max="18" width="25.77734375" style="1" bestFit="1" customWidth="1"/>
    <col min="19" max="22" width="25.77734375" style="1" customWidth="1"/>
    <col min="23" max="16384" width="9.21875" style="1"/>
  </cols>
  <sheetData>
    <row r="1" spans="1:22" ht="26.4" thickBot="1" x14ac:dyDescent="0.55000000000000004">
      <c r="A1" s="213" t="s">
        <v>43</v>
      </c>
      <c r="B1" s="214"/>
      <c r="C1" s="214"/>
      <c r="D1" s="214"/>
      <c r="E1" s="214"/>
      <c r="F1" s="214"/>
      <c r="G1" s="214"/>
      <c r="H1" s="214"/>
      <c r="I1" s="214"/>
      <c r="J1" s="214"/>
      <c r="K1" s="214"/>
      <c r="L1" s="214"/>
      <c r="M1" s="214"/>
      <c r="N1" s="214"/>
      <c r="O1" s="214"/>
      <c r="P1" s="214"/>
      <c r="Q1" s="214"/>
      <c r="R1" s="214"/>
      <c r="S1" s="214"/>
      <c r="T1" s="214"/>
      <c r="U1" s="214"/>
      <c r="V1" s="214"/>
    </row>
    <row r="2" spans="1:22" ht="15" thickBot="1" x14ac:dyDescent="0.35"/>
    <row r="3" spans="1:22" ht="15" thickBot="1" x14ac:dyDescent="0.35">
      <c r="A3" s="153" t="s">
        <v>22</v>
      </c>
      <c r="B3" s="221" t="s">
        <v>6</v>
      </c>
      <c r="C3" s="222"/>
      <c r="D3" s="222"/>
      <c r="E3" s="222"/>
      <c r="F3" s="222"/>
      <c r="G3" s="222"/>
      <c r="H3" s="222"/>
      <c r="I3" s="222"/>
      <c r="J3" s="222"/>
      <c r="K3" s="222"/>
      <c r="L3" s="222"/>
      <c r="M3" s="222"/>
      <c r="O3" s="221" t="s">
        <v>3</v>
      </c>
      <c r="P3" s="222"/>
      <c r="Q3" s="222"/>
      <c r="R3" s="222"/>
      <c r="S3" s="222"/>
      <c r="T3" s="222"/>
      <c r="U3" s="222"/>
      <c r="V3" s="222"/>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Testosterone-3.7µg/L</v>
      </c>
      <c r="J4" s="35" t="str">
        <f>'Page de garde'!A16</f>
        <v>Testosterone-11µg/L</v>
      </c>
      <c r="K4" s="35" t="str">
        <f>'Page de garde'!A17</f>
        <v>Testosterone-33µg/L</v>
      </c>
      <c r="L4" s="35" t="str">
        <f>'Page de garde'!A18</f>
        <v>Testosterone-100µg/L</v>
      </c>
      <c r="M4" s="35" t="str">
        <f>'Page de garde'!A19</f>
        <v>Testosterone-300µg/L</v>
      </c>
      <c r="N4" s="3"/>
      <c r="O4" s="36" t="str">
        <f>'Page de garde'!A36</f>
        <v>Testo -30µg/L</v>
      </c>
      <c r="P4" s="36" t="str">
        <f>'Page de garde'!A37</f>
        <v>Testo 30µg/L + EE2 -64ng/L</v>
      </c>
      <c r="Q4" s="36" t="str">
        <f>'Page de garde'!A38</f>
        <v>Testo 30µg/L + FAD-10µg/L</v>
      </c>
      <c r="R4" s="36" t="str">
        <f>'Page de garde'!A39</f>
        <v>Testosterone-3.7µg/L + Testostérone</v>
      </c>
      <c r="S4" s="36" t="str">
        <f>'Page de garde'!A40</f>
        <v>Testosterone-11µg/L + Testostérone</v>
      </c>
      <c r="T4" s="36" t="str">
        <f>'Page de garde'!A41</f>
        <v>Testosterone-33µg/L + Testostérone</v>
      </c>
      <c r="U4" s="36" t="str">
        <f>'Page de garde'!A42</f>
        <v>Testosterone-100µg/L + Testostérone</v>
      </c>
      <c r="V4" s="36" t="str">
        <f>'Page de garde'!A43</f>
        <v>Testosterone-300µg/L + Testostérone</v>
      </c>
    </row>
    <row r="5" spans="1:22" x14ac:dyDescent="0.3">
      <c r="A5" s="223" t="s">
        <v>33</v>
      </c>
      <c r="B5" s="32">
        <v>148683</v>
      </c>
      <c r="C5" s="32">
        <v>25666</v>
      </c>
      <c r="D5" s="32">
        <v>797418</v>
      </c>
      <c r="E5" s="32">
        <v>1878392</v>
      </c>
      <c r="F5" s="32">
        <v>237047</v>
      </c>
      <c r="G5" s="32">
        <v>4506461</v>
      </c>
      <c r="H5" s="32">
        <v>8581162</v>
      </c>
      <c r="I5" s="32">
        <v>113137</v>
      </c>
      <c r="J5" s="32">
        <v>58203</v>
      </c>
      <c r="K5" s="13">
        <v>551279</v>
      </c>
      <c r="L5" s="13">
        <v>4742015</v>
      </c>
      <c r="M5" s="13">
        <v>8196698</v>
      </c>
      <c r="N5" s="3"/>
      <c r="O5" s="32">
        <v>1286441</v>
      </c>
      <c r="P5" s="13">
        <v>5667556</v>
      </c>
      <c r="Q5" s="13">
        <v>40743</v>
      </c>
      <c r="R5" s="32">
        <v>59194</v>
      </c>
      <c r="S5" s="32">
        <v>926487</v>
      </c>
      <c r="T5" s="32">
        <v>987438</v>
      </c>
      <c r="U5" s="32">
        <v>203280</v>
      </c>
      <c r="V5" s="32">
        <v>5164635</v>
      </c>
    </row>
    <row r="6" spans="1:22" ht="16.8" x14ac:dyDescent="0.3">
      <c r="A6" s="223"/>
      <c r="B6" s="14">
        <v>175202</v>
      </c>
      <c r="C6" s="13">
        <v>354652</v>
      </c>
      <c r="D6" s="32">
        <v>352608</v>
      </c>
      <c r="E6" s="32">
        <v>1170102</v>
      </c>
      <c r="F6" s="32">
        <v>5683643</v>
      </c>
      <c r="G6" s="32">
        <v>8345297</v>
      </c>
      <c r="H6" s="32">
        <v>16723399</v>
      </c>
      <c r="I6" s="32">
        <v>209578</v>
      </c>
      <c r="J6" s="32">
        <v>1831977</v>
      </c>
      <c r="K6" s="13">
        <v>1153132</v>
      </c>
      <c r="L6" s="13">
        <v>5121753</v>
      </c>
      <c r="M6" s="13">
        <v>2154373</v>
      </c>
      <c r="N6" s="3"/>
      <c r="O6" s="32">
        <v>340849</v>
      </c>
      <c r="P6" s="13">
        <v>7897515</v>
      </c>
      <c r="Q6" s="13">
        <v>126524</v>
      </c>
      <c r="R6" s="32">
        <v>1675361</v>
      </c>
      <c r="S6" s="32">
        <v>2663688</v>
      </c>
      <c r="T6" s="32">
        <v>2593138</v>
      </c>
      <c r="U6" s="32">
        <v>179078</v>
      </c>
      <c r="V6" s="32">
        <v>5951919</v>
      </c>
    </row>
    <row r="7" spans="1:22" ht="16.8" x14ac:dyDescent="0.3">
      <c r="A7" s="223"/>
      <c r="B7" s="14">
        <v>2616</v>
      </c>
      <c r="C7" s="13">
        <v>479567</v>
      </c>
      <c r="D7" s="32">
        <v>4190732</v>
      </c>
      <c r="E7" s="32">
        <v>87075</v>
      </c>
      <c r="F7" s="32">
        <v>1690006</v>
      </c>
      <c r="G7" s="32">
        <v>4323863</v>
      </c>
      <c r="H7" s="32">
        <v>7357387</v>
      </c>
      <c r="I7" s="32">
        <v>204641</v>
      </c>
      <c r="J7" s="32">
        <v>23726</v>
      </c>
      <c r="K7" s="13">
        <v>1310143</v>
      </c>
      <c r="L7" s="13">
        <v>106667</v>
      </c>
      <c r="M7" s="13">
        <v>2501255</v>
      </c>
      <c r="N7" s="3"/>
      <c r="O7" s="32">
        <v>4651</v>
      </c>
      <c r="P7" s="13">
        <v>6778225</v>
      </c>
      <c r="Q7" s="13">
        <v>49469</v>
      </c>
      <c r="R7" s="32">
        <v>957314</v>
      </c>
      <c r="S7" s="32">
        <v>424919</v>
      </c>
      <c r="T7" s="32">
        <v>36553</v>
      </c>
      <c r="U7" s="32">
        <v>8389956</v>
      </c>
      <c r="V7" s="32">
        <v>5157</v>
      </c>
    </row>
    <row r="8" spans="1:22" ht="16.8" x14ac:dyDescent="0.3">
      <c r="A8" s="223"/>
      <c r="B8" s="14">
        <v>41086</v>
      </c>
      <c r="C8" s="13">
        <v>43960</v>
      </c>
      <c r="D8" s="32">
        <v>1309306</v>
      </c>
      <c r="E8" s="32">
        <v>7764209</v>
      </c>
      <c r="F8" s="32">
        <v>2855624</v>
      </c>
      <c r="G8" s="32">
        <v>8209872</v>
      </c>
      <c r="H8" s="32">
        <v>12401783</v>
      </c>
      <c r="I8" s="32">
        <v>70770</v>
      </c>
      <c r="J8" s="32">
        <v>303705</v>
      </c>
      <c r="K8" s="13">
        <v>2091059</v>
      </c>
      <c r="L8" s="13">
        <v>2930878</v>
      </c>
      <c r="M8" s="13">
        <v>6198158</v>
      </c>
      <c r="N8" s="3"/>
      <c r="O8" s="32">
        <v>1427097</v>
      </c>
      <c r="P8" s="13">
        <v>5008848</v>
      </c>
      <c r="Q8" s="13">
        <v>85786</v>
      </c>
      <c r="R8" s="32">
        <v>3063202</v>
      </c>
      <c r="S8" s="32">
        <v>1147415</v>
      </c>
      <c r="T8" s="32">
        <v>7770</v>
      </c>
      <c r="U8" s="32">
        <v>1756709</v>
      </c>
      <c r="V8" s="32">
        <v>5232426</v>
      </c>
    </row>
    <row r="9" spans="1:22" ht="16.8" x14ac:dyDescent="0.3">
      <c r="A9" s="223"/>
      <c r="B9" s="14">
        <v>341199</v>
      </c>
      <c r="C9" s="13">
        <v>162534</v>
      </c>
      <c r="D9" s="32">
        <v>2827985</v>
      </c>
      <c r="E9" s="32">
        <v>2218102</v>
      </c>
      <c r="F9" s="32">
        <v>9111554</v>
      </c>
      <c r="G9" s="32">
        <v>7231551</v>
      </c>
      <c r="H9" s="32">
        <v>12267153</v>
      </c>
      <c r="I9" s="32">
        <v>154820</v>
      </c>
      <c r="J9" s="32">
        <v>271649</v>
      </c>
      <c r="K9" s="13">
        <v>50472</v>
      </c>
      <c r="L9" s="13">
        <v>2121620</v>
      </c>
      <c r="M9" s="13">
        <v>10623012</v>
      </c>
      <c r="N9" s="3"/>
      <c r="O9" s="32">
        <v>1062385</v>
      </c>
      <c r="P9" s="13">
        <v>7248349</v>
      </c>
      <c r="Q9" s="13">
        <v>95909</v>
      </c>
      <c r="R9" s="32">
        <v>820397</v>
      </c>
      <c r="S9" s="32">
        <v>2776031</v>
      </c>
      <c r="T9" s="32">
        <v>2935589</v>
      </c>
      <c r="U9" s="32">
        <v>386885</v>
      </c>
      <c r="V9" s="32">
        <v>3731886</v>
      </c>
    </row>
    <row r="10" spans="1:22" ht="16.8" x14ac:dyDescent="0.3">
      <c r="A10" s="223"/>
      <c r="B10" s="14">
        <v>82294</v>
      </c>
      <c r="C10" s="13">
        <v>1051429</v>
      </c>
      <c r="D10" s="32">
        <v>123356</v>
      </c>
      <c r="E10" s="32">
        <v>4981877</v>
      </c>
      <c r="F10" s="32">
        <v>3239772</v>
      </c>
      <c r="G10" s="32">
        <v>3599786</v>
      </c>
      <c r="H10" s="32">
        <v>18639251</v>
      </c>
      <c r="I10" s="32">
        <v>235952</v>
      </c>
      <c r="J10" s="32">
        <v>65009</v>
      </c>
      <c r="K10" s="13">
        <v>125518</v>
      </c>
      <c r="L10" s="13">
        <v>759491</v>
      </c>
      <c r="M10" s="13">
        <v>8199050</v>
      </c>
      <c r="N10" s="3"/>
      <c r="O10" s="32">
        <v>56666</v>
      </c>
      <c r="P10" s="13">
        <v>711662</v>
      </c>
      <c r="Q10" s="13">
        <v>285671</v>
      </c>
      <c r="R10" s="32">
        <v>250502</v>
      </c>
      <c r="S10" s="32">
        <v>66536</v>
      </c>
      <c r="T10" s="32">
        <v>1185452</v>
      </c>
      <c r="U10" s="32">
        <v>2824273</v>
      </c>
      <c r="V10" s="32">
        <v>6828140</v>
      </c>
    </row>
    <row r="11" spans="1:22" ht="16.8" x14ac:dyDescent="0.3">
      <c r="A11" s="223"/>
      <c r="B11" s="14">
        <v>216293</v>
      </c>
      <c r="C11" s="13">
        <v>142159</v>
      </c>
      <c r="D11" s="32">
        <v>36464</v>
      </c>
      <c r="E11" s="32">
        <v>10087628</v>
      </c>
      <c r="F11" s="32">
        <v>4713700</v>
      </c>
      <c r="G11" s="32">
        <v>7786480</v>
      </c>
      <c r="H11" s="32">
        <v>9034350</v>
      </c>
      <c r="I11" s="32">
        <v>171966</v>
      </c>
      <c r="J11" s="32">
        <v>84739</v>
      </c>
      <c r="K11" s="13">
        <v>1765710</v>
      </c>
      <c r="L11" s="13">
        <v>930903</v>
      </c>
      <c r="M11" s="13">
        <v>3227569</v>
      </c>
      <c r="N11" s="3"/>
      <c r="O11" s="32">
        <v>28420</v>
      </c>
      <c r="P11" s="13"/>
      <c r="Q11" s="13">
        <v>53734</v>
      </c>
      <c r="R11" s="32">
        <v>58232</v>
      </c>
      <c r="S11" s="32">
        <v>163699</v>
      </c>
      <c r="T11" s="32">
        <v>4931275</v>
      </c>
      <c r="U11" s="32">
        <v>3263818</v>
      </c>
      <c r="V11" s="32">
        <v>2143112</v>
      </c>
    </row>
    <row r="12" spans="1:22" ht="16.8" x14ac:dyDescent="0.3">
      <c r="A12" s="223"/>
      <c r="B12" s="14">
        <v>51287</v>
      </c>
      <c r="C12" s="13"/>
      <c r="D12" s="32">
        <v>113469</v>
      </c>
      <c r="E12" s="32">
        <v>4358983</v>
      </c>
      <c r="F12" s="32">
        <v>2122084</v>
      </c>
      <c r="G12" s="32">
        <v>5456796</v>
      </c>
      <c r="H12" s="32">
        <v>12623732</v>
      </c>
      <c r="I12" s="32">
        <v>456284</v>
      </c>
      <c r="J12" s="32">
        <v>242343</v>
      </c>
      <c r="K12" s="13">
        <v>3469174</v>
      </c>
      <c r="L12" s="13">
        <v>5000971</v>
      </c>
      <c r="M12" s="13">
        <v>586860</v>
      </c>
      <c r="N12" s="3"/>
      <c r="O12" s="32">
        <v>822256</v>
      </c>
      <c r="P12" s="13"/>
      <c r="Q12" s="13"/>
      <c r="R12" s="32"/>
      <c r="S12" s="32">
        <v>199409</v>
      </c>
      <c r="T12" s="32"/>
      <c r="U12" s="32">
        <v>8689925</v>
      </c>
      <c r="V12" s="32">
        <v>4998142</v>
      </c>
    </row>
    <row r="13" spans="1:22" ht="16.8" x14ac:dyDescent="0.3">
      <c r="A13" s="223"/>
      <c r="B13" s="14"/>
      <c r="C13" s="13"/>
      <c r="D13" s="32"/>
      <c r="E13" s="32"/>
      <c r="F13" s="32"/>
      <c r="G13" s="32"/>
      <c r="H13" s="32"/>
      <c r="I13" s="32"/>
      <c r="J13" s="32"/>
      <c r="K13" s="13"/>
      <c r="L13" s="13"/>
      <c r="M13" s="13"/>
      <c r="N13" s="3"/>
      <c r="O13" s="32">
        <v>404524</v>
      </c>
      <c r="P13" s="13"/>
      <c r="Q13" s="13"/>
      <c r="R13" s="32"/>
      <c r="S13" s="32"/>
      <c r="T13" s="32"/>
      <c r="U13" s="32"/>
      <c r="V13" s="32"/>
    </row>
    <row r="14" spans="1:22" ht="16.8" x14ac:dyDescent="0.3">
      <c r="A14" s="223"/>
      <c r="B14" s="14"/>
      <c r="C14" s="32"/>
      <c r="D14" s="32"/>
      <c r="E14" s="32"/>
      <c r="F14" s="32"/>
      <c r="G14" s="32"/>
      <c r="H14" s="32"/>
      <c r="I14" s="32"/>
      <c r="J14" s="32"/>
      <c r="K14" s="13"/>
      <c r="L14" s="13"/>
      <c r="M14" s="13"/>
      <c r="N14" s="3"/>
      <c r="O14" s="32">
        <v>62992</v>
      </c>
      <c r="P14" s="13"/>
      <c r="Q14" s="13"/>
      <c r="R14" s="32"/>
      <c r="S14" s="32"/>
      <c r="T14" s="32"/>
      <c r="U14" s="32"/>
      <c r="V14" s="32"/>
    </row>
    <row r="15" spans="1:22" ht="16.8" x14ac:dyDescent="0.3">
      <c r="A15" s="223"/>
      <c r="B15" s="14"/>
      <c r="C15" s="32"/>
      <c r="D15" s="32"/>
      <c r="E15" s="32"/>
      <c r="F15" s="32"/>
      <c r="G15" s="32"/>
      <c r="H15" s="32"/>
      <c r="I15" s="32"/>
      <c r="J15" s="32"/>
      <c r="K15" s="13"/>
      <c r="L15" s="13"/>
      <c r="M15" s="13"/>
      <c r="N15" s="3"/>
      <c r="O15" s="32">
        <v>203427</v>
      </c>
      <c r="P15" s="13"/>
      <c r="Q15" s="13"/>
      <c r="R15" s="32"/>
      <c r="S15" s="32"/>
      <c r="T15" s="32"/>
      <c r="U15" s="32"/>
      <c r="V15" s="32"/>
    </row>
    <row r="16" spans="1:22" ht="16.8" x14ac:dyDescent="0.3">
      <c r="A16" s="223"/>
      <c r="B16" s="14"/>
      <c r="C16" s="32"/>
      <c r="D16" s="32"/>
      <c r="E16" s="32"/>
      <c r="F16" s="32"/>
      <c r="G16" s="32"/>
      <c r="H16" s="32"/>
      <c r="I16" s="32"/>
      <c r="J16" s="32"/>
      <c r="K16" s="13"/>
      <c r="L16" s="13"/>
      <c r="M16" s="13"/>
      <c r="N16" s="3"/>
      <c r="O16" s="32">
        <v>3427106</v>
      </c>
      <c r="P16" s="13"/>
      <c r="Q16" s="13"/>
      <c r="R16" s="32"/>
      <c r="S16" s="32"/>
      <c r="T16" s="32"/>
      <c r="U16" s="32"/>
      <c r="V16" s="32"/>
    </row>
    <row r="17" spans="1:22" ht="16.8" x14ac:dyDescent="0.3">
      <c r="A17" s="223"/>
      <c r="B17" s="14"/>
      <c r="C17" s="32"/>
      <c r="D17" s="32"/>
      <c r="E17" s="32"/>
      <c r="F17" s="32"/>
      <c r="G17" s="32"/>
      <c r="H17" s="32"/>
      <c r="I17" s="32"/>
      <c r="J17" s="32"/>
      <c r="K17" s="13"/>
      <c r="L17" s="13"/>
      <c r="M17" s="13"/>
      <c r="N17" s="3"/>
      <c r="O17" s="32">
        <v>253445</v>
      </c>
      <c r="P17" s="13"/>
      <c r="Q17" s="13"/>
      <c r="R17" s="32"/>
      <c r="S17" s="32"/>
      <c r="T17" s="32"/>
      <c r="U17" s="32"/>
      <c r="V17" s="32"/>
    </row>
    <row r="18" spans="1:22" ht="16.8" x14ac:dyDescent="0.3">
      <c r="A18" s="223"/>
      <c r="B18" s="14"/>
      <c r="C18" s="32"/>
      <c r="D18" s="32"/>
      <c r="E18" s="32"/>
      <c r="F18" s="32"/>
      <c r="G18" s="32"/>
      <c r="H18" s="32"/>
      <c r="I18" s="32"/>
      <c r="J18" s="32"/>
      <c r="K18" s="13"/>
      <c r="L18" s="13"/>
      <c r="M18" s="13"/>
      <c r="N18" s="3"/>
      <c r="O18" s="32">
        <v>107048</v>
      </c>
      <c r="P18" s="13"/>
      <c r="Q18" s="13"/>
      <c r="R18" s="32"/>
      <c r="S18" s="32"/>
      <c r="T18" s="32"/>
      <c r="U18" s="32"/>
      <c r="V18" s="32"/>
    </row>
    <row r="19" spans="1:22" ht="16.8" x14ac:dyDescent="0.3">
      <c r="A19" s="223"/>
      <c r="B19" s="14"/>
      <c r="C19" s="32"/>
      <c r="D19" s="32"/>
      <c r="E19" s="32"/>
      <c r="F19" s="32"/>
      <c r="G19" s="32"/>
      <c r="H19" s="32"/>
      <c r="I19" s="32"/>
      <c r="J19" s="32"/>
      <c r="K19" s="13"/>
      <c r="L19" s="13"/>
      <c r="M19" s="13"/>
      <c r="N19" s="3"/>
      <c r="O19" s="32">
        <v>1098387</v>
      </c>
      <c r="P19" s="13"/>
      <c r="Q19" s="13"/>
      <c r="R19" s="32"/>
      <c r="S19" s="32"/>
      <c r="T19" s="32"/>
      <c r="U19" s="32"/>
      <c r="V19" s="32"/>
    </row>
    <row r="20" spans="1:22" ht="16.8" x14ac:dyDescent="0.3">
      <c r="A20" s="223"/>
      <c r="B20" s="14"/>
      <c r="C20" s="32"/>
      <c r="D20" s="32"/>
      <c r="E20" s="32"/>
      <c r="F20" s="32"/>
      <c r="G20" s="32"/>
      <c r="H20" s="32"/>
      <c r="I20" s="32"/>
      <c r="J20" s="32"/>
      <c r="K20" s="13"/>
      <c r="L20" s="13"/>
      <c r="M20" s="13"/>
      <c r="N20" s="3"/>
      <c r="O20" s="32">
        <v>1447205</v>
      </c>
      <c r="P20" s="13"/>
      <c r="Q20" s="13"/>
      <c r="R20" s="32"/>
      <c r="S20" s="32"/>
      <c r="T20" s="32"/>
      <c r="U20" s="32"/>
      <c r="V20" s="32"/>
    </row>
    <row r="21" spans="1:22" x14ac:dyDescent="0.3">
      <c r="A21" s="3"/>
      <c r="B21" s="7"/>
      <c r="C21" s="7"/>
      <c r="D21" s="7"/>
      <c r="E21" s="7"/>
      <c r="F21" s="7"/>
      <c r="G21" s="7"/>
      <c r="H21" s="7"/>
      <c r="I21" s="7"/>
      <c r="J21" s="7"/>
      <c r="N21" s="3"/>
      <c r="O21" s="7"/>
      <c r="R21" s="7"/>
      <c r="S21" s="7"/>
      <c r="T21" s="7"/>
      <c r="U21" s="7"/>
      <c r="V21" s="7"/>
    </row>
    <row r="22" spans="1:22" x14ac:dyDescent="0.3">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Testosterone-3.7µg/L</v>
      </c>
      <c r="J22" s="3" t="str">
        <f t="shared" si="0"/>
        <v>Testosterone-11µg/L</v>
      </c>
      <c r="K22" s="3" t="str">
        <f t="shared" si="0"/>
        <v>Testosterone-33µg/L</v>
      </c>
      <c r="L22" s="3" t="str">
        <f t="shared" si="0"/>
        <v>Testosterone-100µg/L</v>
      </c>
      <c r="M22" s="3" t="str">
        <f t="shared" si="0"/>
        <v>Testosterone-300µg/L</v>
      </c>
      <c r="N22" s="3" t="s">
        <v>41</v>
      </c>
      <c r="O22" s="3" t="str">
        <f t="shared" si="0"/>
        <v>Testo -30µg/L</v>
      </c>
      <c r="P22" s="3" t="str">
        <f t="shared" si="0"/>
        <v>Testo 30µg/L + EE2 -64ng/L</v>
      </c>
      <c r="Q22" s="3" t="str">
        <f t="shared" si="0"/>
        <v>Testo 30µg/L + FAD-10µg/L</v>
      </c>
      <c r="R22" s="3" t="str">
        <f t="shared" si="0"/>
        <v>Testosterone-3.7µg/L + Testostérone</v>
      </c>
      <c r="S22" s="3" t="str">
        <f t="shared" si="0"/>
        <v>Testosterone-11µg/L + Testostérone</v>
      </c>
      <c r="T22" s="3" t="str">
        <f t="shared" si="0"/>
        <v>Testosterone-33µg/L + Testostérone</v>
      </c>
      <c r="U22" s="3" t="str">
        <f t="shared" si="0"/>
        <v>Testosterone-100µg/L + Testostérone</v>
      </c>
      <c r="V22" s="3" t="str">
        <f t="shared" si="0"/>
        <v>Testosterone-300µg/L + Testostérone</v>
      </c>
    </row>
    <row r="23" spans="1:22" x14ac:dyDescent="0.3">
      <c r="A23" s="5" t="s">
        <v>0</v>
      </c>
      <c r="B23" s="5">
        <f t="shared" ref="B23:J23" si="1">AVERAGE(B5:B20)</f>
        <v>132332.5</v>
      </c>
      <c r="C23" s="5">
        <f t="shared" si="1"/>
        <v>322852.42857142858</v>
      </c>
      <c r="D23" s="5">
        <f t="shared" si="1"/>
        <v>1218917.25</v>
      </c>
      <c r="E23" s="5">
        <f t="shared" si="1"/>
        <v>4068296</v>
      </c>
      <c r="F23" s="5">
        <f t="shared" si="1"/>
        <v>3706678.75</v>
      </c>
      <c r="G23" s="5">
        <f t="shared" si="1"/>
        <v>6182513.25</v>
      </c>
      <c r="H23" s="5">
        <f t="shared" si="1"/>
        <v>12203527.125</v>
      </c>
      <c r="I23" s="5">
        <f t="shared" si="1"/>
        <v>202143.5</v>
      </c>
      <c r="J23" s="5">
        <f t="shared" si="1"/>
        <v>360168.875</v>
      </c>
      <c r="K23" s="5"/>
      <c r="L23" s="5">
        <f>AVERAGE(L5:L20)</f>
        <v>2714287.25</v>
      </c>
      <c r="M23" s="5"/>
      <c r="N23" s="5" t="s">
        <v>0</v>
      </c>
      <c r="O23" s="5">
        <f>AVERAGE(O5:O20)</f>
        <v>752056.1875</v>
      </c>
      <c r="P23" s="5">
        <f>AVERAGE(P5:P20)</f>
        <v>5552025.833333333</v>
      </c>
      <c r="Q23" s="5">
        <f>AVERAGE(Q5:Q20)</f>
        <v>105405.14285714286</v>
      </c>
      <c r="R23" s="5">
        <f>AVERAGE(R5:R20)</f>
        <v>983457.42857142852</v>
      </c>
      <c r="S23" s="5">
        <f>AVERAGE(S5:S20)</f>
        <v>1046023</v>
      </c>
      <c r="T23" s="5">
        <f t="shared" ref="T23:V23" si="2">AVERAGE(T5:T20)</f>
        <v>1811030.7142857143</v>
      </c>
      <c r="U23" s="5">
        <f t="shared" si="2"/>
        <v>3211740.5</v>
      </c>
      <c r="V23" s="5">
        <f t="shared" si="2"/>
        <v>4256927.125</v>
      </c>
    </row>
    <row r="24" spans="1:22" x14ac:dyDescent="0.3">
      <c r="A24" s="3" t="s">
        <v>1</v>
      </c>
      <c r="B24" s="3">
        <f t="shared" ref="B24:J24" si="3">STDEV(B5:B20)</f>
        <v>111486.21436239165</v>
      </c>
      <c r="C24" s="3">
        <f t="shared" si="3"/>
        <v>360750.92140924471</v>
      </c>
      <c r="D24" s="3">
        <f t="shared" si="3"/>
        <v>1520224.2018524534</v>
      </c>
      <c r="E24" s="3">
        <f t="shared" si="3"/>
        <v>3449219.503528547</v>
      </c>
      <c r="F24" s="3">
        <f t="shared" si="3"/>
        <v>2769572.0658463128</v>
      </c>
      <c r="G24" s="3">
        <f t="shared" si="3"/>
        <v>1924350.8760058547</v>
      </c>
      <c r="H24" s="3">
        <f t="shared" si="3"/>
        <v>3940957.0302901044</v>
      </c>
      <c r="I24" s="3">
        <f t="shared" si="3"/>
        <v>115957.66863817157</v>
      </c>
      <c r="J24" s="3">
        <f t="shared" si="3"/>
        <v>604564.09287316562</v>
      </c>
      <c r="K24" s="3"/>
      <c r="L24" s="3">
        <f>STDEV(L5:L20)</f>
        <v>2047159.3870056521</v>
      </c>
      <c r="M24" s="3"/>
      <c r="N24" s="3" t="s">
        <v>1</v>
      </c>
      <c r="O24" s="3">
        <f>STDEV(O5:O20)</f>
        <v>890606.57472026476</v>
      </c>
      <c r="P24" s="3">
        <f>STDEV(P5:P20)</f>
        <v>2593064.1152941375</v>
      </c>
      <c r="Q24" s="3">
        <f>STDEV(Q5:Q20)</f>
        <v>85045.894154134163</v>
      </c>
      <c r="R24" s="3">
        <f>STDEV(R5:R20)</f>
        <v>1086191.2704574422</v>
      </c>
      <c r="S24" s="3">
        <f>STDEV(S5:S20)</f>
        <v>1100308.5796529991</v>
      </c>
      <c r="T24" s="3">
        <f t="shared" ref="T24:V24" si="4">STDEV(T5:T20)</f>
        <v>1783368.6100487579</v>
      </c>
      <c r="U24" s="3">
        <f t="shared" si="4"/>
        <v>3491255.7296946896</v>
      </c>
      <c r="V24" s="3">
        <f t="shared" si="4"/>
        <v>2224233.2867988748</v>
      </c>
    </row>
    <row r="25" spans="1:22" ht="15" thickBot="1" x14ac:dyDescent="0.35"/>
    <row r="26" spans="1:22" ht="15" thickBot="1" x14ac:dyDescent="0.35">
      <c r="B26" s="221" t="s">
        <v>6</v>
      </c>
      <c r="C26" s="222"/>
      <c r="D26" s="222"/>
      <c r="E26" s="222"/>
      <c r="F26" s="222"/>
      <c r="G26" s="222"/>
      <c r="H26" s="222"/>
      <c r="I26" s="222"/>
      <c r="J26" s="222"/>
      <c r="K26" s="222"/>
      <c r="L26" s="222"/>
      <c r="M26" s="222"/>
      <c r="O26" s="221" t="s">
        <v>3</v>
      </c>
      <c r="P26" s="222"/>
      <c r="Q26" s="222"/>
      <c r="R26" s="222"/>
      <c r="S26" s="222"/>
      <c r="T26" s="222"/>
      <c r="U26" s="222"/>
      <c r="V26" s="222"/>
    </row>
    <row r="27" spans="1:22" x14ac:dyDescent="0.3">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Testosterone-3.7µg/L</v>
      </c>
      <c r="J27" s="35" t="str">
        <f t="shared" si="5"/>
        <v>Testosterone-11µg/L</v>
      </c>
      <c r="K27" s="35" t="str">
        <f t="shared" si="5"/>
        <v>Testosterone-33µg/L</v>
      </c>
      <c r="L27" s="35" t="str">
        <f t="shared" si="5"/>
        <v>Testosterone-100µg/L</v>
      </c>
      <c r="M27" s="35" t="str">
        <f t="shared" si="5"/>
        <v>Testosterone-300µg/L</v>
      </c>
      <c r="N27" s="3"/>
      <c r="O27" s="36" t="str">
        <f>O4</f>
        <v>Testo -30µg/L</v>
      </c>
      <c r="P27" s="36" t="str">
        <f t="shared" ref="P27:V27" si="6">P4</f>
        <v>Testo 30µg/L + EE2 -64ng/L</v>
      </c>
      <c r="Q27" s="36" t="str">
        <f t="shared" si="6"/>
        <v>Testo 30µg/L + FAD-10µg/L</v>
      </c>
      <c r="R27" s="36" t="str">
        <f t="shared" si="6"/>
        <v>Testosterone-3.7µg/L + Testostérone</v>
      </c>
      <c r="S27" s="36" t="str">
        <f t="shared" si="6"/>
        <v>Testosterone-11µg/L + Testostérone</v>
      </c>
      <c r="T27" s="36" t="str">
        <f t="shared" si="6"/>
        <v>Testosterone-33µg/L + Testostérone</v>
      </c>
      <c r="U27" s="36" t="str">
        <f t="shared" si="6"/>
        <v>Testosterone-100µg/L + Testostérone</v>
      </c>
      <c r="V27" s="36" t="str">
        <f t="shared" si="6"/>
        <v>Testosterone-300µg/L + Testostérone</v>
      </c>
    </row>
    <row r="28" spans="1:22" x14ac:dyDescent="0.3">
      <c r="A28" s="224" t="s">
        <v>34</v>
      </c>
      <c r="B28" s="11">
        <f t="shared" ref="B28:M28" si="7">IF(B5="","",(B5/$O$23))</f>
        <v>0.19770198353696811</v>
      </c>
      <c r="C28" s="11">
        <f t="shared" si="7"/>
        <v>3.4127769210063177E-2</v>
      </c>
      <c r="D28" s="11">
        <f t="shared" si="7"/>
        <v>1.0603170524409786</v>
      </c>
      <c r="E28" s="11">
        <f t="shared" si="7"/>
        <v>2.4976750822889811</v>
      </c>
      <c r="F28" s="11">
        <f t="shared" si="7"/>
        <v>0.3151985236475433</v>
      </c>
      <c r="G28" s="11">
        <f t="shared" si="7"/>
        <v>5.9921865877873657</v>
      </c>
      <c r="H28" s="11">
        <f t="shared" si="7"/>
        <v>11.410267135126789</v>
      </c>
      <c r="I28" s="11">
        <f t="shared" si="7"/>
        <v>0.1504368980409459</v>
      </c>
      <c r="J28" s="11">
        <f t="shared" si="7"/>
        <v>7.7391823865553933E-2</v>
      </c>
      <c r="K28" s="11">
        <f t="shared" si="7"/>
        <v>0.73302900655943348</v>
      </c>
      <c r="L28" s="11">
        <f t="shared" si="7"/>
        <v>6.3053998874252999</v>
      </c>
      <c r="M28" s="11">
        <f t="shared" si="7"/>
        <v>10.899050012802402</v>
      </c>
      <c r="N28" s="6"/>
      <c r="O28" s="11">
        <f t="shared" ref="O28:V39" si="8">IF(O5="","",(O5/$O$23))</f>
        <v>1.710565010144272</v>
      </c>
      <c r="P28" s="11">
        <f t="shared" si="8"/>
        <v>7.5360805405247726</v>
      </c>
      <c r="Q28" s="11">
        <f t="shared" si="8"/>
        <v>5.4175473424982627E-2</v>
      </c>
      <c r="R28" s="11">
        <f t="shared" si="8"/>
        <v>7.870954455779941E-2</v>
      </c>
      <c r="S28" s="11">
        <f t="shared" si="8"/>
        <v>1.2319385378369752</v>
      </c>
      <c r="T28" s="11">
        <f t="shared" si="8"/>
        <v>1.3129843440055469</v>
      </c>
      <c r="U28" s="11">
        <f t="shared" si="8"/>
        <v>0.27029895289572364</v>
      </c>
      <c r="V28" s="11">
        <f t="shared" si="8"/>
        <v>6.867352580620846</v>
      </c>
    </row>
    <row r="29" spans="1:22" x14ac:dyDescent="0.3">
      <c r="A29" s="224"/>
      <c r="B29" s="11">
        <f t="shared" ref="B29:M29" si="9">IF(B6="","",(B6/$O$23))</f>
        <v>0.23296397651139597</v>
      </c>
      <c r="C29" s="11">
        <f t="shared" si="9"/>
        <v>0.47157646715060103</v>
      </c>
      <c r="D29" s="11">
        <f t="shared" si="9"/>
        <v>0.46885858511735201</v>
      </c>
      <c r="E29" s="11">
        <f t="shared" si="9"/>
        <v>1.5558704515013382</v>
      </c>
      <c r="F29" s="11">
        <f t="shared" si="9"/>
        <v>7.5574712295017186</v>
      </c>
      <c r="G29" s="11">
        <f t="shared" si="9"/>
        <v>11.096640302557182</v>
      </c>
      <c r="H29" s="11">
        <f t="shared" si="9"/>
        <v>22.236901016122548</v>
      </c>
      <c r="I29" s="11">
        <f t="shared" si="9"/>
        <v>0.27867332718408089</v>
      </c>
      <c r="J29" s="11">
        <f t="shared" si="9"/>
        <v>2.4359576191905208</v>
      </c>
      <c r="K29" s="11">
        <f t="shared" si="9"/>
        <v>1.5333056481235321</v>
      </c>
      <c r="L29" s="11">
        <f t="shared" si="9"/>
        <v>6.8103329048137109</v>
      </c>
      <c r="M29" s="11">
        <f t="shared" si="9"/>
        <v>2.864643673980809</v>
      </c>
      <c r="N29" s="6"/>
      <c r="O29" s="11">
        <f t="shared" si="8"/>
        <v>0.45322278529887106</v>
      </c>
      <c r="P29" s="11">
        <f t="shared" si="8"/>
        <v>10.501230002844702</v>
      </c>
      <c r="Q29" s="11">
        <f t="shared" si="8"/>
        <v>0.16823742973326711</v>
      </c>
      <c r="R29" s="11">
        <f t="shared" si="8"/>
        <v>2.2277072216761731</v>
      </c>
      <c r="S29" s="11">
        <f t="shared" si="8"/>
        <v>3.5418736582098793</v>
      </c>
      <c r="T29" s="11">
        <f t="shared" si="8"/>
        <v>3.4480641780505263</v>
      </c>
      <c r="U29" s="11">
        <f t="shared" si="8"/>
        <v>0.23811784674665681</v>
      </c>
      <c r="V29" s="11">
        <f t="shared" si="8"/>
        <v>7.9141945760535348</v>
      </c>
    </row>
    <row r="30" spans="1:22" x14ac:dyDescent="0.3">
      <c r="A30" s="224"/>
      <c r="B30" s="11">
        <f t="shared" ref="B30:M30" si="10">IF(B7="","",(B7/$O$23))</f>
        <v>3.4784635024361129E-3</v>
      </c>
      <c r="C30" s="11">
        <f t="shared" si="10"/>
        <v>0.63767442907980865</v>
      </c>
      <c r="D30" s="11">
        <f t="shared" si="10"/>
        <v>5.5723655621143333</v>
      </c>
      <c r="E30" s="11">
        <f t="shared" si="10"/>
        <v>0.11578257242913782</v>
      </c>
      <c r="F30" s="11">
        <f t="shared" si="10"/>
        <v>2.2471805007255523</v>
      </c>
      <c r="G30" s="11">
        <f t="shared" si="10"/>
        <v>5.7493882396918652</v>
      </c>
      <c r="H30" s="11">
        <f t="shared" si="10"/>
        <v>9.7830283458707665</v>
      </c>
      <c r="I30" s="11">
        <f t="shared" si="10"/>
        <v>0.27210865810475099</v>
      </c>
      <c r="J30" s="11">
        <f t="shared" si="10"/>
        <v>3.1548174716666363E-2</v>
      </c>
      <c r="K30" s="11">
        <f t="shared" si="10"/>
        <v>1.7420812723517416</v>
      </c>
      <c r="L30" s="11">
        <f t="shared" si="10"/>
        <v>0.14183381743667922</v>
      </c>
      <c r="M30" s="11">
        <f t="shared" si="10"/>
        <v>3.3258884662789905</v>
      </c>
      <c r="N30" s="6"/>
      <c r="O30" s="11">
        <f t="shared" si="8"/>
        <v>6.1843783447363765E-3</v>
      </c>
      <c r="P30" s="11">
        <f t="shared" si="8"/>
        <v>9.0129236520642291</v>
      </c>
      <c r="Q30" s="11">
        <f t="shared" si="8"/>
        <v>6.5778329893735499E-2</v>
      </c>
      <c r="R30" s="11">
        <f t="shared" si="8"/>
        <v>1.2729288262122038</v>
      </c>
      <c r="S30" s="11">
        <f t="shared" si="8"/>
        <v>0.56500964563901024</v>
      </c>
      <c r="T30" s="11">
        <f t="shared" si="8"/>
        <v>4.8604081194398789E-2</v>
      </c>
      <c r="U30" s="11">
        <f t="shared" si="8"/>
        <v>11.156022833732752</v>
      </c>
      <c r="V30" s="11">
        <f t="shared" si="8"/>
        <v>6.8572004136326584E-3</v>
      </c>
    </row>
    <row r="31" spans="1:22" x14ac:dyDescent="0.3">
      <c r="A31" s="224"/>
      <c r="B31" s="11">
        <f t="shared" ref="B31:M31" si="11">IF(B8="","",(B8/$O$23))</f>
        <v>5.4631556368918248E-2</v>
      </c>
      <c r="C31" s="11">
        <f t="shared" si="11"/>
        <v>5.845307934521847E-2</v>
      </c>
      <c r="D31" s="11">
        <f t="shared" si="11"/>
        <v>1.7409683235935081</v>
      </c>
      <c r="E31" s="11">
        <f t="shared" si="11"/>
        <v>10.32397462988761</v>
      </c>
      <c r="F31" s="11">
        <f t="shared" si="11"/>
        <v>3.7970886317586476</v>
      </c>
      <c r="G31" s="11">
        <f t="shared" si="11"/>
        <v>10.916567320975602</v>
      </c>
      <c r="H31" s="11">
        <f t="shared" si="11"/>
        <v>16.490500585104222</v>
      </c>
      <c r="I31" s="11">
        <f t="shared" si="11"/>
        <v>9.4102011493655852E-2</v>
      </c>
      <c r="J31" s="11">
        <f t="shared" si="11"/>
        <v>0.40383285856550444</v>
      </c>
      <c r="K31" s="11">
        <f t="shared" si="11"/>
        <v>2.7804558153442493</v>
      </c>
      <c r="L31" s="11">
        <f t="shared" si="11"/>
        <v>3.8971529637205466</v>
      </c>
      <c r="M31" s="11">
        <f t="shared" si="11"/>
        <v>8.2416155907233986</v>
      </c>
      <c r="N31" s="6"/>
      <c r="O31" s="11">
        <f t="shared" si="8"/>
        <v>1.8975935890428399</v>
      </c>
      <c r="P31" s="11">
        <f t="shared" si="8"/>
        <v>6.6602044943616665</v>
      </c>
      <c r="Q31" s="11">
        <f t="shared" si="8"/>
        <v>0.11406860474770045</v>
      </c>
      <c r="R31" s="11">
        <f t="shared" si="8"/>
        <v>4.0731025831763406</v>
      </c>
      <c r="S31" s="11">
        <f t="shared" si="8"/>
        <v>1.5257038224953106</v>
      </c>
      <c r="T31" s="11">
        <f t="shared" si="8"/>
        <v>1.0331674852419188E-2</v>
      </c>
      <c r="U31" s="11">
        <f t="shared" si="8"/>
        <v>2.3358746715982575</v>
      </c>
      <c r="V31" s="11">
        <f t="shared" si="8"/>
        <v>6.9574934519104668</v>
      </c>
    </row>
    <row r="32" spans="1:22" x14ac:dyDescent="0.3">
      <c r="A32" s="224"/>
      <c r="B32" s="11">
        <f t="shared" ref="B32:M32" si="12">IF(B9="","",(B9/$O$23))</f>
        <v>0.453688176057989</v>
      </c>
      <c r="C32" s="11">
        <f t="shared" si="12"/>
        <v>0.21611949040709141</v>
      </c>
      <c r="D32" s="11">
        <f t="shared" si="12"/>
        <v>3.7603373883550422</v>
      </c>
      <c r="E32" s="11">
        <f t="shared" si="12"/>
        <v>2.9493833530888942</v>
      </c>
      <c r="F32" s="11">
        <f t="shared" si="12"/>
        <v>12.115522950869945</v>
      </c>
      <c r="G32" s="11">
        <f t="shared" si="12"/>
        <v>9.6157057414011362</v>
      </c>
      <c r="H32" s="11">
        <f t="shared" si="12"/>
        <v>16.31148470538978</v>
      </c>
      <c r="I32" s="11">
        <f t="shared" si="12"/>
        <v>0.20586227807613111</v>
      </c>
      <c r="J32" s="11">
        <f t="shared" si="12"/>
        <v>0.36120838378183012</v>
      </c>
      <c r="K32" s="11">
        <f t="shared" si="12"/>
        <v>6.7112006840579316E-2</v>
      </c>
      <c r="L32" s="11">
        <f t="shared" si="12"/>
        <v>2.8210924067425482</v>
      </c>
      <c r="M32" s="11">
        <f t="shared" si="12"/>
        <v>14.125290339426932</v>
      </c>
      <c r="N32" s="6"/>
      <c r="O32" s="11">
        <f t="shared" si="8"/>
        <v>1.412640461787305</v>
      </c>
      <c r="P32" s="11">
        <f t="shared" si="8"/>
        <v>9.6380418384630335</v>
      </c>
      <c r="Q32" s="11">
        <f t="shared" si="8"/>
        <v>0.12752903518927566</v>
      </c>
      <c r="R32" s="11">
        <f t="shared" si="8"/>
        <v>1.0908719503088991</v>
      </c>
      <c r="S32" s="11">
        <f t="shared" si="8"/>
        <v>3.6912547840715693</v>
      </c>
      <c r="T32" s="11">
        <f t="shared" si="8"/>
        <v>3.9034171233382744</v>
      </c>
      <c r="U32" s="11">
        <f t="shared" si="8"/>
        <v>0.51443629668960078</v>
      </c>
      <c r="V32" s="11">
        <f t="shared" si="8"/>
        <v>4.9622435956621924</v>
      </c>
    </row>
    <row r="33" spans="1:22" x14ac:dyDescent="0.3">
      <c r="A33" s="224"/>
      <c r="B33" s="11">
        <f t="shared" ref="B33:M33" si="13">IF(B10="","",(B10/$O$23))</f>
        <v>0.10942533465958619</v>
      </c>
      <c r="C33" s="11">
        <f t="shared" si="13"/>
        <v>1.3980724013390289</v>
      </c>
      <c r="D33" s="11">
        <f t="shared" si="13"/>
        <v>0.16402497851930778</v>
      </c>
      <c r="E33" s="11">
        <f t="shared" si="13"/>
        <v>6.6243414824640343</v>
      </c>
      <c r="F33" s="11">
        <f t="shared" si="13"/>
        <v>4.3078855727119461</v>
      </c>
      <c r="G33" s="11">
        <f t="shared" si="13"/>
        <v>4.7865918262922342</v>
      </c>
      <c r="H33" s="11">
        <f t="shared" si="13"/>
        <v>24.784386206515986</v>
      </c>
      <c r="I33" s="11">
        <f t="shared" si="13"/>
        <v>0.31374251541544562</v>
      </c>
      <c r="J33" s="11">
        <f t="shared" si="13"/>
        <v>8.6441679598573878E-2</v>
      </c>
      <c r="K33" s="11">
        <f t="shared" si="13"/>
        <v>0.16689976372277371</v>
      </c>
      <c r="L33" s="11">
        <f t="shared" si="13"/>
        <v>1.009885980095071</v>
      </c>
      <c r="M33" s="11">
        <f t="shared" si="13"/>
        <v>10.902177438703674</v>
      </c>
      <c r="N33" s="6"/>
      <c r="O33" s="11">
        <f t="shared" si="8"/>
        <v>7.5348093589084397E-2</v>
      </c>
      <c r="P33" s="11">
        <f t="shared" si="8"/>
        <v>0.9462883383297741</v>
      </c>
      <c r="Q33" s="11">
        <f t="shared" si="8"/>
        <v>0.37985326727997965</v>
      </c>
      <c r="R33" s="11">
        <f t="shared" si="8"/>
        <v>0.33308947411592171</v>
      </c>
      <c r="S33" s="11">
        <f t="shared" si="8"/>
        <v>8.8472112996211466E-2</v>
      </c>
      <c r="T33" s="11">
        <f t="shared" si="8"/>
        <v>1.5762811605083695</v>
      </c>
      <c r="U33" s="11">
        <f t="shared" si="8"/>
        <v>3.7554015869326252</v>
      </c>
      <c r="V33" s="11">
        <f t="shared" si="8"/>
        <v>9.0792950227538682</v>
      </c>
    </row>
    <row r="34" spans="1:22" x14ac:dyDescent="0.3">
      <c r="A34" s="224"/>
      <c r="B34" s="11">
        <f t="shared" ref="B34:M34" si="14">IF(B11="","",(B11/$O$23))</f>
        <v>0.2876021813197302</v>
      </c>
      <c r="C34" s="11">
        <f t="shared" si="14"/>
        <v>0.18902709978700893</v>
      </c>
      <c r="D34" s="11">
        <f t="shared" si="14"/>
        <v>4.8485738972794505E-2</v>
      </c>
      <c r="E34" s="11">
        <f t="shared" si="14"/>
        <v>13.413396721770871</v>
      </c>
      <c r="F34" s="11">
        <f t="shared" si="14"/>
        <v>6.2677497750126552</v>
      </c>
      <c r="G34" s="11">
        <f t="shared" si="14"/>
        <v>10.353588108734229</v>
      </c>
      <c r="H34" s="11">
        <f t="shared" si="14"/>
        <v>12.012865727535816</v>
      </c>
      <c r="I34" s="11">
        <f t="shared" si="14"/>
        <v>0.22866110652137941</v>
      </c>
      <c r="J34" s="11">
        <f t="shared" si="14"/>
        <v>0.11267642153399608</v>
      </c>
      <c r="K34" s="11">
        <f t="shared" si="14"/>
        <v>2.3478431922348886</v>
      </c>
      <c r="L34" s="11">
        <f t="shared" si="14"/>
        <v>1.2378104395291609</v>
      </c>
      <c r="M34" s="11">
        <f t="shared" si="14"/>
        <v>4.2916593914733268</v>
      </c>
      <c r="N34" s="6"/>
      <c r="O34" s="11">
        <f t="shared" si="8"/>
        <v>3.7789729640380097E-2</v>
      </c>
      <c r="P34" s="11" t="str">
        <f t="shared" si="8"/>
        <v/>
      </c>
      <c r="Q34" s="11">
        <f t="shared" si="8"/>
        <v>7.1449448715558903E-2</v>
      </c>
      <c r="R34" s="11">
        <f t="shared" si="8"/>
        <v>7.7430384814166558E-2</v>
      </c>
      <c r="S34" s="11">
        <f t="shared" si="8"/>
        <v>0.2176685767910127</v>
      </c>
      <c r="T34" s="11">
        <f t="shared" si="8"/>
        <v>6.5570566161986399</v>
      </c>
      <c r="U34" s="11">
        <f t="shared" si="8"/>
        <v>4.3398592475512343</v>
      </c>
      <c r="V34" s="11">
        <f t="shared" si="8"/>
        <v>2.8496700587281585</v>
      </c>
    </row>
    <row r="35" spans="1:22" x14ac:dyDescent="0.3">
      <c r="A35" s="224"/>
      <c r="B35" s="11">
        <f t="shared" ref="B35:M35" si="15">IF(B12="","",(B12/$O$23))</f>
        <v>6.8195702465382618E-2</v>
      </c>
      <c r="C35" s="11" t="str">
        <f t="shared" si="15"/>
        <v/>
      </c>
      <c r="D35" s="11">
        <f t="shared" si="15"/>
        <v>0.15087835441816638</v>
      </c>
      <c r="E35" s="11">
        <f t="shared" si="15"/>
        <v>5.7960868781496462</v>
      </c>
      <c r="F35" s="11">
        <f t="shared" si="15"/>
        <v>2.8217093819203503</v>
      </c>
      <c r="G35" s="11">
        <f t="shared" si="15"/>
        <v>7.2558355222627569</v>
      </c>
      <c r="H35" s="11">
        <f t="shared" si="15"/>
        <v>16.785623481091299</v>
      </c>
      <c r="I35" s="11">
        <f t="shared" si="15"/>
        <v>0.60671530609539726</v>
      </c>
      <c r="J35" s="11">
        <f t="shared" si="15"/>
        <v>0.32224055067693996</v>
      </c>
      <c r="K35" s="11">
        <f t="shared" si="15"/>
        <v>4.6129186324924696</v>
      </c>
      <c r="L35" s="11">
        <f t="shared" si="15"/>
        <v>6.6497305429057452</v>
      </c>
      <c r="M35" s="11">
        <f t="shared" si="15"/>
        <v>0.78034063113136742</v>
      </c>
      <c r="N35" s="6"/>
      <c r="O35" s="11">
        <f t="shared" si="8"/>
        <v>1.093343840083757</v>
      </c>
      <c r="P35" s="11" t="str">
        <f t="shared" si="8"/>
        <v/>
      </c>
      <c r="Q35" s="11" t="str">
        <f t="shared" si="8"/>
        <v/>
      </c>
      <c r="R35" s="11" t="str">
        <f t="shared" si="8"/>
        <v/>
      </c>
      <c r="S35" s="11">
        <f t="shared" si="8"/>
        <v>0.26515173109987877</v>
      </c>
      <c r="T35" s="11" t="str">
        <f t="shared" si="8"/>
        <v/>
      </c>
      <c r="U35" s="11">
        <f t="shared" si="8"/>
        <v>11.554887978366644</v>
      </c>
      <c r="V35" s="11">
        <f t="shared" si="8"/>
        <v>6.6459688558841892</v>
      </c>
    </row>
    <row r="36" spans="1:22" x14ac:dyDescent="0.3">
      <c r="A36" s="224"/>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0.53789066126126384</v>
      </c>
      <c r="P36" s="11" t="str">
        <f t="shared" si="8"/>
        <v/>
      </c>
      <c r="Q36" s="11" t="str">
        <f t="shared" si="8"/>
        <v/>
      </c>
      <c r="R36" s="11" t="str">
        <f t="shared" si="8"/>
        <v/>
      </c>
      <c r="S36" s="11" t="str">
        <f t="shared" si="8"/>
        <v/>
      </c>
      <c r="T36" s="11" t="str">
        <f t="shared" si="8"/>
        <v/>
      </c>
      <c r="U36" s="11" t="str">
        <f t="shared" si="8"/>
        <v/>
      </c>
      <c r="V36" s="11" t="str">
        <f t="shared" si="8"/>
        <v/>
      </c>
    </row>
    <row r="37" spans="1:22" x14ac:dyDescent="0.3">
      <c r="A37" s="224"/>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8.3759699138171106E-2</v>
      </c>
      <c r="P37" s="11" t="str">
        <f t="shared" si="8"/>
        <v/>
      </c>
      <c r="Q37" s="11" t="str">
        <f t="shared" si="8"/>
        <v/>
      </c>
      <c r="R37" s="11" t="str">
        <f t="shared" si="8"/>
        <v/>
      </c>
      <c r="S37" s="11" t="str">
        <f t="shared" si="8"/>
        <v/>
      </c>
      <c r="T37" s="11" t="str">
        <f t="shared" si="8"/>
        <v/>
      </c>
      <c r="U37" s="11" t="str">
        <f t="shared" si="8"/>
        <v/>
      </c>
      <c r="V37" s="11" t="str">
        <f t="shared" si="8"/>
        <v/>
      </c>
    </row>
    <row r="38" spans="1:22" x14ac:dyDescent="0.3">
      <c r="A38" s="224"/>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0.27049441701455318</v>
      </c>
      <c r="P38" s="11" t="str">
        <f t="shared" si="8"/>
        <v/>
      </c>
      <c r="Q38" s="11" t="str">
        <f t="shared" si="8"/>
        <v/>
      </c>
      <c r="R38" s="11" t="str">
        <f t="shared" si="8"/>
        <v/>
      </c>
      <c r="S38" s="11" t="str">
        <f t="shared" si="8"/>
        <v/>
      </c>
      <c r="T38" s="11" t="str">
        <f t="shared" si="8"/>
        <v/>
      </c>
      <c r="U38" s="11" t="str">
        <f t="shared" si="8"/>
        <v/>
      </c>
      <c r="V38" s="11" t="str">
        <f t="shared" si="8"/>
        <v/>
      </c>
    </row>
    <row r="39" spans="1:22" x14ac:dyDescent="0.3">
      <c r="A39" s="224"/>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4.5569813226222546</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3">
      <c r="A40" s="224"/>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0.33700274555616233</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3">
      <c r="A41" s="224"/>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0.14234042852017623</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3">
      <c r="A42" s="224"/>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1.4605118849580636</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3">
      <c r="A43" s="224"/>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1.9243309529981096</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3">
      <c r="A44" s="7"/>
      <c r="B44" s="3"/>
      <c r="C44" s="3"/>
      <c r="D44" s="3"/>
      <c r="E44" s="3"/>
      <c r="F44" s="3"/>
      <c r="G44" s="3"/>
      <c r="H44" s="3"/>
      <c r="I44" s="3"/>
      <c r="J44" s="3"/>
      <c r="K44" s="3"/>
      <c r="L44" s="3"/>
      <c r="M44" s="3"/>
      <c r="N44" s="7"/>
      <c r="O44" s="3"/>
      <c r="P44" s="3"/>
      <c r="Q44" s="3"/>
      <c r="R44" s="3"/>
      <c r="S44" s="3"/>
      <c r="T44" s="3"/>
      <c r="U44" s="3"/>
      <c r="V44" s="3"/>
    </row>
    <row r="45" spans="1:22" x14ac:dyDescent="0.3">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Testosterone-3.7µg/L</v>
      </c>
      <c r="J45" s="7" t="str">
        <f t="shared" si="26"/>
        <v>Testosterone-11µg/L</v>
      </c>
      <c r="K45" s="7" t="str">
        <f t="shared" si="26"/>
        <v>Testosterone-33µg/L</v>
      </c>
      <c r="L45" s="7" t="str">
        <f t="shared" si="26"/>
        <v>Testosterone-100µg/L</v>
      </c>
      <c r="M45" s="7" t="str">
        <f t="shared" si="26"/>
        <v>Testosterone-300µg/L</v>
      </c>
      <c r="N45" s="7"/>
      <c r="O45" s="7" t="str">
        <f t="shared" si="26"/>
        <v>Testo -30µg/L</v>
      </c>
      <c r="P45" s="7" t="str">
        <f t="shared" si="26"/>
        <v>Testo 30µg/L + EE2 -64ng/L</v>
      </c>
      <c r="Q45" s="7" t="str">
        <f t="shared" si="26"/>
        <v>Testo 30µg/L + FAD-10µg/L</v>
      </c>
      <c r="R45" s="7" t="str">
        <f t="shared" si="26"/>
        <v>Testosterone-3.7µg/L + Testostérone</v>
      </c>
      <c r="S45" s="7" t="str">
        <f t="shared" si="26"/>
        <v>Testosterone-11µg/L + Testostérone</v>
      </c>
      <c r="T45" s="7" t="str">
        <f t="shared" si="26"/>
        <v>Testosterone-33µg/L + Testostérone</v>
      </c>
      <c r="U45" s="7" t="str">
        <f t="shared" si="26"/>
        <v>Testosterone-100µg/L + Testostérone</v>
      </c>
      <c r="V45" s="7" t="str">
        <f t="shared" si="26"/>
        <v>Testosterone-300µg/L + Testostérone</v>
      </c>
    </row>
    <row r="46" spans="1:22" x14ac:dyDescent="0.3">
      <c r="A46" s="8" t="s">
        <v>0</v>
      </c>
      <c r="B46" s="10">
        <f t="shared" ref="B46:H46" si="27">AVERAGE(B28:B43)</f>
        <v>0.17596092180280082</v>
      </c>
      <c r="C46" s="10">
        <f t="shared" si="27"/>
        <v>0.42929296233126013</v>
      </c>
      <c r="D46" s="10">
        <f t="shared" si="27"/>
        <v>1.6207794979414354</v>
      </c>
      <c r="E46" s="10">
        <f t="shared" si="27"/>
        <v>5.4095638964475645</v>
      </c>
      <c r="F46" s="10">
        <f t="shared" si="27"/>
        <v>4.9287258207685447</v>
      </c>
      <c r="G46" s="10">
        <f t="shared" si="27"/>
        <v>8.2208129562127965</v>
      </c>
      <c r="H46" s="10">
        <f t="shared" si="27"/>
        <v>16.22688215034465</v>
      </c>
      <c r="I46" s="10">
        <f>AVERAGE(I28:I43)</f>
        <v>0.26878776261647336</v>
      </c>
      <c r="J46" s="9">
        <f>AVERAGE(J28:J43)</f>
        <v>0.47891218899119825</v>
      </c>
      <c r="K46" s="9">
        <f t="shared" ref="K46:M46" si="28">AVERAGE(K28:K43)</f>
        <v>1.7479556672087084</v>
      </c>
      <c r="L46" s="9">
        <f t="shared" si="28"/>
        <v>3.6091548678335945</v>
      </c>
      <c r="M46" s="9">
        <f t="shared" si="28"/>
        <v>6.9288331930651124</v>
      </c>
      <c r="N46" s="8" t="s">
        <v>0</v>
      </c>
      <c r="O46" s="10">
        <f t="shared" ref="O46:V46" si="29">AVERAGE(O28:O43)</f>
        <v>1</v>
      </c>
      <c r="P46" s="10">
        <f t="shared" si="29"/>
        <v>7.3824614777646955</v>
      </c>
      <c r="Q46" s="10">
        <f t="shared" si="29"/>
        <v>0.14015594128349998</v>
      </c>
      <c r="R46" s="10">
        <f t="shared" si="29"/>
        <v>1.307691426408786</v>
      </c>
      <c r="S46" s="10">
        <f t="shared" si="29"/>
        <v>1.390884108642481</v>
      </c>
      <c r="T46" s="10">
        <f t="shared" si="29"/>
        <v>2.4081055968783107</v>
      </c>
      <c r="U46" s="10">
        <f t="shared" si="29"/>
        <v>4.2706124268141874</v>
      </c>
      <c r="V46" s="10">
        <f t="shared" si="29"/>
        <v>5.6603844177533613</v>
      </c>
    </row>
    <row r="47" spans="1:22" x14ac:dyDescent="0.3">
      <c r="A47" s="8" t="s">
        <v>1</v>
      </c>
      <c r="B47" s="8">
        <f t="shared" ref="B47:M47" si="30">STDEV(B28:B43)</f>
        <v>0.14824186838086703</v>
      </c>
      <c r="C47" s="8">
        <f t="shared" si="30"/>
        <v>0.47968612904902758</v>
      </c>
      <c r="D47" s="8">
        <f t="shared" si="30"/>
        <v>2.0214237009418303</v>
      </c>
      <c r="E47" s="8">
        <f t="shared" si="30"/>
        <v>4.5863853803191343</v>
      </c>
      <c r="F47" s="8">
        <f t="shared" si="30"/>
        <v>3.6826664175890622</v>
      </c>
      <c r="G47" s="8">
        <f t="shared" si="30"/>
        <v>2.5587860428391949</v>
      </c>
      <c r="H47" s="8">
        <f t="shared" si="30"/>
        <v>5.2402428113658832</v>
      </c>
      <c r="I47" s="8">
        <f t="shared" si="30"/>
        <v>0.15418750695162867</v>
      </c>
      <c r="J47" s="8">
        <f t="shared" si="30"/>
        <v>0.80388154890776109</v>
      </c>
      <c r="K47" s="8">
        <f t="shared" si="30"/>
        <v>1.5135149646379837</v>
      </c>
      <c r="L47" s="8">
        <f t="shared" si="30"/>
        <v>2.7220830318687494</v>
      </c>
      <c r="M47" s="8">
        <f t="shared" si="30"/>
        <v>4.7707437690329169</v>
      </c>
      <c r="N47" s="8" t="s">
        <v>1</v>
      </c>
      <c r="O47" s="8">
        <f t="shared" ref="O47:V47" si="31">STDEV(O28:O43)</f>
        <v>1.1842287710986552</v>
      </c>
      <c r="P47" s="8">
        <f t="shared" si="31"/>
        <v>3.4479659344523896</v>
      </c>
      <c r="Q47" s="8">
        <f t="shared" si="31"/>
        <v>0.11308449497217143</v>
      </c>
      <c r="R47" s="8">
        <f t="shared" si="31"/>
        <v>1.4442953711586111</v>
      </c>
      <c r="S47" s="8">
        <f t="shared" si="31"/>
        <v>1.4630669861392489</v>
      </c>
      <c r="T47" s="8">
        <f t="shared" si="31"/>
        <v>2.3713236320507738</v>
      </c>
      <c r="U47" s="8">
        <f t="shared" si="31"/>
        <v>4.6422804409074683</v>
      </c>
      <c r="V47" s="8">
        <f t="shared" si="31"/>
        <v>2.9575360508537449</v>
      </c>
    </row>
    <row r="48" spans="1:22" x14ac:dyDescent="0.3">
      <c r="A48" s="8" t="s">
        <v>2</v>
      </c>
      <c r="B48" s="8">
        <f t="shared" ref="B48:M48" si="32" xml:space="preserve"> B47/SQRT(COUNT(B28:B43))</f>
        <v>5.2411415193937355E-2</v>
      </c>
      <c r="C48" s="8">
        <f t="shared" si="32"/>
        <v>0.18130431497585187</v>
      </c>
      <c r="D48" s="8">
        <f t="shared" si="32"/>
        <v>0.71468120329358786</v>
      </c>
      <c r="E48" s="8">
        <f t="shared" si="32"/>
        <v>1.6215321017792512</v>
      </c>
      <c r="F48" s="8">
        <f t="shared" si="32"/>
        <v>1.3020191983625979</v>
      </c>
      <c r="G48" s="8">
        <f t="shared" si="32"/>
        <v>0.90466748124854313</v>
      </c>
      <c r="H48" s="8">
        <f t="shared" si="32"/>
        <v>1.8527056134904369</v>
      </c>
      <c r="I48" s="8">
        <f t="shared" si="32"/>
        <v>5.4513515869872277E-2</v>
      </c>
      <c r="J48" s="8">
        <f t="shared" si="32"/>
        <v>0.28421504725171154</v>
      </c>
      <c r="K48" s="8">
        <f t="shared" si="32"/>
        <v>0.535108347461418</v>
      </c>
      <c r="L48" s="8">
        <f t="shared" si="32"/>
        <v>0.96240168539361481</v>
      </c>
      <c r="M48" s="8">
        <f t="shared" si="32"/>
        <v>1.6867126351933217</v>
      </c>
      <c r="N48" s="8" t="s">
        <v>2</v>
      </c>
      <c r="O48" s="8">
        <f t="shared" ref="O48:V48" si="33" xml:space="preserve"> O47/SQRT(COUNT(O28:O43))</f>
        <v>0.2960571927746638</v>
      </c>
      <c r="P48" s="8">
        <f t="shared" si="33"/>
        <v>1.4076261983178242</v>
      </c>
      <c r="Q48" s="8">
        <f t="shared" si="33"/>
        <v>4.2741921547671383E-2</v>
      </c>
      <c r="R48" s="8">
        <f t="shared" si="33"/>
        <v>0.54589233882963062</v>
      </c>
      <c r="S48" s="8">
        <f t="shared" si="33"/>
        <v>0.51727229361461369</v>
      </c>
      <c r="T48" s="8">
        <f t="shared" si="33"/>
        <v>0.89627608692239735</v>
      </c>
      <c r="U48" s="8">
        <f t="shared" si="33"/>
        <v>1.6412939899676731</v>
      </c>
      <c r="V48" s="8">
        <f t="shared" si="33"/>
        <v>1.0456468985811824</v>
      </c>
    </row>
    <row r="49" spans="1:22"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5" t="s">
        <v>44</v>
      </c>
      <c r="B50" s="216"/>
      <c r="C50" s="216"/>
      <c r="D50" s="216"/>
      <c r="E50" s="216"/>
      <c r="F50" s="216"/>
      <c r="G50" s="216"/>
      <c r="H50" s="216"/>
      <c r="I50" s="216"/>
      <c r="J50" s="216"/>
      <c r="K50" s="216"/>
      <c r="L50" s="216"/>
      <c r="M50" s="216"/>
      <c r="N50" s="216"/>
      <c r="O50" s="216"/>
      <c r="P50" s="216"/>
      <c r="Q50" s="216"/>
      <c r="R50" s="216"/>
      <c r="S50" s="216"/>
      <c r="T50" s="216"/>
      <c r="U50" s="216"/>
      <c r="V50" s="216"/>
    </row>
    <row r="51" spans="1:22" ht="15" thickBot="1" x14ac:dyDescent="0.35"/>
    <row r="52" spans="1:22" x14ac:dyDescent="0.3">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Testosterone-3.7µg/L</v>
      </c>
      <c r="J52" s="46" t="str">
        <f>J4</f>
        <v>Testosterone-11µg/L</v>
      </c>
      <c r="K52" s="46" t="str">
        <f t="shared" ref="K52:M52" si="35">K4</f>
        <v>Testosterone-33µg/L</v>
      </c>
      <c r="L52" s="46" t="str">
        <f t="shared" si="35"/>
        <v>Testosterone-100µg/L</v>
      </c>
      <c r="M52" s="46" t="str">
        <f t="shared" si="35"/>
        <v>Testosterone-300µg/L</v>
      </c>
      <c r="N52" s="47"/>
      <c r="O52" s="46" t="str">
        <f>O27</f>
        <v>Testo -30µg/L</v>
      </c>
      <c r="P52" s="46" t="str">
        <f>P27</f>
        <v>Testo 30µg/L + EE2 -64ng/L</v>
      </c>
      <c r="Q52" s="46" t="str">
        <f>Q27</f>
        <v>Testo 30µg/L + FAD-10µg/L</v>
      </c>
      <c r="R52" s="46" t="str">
        <f>R27</f>
        <v>Testosterone-3.7µg/L + Testostérone</v>
      </c>
      <c r="S52" s="46" t="str">
        <f t="shared" ref="S52:V52" si="36">S27</f>
        <v>Testosterone-11µg/L + Testostérone</v>
      </c>
      <c r="T52" s="46" t="str">
        <f t="shared" si="36"/>
        <v>Testosterone-33µg/L + Testostérone</v>
      </c>
      <c r="U52" s="46" t="str">
        <f t="shared" si="36"/>
        <v>Testosterone-100µg/L + Testostérone</v>
      </c>
      <c r="V52" s="46" t="str">
        <f t="shared" si="36"/>
        <v>Testosterone-300µg/L + Testostérone</v>
      </c>
    </row>
    <row r="53" spans="1:22" s="3" customFormat="1" x14ac:dyDescent="0.3">
      <c r="A53" s="61" t="s">
        <v>32</v>
      </c>
      <c r="B53" s="141">
        <f t="shared" ref="B53:V53" si="37">B46</f>
        <v>0.17596092180280082</v>
      </c>
      <c r="C53" s="141">
        <f t="shared" si="37"/>
        <v>0.42929296233126013</v>
      </c>
      <c r="D53" s="141">
        <f t="shared" si="37"/>
        <v>1.6207794979414354</v>
      </c>
      <c r="E53" s="141">
        <f t="shared" si="37"/>
        <v>5.4095638964475645</v>
      </c>
      <c r="F53" s="141">
        <f t="shared" si="37"/>
        <v>4.9287258207685447</v>
      </c>
      <c r="G53" s="141">
        <f t="shared" si="37"/>
        <v>8.2208129562127965</v>
      </c>
      <c r="H53" s="141">
        <f t="shared" si="37"/>
        <v>16.22688215034465</v>
      </c>
      <c r="I53" s="141">
        <f t="shared" si="37"/>
        <v>0.26878776261647336</v>
      </c>
      <c r="J53" s="141">
        <f t="shared" si="37"/>
        <v>0.47891218899119825</v>
      </c>
      <c r="K53" s="141">
        <f t="shared" si="37"/>
        <v>1.7479556672087084</v>
      </c>
      <c r="L53" s="141">
        <f t="shared" si="37"/>
        <v>3.6091548678335945</v>
      </c>
      <c r="M53" s="141">
        <f t="shared" si="37"/>
        <v>6.9288331930651124</v>
      </c>
      <c r="N53" s="141"/>
      <c r="O53" s="141">
        <f t="shared" si="37"/>
        <v>1</v>
      </c>
      <c r="P53" s="141">
        <f t="shared" si="37"/>
        <v>7.3824614777646955</v>
      </c>
      <c r="Q53" s="141">
        <f t="shared" si="37"/>
        <v>0.14015594128349998</v>
      </c>
      <c r="R53" s="141">
        <f t="shared" si="37"/>
        <v>1.307691426408786</v>
      </c>
      <c r="S53" s="141">
        <f t="shared" si="37"/>
        <v>1.390884108642481</v>
      </c>
      <c r="T53" s="141">
        <f t="shared" si="37"/>
        <v>2.4081055968783107</v>
      </c>
      <c r="U53" s="141">
        <f t="shared" si="37"/>
        <v>4.2706124268141874</v>
      </c>
      <c r="V53" s="141">
        <f t="shared" si="37"/>
        <v>5.6603844177533613</v>
      </c>
    </row>
    <row r="54" spans="1:22" s="3" customFormat="1" x14ac:dyDescent="0.3">
      <c r="A54" s="61" t="s">
        <v>2</v>
      </c>
      <c r="B54" s="141">
        <f t="shared" ref="B54:V54" si="38">B48</f>
        <v>5.2411415193937355E-2</v>
      </c>
      <c r="C54" s="141">
        <f t="shared" si="38"/>
        <v>0.18130431497585187</v>
      </c>
      <c r="D54" s="141">
        <f t="shared" si="38"/>
        <v>0.71468120329358786</v>
      </c>
      <c r="E54" s="141">
        <f t="shared" si="38"/>
        <v>1.6215321017792512</v>
      </c>
      <c r="F54" s="141">
        <f t="shared" si="38"/>
        <v>1.3020191983625979</v>
      </c>
      <c r="G54" s="141">
        <f t="shared" si="38"/>
        <v>0.90466748124854313</v>
      </c>
      <c r="H54" s="141">
        <f t="shared" si="38"/>
        <v>1.8527056134904369</v>
      </c>
      <c r="I54" s="141">
        <f t="shared" si="38"/>
        <v>5.4513515869872277E-2</v>
      </c>
      <c r="J54" s="141">
        <f t="shared" si="38"/>
        <v>0.28421504725171154</v>
      </c>
      <c r="K54" s="141">
        <f t="shared" si="38"/>
        <v>0.535108347461418</v>
      </c>
      <c r="L54" s="141">
        <f t="shared" si="38"/>
        <v>0.96240168539361481</v>
      </c>
      <c r="M54" s="141">
        <f t="shared" si="38"/>
        <v>1.6867126351933217</v>
      </c>
      <c r="N54" s="141"/>
      <c r="O54" s="141">
        <f t="shared" si="38"/>
        <v>0.2960571927746638</v>
      </c>
      <c r="P54" s="141">
        <f t="shared" si="38"/>
        <v>1.4076261983178242</v>
      </c>
      <c r="Q54" s="141">
        <f t="shared" si="38"/>
        <v>4.2741921547671383E-2</v>
      </c>
      <c r="R54" s="141">
        <f t="shared" si="38"/>
        <v>0.54589233882963062</v>
      </c>
      <c r="S54" s="141">
        <f t="shared" si="38"/>
        <v>0.51727229361461369</v>
      </c>
      <c r="T54" s="141">
        <f t="shared" si="38"/>
        <v>0.89627608692239735</v>
      </c>
      <c r="U54" s="141">
        <f t="shared" si="38"/>
        <v>1.6412939899676731</v>
      </c>
      <c r="V54" s="141">
        <f t="shared" si="38"/>
        <v>1.0456468985811824</v>
      </c>
    </row>
    <row r="55" spans="1:22" s="3" customFormat="1" x14ac:dyDescent="0.3">
      <c r="A55" s="61" t="s">
        <v>79</v>
      </c>
      <c r="B55" s="141">
        <f>(B53*100/$B53)-100</f>
        <v>0</v>
      </c>
      <c r="C55" s="141">
        <f t="shared" ref="C55:M55" si="39">(C53*100/$B53)-100</f>
        <v>143.97062593953001</v>
      </c>
      <c r="D55" s="141">
        <f t="shared" si="39"/>
        <v>821.10195908034677</v>
      </c>
      <c r="E55" s="141">
        <f t="shared" si="39"/>
        <v>2974.2984527610374</v>
      </c>
      <c r="F55" s="141">
        <f t="shared" si="39"/>
        <v>2701.0343264126345</v>
      </c>
      <c r="G55" s="141">
        <f t="shared" si="39"/>
        <v>4571.9537906409987</v>
      </c>
      <c r="H55" s="141">
        <f t="shared" si="39"/>
        <v>9121.8669827895628</v>
      </c>
      <c r="I55" s="141">
        <f t="shared" si="39"/>
        <v>52.754236487635268</v>
      </c>
      <c r="J55" s="141">
        <f t="shared" si="39"/>
        <v>172.16962953167211</v>
      </c>
      <c r="K55" s="141">
        <f t="shared" si="39"/>
        <v>893.37719381104409</v>
      </c>
      <c r="L55" s="141">
        <f t="shared" si="39"/>
        <v>1951.1115939017241</v>
      </c>
      <c r="M55" s="141">
        <f t="shared" si="39"/>
        <v>3837.7113520865996</v>
      </c>
      <c r="N55" s="141"/>
      <c r="O55" s="141">
        <f>(O53*100/$O53)-100</f>
        <v>0</v>
      </c>
      <c r="P55" s="141">
        <f t="shared" ref="P55:V55" si="40">(P53*100/$O53)-100</f>
        <v>638.24614777646957</v>
      </c>
      <c r="Q55" s="141">
        <f t="shared" si="40"/>
        <v>-85.984405871649997</v>
      </c>
      <c r="R55" s="141">
        <f t="shared" si="40"/>
        <v>30.769142640878613</v>
      </c>
      <c r="S55" s="141">
        <f t="shared" si="40"/>
        <v>39.08841086424809</v>
      </c>
      <c r="T55" s="141">
        <f t="shared" si="40"/>
        <v>140.81055968783107</v>
      </c>
      <c r="U55" s="141">
        <f t="shared" si="40"/>
        <v>327.06124268141872</v>
      </c>
      <c r="V55" s="141">
        <f t="shared" si="40"/>
        <v>466.03844177533608</v>
      </c>
    </row>
    <row r="56" spans="1:22" s="3" customFormat="1" x14ac:dyDescent="0.3">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
      <c r="A57" s="61" t="s">
        <v>85</v>
      </c>
      <c r="B57" s="141" t="e">
        <f ca="1">IF(B56&gt;0.05,"Oui","Non")</f>
        <v>#NAME?</v>
      </c>
      <c r="C57" s="141" t="e">
        <f t="shared" ref="C57:V57" ca="1" si="41">IF(C56&gt;0.05,"Oui","Non")</f>
        <v>#NAME?</v>
      </c>
      <c r="D57" s="141" t="e">
        <f t="shared" ca="1" si="41"/>
        <v>#NAME?</v>
      </c>
      <c r="E57" s="141" t="e">
        <f t="shared" ca="1" si="41"/>
        <v>#NAME?</v>
      </c>
      <c r="F57" s="141" t="e">
        <f t="shared" ca="1" si="41"/>
        <v>#NAME?</v>
      </c>
      <c r="G57" s="141" t="e">
        <f t="shared" ca="1" si="41"/>
        <v>#NAME?</v>
      </c>
      <c r="H57" s="141" t="e">
        <f t="shared" ca="1" si="41"/>
        <v>#NAME?</v>
      </c>
      <c r="I57" s="141" t="e">
        <f t="shared" ca="1" si="41"/>
        <v>#NAME?</v>
      </c>
      <c r="J57" s="141" t="e">
        <f t="shared" ca="1" si="41"/>
        <v>#NAME?</v>
      </c>
      <c r="K57" s="141" t="e">
        <f t="shared" ca="1" si="41"/>
        <v>#NAME?</v>
      </c>
      <c r="L57" s="141" t="e">
        <f t="shared" ca="1" si="41"/>
        <v>#NAME?</v>
      </c>
      <c r="M57" s="141" t="e">
        <f t="shared" ca="1" si="41"/>
        <v>#NAME?</v>
      </c>
      <c r="N57" s="141"/>
      <c r="O57" s="141" t="e">
        <f t="shared" ca="1" si="41"/>
        <v>#NAME?</v>
      </c>
      <c r="P57" s="141" t="e">
        <f t="shared" ca="1" si="41"/>
        <v>#NAME?</v>
      </c>
      <c r="Q57" s="141" t="e">
        <f t="shared" ca="1" si="41"/>
        <v>#NAME?</v>
      </c>
      <c r="R57" s="141" t="e">
        <f t="shared" ca="1" si="41"/>
        <v>#NAME?</v>
      </c>
      <c r="S57" s="141" t="e">
        <f t="shared" ca="1" si="41"/>
        <v>#NAME?</v>
      </c>
      <c r="T57" s="141" t="e">
        <f t="shared" ca="1" si="41"/>
        <v>#NAME?</v>
      </c>
      <c r="U57" s="141" t="e">
        <f t="shared" ca="1" si="41"/>
        <v>#NAME?</v>
      </c>
      <c r="V57" s="141" t="e">
        <f t="shared" ca="1" si="41"/>
        <v>#NAME?</v>
      </c>
    </row>
    <row r="58" spans="1:22" s="3" customFormat="1" x14ac:dyDescent="0.3">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
      <c r="A59" s="61" t="s">
        <v>82</v>
      </c>
      <c r="B59" s="150"/>
      <c r="C59" s="150" t="e">
        <f t="shared" ref="C59:O59" ca="1" si="42">IF($B57="Non",IF(C57="Non","MW",IF(C57="Oui","MW","")),IF($B57="Oui",IF(C57="Oui","T-Test Welch",IF(C57="Non","MW",""))))</f>
        <v>#NAME?</v>
      </c>
      <c r="D59" s="150" t="e">
        <f t="shared" ca="1" si="42"/>
        <v>#NAME?</v>
      </c>
      <c r="E59" s="150" t="e">
        <f t="shared" ca="1" si="42"/>
        <v>#NAME?</v>
      </c>
      <c r="F59" s="150" t="e">
        <f t="shared" ca="1" si="42"/>
        <v>#NAME?</v>
      </c>
      <c r="G59" s="150" t="e">
        <f t="shared" ca="1" si="42"/>
        <v>#NAME?</v>
      </c>
      <c r="H59" s="150" t="e">
        <f t="shared" ca="1" si="42"/>
        <v>#NAME?</v>
      </c>
      <c r="I59" s="150" t="e">
        <f t="shared" ca="1" si="42"/>
        <v>#NAME?</v>
      </c>
      <c r="J59" s="150" t="e">
        <f t="shared" ca="1" si="42"/>
        <v>#NAME?</v>
      </c>
      <c r="K59" s="150" t="e">
        <f t="shared" ca="1" si="42"/>
        <v>#NAME?</v>
      </c>
      <c r="L59" s="150" t="e">
        <f t="shared" ca="1" si="42"/>
        <v>#NAME?</v>
      </c>
      <c r="M59" s="150" t="e">
        <f t="shared" ca="1" si="42"/>
        <v>#NAME?</v>
      </c>
      <c r="N59" s="150"/>
      <c r="O59" s="150" t="e">
        <f t="shared" ca="1" si="42"/>
        <v>#NAME?</v>
      </c>
      <c r="P59" s="150" t="e">
        <f ca="1">IF($O57="Non",IF(P57="Non","MW",IF(P57="Oui","MW","")),IF($O57="Oui",IF(P57="Oui","T-Test Welch",IF(P57="Non","MW",""))))</f>
        <v>#NAME?</v>
      </c>
      <c r="Q59" s="150" t="e">
        <f t="shared" ref="Q59:V59" ca="1" si="43">IF($O57="Non",IF(Q57="Non","MW",IF(Q57="Oui","MW","")),IF($O57="Oui",IF(Q57="Oui","T-Test Welch",IF(Q57="Non","MW",""))))</f>
        <v>#NAME?</v>
      </c>
      <c r="R59" s="150" t="e">
        <f t="shared" ca="1" si="43"/>
        <v>#NAME?</v>
      </c>
      <c r="S59" s="150" t="e">
        <f t="shared" ca="1" si="43"/>
        <v>#NAME?</v>
      </c>
      <c r="T59" s="150" t="e">
        <f t="shared" ca="1" si="43"/>
        <v>#NAME?</v>
      </c>
      <c r="U59" s="150" t="e">
        <f t="shared" ca="1" si="43"/>
        <v>#NAME?</v>
      </c>
      <c r="V59" s="150" t="e">
        <f t="shared" ca="1" si="43"/>
        <v>#NAME?</v>
      </c>
    </row>
    <row r="60" spans="1:22" s="3" customFormat="1" x14ac:dyDescent="0.3">
      <c r="A60" s="61" t="s">
        <v>83</v>
      </c>
      <c r="B60" s="151"/>
      <c r="C60" s="151" t="e">
        <f ca="1">IF(C59="MW",[1]!MTEST($B28:$B43,C28:C43,2), IF(C59="T-Test Welch",_xlfn.T.TEST($B28:$B43,C28:C43,2,3),""))</f>
        <v>#NAME?</v>
      </c>
      <c r="D60" s="151" t="e">
        <f ca="1">IF(D59="MW",[1]!MTEST($B28:$B43,D28:D43,2), IF(D59="T-Test Welch",_xlfn.T.TEST($B28:$B43,D28:D43,2,3),""))</f>
        <v>#NAME?</v>
      </c>
      <c r="E60" s="151" t="e">
        <f ca="1">IF(E59="MW",[1]!MTEST($B28:$B43,E28:E43,2), IF(E59="T-Test Welch",_xlfn.T.TEST($B28:$B43,E28:E43,2,3),""))</f>
        <v>#NAME?</v>
      </c>
      <c r="F60" s="151" t="e">
        <f ca="1">IF(F59="MW",[1]!MTEST($B28:$B43,F28:F43,2), IF(F59="T-Test Welch",_xlfn.T.TEST($B28:$B43,F28:F43,2,3),""))</f>
        <v>#NAME?</v>
      </c>
      <c r="G60" s="151" t="e">
        <f ca="1">IF(G59="MW",[1]!MTEST($B28:$B43,G28:G43,2), IF(G59="T-Test Welch",_xlfn.T.TEST($B28:$B43,G28:G43,2,3),""))</f>
        <v>#NAME?</v>
      </c>
      <c r="H60" s="151" t="e">
        <f ca="1">IF(H59="MW",[1]!MTEST($B28:$B43,H28:H43,2), IF(H59="T-Test Welch",_xlfn.T.TEST($B28:$B43,H28:H43,2,3),""))</f>
        <v>#NAME?</v>
      </c>
      <c r="I60" s="151" t="e">
        <f ca="1">IF(I59="MW",[1]!MTEST($B28:$B43,I28:I43,2), IF(I59="T-Test Welch",_xlfn.T.TEST($B28:$B43,I28:I43,2,3),""))</f>
        <v>#NAME?</v>
      </c>
      <c r="J60" s="151" t="e">
        <f ca="1">IF(J59="MW",[1]!MTEST($B28:$B43,J28:J43,2), IF(J59="T-Test Welch",_xlfn.T.TEST($B28:$B43,J28:J43,2,3),""))</f>
        <v>#NAME?</v>
      </c>
      <c r="K60" s="151" t="e">
        <f ca="1">IF(K59="MW",[1]!MTEST($B28:$B43,K28:K43,2), IF(K59="T-Test Welch",_xlfn.T.TEST($B28:$B43,K28:K43,2,3),""))</f>
        <v>#NAME?</v>
      </c>
      <c r="L60" s="151" t="e">
        <f ca="1">IF(L59="MW",[1]!MTEST($B28:$B43,L28:L43,2), IF(L59="T-Test Welch",_xlfn.T.TEST($B28:$B43,L28:L43,2,3),""))</f>
        <v>#NAME?</v>
      </c>
      <c r="M60" s="151" t="e">
        <f ca="1">IF(M59="MW",[1]!MTEST($B28:$B43,M28:M43,2), IF(M59="T-Test Welch",_xlfn.T.TEST($B28:$B43,M28:M43,2,3),""))</f>
        <v>#NAME?</v>
      </c>
      <c r="N60" s="151"/>
      <c r="O60" s="151" t="e">
        <f ca="1">IF(O59="MW",[1]!MTEST($B28:$B43,O28:O43,2), IF(O59="T-Test Welch",_xlfn.T.TEST($B28:$B43,O28:O43,2,3),""))</f>
        <v>#NAME?</v>
      </c>
      <c r="P60" s="151" t="e">
        <f ca="1">IF(P59="MW",[1]!MTEST($O28:$O43,P28:P43,2), IF(P59="T-Test Welch",_xlfn.T.TEST($O28:$O43,P28:P43,2,3),""))</f>
        <v>#NAME?</v>
      </c>
      <c r="Q60" s="151" t="e">
        <f ca="1">IF(Q59="MW",[1]!MTEST($O28:$O43,Q28:Q43,2), IF(Q59="T-Test Welch",_xlfn.T.TEST($O28:$O43,Q28:Q43,2,3),""))</f>
        <v>#NAME?</v>
      </c>
      <c r="R60" s="151" t="e">
        <f ca="1">IF(R59="MW",[1]!MTEST($O28:$O43,R28:R43,2), IF(R59="T-Test Welch",_xlfn.T.TEST($O28:$O43,R28:R43,2,3),""))</f>
        <v>#NAME?</v>
      </c>
      <c r="S60" s="151" t="e">
        <f ca="1">IF(S59="MW",[1]!MTEST($O28:$O43,S28:S43,2), IF(S59="T-Test Welch",_xlfn.T.TEST($O28:$O43,S28:S43,2,3),""))</f>
        <v>#NAME?</v>
      </c>
      <c r="T60" s="151" t="e">
        <f ca="1">IF(T59="MW",[1]!MTEST($O28:$O43,T28:T43,2), IF(T59="T-Test Welch",_xlfn.T.TEST($O28:$O43,T28:T43,2,3),""))</f>
        <v>#NAME?</v>
      </c>
      <c r="U60" s="151" t="e">
        <f ca="1">IF(U59="MW",[1]!MTEST($O28:$O43,U28:U43,2), IF(U59="T-Test Welch",_xlfn.T.TEST($O28:$O43,U28:U43,2,3),""))</f>
        <v>#NAME?</v>
      </c>
      <c r="V60" s="151" t="e">
        <f ca="1">IF(V59="MW",[1]!MTEST($O28:$O43,V28:V43,2), IF(V59="T-Test Welch",_xlfn.T.TEST($O28:$O43,V28:V43,2,3),""))</f>
        <v>#NAME?</v>
      </c>
    </row>
    <row r="61" spans="1:22" s="3" customFormat="1" ht="15" thickBot="1" x14ac:dyDescent="0.35">
      <c r="A61" s="62" t="s">
        <v>84</v>
      </c>
      <c r="B61" s="142"/>
      <c r="C61" s="142" t="e">
        <f t="shared" ref="C61:O61" ca="1" si="44">IF(C60&gt;0.05,"NS",IF(C60&gt;0.01,"*",IF(C60&gt;0.001,"**","***")))</f>
        <v>#NAME?</v>
      </c>
      <c r="D61" s="142" t="e">
        <f t="shared" ca="1" si="44"/>
        <v>#NAME?</v>
      </c>
      <c r="E61" s="142" t="e">
        <f t="shared" ca="1" si="44"/>
        <v>#NAME?</v>
      </c>
      <c r="F61" s="142" t="e">
        <f t="shared" ca="1" si="44"/>
        <v>#NAME?</v>
      </c>
      <c r="G61" s="142" t="e">
        <f t="shared" ca="1" si="44"/>
        <v>#NAME?</v>
      </c>
      <c r="H61" s="142" t="e">
        <f t="shared" ca="1" si="44"/>
        <v>#NAME?</v>
      </c>
      <c r="I61" s="142" t="e">
        <f t="shared" ca="1" si="44"/>
        <v>#NAME?</v>
      </c>
      <c r="J61" s="142" t="e">
        <f t="shared" ca="1" si="44"/>
        <v>#NAME?</v>
      </c>
      <c r="K61" s="142" t="e">
        <f t="shared" ca="1" si="44"/>
        <v>#NAME?</v>
      </c>
      <c r="L61" s="142" t="e">
        <f t="shared" ca="1" si="44"/>
        <v>#NAME?</v>
      </c>
      <c r="M61" s="142" t="e">
        <f t="shared" ca="1" si="44"/>
        <v>#NAME?</v>
      </c>
      <c r="N61" s="142"/>
      <c r="O61" s="142" t="e">
        <f t="shared" ca="1" si="44"/>
        <v>#NAME?</v>
      </c>
      <c r="P61" s="142" t="e">
        <f ca="1">IF(P60&gt;0.05,"NS",IF(P60&gt;0.01,"*",IF(P60&gt;0.001,"**","***")))</f>
        <v>#NAME?</v>
      </c>
      <c r="Q61" s="142" t="e">
        <f t="shared" ref="Q61:V61" ca="1" si="45">IF(Q60&gt;0.05,"NS",IF(Q60&gt;0.01,"*",IF(Q60&gt;0.001,"**","***")))</f>
        <v>#NAME?</v>
      </c>
      <c r="R61" s="142" t="e">
        <f t="shared" ca="1" si="45"/>
        <v>#NAME?</v>
      </c>
      <c r="S61" s="142" t="e">
        <f t="shared" ca="1" si="45"/>
        <v>#NAME?</v>
      </c>
      <c r="T61" s="142" t="e">
        <f t="shared" ca="1" si="45"/>
        <v>#NAME?</v>
      </c>
      <c r="U61" s="142" t="e">
        <f t="shared" ca="1" si="45"/>
        <v>#NAME?</v>
      </c>
      <c r="V61" s="142" t="e">
        <f t="shared" ca="1" si="45"/>
        <v>#NAME?</v>
      </c>
    </row>
    <row r="63" spans="1:22" x14ac:dyDescent="0.3">
      <c r="A63" s="2" t="s">
        <v>39</v>
      </c>
    </row>
    <row r="64" spans="1:22" x14ac:dyDescent="0.3">
      <c r="A64" s="1" t="s">
        <v>23</v>
      </c>
      <c r="B64" s="1">
        <f>B46+(3*B47)</f>
        <v>0.62068652694540183</v>
      </c>
    </row>
    <row r="65" spans="1:22" x14ac:dyDescent="0.3">
      <c r="A65" s="1" t="s">
        <v>24</v>
      </c>
      <c r="B65" s="1">
        <f>B46+(10*B47)</f>
        <v>1.6583796056114712</v>
      </c>
    </row>
    <row r="66" spans="1:22" ht="15" thickBot="1" x14ac:dyDescent="0.35"/>
    <row r="67" spans="1:22" ht="26.4" thickBot="1" x14ac:dyDescent="0.55000000000000004">
      <c r="A67" s="215" t="s">
        <v>45</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N70" s="12"/>
      <c r="O70" s="12"/>
      <c r="P70" s="12"/>
      <c r="Q70" s="12"/>
      <c r="R70" s="12"/>
      <c r="S70" s="12"/>
      <c r="T70" s="12"/>
      <c r="U70" s="12"/>
      <c r="V70" s="12"/>
    </row>
    <row r="71" spans="1:22" ht="16.8" x14ac:dyDescent="0.3">
      <c r="A71" s="12"/>
      <c r="B71" s="12"/>
      <c r="C71" s="12"/>
      <c r="D71" s="12"/>
      <c r="E71" s="12"/>
      <c r="F71" s="12"/>
      <c r="N71" s="12"/>
      <c r="O71" s="12"/>
      <c r="P71" s="12"/>
      <c r="Q71" s="12"/>
      <c r="R71" s="12"/>
      <c r="S71" s="12"/>
      <c r="T71" s="12"/>
      <c r="U71" s="12"/>
      <c r="V71" s="12"/>
    </row>
    <row r="72" spans="1:22" ht="16.8" x14ac:dyDescent="0.3">
      <c r="A72" s="12"/>
      <c r="B72" s="12"/>
      <c r="C72" s="12"/>
      <c r="D72" s="12"/>
      <c r="E72" s="12"/>
      <c r="F72" s="12"/>
      <c r="N72" s="12"/>
      <c r="O72" s="12"/>
      <c r="P72" s="12"/>
      <c r="Q72" s="12"/>
      <c r="R72" s="12"/>
      <c r="S72" s="12"/>
      <c r="T72" s="12"/>
      <c r="U72" s="12"/>
      <c r="V72" s="12"/>
    </row>
    <row r="73" spans="1:22" ht="16.8" x14ac:dyDescent="0.3">
      <c r="A73" s="12"/>
      <c r="B73" s="12"/>
      <c r="C73" s="12"/>
      <c r="D73" s="12"/>
      <c r="E73" s="12"/>
      <c r="F73" s="12"/>
      <c r="N73" s="12"/>
      <c r="O73" s="12"/>
      <c r="P73" s="12"/>
      <c r="Q73" s="12"/>
      <c r="R73" s="12"/>
      <c r="S73" s="12"/>
      <c r="T73" s="12"/>
      <c r="U73" s="12"/>
      <c r="V73" s="12"/>
    </row>
    <row r="74" spans="1:22" ht="16.8" x14ac:dyDescent="0.3">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119"/>
  <sheetViews>
    <sheetView showGridLines="0" zoomScale="70" zoomScaleNormal="70" workbookViewId="0">
      <selection activeCell="T99" sqref="T99"/>
    </sheetView>
  </sheetViews>
  <sheetFormatPr defaultColWidth="11.5546875" defaultRowHeight="14.4" x14ac:dyDescent="0.3"/>
  <cols>
    <col min="1" max="1" width="42.77734375" customWidth="1"/>
    <col min="2" max="2" width="14" bestFit="1" customWidth="1"/>
    <col min="3" max="13" width="22.77734375" bestFit="1" customWidth="1"/>
    <col min="14" max="14" width="8.44140625" customWidth="1"/>
    <col min="15" max="15" width="22.77734375" customWidth="1"/>
    <col min="18" max="22" width="29.21875" customWidth="1"/>
  </cols>
  <sheetData>
    <row r="1" spans="1:22" s="1" customFormat="1" ht="21.6" thickBot="1" x14ac:dyDescent="0.35">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35">
      <c r="A2" s="1"/>
      <c r="B2" s="1"/>
      <c r="C2" s="1"/>
      <c r="D2" s="1"/>
      <c r="E2" s="1"/>
      <c r="F2" s="1"/>
      <c r="G2" s="1"/>
      <c r="H2" s="1"/>
      <c r="I2" s="1"/>
      <c r="J2" s="1"/>
      <c r="K2" s="1"/>
      <c r="L2" s="1"/>
      <c r="M2" s="1"/>
    </row>
    <row r="3" spans="1:22" s="33" customFormat="1" ht="15" thickBot="1" x14ac:dyDescent="0.35">
      <c r="B3" s="221" t="s">
        <v>6</v>
      </c>
      <c r="C3" s="222"/>
      <c r="D3" s="222"/>
      <c r="E3" s="222"/>
      <c r="F3" s="222"/>
      <c r="G3" s="222"/>
      <c r="H3" s="222"/>
      <c r="I3" s="222"/>
      <c r="J3" s="222"/>
      <c r="K3" s="222"/>
      <c r="L3" s="222"/>
      <c r="M3" s="222"/>
      <c r="N3" s="72"/>
      <c r="O3" s="221" t="s">
        <v>3</v>
      </c>
      <c r="P3" s="222"/>
      <c r="Q3" s="222"/>
      <c r="R3" s="222"/>
      <c r="S3" s="222"/>
      <c r="T3" s="222"/>
      <c r="U3" s="222"/>
      <c r="V3" s="222"/>
    </row>
    <row r="4" spans="1:22" x14ac:dyDescent="0.3">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Testosterone-3.7µg/L</v>
      </c>
      <c r="J4" s="35" t="str">
        <f>'R1'!J4</f>
        <v>Testosterone-11µg/L</v>
      </c>
      <c r="K4" s="35" t="str">
        <f>'R1'!K4</f>
        <v>Testosterone-33µg/L</v>
      </c>
      <c r="L4" s="35" t="str">
        <f>'R1'!L4</f>
        <v>Testosterone-100µg/L</v>
      </c>
      <c r="M4" s="35" t="str">
        <f>'R1'!M4</f>
        <v>Testosterone-300µg/L</v>
      </c>
      <c r="O4" s="35" t="str">
        <f>'R1'!O4</f>
        <v>Testo -30µg/L</v>
      </c>
      <c r="P4" s="35" t="str">
        <f>'R1'!P4</f>
        <v>Testo 30µg/L + EE2 -64ng/L</v>
      </c>
      <c r="Q4" s="35" t="str">
        <f>'R1'!Q4</f>
        <v>Testo 30µg/L + FAD-10µg/L</v>
      </c>
      <c r="R4" s="35" t="str">
        <f>'R1'!R4</f>
        <v>Testosterone-3.7µg/L + Testostérone</v>
      </c>
      <c r="S4" s="35" t="str">
        <f>'R1'!S4</f>
        <v>Testosterone-11µg/L + Testostérone</v>
      </c>
      <c r="T4" s="35" t="str">
        <f>'R1'!T4</f>
        <v>Testosterone-33µg/L + Testostérone</v>
      </c>
      <c r="U4" s="35" t="str">
        <f>'R1'!U4</f>
        <v>Testosterone-100µg/L + Testostérone</v>
      </c>
      <c r="V4" s="35" t="str">
        <f>'R1'!V4</f>
        <v>Testosterone-300µg/L + Testostérone</v>
      </c>
    </row>
    <row r="5" spans="1:22" s="1" customFormat="1" x14ac:dyDescent="0.3">
      <c r="A5" s="34"/>
      <c r="B5" s="35"/>
      <c r="C5" s="194" t="s">
        <v>165</v>
      </c>
      <c r="D5" s="35"/>
      <c r="E5" s="35"/>
      <c r="F5" s="35"/>
      <c r="G5" s="35"/>
      <c r="H5" s="35"/>
      <c r="I5" s="35"/>
      <c r="J5" s="35"/>
      <c r="K5" s="35"/>
      <c r="L5" s="35"/>
      <c r="M5" s="35"/>
      <c r="O5" s="35"/>
      <c r="P5" s="35"/>
      <c r="Q5" s="35"/>
      <c r="R5" s="35"/>
      <c r="S5" s="35"/>
      <c r="T5" s="35"/>
      <c r="U5" s="35"/>
      <c r="V5" s="35"/>
    </row>
    <row r="6" spans="1:22" s="1" customFormat="1" x14ac:dyDescent="0.3">
      <c r="A6" s="71" t="s">
        <v>4</v>
      </c>
      <c r="B6" s="53">
        <f>'R1'!B28</f>
        <v>2.8351538516456058E-2</v>
      </c>
      <c r="C6" s="53">
        <f>'R1'!C28</f>
        <v>0.30918091974420953</v>
      </c>
      <c r="D6" s="53">
        <f>'R1'!D28</f>
        <v>0.28820365327540309</v>
      </c>
      <c r="E6" s="53">
        <f>'R1'!E28</f>
        <v>2.0987530724433703</v>
      </c>
      <c r="F6" s="53">
        <f>'R1'!F28</f>
        <v>1.4100574202694571</v>
      </c>
      <c r="G6" s="53">
        <f>'R1'!G28</f>
        <v>11.084211363705903</v>
      </c>
      <c r="H6" s="53">
        <f>'R1'!H28</f>
        <v>17.85642688859652</v>
      </c>
      <c r="I6" s="53">
        <f>'R1'!I28</f>
        <v>6.5598221297514511E-2</v>
      </c>
      <c r="J6" s="53">
        <f>'R1'!J28</f>
        <v>0.72487511346367628</v>
      </c>
      <c r="K6" s="53">
        <f>'R1'!K28</f>
        <v>8.6928013544248284</v>
      </c>
      <c r="L6" s="53">
        <f>'R1'!L28</f>
        <v>8.7292565961916999</v>
      </c>
      <c r="M6" s="53">
        <f>'R1'!M28</f>
        <v>16.828439657722161</v>
      </c>
      <c r="N6"/>
      <c r="O6" s="53">
        <f>'R1'!O28</f>
        <v>1.2629326153249905</v>
      </c>
      <c r="P6" s="53">
        <f>'R1'!P28</f>
        <v>14.402264989954002</v>
      </c>
      <c r="Q6" s="53">
        <f>'R1'!Q28</f>
        <v>5.0617956327958472E-2</v>
      </c>
      <c r="R6" s="53">
        <f>'R1'!R28</f>
        <v>4.0627408744607285</v>
      </c>
      <c r="S6" s="53">
        <f>'R1'!S28</f>
        <v>2.203866230150231</v>
      </c>
      <c r="T6" s="53">
        <f>'R1'!T28</f>
        <v>7.9895285010555943</v>
      </c>
      <c r="U6" s="53">
        <f>'R1'!U28</f>
        <v>1.8479951860804291</v>
      </c>
      <c r="V6" s="53">
        <f>'R1'!V28</f>
        <v>7.9866515721730975</v>
      </c>
    </row>
    <row r="7" spans="1:22" s="1" customFormat="1" x14ac:dyDescent="0.3">
      <c r="A7" s="225" t="s">
        <v>34</v>
      </c>
      <c r="B7" s="53">
        <f>'R1'!B29</f>
        <v>3.4182092627155811E-2</v>
      </c>
      <c r="C7" s="53">
        <f>'R1'!C29</f>
        <v>0.13808116349988273</v>
      </c>
      <c r="D7" s="53">
        <f>'R1'!D29</f>
        <v>4.4757653826148154</v>
      </c>
      <c r="E7" s="53">
        <f>'R1'!E29</f>
        <v>2.857632408285653</v>
      </c>
      <c r="F7" s="53">
        <f>'R1'!F29</f>
        <v>2.6932101296290631</v>
      </c>
      <c r="G7" s="53">
        <f>'R1'!G29</f>
        <v>6.7787281869269451</v>
      </c>
      <c r="H7" s="53">
        <f>'R1'!H29</f>
        <v>22.605968852308539</v>
      </c>
      <c r="I7" s="53">
        <f>'R1'!I29</f>
        <v>1.6730181847851584</v>
      </c>
      <c r="J7" s="53">
        <f>'R1'!J29</f>
        <v>0.16090077410274456</v>
      </c>
      <c r="K7" s="53">
        <f>'R1'!K29</f>
        <v>5.0293645014227577</v>
      </c>
      <c r="L7" s="53">
        <f>'R1'!L29</f>
        <v>11.349559505961306</v>
      </c>
      <c r="M7" s="53">
        <f>'R1'!M29</f>
        <v>11.905262062846129</v>
      </c>
      <c r="N7"/>
      <c r="O7" s="53">
        <f>'R1'!O29</f>
        <v>0.66352782792277332</v>
      </c>
      <c r="P7" s="53">
        <f>'R1'!P29</f>
        <v>8.7710854776693292</v>
      </c>
      <c r="Q7" s="53">
        <f>'R1'!Q29</f>
        <v>2.2767391814296933E-2</v>
      </c>
      <c r="R7" s="53">
        <f>'R1'!R29</f>
        <v>5.0689610296892367</v>
      </c>
      <c r="S7" s="53">
        <f>'R1'!S29</f>
        <v>1.7513365766096542</v>
      </c>
      <c r="T7" s="53">
        <f>'R1'!T29</f>
        <v>6.0351489561341776</v>
      </c>
      <c r="U7" s="53">
        <f>'R1'!U29</f>
        <v>0.30612938428744813</v>
      </c>
      <c r="V7" s="53">
        <f>'R1'!V29</f>
        <v>9.5801878652510482</v>
      </c>
    </row>
    <row r="8" spans="1:22" s="1" customFormat="1" x14ac:dyDescent="0.3">
      <c r="A8" s="226"/>
      <c r="B8" s="53">
        <f>'R1'!B30</f>
        <v>5.0276902365143962E-2</v>
      </c>
      <c r="C8" s="53">
        <f>'R1'!C30</f>
        <v>0.38330059460065885</v>
      </c>
      <c r="D8" s="53">
        <f>'R1'!D30</f>
        <v>0.49061020510153086</v>
      </c>
      <c r="E8" s="53">
        <f>'R1'!E30</f>
        <v>3.958040571550959</v>
      </c>
      <c r="F8" s="53">
        <f>'R1'!F30</f>
        <v>13.377871064467767</v>
      </c>
      <c r="G8" s="53">
        <f>'R1'!G30</f>
        <v>0.21742434904996483</v>
      </c>
      <c r="H8" s="53">
        <f>'R1'!H30</f>
        <v>13.67630960030189</v>
      </c>
      <c r="I8" s="53">
        <f>'R1'!I30</f>
        <v>0.25983906006180585</v>
      </c>
      <c r="J8" s="53">
        <f>'R1'!J30</f>
        <v>0.33602790441513936</v>
      </c>
      <c r="K8" s="53">
        <f>'R1'!K30</f>
        <v>0.45981580638252301</v>
      </c>
      <c r="L8" s="53">
        <f>'R1'!L30</f>
        <v>4.9359646707258618</v>
      </c>
      <c r="M8" s="53">
        <f>'R1'!M30</f>
        <v>10.019117788044753</v>
      </c>
      <c r="N8"/>
      <c r="O8" s="53">
        <f>'R1'!O30</f>
        <v>0.21083825434221665</v>
      </c>
      <c r="P8" s="53">
        <f>'R1'!P30</f>
        <v>16.930891289049352</v>
      </c>
      <c r="Q8" s="53">
        <f>'R1'!Q30</f>
        <v>0.15079317484115085</v>
      </c>
      <c r="R8" s="53">
        <f>'R1'!R30</f>
        <v>2.9151758814470314</v>
      </c>
      <c r="S8" s="53">
        <f>'R1'!S30</f>
        <v>2.0567675346000468E-2</v>
      </c>
      <c r="T8" s="53">
        <f>'R1'!T30</f>
        <v>7.9821003783822375</v>
      </c>
      <c r="U8" s="53">
        <f>'R1'!U30</f>
        <v>4.5337200787361418</v>
      </c>
      <c r="V8" s="53">
        <f>'R1'!V30</f>
        <v>8.9358161735458808</v>
      </c>
    </row>
    <row r="9" spans="1:22" s="1" customFormat="1" x14ac:dyDescent="0.3">
      <c r="A9" s="226"/>
      <c r="B9" s="53">
        <f>'R1'!B31</f>
        <v>3.654009729828963E-2</v>
      </c>
      <c r="C9" s="53">
        <f>'R1'!C31</f>
        <v>0.10318269436710216</v>
      </c>
      <c r="D9" s="53">
        <f>'R1'!D31</f>
        <v>0.50061826229742268</v>
      </c>
      <c r="E9" s="53">
        <f>'R1'!E31</f>
        <v>1.6827961529439361</v>
      </c>
      <c r="F9" s="53">
        <f>'R1'!F31</f>
        <v>7.2097159583473571</v>
      </c>
      <c r="G9" s="53">
        <f>'R1'!G31</f>
        <v>6.0948285041152896</v>
      </c>
      <c r="H9" s="53">
        <f>'R1'!H31</f>
        <v>16.72703566584055</v>
      </c>
      <c r="I9" s="53">
        <f>'R1'!I31</f>
        <v>0.27789860171954839</v>
      </c>
      <c r="J9" s="53">
        <f>'R1'!J31</f>
        <v>0.65024140990729129</v>
      </c>
      <c r="K9" s="53">
        <f>'R1'!K31</f>
        <v>3.8365405052575752</v>
      </c>
      <c r="L9" s="53">
        <f>'R1'!L31</f>
        <v>9.3739644463482552</v>
      </c>
      <c r="M9" s="53">
        <f>'R1'!M31</f>
        <v>7.8519744209527893</v>
      </c>
      <c r="N9"/>
      <c r="O9" s="53">
        <f>'R1'!O31</f>
        <v>1.0372805434017685</v>
      </c>
      <c r="P9" s="53">
        <f>'R1'!P31</f>
        <v>3.9222772287325727</v>
      </c>
      <c r="Q9" s="53">
        <f>'R1'!Q31</f>
        <v>0.11862476924802905</v>
      </c>
      <c r="R9" s="53">
        <f>'R1'!R31</f>
        <v>0.52633275199135121</v>
      </c>
      <c r="S9" s="53">
        <f>'R1'!S31</f>
        <v>1.9107556425868699</v>
      </c>
      <c r="T9" s="53">
        <f>'R1'!T31</f>
        <v>3.5380122183806058</v>
      </c>
      <c r="U9" s="53">
        <f>'R1'!U31</f>
        <v>8.1759299941865802</v>
      </c>
      <c r="V9" s="53">
        <f>'R1'!V31</f>
        <v>8.4398731246621583</v>
      </c>
    </row>
    <row r="10" spans="1:22" s="1" customFormat="1" x14ac:dyDescent="0.3">
      <c r="A10" s="226"/>
      <c r="B10" s="53">
        <f>'R1'!B32</f>
        <v>2.4657059225489295E-3</v>
      </c>
      <c r="C10" s="53">
        <f>'R1'!C32</f>
        <v>0.7136872380136462</v>
      </c>
      <c r="D10" s="53">
        <f>'R1'!D32</f>
        <v>0.67389325745290618</v>
      </c>
      <c r="E10" s="53">
        <f>'R1'!E32</f>
        <v>4.4385023814623299</v>
      </c>
      <c r="F10" s="53">
        <f>'R1'!F32</f>
        <v>3.4850150434986586</v>
      </c>
      <c r="G10" s="53">
        <f>'R1'!G32</f>
        <v>13.234478271068548</v>
      </c>
      <c r="H10" s="53">
        <f>'R1'!H32</f>
        <v>13.938558883823394</v>
      </c>
      <c r="I10" s="53">
        <f>'R1'!I32</f>
        <v>9.1366561617150607E-2</v>
      </c>
      <c r="J10" s="53">
        <f>'R1'!J32</f>
        <v>0.1174139460881804</v>
      </c>
      <c r="K10" s="53">
        <f>'R1'!K32</f>
        <v>0.539328702995441</v>
      </c>
      <c r="L10" s="53">
        <f>'R1'!L32</f>
        <v>6.5655727238421608</v>
      </c>
      <c r="M10" s="53">
        <f>'R1'!M32</f>
        <v>7.0243490499648136</v>
      </c>
      <c r="N10"/>
      <c r="O10" s="53">
        <f>'R1'!O32</f>
        <v>2.6945466042488961</v>
      </c>
      <c r="P10" s="53">
        <f>'R1'!P32</f>
        <v>13.988927169068527</v>
      </c>
      <c r="Q10" s="53">
        <f>'R1'!Q32</f>
        <v>9.8918703913349448E-2</v>
      </c>
      <c r="R10" s="53">
        <f>'R1'!R32</f>
        <v>4.055351915878795</v>
      </c>
      <c r="S10" s="53">
        <f>'R1'!S32</f>
        <v>1.1989466491244174</v>
      </c>
      <c r="T10" s="53">
        <f>'R1'!T32</f>
        <v>2.37448133076319</v>
      </c>
      <c r="U10" s="53">
        <f>'R1'!U32</f>
        <v>6.8735411885893791</v>
      </c>
      <c r="V10" s="53">
        <f>'R1'!V32</f>
        <v>3.8155616069516261</v>
      </c>
    </row>
    <row r="11" spans="1:22" s="1" customFormat="1" x14ac:dyDescent="0.3">
      <c r="A11" s="226"/>
      <c r="B11" s="53">
        <f>'R1'!B33</f>
        <v>2.254872563718141E-2</v>
      </c>
      <c r="C11" s="53">
        <f>'R1'!C33</f>
        <v>0.16429662719660579</v>
      </c>
      <c r="D11" s="53">
        <f>'R1'!D33</f>
        <v>0.390813572805434</v>
      </c>
      <c r="E11" s="53">
        <f>'R1'!E33</f>
        <v>0.21442992789319626</v>
      </c>
      <c r="F11" s="53">
        <f>'R1'!F33</f>
        <v>25.100936878499525</v>
      </c>
      <c r="G11" s="53">
        <f>'R1'!G33</f>
        <v>26.590224887556221</v>
      </c>
      <c r="H11" s="53">
        <f>'R1'!H33</f>
        <v>26.219990412956786</v>
      </c>
      <c r="I11" s="53">
        <f>'R1'!I33</f>
        <v>1.1164148537975911</v>
      </c>
      <c r="J11" s="53">
        <f>'R1'!J33</f>
        <v>8.3719772766677886E-2</v>
      </c>
      <c r="K11" s="53">
        <f>'R1'!K33</f>
        <v>0.7788823955369254</v>
      </c>
      <c r="L11" s="53">
        <f>'R1'!L33</f>
        <v>11.680363899682812</v>
      </c>
      <c r="M11" s="53">
        <f>'R1'!M33</f>
        <v>5.899982253771074</v>
      </c>
      <c r="N11"/>
      <c r="O11" s="53">
        <f>'R1'!O33</f>
        <v>0.20264806372324043</v>
      </c>
      <c r="P11" s="53">
        <f>'R1'!P33</f>
        <v>3.5365859927179266</v>
      </c>
      <c r="Q11" s="53">
        <f>'R1'!Q33</f>
        <v>5.7551632347091763E-2</v>
      </c>
      <c r="R11" s="53">
        <f>'R1'!R33</f>
        <v>0.80902242756172937</v>
      </c>
      <c r="S11" s="53">
        <f>'R1'!S33</f>
        <v>0.40310130648961234</v>
      </c>
      <c r="T11" s="53">
        <f>'R1'!T33</f>
        <v>4.2623586166100624E-3</v>
      </c>
      <c r="U11" s="53">
        <f>'R1'!U33</f>
        <v>5.4153478362859389</v>
      </c>
      <c r="V11" s="53">
        <f>'R1'!V33</f>
        <v>11.540933206865954</v>
      </c>
    </row>
    <row r="12" spans="1:22" s="1" customFormat="1" x14ac:dyDescent="0.3">
      <c r="A12" s="226"/>
      <c r="B12" s="53">
        <f>'R1'!B34</f>
        <v>0.47226182826953872</v>
      </c>
      <c r="C12" s="53">
        <f>'R1'!C34</f>
        <v>4.2277636691858154E-2</v>
      </c>
      <c r="D12" s="53">
        <f>'R1'!D34</f>
        <v>5.5182808595702149</v>
      </c>
      <c r="E12" s="53">
        <f>'R1'!E34</f>
        <v>1.0781433772909463</v>
      </c>
      <c r="F12" s="53">
        <f>'R1'!F34</f>
        <v>9.2851174412793611</v>
      </c>
      <c r="G12" s="53">
        <f>'R1'!G34</f>
        <v>1.7492347703699171</v>
      </c>
      <c r="H12" s="53">
        <f>'R1'!H34</f>
        <v>5.5878215994043794</v>
      </c>
      <c r="I12" s="53">
        <f>'R1'!I34</f>
        <v>1.4881702006139788</v>
      </c>
      <c r="J12" s="53">
        <f>'R1'!J34</f>
        <v>0.20882783098246796</v>
      </c>
      <c r="K12" s="53">
        <f>'R1'!K34</f>
        <v>0.82808391722506092</v>
      </c>
      <c r="L12" s="53">
        <f>'R1'!L34</f>
        <v>3.9759614070515763</v>
      </c>
      <c r="M12" s="53">
        <f>'R1'!M34</f>
        <v>2.9566734999847015</v>
      </c>
      <c r="N12"/>
      <c r="O12" s="53">
        <f>'R1'!O34</f>
        <v>2.5243884180358802</v>
      </c>
      <c r="P12" s="53">
        <f>'R1'!P34</f>
        <v>9.99495027996206</v>
      </c>
      <c r="Q12" s="53">
        <f>'R1'!Q34</f>
        <v>0.10007241277320524</v>
      </c>
      <c r="R12" s="53">
        <f>'R1'!R34</f>
        <v>5.5434829524013507</v>
      </c>
      <c r="S12" s="53">
        <f>'R1'!S34</f>
        <v>2.4046180991137085</v>
      </c>
      <c r="T12" s="53">
        <f>'R1'!T34</f>
        <v>1.8705031157890442</v>
      </c>
      <c r="U12" s="53">
        <f>'R1'!U34</f>
        <v>7.7294887250252424</v>
      </c>
      <c r="V12" s="53">
        <f>'R1'!V34</f>
        <v>8.5911003681832554</v>
      </c>
    </row>
    <row r="13" spans="1:22" s="1" customFormat="1" x14ac:dyDescent="0.3">
      <c r="A13" s="226"/>
      <c r="B13" s="53">
        <f>'R1'!B35</f>
        <v>0.25648726657079624</v>
      </c>
      <c r="C13" s="53">
        <f>'R1'!C35</f>
        <v>0.13176105824638701</v>
      </c>
      <c r="D13" s="53">
        <f>'R1'!D35</f>
        <v>6.3888773980356763</v>
      </c>
      <c r="E13" s="53">
        <f>'R1'!E35</f>
        <v>3.487493804118349</v>
      </c>
      <c r="F13" s="53" t="str">
        <f>'R1'!F35</f>
        <v/>
      </c>
      <c r="G13" s="53">
        <f>'R1'!G35</f>
        <v>10.546760905261655</v>
      </c>
      <c r="H13" s="53">
        <f>'R1'!H35</f>
        <v>19.446059827229242</v>
      </c>
      <c r="I13" s="53">
        <f>'R1'!I35</f>
        <v>7.7091250293220739E-2</v>
      </c>
      <c r="J13" s="53">
        <f>'R1'!J35</f>
        <v>0.44603330987567441</v>
      </c>
      <c r="K13" s="53">
        <f>'R1'!K35</f>
        <v>4.1546165692663868</v>
      </c>
      <c r="L13" s="53">
        <f>'R1'!L35</f>
        <v>5.6838666381095164</v>
      </c>
      <c r="M13" s="53">
        <f>'R1'!M35</f>
        <v>7.3680580118104215</v>
      </c>
      <c r="N13"/>
      <c r="O13" s="53">
        <f>'R1'!O35</f>
        <v>7.6950912298952567E-2</v>
      </c>
      <c r="P13" s="53">
        <f>'R1'!P35</f>
        <v>9.7499609378983969</v>
      </c>
      <c r="Q13" s="53">
        <f>'R1'!Q35</f>
        <v>0.20843455823108853</v>
      </c>
      <c r="R13" s="53">
        <f>'R1'!R35</f>
        <v>2.4354826668298504</v>
      </c>
      <c r="S13" s="53">
        <f>'R1'!S35</f>
        <v>1.6310930249161133</v>
      </c>
      <c r="T13" s="53">
        <f>'R1'!T35</f>
        <v>3.6277012514151088</v>
      </c>
      <c r="U13" s="53">
        <f>'R1'!U35</f>
        <v>9.6257585492967799</v>
      </c>
      <c r="V13" s="53">
        <f>'R1'!V35</f>
        <v>10.268418443839305</v>
      </c>
    </row>
    <row r="14" spans="1:22" s="1" customFormat="1" x14ac:dyDescent="0.3">
      <c r="A14" s="226"/>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0.69034380768799275</v>
      </c>
      <c r="P14" s="53" t="str">
        <f>'R1'!P36</f>
        <v/>
      </c>
      <c r="Q14" s="53" t="str">
        <f>'R1'!Q36</f>
        <v/>
      </c>
      <c r="R14" s="53" t="str">
        <f>'R1'!R36</f>
        <v/>
      </c>
      <c r="S14" s="53" t="str">
        <f>'R1'!S36</f>
        <v/>
      </c>
      <c r="T14" s="53" t="str">
        <f>'R1'!T36</f>
        <v/>
      </c>
      <c r="U14" s="53" t="str">
        <f>'R1'!U36</f>
        <v/>
      </c>
      <c r="V14" s="53" t="str">
        <f>'R1'!V36</f>
        <v/>
      </c>
    </row>
    <row r="15" spans="1:22" s="1" customFormat="1" x14ac:dyDescent="0.3">
      <c r="A15" s="226"/>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3.1997062693143223E-2</v>
      </c>
      <c r="P15" s="53" t="str">
        <f>'R1'!P37</f>
        <v/>
      </c>
      <c r="Q15" s="53" t="str">
        <f>'R1'!Q37</f>
        <v/>
      </c>
      <c r="R15" s="53" t="str">
        <f>'R1'!R37</f>
        <v/>
      </c>
      <c r="S15" s="53" t="str">
        <f>'R1'!S37</f>
        <v/>
      </c>
      <c r="T15" s="53" t="str">
        <f>'R1'!T37</f>
        <v/>
      </c>
      <c r="U15" s="53" t="str">
        <f>'R1'!U37</f>
        <v/>
      </c>
      <c r="V15" s="53" t="str">
        <f>'R1'!V37</f>
        <v/>
      </c>
    </row>
    <row r="16" spans="1:22" s="1" customFormat="1" x14ac:dyDescent="0.3">
      <c r="A16" s="226"/>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0.7812501912309151</v>
      </c>
      <c r="P16" s="53" t="str">
        <f>'R1'!P38</f>
        <v/>
      </c>
      <c r="Q16" s="53" t="str">
        <f>'R1'!Q38</f>
        <v/>
      </c>
      <c r="R16" s="53" t="str">
        <f>'R1'!R38</f>
        <v/>
      </c>
      <c r="S16" s="53" t="str">
        <f>'R1'!S38</f>
        <v/>
      </c>
      <c r="T16" s="53" t="str">
        <f>'R1'!T38</f>
        <v/>
      </c>
      <c r="U16" s="53" t="str">
        <f>'R1'!U38</f>
        <v/>
      </c>
      <c r="V16" s="53" t="str">
        <f>'R1'!V38</f>
        <v/>
      </c>
    </row>
    <row r="17" spans="1:22" s="1" customFormat="1" x14ac:dyDescent="0.3">
      <c r="A17" s="226"/>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0.66767922161368298</v>
      </c>
      <c r="P17" s="53" t="str">
        <f>'R1'!P39</f>
        <v/>
      </c>
      <c r="Q17" s="53" t="str">
        <f>'R1'!Q39</f>
        <v/>
      </c>
      <c r="R17" s="53" t="str">
        <f>'R1'!R39</f>
        <v/>
      </c>
      <c r="S17" s="53" t="str">
        <f>'R1'!S39</f>
        <v/>
      </c>
      <c r="T17" s="53" t="str">
        <f>'R1'!T39</f>
        <v/>
      </c>
      <c r="U17" s="53" t="str">
        <f>'R1'!U39</f>
        <v/>
      </c>
      <c r="V17" s="53" t="str">
        <f>'R1'!V39</f>
        <v/>
      </c>
    </row>
    <row r="18" spans="1:22" s="1" customFormat="1" x14ac:dyDescent="0.3">
      <c r="A18" s="226"/>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3.4972554539057001</v>
      </c>
      <c r="P18" s="53" t="str">
        <f>'R1'!P40</f>
        <v/>
      </c>
      <c r="Q18" s="53" t="str">
        <f>'R1'!Q40</f>
        <v/>
      </c>
      <c r="R18" s="53" t="str">
        <f>'R1'!R40</f>
        <v/>
      </c>
      <c r="S18" s="53" t="str">
        <f>'R1'!S40</f>
        <v/>
      </c>
      <c r="T18" s="53" t="str">
        <f>'R1'!T40</f>
        <v/>
      </c>
      <c r="U18" s="53" t="str">
        <f>'R1'!U40</f>
        <v/>
      </c>
      <c r="V18" s="53" t="str">
        <f>'R1'!V40</f>
        <v/>
      </c>
    </row>
    <row r="19" spans="1:22" s="1" customFormat="1" x14ac:dyDescent="0.3">
      <c r="A19" s="226"/>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1.5761914960886903E-2</v>
      </c>
      <c r="P19" s="53" t="str">
        <f>'R1'!P41</f>
        <v/>
      </c>
      <c r="Q19" s="53" t="str">
        <f>'R1'!Q41</f>
        <v/>
      </c>
      <c r="R19" s="53" t="str">
        <f>'R1'!R41</f>
        <v/>
      </c>
      <c r="S19" s="53" t="str">
        <f>'R1'!S41</f>
        <v/>
      </c>
      <c r="T19" s="53" t="str">
        <f>'R1'!T41</f>
        <v/>
      </c>
      <c r="U19" s="53" t="str">
        <f>'R1'!U41</f>
        <v/>
      </c>
      <c r="V19" s="53" t="str">
        <f>'R1'!V41</f>
        <v/>
      </c>
    </row>
    <row r="20" spans="1:22" s="1" customFormat="1" x14ac:dyDescent="0.3">
      <c r="A20" s="226"/>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0.28323307733888159</v>
      </c>
      <c r="P20" s="53" t="str">
        <f>'R1'!P42</f>
        <v/>
      </c>
      <c r="Q20" s="53" t="str">
        <f>'R1'!Q42</f>
        <v/>
      </c>
      <c r="R20" s="53" t="str">
        <f>'R1'!R42</f>
        <v/>
      </c>
      <c r="S20" s="53" t="str">
        <f>'R1'!S42</f>
        <v/>
      </c>
      <c r="T20" s="53" t="str">
        <f>'R1'!T42</f>
        <v/>
      </c>
      <c r="U20" s="53" t="str">
        <f>'R1'!U42</f>
        <v/>
      </c>
      <c r="V20" s="53" t="str">
        <f>'R1'!V42</f>
        <v/>
      </c>
    </row>
    <row r="21" spans="1:22" s="1" customFormat="1" x14ac:dyDescent="0.3">
      <c r="A21" s="227"/>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1.3593660312700793</v>
      </c>
      <c r="P21" s="53" t="str">
        <f>'R1'!P43</f>
        <v/>
      </c>
      <c r="Q21" s="53" t="str">
        <f>'R1'!Q43</f>
        <v/>
      </c>
      <c r="R21" s="53" t="str">
        <f>'R1'!R43</f>
        <v/>
      </c>
      <c r="S21" s="53" t="str">
        <f>'R1'!S43</f>
        <v/>
      </c>
      <c r="T21" s="53" t="str">
        <f>'R1'!T43</f>
        <v/>
      </c>
      <c r="U21" s="53" t="str">
        <f>'R1'!U43</f>
        <v/>
      </c>
      <c r="V21" s="53" t="str">
        <f>'R1'!V43</f>
        <v/>
      </c>
    </row>
    <row r="22" spans="1:22" x14ac:dyDescent="0.3">
      <c r="A22" s="39" t="s">
        <v>5</v>
      </c>
      <c r="B22" s="54">
        <f>'R2'!B28</f>
        <v>1.8855302363351752E-2</v>
      </c>
      <c r="C22" s="54">
        <f>'R2'!C28</f>
        <v>4.8612985187471399E-3</v>
      </c>
      <c r="D22" s="54">
        <f>'R2'!D28</f>
        <v>1.897346533532282E-2</v>
      </c>
      <c r="E22" s="54">
        <f>'R2'!E28</f>
        <v>0.1184417627330603</v>
      </c>
      <c r="F22" s="54">
        <f>'R2'!F28</f>
        <v>2.3822744464264778</v>
      </c>
      <c r="G22" s="54">
        <f>'R2'!G28</f>
        <v>3.1893376996192626</v>
      </c>
      <c r="H22" s="54">
        <f>'R2'!H28</f>
        <v>10.531505663975894</v>
      </c>
      <c r="I22" s="54">
        <f>'R2'!I28</f>
        <v>1.1703673114446684E-2</v>
      </c>
      <c r="J22" s="54">
        <f>'R2'!J28</f>
        <v>2.9337650384691247E-3</v>
      </c>
      <c r="K22" s="54">
        <f>'R2'!K28</f>
        <v>5.9751691592181425E-2</v>
      </c>
      <c r="L22" s="54">
        <f>'R2'!L28</f>
        <v>8.7957562260962303E-3</v>
      </c>
      <c r="M22" s="54">
        <f>'R2'!M28</f>
        <v>1.0966751586045567</v>
      </c>
      <c r="O22" s="54">
        <f>'R2'!O28</f>
        <v>0.17997974612808557</v>
      </c>
      <c r="P22" s="54">
        <f>'R2'!P28</f>
        <v>5.6042011244560728</v>
      </c>
      <c r="Q22" s="54">
        <f>'R2'!Q28</f>
        <v>6.9306275653904348E-2</v>
      </c>
      <c r="R22" s="54">
        <f>'R2'!R28</f>
        <v>2.3389806412741413E-2</v>
      </c>
      <c r="S22" s="54">
        <f>'R2'!S28</f>
        <v>1.8987312558600679E-2</v>
      </c>
      <c r="T22" s="54">
        <f>'R2'!T28</f>
        <v>2.5164632714711197</v>
      </c>
      <c r="U22" s="54">
        <f>'R2'!U28</f>
        <v>2.1141063509827989</v>
      </c>
      <c r="V22" s="54">
        <f>'R2'!V28</f>
        <v>5.9949245310945545E-2</v>
      </c>
    </row>
    <row r="23" spans="1:22" x14ac:dyDescent="0.3">
      <c r="A23" s="225" t="s">
        <v>34</v>
      </c>
      <c r="B23" s="54">
        <f>'R2'!B29</f>
        <v>3.0126942111529227E-2</v>
      </c>
      <c r="C23" s="54">
        <f>'R2'!C29</f>
        <v>4.8012938845430828E-3</v>
      </c>
      <c r="D23" s="54">
        <f>'R2'!D29</f>
        <v>8.9387518851455905E-2</v>
      </c>
      <c r="E23" s="54">
        <f>'R2'!E29</f>
        <v>6.1717997297637446E-2</v>
      </c>
      <c r="F23" s="54">
        <f>'R2'!F29</f>
        <v>0.81716711044452961</v>
      </c>
      <c r="G23" s="54">
        <f>'R2'!G29</f>
        <v>2.7958069992482493</v>
      </c>
      <c r="H23" s="54">
        <f>'R2'!H29</f>
        <v>5.4799536825767152</v>
      </c>
      <c r="I23" s="54">
        <f>'R2'!I29</f>
        <v>2.3078705463098842E-5</v>
      </c>
      <c r="J23" s="54">
        <f>'R2'!J29</f>
        <v>4.1698605030726981E-3</v>
      </c>
      <c r="K23" s="54">
        <f>'R2'!K29</f>
        <v>7.9713848669543397E-3</v>
      </c>
      <c r="L23" s="54">
        <f>'R2'!L29</f>
        <v>0.7167932046444202</v>
      </c>
      <c r="M23" s="54">
        <f>'R2'!M29</f>
        <v>4.6003245173704181E-2</v>
      </c>
      <c r="O23" s="54">
        <f>'R2'!O29</f>
        <v>1.0472802668759955</v>
      </c>
      <c r="P23" s="54">
        <f>'R2'!P29</f>
        <v>7.6722294552594672</v>
      </c>
      <c r="Q23" s="54">
        <f>'R2'!Q29</f>
        <v>1.4493427030826071E-4</v>
      </c>
      <c r="R23" s="54">
        <f>'R2'!R29</f>
        <v>1.1324268428115525</v>
      </c>
      <c r="S23" s="54">
        <f>'R2'!S29</f>
        <v>8.3701848973566882E-3</v>
      </c>
      <c r="T23" s="54">
        <f>'R2'!T29</f>
        <v>2.8910131213210617</v>
      </c>
      <c r="U23" s="54">
        <f>'R2'!U29</f>
        <v>9.5165503551197336E-2</v>
      </c>
      <c r="V23" s="54">
        <f>'R2'!V29</f>
        <v>2.5636776871075271</v>
      </c>
    </row>
    <row r="24" spans="1:22" x14ac:dyDescent="0.3">
      <c r="A24" s="226"/>
      <c r="B24" s="54">
        <f>'R2'!B30</f>
        <v>1.0514658208987831E-3</v>
      </c>
      <c r="C24" s="54">
        <f>'R2'!C30</f>
        <v>2.658297610061577E-2</v>
      </c>
      <c r="D24" s="54">
        <f>'R2'!D30</f>
        <v>2.6124171436009362E-2</v>
      </c>
      <c r="E24" s="54">
        <f>'R2'!E30</f>
        <v>0.16583711542029861</v>
      </c>
      <c r="F24" s="54">
        <f>'R2'!F30</f>
        <v>0.80423749649588316</v>
      </c>
      <c r="G24" s="54">
        <f>'R2'!G30</f>
        <v>1.2909840113805711</v>
      </c>
      <c r="H24" s="54">
        <f>'R2'!H30</f>
        <v>8.0523108092348057</v>
      </c>
      <c r="I24" s="54">
        <f>'R2'!I30</f>
        <v>1.3690288080710232E-2</v>
      </c>
      <c r="J24" s="54">
        <f>'R2'!J30</f>
        <v>3.3798302576598993E-2</v>
      </c>
      <c r="K24" s="54">
        <f>'R2'!K30</f>
        <v>0</v>
      </c>
      <c r="L24" s="54">
        <f>'R2'!L30</f>
        <v>0.7536277417117444</v>
      </c>
      <c r="M24" s="54">
        <f>'R2'!M30</f>
        <v>0.68269672519323799</v>
      </c>
      <c r="O24" s="54">
        <f>'R2'!O30</f>
        <v>0.22437855969799511</v>
      </c>
      <c r="P24" s="54">
        <f>'R2'!P30</f>
        <v>10.493469187928051</v>
      </c>
      <c r="Q24" s="54">
        <f>'R2'!Q30</f>
        <v>2.2746372104430219E-3</v>
      </c>
      <c r="R24" s="54">
        <f>'R2'!R30</f>
        <v>1.413339922560173E-3</v>
      </c>
      <c r="S24" s="54">
        <f>'R2'!S30</f>
        <v>0.469615653393539</v>
      </c>
      <c r="T24" s="54">
        <f>'R2'!T30</f>
        <v>1.5360078578376359</v>
      </c>
      <c r="U24" s="54">
        <f>'R2'!U30</f>
        <v>0.12916966818052716</v>
      </c>
      <c r="V24" s="54">
        <f>'R2'!V30</f>
        <v>0.46122792868003032</v>
      </c>
    </row>
    <row r="25" spans="1:22" x14ac:dyDescent="0.3">
      <c r="A25" s="226"/>
      <c r="B25" s="54">
        <f>'R2'!B31</f>
        <v>2.8128326218424867E-2</v>
      </c>
      <c r="C25" s="54">
        <f>'R2'!C31</f>
        <v>3.4156484085386287E-4</v>
      </c>
      <c r="D25" s="54">
        <f>'R2'!D31</f>
        <v>1.8781192024368649</v>
      </c>
      <c r="E25" s="54">
        <f>'R2'!E31</f>
        <v>2.8586207734812748E-2</v>
      </c>
      <c r="F25" s="54">
        <f>'R2'!F31</f>
        <v>1.9251886838029644</v>
      </c>
      <c r="G25" s="54">
        <f>'R2'!G31</f>
        <v>2.4757127396608167</v>
      </c>
      <c r="H25" s="54">
        <f>'R2'!H31</f>
        <v>3.5011143937577947</v>
      </c>
      <c r="I25" s="54">
        <f>'R2'!I31</f>
        <v>3.2799456204156072E-3</v>
      </c>
      <c r="J25" s="54">
        <f>'R2'!J31</f>
        <v>5.9393510083394128E-2</v>
      </c>
      <c r="K25" s="54">
        <f>'R2'!K31</f>
        <v>0.45568903936888661</v>
      </c>
      <c r="L25" s="54">
        <f>'R2'!L31</f>
        <v>3.9603058574677613E-4</v>
      </c>
      <c r="M25" s="54">
        <f>'R2'!M31</f>
        <v>2.0518243101236431</v>
      </c>
      <c r="O25" s="54">
        <f>'R2'!O31</f>
        <v>1.4150939041753685E-2</v>
      </c>
      <c r="P25" s="54">
        <f>'R2'!P31</f>
        <v>2.6940982211241544</v>
      </c>
      <c r="Q25" s="54">
        <f>'R2'!Q31</f>
        <v>6.6503597662465616E-3</v>
      </c>
      <c r="R25" s="54">
        <f>'R2'!R31</f>
        <v>1.7321953172383466E-2</v>
      </c>
      <c r="S25" s="54">
        <f>'R2'!S31</f>
        <v>2.0906713103073495</v>
      </c>
      <c r="T25" s="54">
        <f>'R2'!T31</f>
        <v>0.68923723032148021</v>
      </c>
      <c r="U25" s="54">
        <f>'R2'!U31</f>
        <v>0.76090584226658731</v>
      </c>
      <c r="V25" s="54">
        <f>'R2'!V31</f>
        <v>0.12245561118720245</v>
      </c>
    </row>
    <row r="26" spans="1:22" x14ac:dyDescent="0.3">
      <c r="A26" s="226"/>
      <c r="B26" s="54">
        <f>'R2'!B32</f>
        <v>5.8139874802638596E-3</v>
      </c>
      <c r="C26" s="54">
        <f>'R2'!C32</f>
        <v>1.8195251387107126E-3</v>
      </c>
      <c r="D26" s="54">
        <f>'R2'!D32</f>
        <v>3.6153253682053597E-2</v>
      </c>
      <c r="E26" s="54">
        <f>'R2'!E32</f>
        <v>2.8389466386480922</v>
      </c>
      <c r="F26" s="54">
        <f>'R2'!F32</f>
        <v>1.2003474729894523</v>
      </c>
      <c r="G26" s="54">
        <f>'R2'!G32</f>
        <v>2.6864453223925908</v>
      </c>
      <c r="H26" s="54">
        <f>'R2'!H32</f>
        <v>4.0264752754751214</v>
      </c>
      <c r="I26" s="54">
        <f>'R2'!I32</f>
        <v>1.1327951789507434E-2</v>
      </c>
      <c r="J26" s="54">
        <f>'R2'!J32</f>
        <v>8.4338821244348411E-3</v>
      </c>
      <c r="K26" s="54">
        <f>'R2'!K32</f>
        <v>0.72175051057789386</v>
      </c>
      <c r="L26" s="54" t="str">
        <f>'R2'!L32</f>
        <v/>
      </c>
      <c r="M26" s="54">
        <f>'R2'!M32</f>
        <v>1.4816528907309456E-3</v>
      </c>
      <c r="O26" s="54">
        <f>'R2'!O32</f>
        <v>0.61882409995356558</v>
      </c>
      <c r="P26" s="54">
        <f>'R2'!P32</f>
        <v>3.2375694245924835</v>
      </c>
      <c r="Q26" s="54">
        <f>'R2'!Q32</f>
        <v>1.6405266991389181E-2</v>
      </c>
      <c r="R26" s="54">
        <f>'R2'!R32</f>
        <v>0.2028922849118501</v>
      </c>
      <c r="S26" s="54">
        <f>'R2'!S32</f>
        <v>2.6380806640759022E-2</v>
      </c>
      <c r="T26" s="54">
        <f>'R2'!T32</f>
        <v>2.5604300516747598</v>
      </c>
      <c r="U26" s="54">
        <f>'R2'!U32</f>
        <v>1.2015540277110632</v>
      </c>
      <c r="V26" s="54">
        <f>'R2'!V32</f>
        <v>1.7436303542212028</v>
      </c>
    </row>
    <row r="27" spans="1:22" x14ac:dyDescent="0.3">
      <c r="A27" s="226"/>
      <c r="B27" s="54">
        <f>'R2'!B33</f>
        <v>1.9654748720593498E-2</v>
      </c>
      <c r="C27" s="54">
        <f>'R2'!C33</f>
        <v>2.5848150118670703E-5</v>
      </c>
      <c r="D27" s="54">
        <f>'R2'!D33</f>
        <v>9.5499683206303008E-3</v>
      </c>
      <c r="E27" s="54">
        <f>'R2'!E33</f>
        <v>1.5615975264551199E-2</v>
      </c>
      <c r="F27" s="54">
        <f>'R2'!F33</f>
        <v>0.9275894846032724</v>
      </c>
      <c r="G27" s="54">
        <f>'R2'!G33</f>
        <v>1.7571507830297046</v>
      </c>
      <c r="H27" s="54">
        <f>'R2'!H33</f>
        <v>5.5870453379630236</v>
      </c>
      <c r="I27" s="54">
        <f>'R2'!I33</f>
        <v>7.9417518091397202E-2</v>
      </c>
      <c r="J27" s="54">
        <f>'R2'!J33</f>
        <v>6.5672764265794058E-3</v>
      </c>
      <c r="K27" s="54">
        <f>'R2'!K33</f>
        <v>0.46039247954226614</v>
      </c>
      <c r="L27" s="54" t="str">
        <f>'R2'!L33</f>
        <v/>
      </c>
      <c r="M27" s="54">
        <f>'R2'!M33</f>
        <v>0</v>
      </c>
      <c r="O27" s="54">
        <f>'R2'!O33</f>
        <v>1.1034676831964561</v>
      </c>
      <c r="P27" s="54">
        <f>'R2'!P33</f>
        <v>4.3661956661883732</v>
      </c>
      <c r="Q27" s="54">
        <f>'R2'!Q33</f>
        <v>2.734918912199065E-2</v>
      </c>
      <c r="R27" s="54">
        <f>'R2'!R33</f>
        <v>0.13897811800234416</v>
      </c>
      <c r="S27" s="54">
        <f>'R2'!S33</f>
        <v>2.9998495268403804</v>
      </c>
      <c r="T27" s="54">
        <f>'R2'!T33</f>
        <v>1.4442690804735996</v>
      </c>
      <c r="U27" s="54">
        <f>'R2'!U33</f>
        <v>2.8513297488513727</v>
      </c>
      <c r="V27" s="54">
        <f>'R2'!V33</f>
        <v>0.82689155377846102</v>
      </c>
    </row>
    <row r="28" spans="1:22" x14ac:dyDescent="0.3">
      <c r="A28" s="226"/>
      <c r="B28" s="54">
        <f>'R2'!B34</f>
        <v>1.9063010712519642E-3</v>
      </c>
      <c r="C28" s="54">
        <f>'R2'!C34</f>
        <v>1.2000926840811397E-4</v>
      </c>
      <c r="D28" s="54">
        <f>'R2'!D34</f>
        <v>4.9849080652074974E-2</v>
      </c>
      <c r="E28" s="54">
        <f>'R2'!E34</f>
        <v>0.32245013384110588</v>
      </c>
      <c r="F28" s="54">
        <f>'R2'!F34</f>
        <v>0.1393723022916539</v>
      </c>
      <c r="G28" s="54">
        <f>'R2'!G34</f>
        <v>3.516378649551088</v>
      </c>
      <c r="H28" s="54" t="str">
        <f>'R2'!H34</f>
        <v/>
      </c>
      <c r="I28" s="54">
        <f>'R2'!I34</f>
        <v>4.1264725368020724E-3</v>
      </c>
      <c r="J28" s="54">
        <f>'R2'!J34</f>
        <v>2.946966057994017E-2</v>
      </c>
      <c r="K28" s="54">
        <f>'R2'!K34</f>
        <v>6.8866857101886937E-4</v>
      </c>
      <c r="L28" s="54" t="str">
        <f>'R2'!L34</f>
        <v/>
      </c>
      <c r="M28" s="54">
        <f>'R2'!M34</f>
        <v>1.5529956313549138</v>
      </c>
      <c r="O28" s="54">
        <f>'R2'!O34</f>
        <v>2.8324956788970471E-2</v>
      </c>
      <c r="P28" s="54">
        <f>'R2'!P34</f>
        <v>9.5476641426768651</v>
      </c>
      <c r="Q28" s="54">
        <f>'R2'!Q34</f>
        <v>1.0197095221815592E-2</v>
      </c>
      <c r="R28" s="54">
        <f>'R2'!R34</f>
        <v>1.5052854851251588E-2</v>
      </c>
      <c r="S28" s="54">
        <f>'R2'!S34</f>
        <v>9.6459757353567922E-3</v>
      </c>
      <c r="T28" s="54">
        <f>'R2'!T34</f>
        <v>2.0561769539739836</v>
      </c>
      <c r="U28" s="54">
        <f>'R2'!U34</f>
        <v>2.686361315904705E-4</v>
      </c>
      <c r="V28" s="54">
        <f>'R2'!V34</f>
        <v>0.74705584954407245</v>
      </c>
    </row>
    <row r="29" spans="1:22" x14ac:dyDescent="0.3">
      <c r="A29" s="226"/>
      <c r="B29" s="54" t="str">
        <f>'R2'!B35</f>
        <v/>
      </c>
      <c r="C29" s="54">
        <f>'R2'!C35</f>
        <v>0.53603709086455598</v>
      </c>
      <c r="D29" s="54">
        <f>'R2'!D35</f>
        <v>4.8329578684384547E-2</v>
      </c>
      <c r="E29" s="54" t="str">
        <f>'R2'!E35</f>
        <v/>
      </c>
      <c r="F29" s="54" t="str">
        <f>'R2'!F35</f>
        <v/>
      </c>
      <c r="G29" s="54" t="str">
        <f>'R2'!G35</f>
        <v/>
      </c>
      <c r="H29" s="54" t="str">
        <f>'R2'!H35</f>
        <v/>
      </c>
      <c r="I29" s="54">
        <f>'R2'!I35</f>
        <v>8.9970025377344529E-3</v>
      </c>
      <c r="J29" s="54">
        <f>'R2'!J35</f>
        <v>5.0547903853497604E-2</v>
      </c>
      <c r="K29" s="54">
        <f>'R2'!K35</f>
        <v>5.3874930033057933E-3</v>
      </c>
      <c r="L29" s="54" t="str">
        <f>'R2'!L35</f>
        <v/>
      </c>
      <c r="M29" s="54">
        <f>'R2'!M35</f>
        <v>0.36650461312550597</v>
      </c>
      <c r="O29" s="54">
        <f>'R2'!O35</f>
        <v>0.59297410353845781</v>
      </c>
      <c r="P29" s="54">
        <f>'R2'!P35</f>
        <v>9.4110326674460083</v>
      </c>
      <c r="Q29" s="54">
        <f>'R2'!Q35</f>
        <v>2.2315261886379532E-2</v>
      </c>
      <c r="R29" s="54">
        <f>'R2'!R35</f>
        <v>4.4956395093898018E-2</v>
      </c>
      <c r="S29" s="54">
        <f>'R2'!S35</f>
        <v>7.8864552308501364E-3</v>
      </c>
      <c r="T29" s="54">
        <f>'R2'!T35</f>
        <v>1.5951511947538102</v>
      </c>
      <c r="U29" s="54">
        <f>'R2'!U35</f>
        <v>1.7679590023721832</v>
      </c>
      <c r="V29" s="54" t="str">
        <f>'R2'!V35</f>
        <v/>
      </c>
    </row>
    <row r="30" spans="1:22" x14ac:dyDescent="0.3">
      <c r="A30" s="226"/>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4.9119978189084756</v>
      </c>
      <c r="P30" s="54" t="str">
        <f>'R2'!P36</f>
        <v/>
      </c>
      <c r="Q30" s="54" t="str">
        <f>'R2'!Q36</f>
        <v/>
      </c>
      <c r="R30" s="54" t="str">
        <f>'R2'!R36</f>
        <v/>
      </c>
      <c r="S30" s="54" t="str">
        <f>'R2'!S36</f>
        <v/>
      </c>
      <c r="T30" s="54" t="str">
        <f>'R2'!T36</f>
        <v/>
      </c>
      <c r="U30" s="54" t="str">
        <f>'R2'!U36</f>
        <v/>
      </c>
      <c r="V30" s="54" t="str">
        <f>'R2'!V36</f>
        <v/>
      </c>
    </row>
    <row r="31" spans="1:22" s="1" customFormat="1" x14ac:dyDescent="0.3">
      <c r="A31" s="226"/>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6.2063254731365399E-3</v>
      </c>
      <c r="P31" s="54" t="str">
        <f>'R2'!P37</f>
        <v/>
      </c>
      <c r="Q31" s="54" t="str">
        <f>'R2'!Q37</f>
        <v/>
      </c>
      <c r="R31" s="54" t="str">
        <f>'R2'!R37</f>
        <v/>
      </c>
      <c r="S31" s="54" t="str">
        <f>'R2'!S37</f>
        <v/>
      </c>
      <c r="T31" s="54" t="str">
        <f>'R2'!T37</f>
        <v/>
      </c>
      <c r="U31" s="54" t="str">
        <f>'R2'!U37</f>
        <v/>
      </c>
      <c r="V31" s="54" t="str">
        <f>'R2'!V37</f>
        <v/>
      </c>
    </row>
    <row r="32" spans="1:22" s="1" customFormat="1" x14ac:dyDescent="0.3">
      <c r="A32" s="226"/>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0.11546091713544646</v>
      </c>
      <c r="P32" s="54" t="str">
        <f>'R2'!P38</f>
        <v/>
      </c>
      <c r="Q32" s="54" t="str">
        <f>'R2'!Q38</f>
        <v/>
      </c>
      <c r="R32" s="54" t="str">
        <f>'R2'!R38</f>
        <v/>
      </c>
      <c r="S32" s="54" t="str">
        <f>'R2'!S38</f>
        <v/>
      </c>
      <c r="T32" s="54" t="str">
        <f>'R2'!T38</f>
        <v/>
      </c>
      <c r="U32" s="54" t="str">
        <f>'R2'!U38</f>
        <v/>
      </c>
      <c r="V32" s="54" t="str">
        <f>'R2'!V38</f>
        <v/>
      </c>
    </row>
    <row r="33" spans="1:22" s="1" customFormat="1" x14ac:dyDescent="0.3">
      <c r="A33" s="226"/>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0.98972105230280849</v>
      </c>
      <c r="P33" s="54" t="str">
        <f>'R2'!P39</f>
        <v/>
      </c>
      <c r="Q33" s="54" t="str">
        <f>'R2'!Q39</f>
        <v/>
      </c>
      <c r="R33" s="54" t="str">
        <f>'R2'!R39</f>
        <v/>
      </c>
      <c r="S33" s="54" t="str">
        <f>'R2'!S39</f>
        <v/>
      </c>
      <c r="T33" s="54" t="str">
        <f>'R2'!T39</f>
        <v/>
      </c>
      <c r="U33" s="54" t="str">
        <f>'R2'!U39</f>
        <v/>
      </c>
      <c r="V33" s="54" t="str">
        <f>'R2'!V39</f>
        <v/>
      </c>
    </row>
    <row r="34" spans="1:22" s="1" customFormat="1" x14ac:dyDescent="0.3">
      <c r="A34" s="226"/>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2.0656595324746618</v>
      </c>
      <c r="P34" s="54" t="str">
        <f>'R2'!P40</f>
        <v/>
      </c>
      <c r="Q34" s="54" t="str">
        <f>'R2'!Q40</f>
        <v/>
      </c>
      <c r="R34" s="54" t="str">
        <f>'R2'!R40</f>
        <v/>
      </c>
      <c r="S34" s="54" t="str">
        <f>'R2'!S40</f>
        <v/>
      </c>
      <c r="T34" s="54" t="str">
        <f>'R2'!T40</f>
        <v/>
      </c>
      <c r="U34" s="54" t="str">
        <f>'R2'!U40</f>
        <v/>
      </c>
      <c r="V34" s="54" t="str">
        <f>'R2'!V40</f>
        <v/>
      </c>
    </row>
    <row r="35" spans="1:22" s="1" customFormat="1" x14ac:dyDescent="0.3">
      <c r="A35" s="226"/>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0.64245669434777886</v>
      </c>
      <c r="P35" s="54" t="str">
        <f>'R2'!P41</f>
        <v/>
      </c>
      <c r="Q35" s="54" t="str">
        <f>'R2'!Q41</f>
        <v/>
      </c>
      <c r="R35" s="54" t="str">
        <f>'R2'!R41</f>
        <v/>
      </c>
      <c r="S35" s="54" t="str">
        <f>'R2'!S41</f>
        <v/>
      </c>
      <c r="T35" s="54" t="str">
        <f>'R2'!T41</f>
        <v/>
      </c>
      <c r="U35" s="54" t="str">
        <f>'R2'!U41</f>
        <v/>
      </c>
      <c r="V35" s="54" t="str">
        <f>'R2'!V41</f>
        <v/>
      </c>
    </row>
    <row r="36" spans="1:22" x14ac:dyDescent="0.3">
      <c r="A36" s="226"/>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2.4591173041364116</v>
      </c>
      <c r="P36" s="54" t="str">
        <f>'R2'!P42</f>
        <v/>
      </c>
      <c r="Q36" s="54" t="str">
        <f>'R2'!Q42</f>
        <v/>
      </c>
      <c r="R36" s="54" t="str">
        <f>'R2'!R42</f>
        <v/>
      </c>
      <c r="S36" s="54" t="str">
        <f>'R2'!S42</f>
        <v/>
      </c>
      <c r="T36" s="54" t="str">
        <f>'R2'!T42</f>
        <v/>
      </c>
      <c r="U36" s="54" t="str">
        <f>'R2'!U42</f>
        <v/>
      </c>
      <c r="V36" s="54" t="str">
        <f>'R2'!V42</f>
        <v/>
      </c>
    </row>
    <row r="37" spans="1:22" x14ac:dyDescent="0.3">
      <c r="A37" s="227"/>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t="str">
        <f>'R2'!O43</f>
        <v/>
      </c>
      <c r="P37" s="54" t="str">
        <f>'R2'!P43</f>
        <v/>
      </c>
      <c r="Q37" s="54" t="str">
        <f>'R2'!Q43</f>
        <v/>
      </c>
      <c r="R37" s="54" t="str">
        <f>'R2'!R43</f>
        <v/>
      </c>
      <c r="S37" s="54" t="str">
        <f>'R2'!S43</f>
        <v/>
      </c>
      <c r="T37" s="54" t="str">
        <f>'R2'!T43</f>
        <v/>
      </c>
      <c r="U37" s="54" t="str">
        <f>'R2'!U43</f>
        <v/>
      </c>
      <c r="V37" s="54" t="str">
        <f>'R2'!V43</f>
        <v/>
      </c>
    </row>
    <row r="38" spans="1:22" s="1" customFormat="1" x14ac:dyDescent="0.3">
      <c r="A38" s="154" t="s">
        <v>116</v>
      </c>
      <c r="B38" s="155">
        <f>'R3'!B28</f>
        <v>0.19770198353696811</v>
      </c>
      <c r="C38" s="155">
        <f>'R3'!C28</f>
        <v>3.4127769210063177E-2</v>
      </c>
      <c r="D38" s="155">
        <f>'R3'!D28</f>
        <v>1.0603170524409786</v>
      </c>
      <c r="E38" s="155">
        <f>'R3'!E28</f>
        <v>2.4976750822889811</v>
      </c>
      <c r="F38" s="155">
        <f>'R3'!F28</f>
        <v>0.3151985236475433</v>
      </c>
      <c r="G38" s="155">
        <f>'R3'!G28</f>
        <v>5.9921865877873657</v>
      </c>
      <c r="H38" s="155">
        <f>'R3'!H28</f>
        <v>11.410267135126789</v>
      </c>
      <c r="I38" s="155">
        <f>'R3'!I28</f>
        <v>0.1504368980409459</v>
      </c>
      <c r="J38" s="155">
        <f>'R3'!J28</f>
        <v>7.7391823865553933E-2</v>
      </c>
      <c r="K38" s="155">
        <f>'R3'!K28</f>
        <v>0.73302900655943348</v>
      </c>
      <c r="L38" s="155">
        <f>'R3'!L28</f>
        <v>6.3053998874252999</v>
      </c>
      <c r="M38" s="155">
        <f>'R3'!M28</f>
        <v>10.899050012802402</v>
      </c>
      <c r="N38"/>
      <c r="O38" s="155">
        <f>'R3'!O28</f>
        <v>1.710565010144272</v>
      </c>
      <c r="P38" s="155">
        <f>'R3'!P28</f>
        <v>7.5360805405247726</v>
      </c>
      <c r="Q38" s="155">
        <f>'R3'!Q28</f>
        <v>5.4175473424982627E-2</v>
      </c>
      <c r="R38" s="155">
        <f>'R3'!R28</f>
        <v>7.870954455779941E-2</v>
      </c>
      <c r="S38" s="155">
        <f>'R3'!S28</f>
        <v>1.2319385378369752</v>
      </c>
      <c r="T38" s="155">
        <f>'R3'!T28</f>
        <v>1.3129843440055469</v>
      </c>
      <c r="U38" s="155">
        <f>'R3'!U28</f>
        <v>0.27029895289572364</v>
      </c>
      <c r="V38" s="155">
        <f>'R3'!V28</f>
        <v>6.867352580620846</v>
      </c>
    </row>
    <row r="39" spans="1:22" s="1" customFormat="1" x14ac:dyDescent="0.3">
      <c r="A39" s="225" t="s">
        <v>34</v>
      </c>
      <c r="B39" s="155">
        <f>'R3'!B29</f>
        <v>0.23296397651139597</v>
      </c>
      <c r="C39" s="155">
        <f>'R3'!C29</f>
        <v>0.47157646715060103</v>
      </c>
      <c r="D39" s="155">
        <f>'R3'!D29</f>
        <v>0.46885858511735201</v>
      </c>
      <c r="E39" s="155">
        <f>'R3'!E29</f>
        <v>1.5558704515013382</v>
      </c>
      <c r="F39" s="155">
        <f>'R3'!F29</f>
        <v>7.5574712295017186</v>
      </c>
      <c r="G39" s="155">
        <f>'R3'!G29</f>
        <v>11.096640302557182</v>
      </c>
      <c r="H39" s="155">
        <f>'R3'!H29</f>
        <v>22.236901016122548</v>
      </c>
      <c r="I39" s="155">
        <f>'R3'!I29</f>
        <v>0.27867332718408089</v>
      </c>
      <c r="J39" s="155">
        <f>'R3'!J29</f>
        <v>2.4359576191905208</v>
      </c>
      <c r="K39" s="155">
        <f>'R3'!K29</f>
        <v>1.5333056481235321</v>
      </c>
      <c r="L39" s="155">
        <f>'R3'!L29</f>
        <v>6.8103329048137109</v>
      </c>
      <c r="M39" s="155">
        <f>'R3'!M29</f>
        <v>2.864643673980809</v>
      </c>
      <c r="N39"/>
      <c r="O39" s="155">
        <f>'R3'!O29</f>
        <v>0.45322278529887106</v>
      </c>
      <c r="P39" s="155">
        <f>'R3'!P29</f>
        <v>10.501230002844702</v>
      </c>
      <c r="Q39" s="155">
        <f>'R3'!Q29</f>
        <v>0.16823742973326711</v>
      </c>
      <c r="R39" s="155">
        <f>'R3'!R29</f>
        <v>2.2277072216761731</v>
      </c>
      <c r="S39" s="155">
        <f>'R3'!S29</f>
        <v>3.5418736582098793</v>
      </c>
      <c r="T39" s="155">
        <f>'R3'!T29</f>
        <v>3.4480641780505263</v>
      </c>
      <c r="U39" s="155">
        <f>'R3'!U29</f>
        <v>0.23811784674665681</v>
      </c>
      <c r="V39" s="155">
        <f>'R3'!V29</f>
        <v>7.9141945760535348</v>
      </c>
    </row>
    <row r="40" spans="1:22" s="1" customFormat="1" x14ac:dyDescent="0.3">
      <c r="A40" s="226"/>
      <c r="B40" s="155">
        <f>'R3'!B30</f>
        <v>3.4784635024361129E-3</v>
      </c>
      <c r="C40" s="155">
        <f>'R3'!C30</f>
        <v>0.63767442907980865</v>
      </c>
      <c r="D40" s="155">
        <f>'R3'!D30</f>
        <v>5.5723655621143333</v>
      </c>
      <c r="E40" s="155">
        <f>'R3'!E30</f>
        <v>0.11578257242913782</v>
      </c>
      <c r="F40" s="155">
        <f>'R3'!F30</f>
        <v>2.2471805007255523</v>
      </c>
      <c r="G40" s="155">
        <f>'R3'!G30</f>
        <v>5.7493882396918652</v>
      </c>
      <c r="H40" s="155">
        <f>'R3'!H30</f>
        <v>9.7830283458707665</v>
      </c>
      <c r="I40" s="155">
        <f>'R3'!I30</f>
        <v>0.27210865810475099</v>
      </c>
      <c r="J40" s="155">
        <f>'R3'!J30</f>
        <v>3.1548174716666363E-2</v>
      </c>
      <c r="K40" s="155">
        <f>'R3'!K30</f>
        <v>1.7420812723517416</v>
      </c>
      <c r="L40" s="155">
        <f>'R3'!L30</f>
        <v>0.14183381743667922</v>
      </c>
      <c r="M40" s="155">
        <f>'R3'!M30</f>
        <v>3.3258884662789905</v>
      </c>
      <c r="N40"/>
      <c r="O40" s="155">
        <f>'R3'!O30</f>
        <v>6.1843783447363765E-3</v>
      </c>
      <c r="P40" s="155">
        <f>'R3'!P30</f>
        <v>9.0129236520642291</v>
      </c>
      <c r="Q40" s="155">
        <f>'R3'!Q30</f>
        <v>6.5778329893735499E-2</v>
      </c>
      <c r="R40" s="155">
        <f>'R3'!R30</f>
        <v>1.2729288262122038</v>
      </c>
      <c r="S40" s="155">
        <f>'R3'!S30</f>
        <v>0.56500964563901024</v>
      </c>
      <c r="T40" s="155">
        <f>'R3'!T30</f>
        <v>4.8604081194398789E-2</v>
      </c>
      <c r="U40" s="155">
        <f>'R3'!U30</f>
        <v>11.156022833732752</v>
      </c>
      <c r="V40" s="155">
        <f>'R3'!V30</f>
        <v>6.8572004136326584E-3</v>
      </c>
    </row>
    <row r="41" spans="1:22" s="1" customFormat="1" x14ac:dyDescent="0.3">
      <c r="A41" s="226"/>
      <c r="B41" s="155">
        <f>'R3'!B31</f>
        <v>5.4631556368918248E-2</v>
      </c>
      <c r="C41" s="155">
        <f>'R3'!C31</f>
        <v>5.845307934521847E-2</v>
      </c>
      <c r="D41" s="155">
        <f>'R3'!D31</f>
        <v>1.7409683235935081</v>
      </c>
      <c r="E41" s="155">
        <f>'R3'!E31</f>
        <v>10.32397462988761</v>
      </c>
      <c r="F41" s="155">
        <f>'R3'!F31</f>
        <v>3.7970886317586476</v>
      </c>
      <c r="G41" s="155">
        <f>'R3'!G31</f>
        <v>10.916567320975602</v>
      </c>
      <c r="H41" s="155">
        <f>'R3'!H31</f>
        <v>16.490500585104222</v>
      </c>
      <c r="I41" s="155">
        <f>'R3'!I31</f>
        <v>9.4102011493655852E-2</v>
      </c>
      <c r="J41" s="155">
        <f>'R3'!J31</f>
        <v>0.40383285856550444</v>
      </c>
      <c r="K41" s="155">
        <f>'R3'!K31</f>
        <v>2.7804558153442493</v>
      </c>
      <c r="L41" s="155">
        <f>'R3'!L31</f>
        <v>3.8971529637205466</v>
      </c>
      <c r="M41" s="155">
        <f>'R3'!M31</f>
        <v>8.2416155907233986</v>
      </c>
      <c r="N41"/>
      <c r="O41" s="155">
        <f>'R3'!O31</f>
        <v>1.8975935890428399</v>
      </c>
      <c r="P41" s="155">
        <f>'R3'!P31</f>
        <v>6.6602044943616665</v>
      </c>
      <c r="Q41" s="155">
        <f>'R3'!Q31</f>
        <v>0.11406860474770045</v>
      </c>
      <c r="R41" s="155">
        <f>'R3'!R31</f>
        <v>4.0731025831763406</v>
      </c>
      <c r="S41" s="155">
        <f>'R3'!S31</f>
        <v>1.5257038224953106</v>
      </c>
      <c r="T41" s="155">
        <f>'R3'!T31</f>
        <v>1.0331674852419188E-2</v>
      </c>
      <c r="U41" s="155">
        <f>'R3'!U31</f>
        <v>2.3358746715982575</v>
      </c>
      <c r="V41" s="155">
        <f>'R3'!V31</f>
        <v>6.9574934519104668</v>
      </c>
    </row>
    <row r="42" spans="1:22" s="1" customFormat="1" x14ac:dyDescent="0.3">
      <c r="A42" s="226"/>
      <c r="B42" s="155">
        <f>'R3'!B32</f>
        <v>0.453688176057989</v>
      </c>
      <c r="C42" s="155">
        <f>'R3'!C32</f>
        <v>0.21611949040709141</v>
      </c>
      <c r="D42" s="155">
        <f>'R3'!D32</f>
        <v>3.7603373883550422</v>
      </c>
      <c r="E42" s="155">
        <f>'R3'!E32</f>
        <v>2.9493833530888942</v>
      </c>
      <c r="F42" s="155">
        <f>'R3'!F32</f>
        <v>12.115522950869945</v>
      </c>
      <c r="G42" s="155">
        <f>'R3'!G32</f>
        <v>9.6157057414011362</v>
      </c>
      <c r="H42" s="155">
        <f>'R3'!H32</f>
        <v>16.31148470538978</v>
      </c>
      <c r="I42" s="155">
        <f>'R3'!I32</f>
        <v>0.20586227807613111</v>
      </c>
      <c r="J42" s="155">
        <f>'R3'!J32</f>
        <v>0.36120838378183012</v>
      </c>
      <c r="K42" s="155">
        <f>'R3'!K32</f>
        <v>6.7112006840579316E-2</v>
      </c>
      <c r="L42" s="155">
        <f>'R3'!L32</f>
        <v>2.8210924067425482</v>
      </c>
      <c r="M42" s="155">
        <f>'R3'!M32</f>
        <v>14.125290339426932</v>
      </c>
      <c r="N42"/>
      <c r="O42" s="155">
        <f>'R3'!O32</f>
        <v>1.412640461787305</v>
      </c>
      <c r="P42" s="155">
        <f>'R3'!P32</f>
        <v>9.6380418384630335</v>
      </c>
      <c r="Q42" s="155">
        <f>'R3'!Q32</f>
        <v>0.12752903518927566</v>
      </c>
      <c r="R42" s="155">
        <f>'R3'!R32</f>
        <v>1.0908719503088991</v>
      </c>
      <c r="S42" s="155">
        <f>'R3'!S32</f>
        <v>3.6912547840715693</v>
      </c>
      <c r="T42" s="155">
        <f>'R3'!T32</f>
        <v>3.9034171233382744</v>
      </c>
      <c r="U42" s="155">
        <f>'R3'!U32</f>
        <v>0.51443629668960078</v>
      </c>
      <c r="V42" s="155">
        <f>'R3'!V32</f>
        <v>4.9622435956621924</v>
      </c>
    </row>
    <row r="43" spans="1:22" s="1" customFormat="1" x14ac:dyDescent="0.3">
      <c r="A43" s="226"/>
      <c r="B43" s="155">
        <f>'R3'!B33</f>
        <v>0.10942533465958619</v>
      </c>
      <c r="C43" s="155">
        <f>'R3'!C33</f>
        <v>1.3980724013390289</v>
      </c>
      <c r="D43" s="155">
        <f>'R3'!D33</f>
        <v>0.16402497851930778</v>
      </c>
      <c r="E43" s="155">
        <f>'R3'!E33</f>
        <v>6.6243414824640343</v>
      </c>
      <c r="F43" s="155">
        <f>'R3'!F33</f>
        <v>4.3078855727119461</v>
      </c>
      <c r="G43" s="155">
        <f>'R3'!G33</f>
        <v>4.7865918262922342</v>
      </c>
      <c r="H43" s="155">
        <f>'R3'!H33</f>
        <v>24.784386206515986</v>
      </c>
      <c r="I43" s="155">
        <f>'R3'!I33</f>
        <v>0.31374251541544562</v>
      </c>
      <c r="J43" s="155">
        <f>'R3'!J33</f>
        <v>8.6441679598573878E-2</v>
      </c>
      <c r="K43" s="155">
        <f>'R3'!K33</f>
        <v>0.16689976372277371</v>
      </c>
      <c r="L43" s="155">
        <f>'R3'!L33</f>
        <v>1.009885980095071</v>
      </c>
      <c r="M43" s="155">
        <f>'R3'!M33</f>
        <v>10.902177438703674</v>
      </c>
      <c r="N43"/>
      <c r="O43" s="155">
        <f>'R3'!O33</f>
        <v>7.5348093589084397E-2</v>
      </c>
      <c r="P43" s="155">
        <f>'R3'!P33</f>
        <v>0.9462883383297741</v>
      </c>
      <c r="Q43" s="155">
        <f>'R3'!Q33</f>
        <v>0.37985326727997965</v>
      </c>
      <c r="R43" s="155">
        <f>'R3'!R33</f>
        <v>0.33308947411592171</v>
      </c>
      <c r="S43" s="155">
        <f>'R3'!S33</f>
        <v>8.8472112996211466E-2</v>
      </c>
      <c r="T43" s="155">
        <f>'R3'!T33</f>
        <v>1.5762811605083695</v>
      </c>
      <c r="U43" s="155">
        <f>'R3'!U33</f>
        <v>3.7554015869326252</v>
      </c>
      <c r="V43" s="155">
        <f>'R3'!V33</f>
        <v>9.0792950227538682</v>
      </c>
    </row>
    <row r="44" spans="1:22" s="1" customFormat="1" x14ac:dyDescent="0.3">
      <c r="A44" s="226"/>
      <c r="B44" s="155">
        <f>'R3'!B34</f>
        <v>0.2876021813197302</v>
      </c>
      <c r="C44" s="155">
        <f>'R3'!C34</f>
        <v>0.18902709978700893</v>
      </c>
      <c r="D44" s="155">
        <f>'R3'!D34</f>
        <v>4.8485738972794505E-2</v>
      </c>
      <c r="E44" s="155">
        <f>'R3'!E34</f>
        <v>13.413396721770871</v>
      </c>
      <c r="F44" s="155">
        <f>'R3'!F34</f>
        <v>6.2677497750126552</v>
      </c>
      <c r="G44" s="155">
        <f>'R3'!G34</f>
        <v>10.353588108734229</v>
      </c>
      <c r="H44" s="155">
        <f>'R3'!H34</f>
        <v>12.012865727535816</v>
      </c>
      <c r="I44" s="155">
        <f>'R3'!I34</f>
        <v>0.22866110652137941</v>
      </c>
      <c r="J44" s="155">
        <f>'R3'!J34</f>
        <v>0.11267642153399608</v>
      </c>
      <c r="K44" s="155">
        <f>'R3'!K34</f>
        <v>2.3478431922348886</v>
      </c>
      <c r="L44" s="155">
        <f>'R3'!L34</f>
        <v>1.2378104395291609</v>
      </c>
      <c r="M44" s="155">
        <f>'R3'!M34</f>
        <v>4.2916593914733268</v>
      </c>
      <c r="N44"/>
      <c r="O44" s="155">
        <f>'R3'!O34</f>
        <v>3.7789729640380097E-2</v>
      </c>
      <c r="P44" s="155" t="str">
        <f>'R3'!P34</f>
        <v/>
      </c>
      <c r="Q44" s="155">
        <f>'R3'!Q34</f>
        <v>7.1449448715558903E-2</v>
      </c>
      <c r="R44" s="155">
        <f>'R3'!R34</f>
        <v>7.7430384814166558E-2</v>
      </c>
      <c r="S44" s="155">
        <f>'R3'!S34</f>
        <v>0.2176685767910127</v>
      </c>
      <c r="T44" s="155">
        <f>'R3'!T34</f>
        <v>6.5570566161986399</v>
      </c>
      <c r="U44" s="155">
        <f>'R3'!U34</f>
        <v>4.3398592475512343</v>
      </c>
      <c r="V44" s="155">
        <f>'R3'!V34</f>
        <v>2.8496700587281585</v>
      </c>
    </row>
    <row r="45" spans="1:22" s="1" customFormat="1" x14ac:dyDescent="0.3">
      <c r="A45" s="226"/>
      <c r="B45" s="155">
        <f>'R3'!B35</f>
        <v>6.8195702465382618E-2</v>
      </c>
      <c r="C45" s="155" t="str">
        <f>'R3'!C35</f>
        <v/>
      </c>
      <c r="D45" s="155">
        <f>'R3'!D35</f>
        <v>0.15087835441816638</v>
      </c>
      <c r="E45" s="155">
        <f>'R3'!E35</f>
        <v>5.7960868781496462</v>
      </c>
      <c r="F45" s="155">
        <f>'R3'!F35</f>
        <v>2.8217093819203503</v>
      </c>
      <c r="G45" s="155">
        <f>'R3'!G35</f>
        <v>7.2558355222627569</v>
      </c>
      <c r="H45" s="155">
        <f>'R3'!H35</f>
        <v>16.785623481091299</v>
      </c>
      <c r="I45" s="155">
        <f>'R3'!I35</f>
        <v>0.60671530609539726</v>
      </c>
      <c r="J45" s="155">
        <f>'R3'!J35</f>
        <v>0.32224055067693996</v>
      </c>
      <c r="K45" s="155">
        <f>'R3'!K35</f>
        <v>4.6129186324924696</v>
      </c>
      <c r="L45" s="155">
        <f>'R3'!L35</f>
        <v>6.6497305429057452</v>
      </c>
      <c r="M45" s="155">
        <f>'R3'!M35</f>
        <v>0.78034063113136742</v>
      </c>
      <c r="N45"/>
      <c r="O45" s="155">
        <f>'R3'!O35</f>
        <v>1.093343840083757</v>
      </c>
      <c r="P45" s="155" t="str">
        <f>'R3'!P35</f>
        <v/>
      </c>
      <c r="Q45" s="155" t="str">
        <f>'R3'!Q35</f>
        <v/>
      </c>
      <c r="R45" s="155" t="str">
        <f>'R3'!R35</f>
        <v/>
      </c>
      <c r="S45" s="155">
        <f>'R3'!S35</f>
        <v>0.26515173109987877</v>
      </c>
      <c r="T45" s="155" t="str">
        <f>'R3'!T35</f>
        <v/>
      </c>
      <c r="U45" s="155">
        <f>'R3'!U35</f>
        <v>11.554887978366644</v>
      </c>
      <c r="V45" s="155">
        <f>'R3'!V35</f>
        <v>6.6459688558841892</v>
      </c>
    </row>
    <row r="46" spans="1:22" s="1" customFormat="1" x14ac:dyDescent="0.3">
      <c r="A46" s="226"/>
      <c r="B46" s="155" t="str">
        <f>'R3'!B36</f>
        <v/>
      </c>
      <c r="C46" s="155" t="str">
        <f>'R3'!C36</f>
        <v/>
      </c>
      <c r="D46" s="155" t="str">
        <f>'R3'!D36</f>
        <v/>
      </c>
      <c r="E46" s="155" t="str">
        <f>'R3'!E36</f>
        <v/>
      </c>
      <c r="F46" s="155" t="str">
        <f>'R3'!F36</f>
        <v/>
      </c>
      <c r="G46" s="155" t="str">
        <f>'R3'!G36</f>
        <v/>
      </c>
      <c r="H46" s="155" t="str">
        <f>'R3'!H36</f>
        <v/>
      </c>
      <c r="I46" s="155" t="str">
        <f>'R3'!I36</f>
        <v/>
      </c>
      <c r="J46" s="155" t="str">
        <f>'R3'!J36</f>
        <v/>
      </c>
      <c r="K46" s="155" t="str">
        <f>'R3'!K36</f>
        <v/>
      </c>
      <c r="L46" s="155" t="str">
        <f>'R3'!L36</f>
        <v/>
      </c>
      <c r="M46" s="155" t="str">
        <f>'R3'!M36</f>
        <v/>
      </c>
      <c r="N46"/>
      <c r="O46" s="155">
        <f>'R3'!O36</f>
        <v>0.53789066126126384</v>
      </c>
      <c r="P46" s="155" t="str">
        <f>'R3'!P36</f>
        <v/>
      </c>
      <c r="Q46" s="155" t="str">
        <f>'R3'!Q36</f>
        <v/>
      </c>
      <c r="R46" s="155" t="str">
        <f>'R3'!R36</f>
        <v/>
      </c>
      <c r="S46" s="155" t="str">
        <f>'R3'!S36</f>
        <v/>
      </c>
      <c r="T46" s="155" t="str">
        <f>'R3'!T36</f>
        <v/>
      </c>
      <c r="U46" s="155" t="str">
        <f>'R3'!U36</f>
        <v/>
      </c>
      <c r="V46" s="155" t="str">
        <f>'R3'!V36</f>
        <v/>
      </c>
    </row>
    <row r="47" spans="1:22" s="1" customFormat="1" x14ac:dyDescent="0.3">
      <c r="A47" s="226"/>
      <c r="B47" s="155" t="str">
        <f>'R3'!B37</f>
        <v/>
      </c>
      <c r="C47" s="155" t="str">
        <f>'R3'!C37</f>
        <v/>
      </c>
      <c r="D47" s="155" t="str">
        <f>'R3'!D37</f>
        <v/>
      </c>
      <c r="E47" s="155" t="str">
        <f>'R3'!E37</f>
        <v/>
      </c>
      <c r="F47" s="155" t="str">
        <f>'R3'!F37</f>
        <v/>
      </c>
      <c r="G47" s="155" t="str">
        <f>'R3'!G37</f>
        <v/>
      </c>
      <c r="H47" s="155" t="str">
        <f>'R3'!H37</f>
        <v/>
      </c>
      <c r="I47" s="155" t="str">
        <f>'R3'!I37</f>
        <v/>
      </c>
      <c r="J47" s="155" t="str">
        <f>'R3'!J37</f>
        <v/>
      </c>
      <c r="K47" s="155" t="str">
        <f>'R3'!K37</f>
        <v/>
      </c>
      <c r="L47" s="155" t="str">
        <f>'R3'!L37</f>
        <v/>
      </c>
      <c r="M47" s="155" t="str">
        <f>'R3'!M37</f>
        <v/>
      </c>
      <c r="N47"/>
      <c r="O47" s="155">
        <f>'R3'!O37</f>
        <v>8.3759699138171106E-2</v>
      </c>
      <c r="P47" s="155" t="str">
        <f>'R3'!P37</f>
        <v/>
      </c>
      <c r="Q47" s="155" t="str">
        <f>'R3'!Q37</f>
        <v/>
      </c>
      <c r="R47" s="155" t="str">
        <f>'R3'!R37</f>
        <v/>
      </c>
      <c r="S47" s="155" t="str">
        <f>'R3'!S37</f>
        <v/>
      </c>
      <c r="T47" s="155" t="str">
        <f>'R3'!T37</f>
        <v/>
      </c>
      <c r="U47" s="155" t="str">
        <f>'R3'!U37</f>
        <v/>
      </c>
      <c r="V47" s="155" t="str">
        <f>'R3'!V37</f>
        <v/>
      </c>
    </row>
    <row r="48" spans="1:22" s="1" customFormat="1" x14ac:dyDescent="0.3">
      <c r="A48" s="226"/>
      <c r="B48" s="155" t="str">
        <f>'R3'!B38</f>
        <v/>
      </c>
      <c r="C48" s="155" t="str">
        <f>'R3'!C38</f>
        <v/>
      </c>
      <c r="D48" s="155" t="str">
        <f>'R3'!D38</f>
        <v/>
      </c>
      <c r="E48" s="155" t="str">
        <f>'R3'!E38</f>
        <v/>
      </c>
      <c r="F48" s="155" t="str">
        <f>'R3'!F38</f>
        <v/>
      </c>
      <c r="G48" s="155" t="str">
        <f>'R3'!G38</f>
        <v/>
      </c>
      <c r="H48" s="155" t="str">
        <f>'R3'!H38</f>
        <v/>
      </c>
      <c r="I48" s="155" t="str">
        <f>'R3'!I38</f>
        <v/>
      </c>
      <c r="J48" s="155" t="str">
        <f>'R3'!J38</f>
        <v/>
      </c>
      <c r="K48" s="155" t="str">
        <f>'R3'!K38</f>
        <v/>
      </c>
      <c r="L48" s="155" t="str">
        <f>'R3'!L38</f>
        <v/>
      </c>
      <c r="M48" s="155" t="str">
        <f>'R3'!M38</f>
        <v/>
      </c>
      <c r="N48"/>
      <c r="O48" s="155">
        <f>'R3'!O38</f>
        <v>0.27049441701455318</v>
      </c>
      <c r="P48" s="155" t="str">
        <f>'R3'!P38</f>
        <v/>
      </c>
      <c r="Q48" s="155" t="str">
        <f>'R3'!Q38</f>
        <v/>
      </c>
      <c r="R48" s="155" t="str">
        <f>'R3'!R38</f>
        <v/>
      </c>
      <c r="S48" s="155" t="str">
        <f>'R3'!S38</f>
        <v/>
      </c>
      <c r="T48" s="155" t="str">
        <f>'R3'!T38</f>
        <v/>
      </c>
      <c r="U48" s="155" t="str">
        <f>'R3'!U38</f>
        <v/>
      </c>
      <c r="V48" s="155" t="str">
        <f>'R3'!V38</f>
        <v/>
      </c>
    </row>
    <row r="49" spans="1:24" s="1" customFormat="1" x14ac:dyDescent="0.3">
      <c r="A49" s="226"/>
      <c r="B49" s="155" t="str">
        <f>'R3'!B39</f>
        <v/>
      </c>
      <c r="C49" s="155" t="str">
        <f>'R3'!C39</f>
        <v/>
      </c>
      <c r="D49" s="155" t="str">
        <f>'R3'!D39</f>
        <v/>
      </c>
      <c r="E49" s="155" t="str">
        <f>'R3'!E39</f>
        <v/>
      </c>
      <c r="F49" s="155" t="str">
        <f>'R3'!F39</f>
        <v/>
      </c>
      <c r="G49" s="155" t="str">
        <f>'R3'!G39</f>
        <v/>
      </c>
      <c r="H49" s="155" t="str">
        <f>'R3'!H39</f>
        <v/>
      </c>
      <c r="I49" s="155" t="str">
        <f>'R3'!I39</f>
        <v/>
      </c>
      <c r="J49" s="155" t="str">
        <f>'R3'!J39</f>
        <v/>
      </c>
      <c r="K49" s="155" t="str">
        <f>'R3'!K39</f>
        <v/>
      </c>
      <c r="L49" s="155" t="str">
        <f>'R3'!L39</f>
        <v/>
      </c>
      <c r="M49" s="155" t="str">
        <f>'R3'!M39</f>
        <v/>
      </c>
      <c r="N49"/>
      <c r="O49" s="155">
        <f>'R3'!O39</f>
        <v>4.5569813226222546</v>
      </c>
      <c r="P49" s="155" t="str">
        <f>'R3'!P39</f>
        <v/>
      </c>
      <c r="Q49" s="155" t="str">
        <f>'R3'!Q39</f>
        <v/>
      </c>
      <c r="R49" s="155" t="str">
        <f>'R3'!R39</f>
        <v/>
      </c>
      <c r="S49" s="155" t="str">
        <f>'R3'!S39</f>
        <v/>
      </c>
      <c r="T49" s="155" t="str">
        <f>'R3'!T39</f>
        <v/>
      </c>
      <c r="U49" s="155" t="str">
        <f>'R3'!U39</f>
        <v/>
      </c>
      <c r="V49" s="155" t="str">
        <f>'R3'!V39</f>
        <v/>
      </c>
    </row>
    <row r="50" spans="1:24" s="1" customFormat="1" x14ac:dyDescent="0.3">
      <c r="A50" s="226"/>
      <c r="B50" s="155" t="str">
        <f>'R3'!B40</f>
        <v/>
      </c>
      <c r="C50" s="155" t="str">
        <f>'R3'!C40</f>
        <v/>
      </c>
      <c r="D50" s="155" t="str">
        <f>'R3'!D40</f>
        <v/>
      </c>
      <c r="E50" s="155" t="str">
        <f>'R3'!E40</f>
        <v/>
      </c>
      <c r="F50" s="155" t="str">
        <f>'R3'!F40</f>
        <v/>
      </c>
      <c r="G50" s="155" t="str">
        <f>'R3'!G40</f>
        <v/>
      </c>
      <c r="H50" s="155" t="str">
        <f>'R3'!H40</f>
        <v/>
      </c>
      <c r="I50" s="155" t="str">
        <f>'R3'!I40</f>
        <v/>
      </c>
      <c r="J50" s="155" t="str">
        <f>'R3'!J40</f>
        <v/>
      </c>
      <c r="K50" s="155" t="str">
        <f>'R3'!K40</f>
        <v/>
      </c>
      <c r="L50" s="155" t="str">
        <f>'R3'!L40</f>
        <v/>
      </c>
      <c r="M50" s="155" t="str">
        <f>'R3'!M40</f>
        <v/>
      </c>
      <c r="N50"/>
      <c r="O50" s="155">
        <f>'R3'!O40</f>
        <v>0.33700274555616233</v>
      </c>
      <c r="P50" s="155" t="str">
        <f>'R3'!P40</f>
        <v/>
      </c>
      <c r="Q50" s="155" t="str">
        <f>'R3'!Q40</f>
        <v/>
      </c>
      <c r="R50" s="155" t="str">
        <f>'R3'!R40</f>
        <v/>
      </c>
      <c r="S50" s="155" t="str">
        <f>'R3'!S40</f>
        <v/>
      </c>
      <c r="T50" s="155" t="str">
        <f>'R3'!T40</f>
        <v/>
      </c>
      <c r="U50" s="155" t="str">
        <f>'R3'!U40</f>
        <v/>
      </c>
      <c r="V50" s="155" t="str">
        <f>'R3'!V40</f>
        <v/>
      </c>
    </row>
    <row r="51" spans="1:24" s="1" customFormat="1" x14ac:dyDescent="0.3">
      <c r="A51" s="226"/>
      <c r="B51" s="155" t="str">
        <f>'R3'!B41</f>
        <v/>
      </c>
      <c r="C51" s="155" t="str">
        <f>'R3'!C41</f>
        <v/>
      </c>
      <c r="D51" s="155" t="str">
        <f>'R3'!D41</f>
        <v/>
      </c>
      <c r="E51" s="155" t="str">
        <f>'R3'!E41</f>
        <v/>
      </c>
      <c r="F51" s="155" t="str">
        <f>'R3'!F41</f>
        <v/>
      </c>
      <c r="G51" s="155" t="str">
        <f>'R3'!G41</f>
        <v/>
      </c>
      <c r="H51" s="155" t="str">
        <f>'R3'!H41</f>
        <v/>
      </c>
      <c r="I51" s="155" t="str">
        <f>'R3'!I41</f>
        <v/>
      </c>
      <c r="J51" s="155" t="str">
        <f>'R3'!J41</f>
        <v/>
      </c>
      <c r="K51" s="155" t="str">
        <f>'R3'!K41</f>
        <v/>
      </c>
      <c r="L51" s="155" t="str">
        <f>'R3'!L41</f>
        <v/>
      </c>
      <c r="M51" s="155" t="str">
        <f>'R3'!M41</f>
        <v/>
      </c>
      <c r="N51"/>
      <c r="O51" s="155">
        <f>'R3'!O41</f>
        <v>0.14234042852017623</v>
      </c>
      <c r="P51" s="155" t="str">
        <f>'R3'!P41</f>
        <v/>
      </c>
      <c r="Q51" s="155" t="str">
        <f>'R3'!Q41</f>
        <v/>
      </c>
      <c r="R51" s="155" t="str">
        <f>'R3'!R41</f>
        <v/>
      </c>
      <c r="S51" s="155" t="str">
        <f>'R3'!S41</f>
        <v/>
      </c>
      <c r="T51" s="155" t="str">
        <f>'R3'!T41</f>
        <v/>
      </c>
      <c r="U51" s="155" t="str">
        <f>'R3'!U41</f>
        <v/>
      </c>
      <c r="V51" s="155" t="str">
        <f>'R3'!V41</f>
        <v/>
      </c>
    </row>
    <row r="52" spans="1:24" s="1" customFormat="1" x14ac:dyDescent="0.3">
      <c r="A52" s="226"/>
      <c r="B52" s="155" t="str">
        <f>'R3'!B42</f>
        <v/>
      </c>
      <c r="C52" s="155" t="str">
        <f>'R3'!C42</f>
        <v/>
      </c>
      <c r="D52" s="155" t="str">
        <f>'R3'!D42</f>
        <v/>
      </c>
      <c r="E52" s="155" t="str">
        <f>'R3'!E42</f>
        <v/>
      </c>
      <c r="F52" s="155" t="str">
        <f>'R3'!F42</f>
        <v/>
      </c>
      <c r="G52" s="155" t="str">
        <f>'R3'!G42</f>
        <v/>
      </c>
      <c r="H52" s="155" t="str">
        <f>'R3'!H42</f>
        <v/>
      </c>
      <c r="I52" s="155" t="str">
        <f>'R3'!I42</f>
        <v/>
      </c>
      <c r="J52" s="155" t="str">
        <f>'R3'!J42</f>
        <v/>
      </c>
      <c r="K52" s="155" t="str">
        <f>'R3'!K42</f>
        <v/>
      </c>
      <c r="L52" s="155" t="str">
        <f>'R3'!L42</f>
        <v/>
      </c>
      <c r="M52" s="155" t="str">
        <f>'R3'!M42</f>
        <v/>
      </c>
      <c r="N52"/>
      <c r="O52" s="155">
        <f>'R3'!O42</f>
        <v>1.4605118849580636</v>
      </c>
      <c r="P52" s="155" t="str">
        <f>'R3'!P42</f>
        <v/>
      </c>
      <c r="Q52" s="155" t="str">
        <f>'R3'!Q42</f>
        <v/>
      </c>
      <c r="R52" s="155" t="str">
        <f>'R3'!R42</f>
        <v/>
      </c>
      <c r="S52" s="155" t="str">
        <f>'R3'!S42</f>
        <v/>
      </c>
      <c r="T52" s="155" t="str">
        <f>'R3'!T42</f>
        <v/>
      </c>
      <c r="U52" s="155" t="str">
        <f>'R3'!U42</f>
        <v/>
      </c>
      <c r="V52" s="155" t="str">
        <f>'R3'!V42</f>
        <v/>
      </c>
    </row>
    <row r="53" spans="1:24" s="1" customFormat="1" x14ac:dyDescent="0.3">
      <c r="A53" s="227"/>
      <c r="B53" s="155" t="str">
        <f>'R3'!B43</f>
        <v/>
      </c>
      <c r="C53" s="155" t="str">
        <f>'R3'!C43</f>
        <v/>
      </c>
      <c r="D53" s="155" t="str">
        <f>'R3'!D43</f>
        <v/>
      </c>
      <c r="E53" s="155" t="str">
        <f>'R3'!E43</f>
        <v/>
      </c>
      <c r="F53" s="155" t="str">
        <f>'R3'!F43</f>
        <v/>
      </c>
      <c r="G53" s="155" t="str">
        <f>'R3'!G43</f>
        <v/>
      </c>
      <c r="H53" s="155" t="str">
        <f>'R3'!H43</f>
        <v/>
      </c>
      <c r="I53" s="155" t="str">
        <f>'R3'!I43</f>
        <v/>
      </c>
      <c r="J53" s="155" t="str">
        <f>'R3'!J43</f>
        <v/>
      </c>
      <c r="K53" s="155" t="str">
        <f>'R3'!K43</f>
        <v/>
      </c>
      <c r="L53" s="155" t="str">
        <f>'R3'!L43</f>
        <v/>
      </c>
      <c r="M53" s="155" t="str">
        <f>'R3'!M43</f>
        <v/>
      </c>
      <c r="N53"/>
      <c r="O53" s="155">
        <f>'R3'!O43</f>
        <v>1.9243309529981096</v>
      </c>
      <c r="P53" s="155" t="str">
        <f>'R3'!P43</f>
        <v/>
      </c>
      <c r="Q53" s="155" t="str">
        <f>'R3'!Q43</f>
        <v/>
      </c>
      <c r="R53" s="155" t="str">
        <f>'R3'!R43</f>
        <v/>
      </c>
      <c r="S53" s="155" t="str">
        <f>'R3'!S43</f>
        <v/>
      </c>
      <c r="T53" s="155" t="str">
        <f>'R3'!T43</f>
        <v/>
      </c>
      <c r="U53" s="155" t="str">
        <f>'R3'!U43</f>
        <v/>
      </c>
      <c r="V53" s="155" t="str">
        <f>'R3'!V43</f>
        <v/>
      </c>
    </row>
    <row r="54" spans="1:24" s="60" customFormat="1" x14ac:dyDescent="0.3">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Testosterone-3.7µg/L</v>
      </c>
      <c r="J55" s="15" t="str">
        <f t="shared" si="0"/>
        <v>Testosterone-11µg/L</v>
      </c>
      <c r="K55" s="15" t="str">
        <f t="shared" si="0"/>
        <v>Testosterone-33µg/L</v>
      </c>
      <c r="L55" s="15" t="str">
        <f t="shared" si="0"/>
        <v>Testosterone-100µg/L</v>
      </c>
      <c r="M55" s="15" t="str">
        <f t="shared" si="0"/>
        <v>Testosterone-300µg/L</v>
      </c>
      <c r="O55" s="15" t="str">
        <f t="shared" ref="O55:V55" si="1">O4</f>
        <v>Testo -30µg/L</v>
      </c>
      <c r="P55" s="15" t="str">
        <f t="shared" si="1"/>
        <v>Testo 30µg/L + EE2 -64ng/L</v>
      </c>
      <c r="Q55" s="15" t="str">
        <f t="shared" si="1"/>
        <v>Testo 30µg/L + FAD-10µg/L</v>
      </c>
      <c r="R55" s="15" t="str">
        <f t="shared" si="1"/>
        <v>Testosterone-3.7µg/L + Testostérone</v>
      </c>
      <c r="S55" s="15" t="str">
        <f t="shared" si="1"/>
        <v>Testosterone-11µg/L + Testostérone</v>
      </c>
      <c r="T55" s="15" t="str">
        <f t="shared" si="1"/>
        <v>Testosterone-33µg/L + Testostérone</v>
      </c>
      <c r="U55" s="15" t="str">
        <f t="shared" si="1"/>
        <v>Testosterone-100µg/L + Testostérone</v>
      </c>
      <c r="V55" s="15" t="str">
        <f t="shared" si="1"/>
        <v>Testosterone-300µg/L + Testostérone</v>
      </c>
    </row>
    <row r="56" spans="1:24" x14ac:dyDescent="0.3">
      <c r="A56" t="s">
        <v>48</v>
      </c>
      <c r="B56" s="9">
        <f t="shared" ref="B56:V56" si="2">AVERAGE(B6:B53)</f>
        <v>0.10505820023547088</v>
      </c>
      <c r="C56" s="9">
        <f t="shared" si="2"/>
        <v>0.24197427284546624</v>
      </c>
      <c r="D56" s="9">
        <f t="shared" si="2"/>
        <v>1.4104077005868199</v>
      </c>
      <c r="E56" s="9">
        <f t="shared" si="2"/>
        <v>2.8975608129786439</v>
      </c>
      <c r="F56" s="9">
        <f t="shared" si="2"/>
        <v>5.0085412499633533</v>
      </c>
      <c r="G56" s="9">
        <f t="shared" si="2"/>
        <v>6.9467048301147445</v>
      </c>
      <c r="H56" s="9">
        <f t="shared" si="2"/>
        <v>13.775074277100087</v>
      </c>
      <c r="I56" s="9">
        <f t="shared" si="2"/>
        <v>0.305511040233093</v>
      </c>
      <c r="J56" s="9">
        <f t="shared" si="2"/>
        <v>0.28144382227989267</v>
      </c>
      <c r="K56" s="9">
        <f t="shared" si="2"/>
        <v>1.6672795982376531</v>
      </c>
      <c r="L56" s="9">
        <f t="shared" si="2"/>
        <v>4.6323680781874979</v>
      </c>
      <c r="M56" s="9">
        <f t="shared" si="2"/>
        <v>5.4617793177535008</v>
      </c>
      <c r="N56" s="9"/>
      <c r="O56" s="9">
        <f t="shared" si="2"/>
        <v>1.0000000000000002</v>
      </c>
      <c r="P56" s="9">
        <f t="shared" si="2"/>
        <v>8.1190078236959913</v>
      </c>
      <c r="Q56" s="9">
        <f t="shared" si="2"/>
        <v>8.4500661243615105E-2</v>
      </c>
      <c r="R56" s="9">
        <f t="shared" si="2"/>
        <v>1.5716009600130505</v>
      </c>
      <c r="S56" s="9">
        <f t="shared" si="2"/>
        <v>1.1784485541283602</v>
      </c>
      <c r="T56" s="9">
        <f t="shared" si="2"/>
        <v>2.8507489587179213</v>
      </c>
      <c r="U56" s="9">
        <f t="shared" si="2"/>
        <v>3.6497195473770305</v>
      </c>
      <c r="V56" s="9">
        <f t="shared" si="2"/>
        <v>5.2594133014490723</v>
      </c>
    </row>
    <row r="57" spans="1:24" x14ac:dyDescent="0.3">
      <c r="A57" t="s">
        <v>1</v>
      </c>
      <c r="B57" s="3">
        <f>STDEV(B6:B53)</f>
        <v>0.14227329664224161</v>
      </c>
      <c r="C57" s="3">
        <f t="shared" ref="C57:V57" si="3">STDEV(C6:C53)</f>
        <v>0.33301400765041234</v>
      </c>
      <c r="D57" s="3">
        <f t="shared" si="3"/>
        <v>2.0631547345646042</v>
      </c>
      <c r="E57" s="3">
        <f t="shared" si="3"/>
        <v>3.441701594270806</v>
      </c>
      <c r="F57" s="3">
        <f t="shared" si="3"/>
        <v>5.8513894257397832</v>
      </c>
      <c r="G57" s="3">
        <f t="shared" si="3"/>
        <v>5.7505960260841702</v>
      </c>
      <c r="H57" s="3">
        <f t="shared" si="3"/>
        <v>6.8225283738722009</v>
      </c>
      <c r="I57" s="3">
        <f t="shared" si="3"/>
        <v>0.46318991439537494</v>
      </c>
      <c r="J57" s="3">
        <f t="shared" si="3"/>
        <v>0.50286241756365024</v>
      </c>
      <c r="K57" s="3">
        <f t="shared" si="3"/>
        <v>2.1803494627607378</v>
      </c>
      <c r="L57" s="3">
        <f t="shared" si="3"/>
        <v>3.7897432292470157</v>
      </c>
      <c r="M57" s="3">
        <f t="shared" si="3"/>
        <v>4.9783065882098452</v>
      </c>
      <c r="N57" s="3"/>
      <c r="O57" s="3">
        <f t="shared" si="3"/>
        <v>1.1566910134350434</v>
      </c>
      <c r="P57" s="3">
        <f t="shared" si="3"/>
        <v>4.0397514365995866</v>
      </c>
      <c r="Q57" s="3">
        <f t="shared" si="3"/>
        <v>8.6056392695527492E-2</v>
      </c>
      <c r="R57" s="3">
        <f t="shared" si="3"/>
        <v>1.8310652820823468</v>
      </c>
      <c r="S57" s="3">
        <f t="shared" si="3"/>
        <v>1.1857981543537093</v>
      </c>
      <c r="T57" s="3">
        <f t="shared" si="3"/>
        <v>2.327106897779859</v>
      </c>
      <c r="U57" s="3">
        <f t="shared" si="3"/>
        <v>3.6991435149117904</v>
      </c>
      <c r="V57" s="3">
        <f t="shared" si="3"/>
        <v>3.8498388235799248</v>
      </c>
      <c r="W57" s="3"/>
      <c r="X57" s="3"/>
    </row>
    <row r="58" spans="1:24" x14ac:dyDescent="0.3">
      <c r="A58" t="s">
        <v>2</v>
      </c>
      <c r="B58" s="3">
        <f xml:space="preserve"> B57/SQRT(COUNT(B6:B53))</f>
        <v>2.9666033085325394E-2</v>
      </c>
      <c r="C58" s="3">
        <f t="shared" ref="C58:V58" si="4" xml:space="preserve"> C57/SQRT(COUNT(C6:C53))</f>
        <v>6.9438220678023951E-2</v>
      </c>
      <c r="D58" s="3">
        <f t="shared" si="4"/>
        <v>0.42113969667421242</v>
      </c>
      <c r="E58" s="3">
        <f t="shared" si="4"/>
        <v>0.71764439128867719</v>
      </c>
      <c r="F58" s="3">
        <f t="shared" si="4"/>
        <v>1.2475204172433656</v>
      </c>
      <c r="G58" s="3">
        <f t="shared" si="4"/>
        <v>1.1990821608578834</v>
      </c>
      <c r="H58" s="3">
        <f t="shared" si="4"/>
        <v>1.4545679366660311</v>
      </c>
      <c r="I58" s="3">
        <f t="shared" si="4"/>
        <v>9.4548245356007449E-2</v>
      </c>
      <c r="J58" s="3">
        <f t="shared" si="4"/>
        <v>0.10264636115444274</v>
      </c>
      <c r="K58" s="3">
        <f t="shared" si="4"/>
        <v>0.44506197039293671</v>
      </c>
      <c r="L58" s="3">
        <f t="shared" si="4"/>
        <v>0.84741234778658958</v>
      </c>
      <c r="M58" s="3">
        <f t="shared" si="4"/>
        <v>1.016192577020828</v>
      </c>
      <c r="N58" s="3"/>
      <c r="O58" s="3">
        <f t="shared" si="4"/>
        <v>0.16872072484039366</v>
      </c>
      <c r="P58" s="3">
        <f t="shared" si="4"/>
        <v>0.86127790018163819</v>
      </c>
      <c r="Q58" s="3">
        <f t="shared" si="4"/>
        <v>1.7943998298773446E-2</v>
      </c>
      <c r="R58" s="3">
        <f t="shared" si="4"/>
        <v>0.3818035043936529</v>
      </c>
      <c r="S58" s="3">
        <f t="shared" si="4"/>
        <v>0.2420500346750529</v>
      </c>
      <c r="T58" s="3">
        <f t="shared" si="4"/>
        <v>0.48523533123874429</v>
      </c>
      <c r="U58" s="3">
        <f t="shared" si="4"/>
        <v>0.75508450807161198</v>
      </c>
      <c r="V58" s="3">
        <f t="shared" si="4"/>
        <v>0.80274688651294612</v>
      </c>
      <c r="W58" s="3"/>
      <c r="X58" s="3"/>
    </row>
    <row r="59" spans="1:24" s="1" customFormat="1" ht="15" thickBot="1" x14ac:dyDescent="0.35">
      <c r="B59" s="3"/>
      <c r="C59" s="3"/>
      <c r="D59" s="3"/>
      <c r="E59" s="3"/>
      <c r="F59" s="3"/>
      <c r="G59" s="3"/>
      <c r="H59" s="3"/>
      <c r="I59" s="3"/>
      <c r="J59" s="3"/>
      <c r="K59" s="3"/>
      <c r="L59" s="3"/>
      <c r="M59" s="3"/>
      <c r="N59" s="3"/>
      <c r="O59" s="3"/>
      <c r="P59" s="3"/>
      <c r="Q59" s="3"/>
      <c r="R59" s="3"/>
      <c r="S59" s="3"/>
      <c r="T59" s="3"/>
      <c r="U59" s="3"/>
      <c r="V59" s="3"/>
    </row>
    <row r="60" spans="1:24" s="48" customFormat="1" ht="26.4" thickBot="1" x14ac:dyDescent="0.35">
      <c r="A60" s="228" t="s">
        <v>46</v>
      </c>
      <c r="B60" s="229"/>
      <c r="C60" s="229"/>
      <c r="D60" s="229"/>
      <c r="E60" s="229"/>
      <c r="F60" s="229"/>
      <c r="G60" s="229"/>
      <c r="H60" s="229"/>
      <c r="I60" s="229"/>
      <c r="J60" s="229"/>
      <c r="K60" s="229"/>
      <c r="L60" s="229"/>
      <c r="M60" s="229"/>
      <c r="N60" s="229"/>
      <c r="O60" s="229"/>
      <c r="P60" s="229"/>
      <c r="Q60" s="229"/>
      <c r="R60" s="229"/>
      <c r="S60" s="229"/>
      <c r="T60" s="229"/>
      <c r="U60" s="229"/>
      <c r="V60" s="229"/>
    </row>
    <row r="61" spans="1:24" s="1" customFormat="1" x14ac:dyDescent="0.3">
      <c r="B61" s="3"/>
      <c r="C61" s="3"/>
      <c r="D61" s="3"/>
      <c r="E61" s="3"/>
      <c r="F61" s="3"/>
      <c r="G61" s="3"/>
      <c r="H61" s="3"/>
      <c r="I61" s="3"/>
      <c r="J61" s="3"/>
      <c r="K61" s="3"/>
      <c r="L61" s="3"/>
      <c r="M61" s="3"/>
      <c r="N61" s="3"/>
      <c r="O61" s="3"/>
      <c r="P61" s="3"/>
      <c r="Q61" s="3"/>
      <c r="R61" s="3"/>
      <c r="S61" s="3"/>
      <c r="T61" s="3"/>
      <c r="U61" s="3"/>
      <c r="V61" s="3"/>
    </row>
    <row r="62" spans="1:24" s="1" customFormat="1" x14ac:dyDescent="0.3">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Testosterone-3.7µg/L</v>
      </c>
      <c r="J62" s="3" t="str">
        <f t="shared" si="6"/>
        <v>Testosterone-11µg/L</v>
      </c>
      <c r="K62" s="3" t="str">
        <f t="shared" si="6"/>
        <v>Testosterone-33µg/L</v>
      </c>
      <c r="L62" s="3" t="str">
        <f t="shared" si="6"/>
        <v>Testosterone-100µg/L</v>
      </c>
      <c r="M62" s="3" t="str">
        <f t="shared" si="6"/>
        <v>Testosterone-300µg/L</v>
      </c>
      <c r="N62" s="3"/>
      <c r="O62" s="3" t="str">
        <f t="shared" si="6"/>
        <v>Testo -30µg/L</v>
      </c>
      <c r="P62" s="3" t="str">
        <f t="shared" si="6"/>
        <v>Testo 30µg/L + EE2 -64ng/L</v>
      </c>
      <c r="Q62" s="3" t="str">
        <f t="shared" si="6"/>
        <v>Testo 30µg/L + FAD-10µg/L</v>
      </c>
      <c r="R62" s="3" t="str">
        <f t="shared" si="6"/>
        <v>Testosterone-3.7µg/L + Testostérone</v>
      </c>
      <c r="S62" s="3" t="str">
        <f t="shared" si="6"/>
        <v>Testosterone-11µg/L + Testostérone</v>
      </c>
      <c r="T62" s="3" t="str">
        <f t="shared" si="6"/>
        <v>Testosterone-33µg/L + Testostérone</v>
      </c>
      <c r="U62" s="3" t="str">
        <f t="shared" si="6"/>
        <v>Testosterone-100µg/L + Testostérone</v>
      </c>
      <c r="V62" s="3" t="str">
        <f t="shared" si="6"/>
        <v>Testosterone-300µg/L + Testostérone</v>
      </c>
    </row>
    <row r="63" spans="1:24" s="1" customFormat="1" x14ac:dyDescent="0.3">
      <c r="A63" s="1" t="s">
        <v>49</v>
      </c>
      <c r="B63" s="3">
        <f>COUNT(B6:B53)</f>
        <v>23</v>
      </c>
      <c r="C63" s="3">
        <f t="shared" ref="C63:V63" si="7">COUNT(C6:C53)</f>
        <v>23</v>
      </c>
      <c r="D63" s="3">
        <f t="shared" si="7"/>
        <v>24</v>
      </c>
      <c r="E63" s="3">
        <f t="shared" si="7"/>
        <v>23</v>
      </c>
      <c r="F63" s="3">
        <f t="shared" si="7"/>
        <v>22</v>
      </c>
      <c r="G63" s="3">
        <f t="shared" si="7"/>
        <v>23</v>
      </c>
      <c r="H63" s="3">
        <f t="shared" si="7"/>
        <v>22</v>
      </c>
      <c r="I63" s="3">
        <f t="shared" si="7"/>
        <v>24</v>
      </c>
      <c r="J63" s="3">
        <f t="shared" si="7"/>
        <v>24</v>
      </c>
      <c r="K63" s="3">
        <f t="shared" si="7"/>
        <v>24</v>
      </c>
      <c r="L63" s="3">
        <f t="shared" si="7"/>
        <v>20</v>
      </c>
      <c r="M63" s="3">
        <f t="shared" si="7"/>
        <v>24</v>
      </c>
      <c r="N63" s="3"/>
      <c r="O63" s="3">
        <f t="shared" si="7"/>
        <v>47</v>
      </c>
      <c r="P63" s="3">
        <f t="shared" si="7"/>
        <v>22</v>
      </c>
      <c r="Q63" s="3">
        <f t="shared" si="7"/>
        <v>23</v>
      </c>
      <c r="R63" s="3">
        <f t="shared" si="7"/>
        <v>23</v>
      </c>
      <c r="S63" s="3">
        <f t="shared" si="7"/>
        <v>24</v>
      </c>
      <c r="T63" s="3">
        <f t="shared" si="7"/>
        <v>23</v>
      </c>
      <c r="U63" s="3">
        <f t="shared" si="7"/>
        <v>24</v>
      </c>
      <c r="V63" s="3">
        <f t="shared" si="7"/>
        <v>23</v>
      </c>
    </row>
    <row r="64" spans="1:24" s="1" customFormat="1" ht="15" thickBot="1" x14ac:dyDescent="0.35">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ATTENTION</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6.4" thickBot="1" x14ac:dyDescent="0.35">
      <c r="A65" s="228" t="s">
        <v>58</v>
      </c>
      <c r="B65" s="229"/>
      <c r="C65" s="229"/>
      <c r="D65" s="229"/>
      <c r="E65" s="229"/>
      <c r="F65" s="229"/>
      <c r="G65" s="229"/>
      <c r="H65" s="229"/>
      <c r="I65" s="229"/>
      <c r="J65" s="229"/>
      <c r="K65" s="229"/>
      <c r="L65" s="229"/>
      <c r="M65" s="229"/>
      <c r="N65" s="229"/>
      <c r="O65" s="229"/>
      <c r="P65" s="229"/>
      <c r="Q65" s="229"/>
      <c r="R65" s="229"/>
      <c r="S65" s="229"/>
      <c r="T65" s="229"/>
      <c r="U65" s="229"/>
      <c r="V65" s="229"/>
    </row>
    <row r="66" spans="1:22" s="1" customFormat="1" x14ac:dyDescent="0.3">
      <c r="B66" s="1" t="s">
        <v>61</v>
      </c>
      <c r="C66" s="3"/>
      <c r="D66" s="3"/>
      <c r="E66" s="3"/>
      <c r="F66" s="3"/>
      <c r="G66" s="3"/>
      <c r="H66" s="3"/>
      <c r="I66" s="3"/>
      <c r="J66" s="3"/>
      <c r="K66" s="3"/>
      <c r="L66" s="3"/>
      <c r="M66" s="3"/>
      <c r="N66" s="3"/>
      <c r="O66" s="3"/>
      <c r="P66" s="3"/>
      <c r="Q66" s="3"/>
      <c r="R66" s="3"/>
      <c r="S66" s="3"/>
      <c r="T66" s="3"/>
      <c r="U66" s="3"/>
      <c r="V66" s="3"/>
    </row>
    <row r="67" spans="1:22" s="1" customFormat="1" x14ac:dyDescent="0.3">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35">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4" thickBot="1" x14ac:dyDescent="0.35">
      <c r="A70" s="228" t="s">
        <v>53</v>
      </c>
      <c r="B70" s="229"/>
      <c r="C70" s="229"/>
      <c r="D70" s="229"/>
      <c r="E70" s="229"/>
      <c r="F70" s="229"/>
      <c r="G70" s="229"/>
      <c r="H70" s="229"/>
      <c r="I70" s="229"/>
      <c r="J70" s="229"/>
      <c r="K70" s="229"/>
      <c r="L70" s="229"/>
      <c r="M70" s="229"/>
      <c r="N70" s="229"/>
      <c r="O70" s="229"/>
      <c r="P70" s="229"/>
      <c r="Q70" s="229"/>
      <c r="R70" s="229"/>
      <c r="S70" s="229"/>
      <c r="T70" s="229"/>
      <c r="U70" s="229"/>
      <c r="V70" s="229"/>
    </row>
    <row r="71" spans="1:22" ht="15" thickBot="1" x14ac:dyDescent="0.35"/>
    <row r="72" spans="1:22" s="48" customFormat="1" ht="26.4" thickBot="1" x14ac:dyDescent="0.35">
      <c r="A72" s="228" t="s">
        <v>54</v>
      </c>
      <c r="B72" s="229"/>
      <c r="C72" s="229"/>
      <c r="D72" s="229"/>
      <c r="E72" s="229"/>
      <c r="F72" s="229"/>
      <c r="G72" s="229"/>
      <c r="H72" s="229"/>
      <c r="I72" s="229"/>
      <c r="J72" s="229"/>
      <c r="K72" s="229"/>
      <c r="L72" s="229"/>
      <c r="M72" s="229"/>
      <c r="N72" s="229"/>
      <c r="O72" s="229"/>
      <c r="P72" s="229"/>
      <c r="Q72" s="229"/>
      <c r="R72" s="229"/>
      <c r="S72" s="229"/>
      <c r="T72" s="229"/>
      <c r="U72" s="229"/>
      <c r="V72" s="229"/>
    </row>
    <row r="73" spans="1:22" ht="15" thickBot="1" x14ac:dyDescent="0.35">
      <c r="J73" s="3">
        <v>1</v>
      </c>
      <c r="K73" s="3">
        <v>2</v>
      </c>
      <c r="L73" s="3">
        <v>3</v>
      </c>
      <c r="M73" s="3">
        <v>4</v>
      </c>
      <c r="R73" s="3">
        <v>1</v>
      </c>
      <c r="S73" s="3">
        <v>2</v>
      </c>
      <c r="T73" s="3">
        <v>3</v>
      </c>
      <c r="U73" s="3">
        <v>4</v>
      </c>
      <c r="V73" s="3">
        <v>5</v>
      </c>
    </row>
    <row r="74" spans="1:22" s="1" customFormat="1" x14ac:dyDescent="0.3">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Testosterone-3.7µg/L</v>
      </c>
      <c r="J74" s="46" t="str">
        <f t="shared" si="9"/>
        <v>Testosterone-11µg/L</v>
      </c>
      <c r="K74" s="46" t="str">
        <f t="shared" si="9"/>
        <v>Testosterone-33µg/L</v>
      </c>
      <c r="L74" s="46" t="str">
        <f t="shared" si="9"/>
        <v>Testosterone-100µg/L</v>
      </c>
      <c r="M74" s="46" t="str">
        <f t="shared" si="9"/>
        <v>Testosterone-300µg/L</v>
      </c>
      <c r="N74" s="46"/>
      <c r="O74" s="46" t="str">
        <f t="shared" ref="O74:V74" si="10">O4</f>
        <v>Testo -30µg/L</v>
      </c>
      <c r="P74" s="46" t="str">
        <f t="shared" si="10"/>
        <v>Testo 30µg/L + EE2 -64ng/L</v>
      </c>
      <c r="Q74" s="46" t="str">
        <f t="shared" si="10"/>
        <v>Testo 30µg/L + FAD-10µg/L</v>
      </c>
      <c r="R74" s="46" t="str">
        <f t="shared" si="10"/>
        <v>Testosterone-3.7µg/L + Testostérone</v>
      </c>
      <c r="S74" s="46" t="str">
        <f t="shared" si="10"/>
        <v>Testosterone-11µg/L + Testostérone</v>
      </c>
      <c r="T74" s="46" t="str">
        <f t="shared" si="10"/>
        <v>Testosterone-33µg/L + Testostérone</v>
      </c>
      <c r="U74" s="46" t="str">
        <f t="shared" si="10"/>
        <v>Testosterone-100µg/L + Testostérone</v>
      </c>
      <c r="V74" s="46" t="str">
        <f t="shared" si="10"/>
        <v>Testosterone-300µg/L + Testostérone</v>
      </c>
    </row>
    <row r="75" spans="1:22" s="3" customFormat="1" x14ac:dyDescent="0.3">
      <c r="A75" s="61" t="s">
        <v>32</v>
      </c>
      <c r="B75" s="141">
        <f>B56</f>
        <v>0.10505820023547088</v>
      </c>
      <c r="C75" s="141">
        <f t="shared" ref="C75:V75" si="11">C56</f>
        <v>0.24197427284546624</v>
      </c>
      <c r="D75" s="141">
        <f t="shared" si="11"/>
        <v>1.4104077005868199</v>
      </c>
      <c r="E75" s="141">
        <f t="shared" si="11"/>
        <v>2.8975608129786439</v>
      </c>
      <c r="F75" s="141">
        <f t="shared" si="11"/>
        <v>5.0085412499633533</v>
      </c>
      <c r="G75" s="141">
        <f t="shared" si="11"/>
        <v>6.9467048301147445</v>
      </c>
      <c r="H75" s="141">
        <f t="shared" si="11"/>
        <v>13.775074277100087</v>
      </c>
      <c r="I75" s="141">
        <f t="shared" si="11"/>
        <v>0.305511040233093</v>
      </c>
      <c r="J75" s="141">
        <f t="shared" si="11"/>
        <v>0.28144382227989267</v>
      </c>
      <c r="K75" s="141">
        <f t="shared" si="11"/>
        <v>1.6672795982376531</v>
      </c>
      <c r="L75" s="141">
        <f t="shared" si="11"/>
        <v>4.6323680781874979</v>
      </c>
      <c r="M75" s="141">
        <f t="shared" si="11"/>
        <v>5.4617793177535008</v>
      </c>
      <c r="N75" s="141"/>
      <c r="O75" s="141">
        <f t="shared" si="11"/>
        <v>1.0000000000000002</v>
      </c>
      <c r="P75" s="141">
        <f t="shared" si="11"/>
        <v>8.1190078236959913</v>
      </c>
      <c r="Q75" s="141">
        <f t="shared" si="11"/>
        <v>8.4500661243615105E-2</v>
      </c>
      <c r="R75" s="141">
        <f t="shared" si="11"/>
        <v>1.5716009600130505</v>
      </c>
      <c r="S75" s="141">
        <f t="shared" si="11"/>
        <v>1.1784485541283602</v>
      </c>
      <c r="T75" s="141">
        <f t="shared" si="11"/>
        <v>2.8507489587179213</v>
      </c>
      <c r="U75" s="141">
        <f t="shared" si="11"/>
        <v>3.6497195473770305</v>
      </c>
      <c r="V75" s="141">
        <f t="shared" si="11"/>
        <v>5.2594133014490723</v>
      </c>
    </row>
    <row r="76" spans="1:22" s="3" customFormat="1" x14ac:dyDescent="0.3">
      <c r="A76" s="61" t="s">
        <v>2</v>
      </c>
      <c r="B76" s="141">
        <f>B58</f>
        <v>2.9666033085325394E-2</v>
      </c>
      <c r="C76" s="141">
        <f t="shared" ref="C76:V76" si="12">C58</f>
        <v>6.9438220678023951E-2</v>
      </c>
      <c r="D76" s="141">
        <f t="shared" si="12"/>
        <v>0.42113969667421242</v>
      </c>
      <c r="E76" s="141">
        <f t="shared" si="12"/>
        <v>0.71764439128867719</v>
      </c>
      <c r="F76" s="141">
        <f t="shared" si="12"/>
        <v>1.2475204172433656</v>
      </c>
      <c r="G76" s="141">
        <f t="shared" si="12"/>
        <v>1.1990821608578834</v>
      </c>
      <c r="H76" s="141">
        <f t="shared" si="12"/>
        <v>1.4545679366660311</v>
      </c>
      <c r="I76" s="141">
        <f t="shared" si="12"/>
        <v>9.4548245356007449E-2</v>
      </c>
      <c r="J76" s="141">
        <f t="shared" si="12"/>
        <v>0.10264636115444274</v>
      </c>
      <c r="K76" s="141">
        <f t="shared" si="12"/>
        <v>0.44506197039293671</v>
      </c>
      <c r="L76" s="141">
        <f t="shared" si="12"/>
        <v>0.84741234778658958</v>
      </c>
      <c r="M76" s="141">
        <f t="shared" si="12"/>
        <v>1.016192577020828</v>
      </c>
      <c r="N76" s="141"/>
      <c r="O76" s="141">
        <f t="shared" si="12"/>
        <v>0.16872072484039366</v>
      </c>
      <c r="P76" s="141">
        <f t="shared" si="12"/>
        <v>0.86127790018163819</v>
      </c>
      <c r="Q76" s="141">
        <f t="shared" si="12"/>
        <v>1.7943998298773446E-2</v>
      </c>
      <c r="R76" s="141">
        <f t="shared" si="12"/>
        <v>0.3818035043936529</v>
      </c>
      <c r="S76" s="141">
        <f t="shared" si="12"/>
        <v>0.2420500346750529</v>
      </c>
      <c r="T76" s="141">
        <f t="shared" si="12"/>
        <v>0.48523533123874429</v>
      </c>
      <c r="U76" s="141">
        <f t="shared" si="12"/>
        <v>0.75508450807161198</v>
      </c>
      <c r="V76" s="141">
        <f t="shared" si="12"/>
        <v>0.80274688651294612</v>
      </c>
    </row>
    <row r="77" spans="1:22" s="3" customFormat="1" x14ac:dyDescent="0.3">
      <c r="A77" s="61" t="s">
        <v>79</v>
      </c>
      <c r="B77" s="141">
        <f>(B75*100/$B$75)-100</f>
        <v>0</v>
      </c>
      <c r="C77" s="141">
        <f t="shared" ref="C77:M77" si="13">(C75*100/$B$75)-100</f>
        <v>130.3240225923538</v>
      </c>
      <c r="D77" s="141">
        <f t="shared" si="13"/>
        <v>1242.5012968293956</v>
      </c>
      <c r="E77" s="141">
        <f t="shared" si="13"/>
        <v>2658.0529711000495</v>
      </c>
      <c r="F77" s="141">
        <f t="shared" si="13"/>
        <v>4667.3967750613674</v>
      </c>
      <c r="G77" s="141">
        <f t="shared" si="13"/>
        <v>6512.2442746447532</v>
      </c>
      <c r="H77" s="141">
        <f t="shared" si="13"/>
        <v>13011.850618253022</v>
      </c>
      <c r="I77" s="141">
        <f t="shared" si="13"/>
        <v>190.80170757574342</v>
      </c>
      <c r="J77" s="141">
        <f t="shared" si="13"/>
        <v>167.8932455049507</v>
      </c>
      <c r="K77" s="141">
        <f t="shared" si="13"/>
        <v>1487.0056735225967</v>
      </c>
      <c r="L77" s="141">
        <f t="shared" si="13"/>
        <v>4309.3350807502866</v>
      </c>
      <c r="M77" s="141">
        <f t="shared" si="13"/>
        <v>5098.8129489290795</v>
      </c>
      <c r="N77" s="141"/>
      <c r="O77" s="141">
        <f>(O75*100/$O$75)-100</f>
        <v>0</v>
      </c>
      <c r="P77" s="141">
        <f t="shared" ref="P77:V77" si="14">(P75*100/$O$75)-100</f>
        <v>711.90078236959891</v>
      </c>
      <c r="Q77" s="141">
        <f t="shared" si="14"/>
        <v>-91.549933875638487</v>
      </c>
      <c r="R77" s="141">
        <f t="shared" si="14"/>
        <v>57.160096001305021</v>
      </c>
      <c r="S77" s="141">
        <f t="shared" si="14"/>
        <v>17.844855412835997</v>
      </c>
      <c r="T77" s="141">
        <f t="shared" si="14"/>
        <v>185.07489587179208</v>
      </c>
      <c r="U77" s="141">
        <f t="shared" si="14"/>
        <v>264.97195473770302</v>
      </c>
      <c r="V77" s="141">
        <f t="shared" si="14"/>
        <v>425.94133014490706</v>
      </c>
    </row>
    <row r="78" spans="1:22" s="3" customFormat="1" x14ac:dyDescent="0.3">
      <c r="A78" s="61" t="s">
        <v>81</v>
      </c>
      <c r="B78" s="141" t="e">
        <f ca="1">[1]!DPTEST(B6:B53)</f>
        <v>#NAME?</v>
      </c>
      <c r="C78" s="141" t="e">
        <f ca="1">[1]!DPTEST(C6:C53)</f>
        <v>#NAME?</v>
      </c>
      <c r="D78" s="141" t="e">
        <f ca="1">[1]!DPTEST(D6:D53)</f>
        <v>#NAME?</v>
      </c>
      <c r="E78" s="141" t="e">
        <f ca="1">[1]!DPTEST(E6:E53)</f>
        <v>#NAME?</v>
      </c>
      <c r="F78" s="141" t="e">
        <f ca="1">[1]!DPTEST(F6:F53)</f>
        <v>#NAME?</v>
      </c>
      <c r="G78" s="141" t="e">
        <f ca="1">[1]!DPTEST(G6:G53)</f>
        <v>#NAME?</v>
      </c>
      <c r="H78" s="141" t="e">
        <f ca="1">[1]!DPTEST(H6:H53)</f>
        <v>#NAME?</v>
      </c>
      <c r="I78" s="141" t="e">
        <f ca="1">[1]!DPTEST(I6:I53)</f>
        <v>#NAME?</v>
      </c>
      <c r="J78" s="141" t="e">
        <f ca="1">[1]!DPTEST(J6:J53)</f>
        <v>#NAME?</v>
      </c>
      <c r="K78" s="141" t="e">
        <f ca="1">[1]!DPTEST(K6:K53)</f>
        <v>#NAME?</v>
      </c>
      <c r="L78" s="141" t="e">
        <f ca="1">[1]!DPTEST(L6:L53)</f>
        <v>#NAME?</v>
      </c>
      <c r="M78" s="141" t="e">
        <f ca="1">[1]!DPTEST(M6:M53)</f>
        <v>#NAME?</v>
      </c>
      <c r="N78" s="141"/>
      <c r="O78" s="141" t="e">
        <f ca="1">[1]!DPTEST(O6:O53)</f>
        <v>#NAME?</v>
      </c>
      <c r="P78" s="141" t="e">
        <f ca="1">[1]!DPTEST(P6:P53)</f>
        <v>#NAME?</v>
      </c>
      <c r="Q78" s="141" t="e">
        <f ca="1">[1]!DPTEST(Q6:Q53)</f>
        <v>#NAME?</v>
      </c>
      <c r="R78" s="141" t="e">
        <f ca="1">[1]!DPTEST(R6:R53)</f>
        <v>#NAME?</v>
      </c>
      <c r="S78" s="141" t="e">
        <f ca="1">[1]!DPTEST(S6:S53)</f>
        <v>#NAME?</v>
      </c>
      <c r="T78" s="141" t="e">
        <f ca="1">[1]!DPTEST(T6:T53)</f>
        <v>#NAME?</v>
      </c>
      <c r="U78" s="141" t="e">
        <f ca="1">[1]!DPTEST(U6:U53)</f>
        <v>#NAME?</v>
      </c>
      <c r="V78" s="141" t="e">
        <f ca="1">[1]!DPTEST(V6:V53)</f>
        <v>#NAME?</v>
      </c>
    </row>
    <row r="79" spans="1:22" s="3" customFormat="1" x14ac:dyDescent="0.3">
      <c r="A79" s="61" t="s">
        <v>85</v>
      </c>
      <c r="B79" s="141" t="e">
        <f ca="1">IF(B78&gt;0.05,"Oui","Non")</f>
        <v>#NAME?</v>
      </c>
      <c r="C79" s="141" t="e">
        <f t="shared" ref="C79:V79" ca="1" si="15">IF(C78&gt;0.05,"Oui","Non")</f>
        <v>#NAME?</v>
      </c>
      <c r="D79" s="141" t="e">
        <f t="shared" ca="1" si="15"/>
        <v>#NAME?</v>
      </c>
      <c r="E79" s="141" t="e">
        <f t="shared" ca="1" si="15"/>
        <v>#NAME?</v>
      </c>
      <c r="F79" s="141" t="e">
        <f t="shared" ca="1" si="15"/>
        <v>#NAME?</v>
      </c>
      <c r="G79" s="141" t="e">
        <f t="shared" ca="1" si="15"/>
        <v>#NAME?</v>
      </c>
      <c r="H79" s="141" t="e">
        <f t="shared" ca="1" si="15"/>
        <v>#NAME?</v>
      </c>
      <c r="I79" s="141" t="e">
        <f t="shared" ca="1" si="15"/>
        <v>#NAME?</v>
      </c>
      <c r="J79" s="141" t="e">
        <f t="shared" ca="1" si="15"/>
        <v>#NAME?</v>
      </c>
      <c r="K79" s="141" t="e">
        <f t="shared" ca="1" si="15"/>
        <v>#NAME?</v>
      </c>
      <c r="L79" s="141" t="e">
        <f t="shared" ca="1" si="15"/>
        <v>#NAME?</v>
      </c>
      <c r="M79" s="141" t="e">
        <f t="shared" ca="1" si="15"/>
        <v>#NAME?</v>
      </c>
      <c r="N79" s="141"/>
      <c r="O79" s="141" t="e">
        <f t="shared" ca="1" si="15"/>
        <v>#NAME?</v>
      </c>
      <c r="P79" s="141" t="e">
        <f t="shared" ca="1" si="15"/>
        <v>#NAME?</v>
      </c>
      <c r="Q79" s="141" t="e">
        <f t="shared" ca="1" si="15"/>
        <v>#NAME?</v>
      </c>
      <c r="R79" s="141" t="e">
        <f t="shared" ca="1" si="15"/>
        <v>#NAME?</v>
      </c>
      <c r="S79" s="141" t="e">
        <f t="shared" ca="1" si="15"/>
        <v>#NAME?</v>
      </c>
      <c r="T79" s="141" t="e">
        <f t="shared" ca="1" si="15"/>
        <v>#NAME?</v>
      </c>
      <c r="U79" s="141" t="e">
        <f t="shared" ca="1" si="15"/>
        <v>#NAME?</v>
      </c>
      <c r="V79" s="141" t="e">
        <f t="shared" ca="1" si="15"/>
        <v>#NAME?</v>
      </c>
    </row>
    <row r="80" spans="1:22" s="3" customFormat="1" x14ac:dyDescent="0.3">
      <c r="A80" s="61" t="s">
        <v>122</v>
      </c>
      <c r="B80" s="141"/>
      <c r="C80" s="141"/>
      <c r="D80" s="141"/>
      <c r="E80" s="141"/>
      <c r="F80" s="141"/>
      <c r="G80" s="141"/>
      <c r="H80" s="141"/>
      <c r="I80" s="141"/>
      <c r="J80" s="141"/>
      <c r="K80" s="141"/>
      <c r="L80" s="141"/>
      <c r="M80" s="141"/>
      <c r="N80" s="141"/>
      <c r="O80" s="141"/>
      <c r="P80" s="141"/>
      <c r="Q80" s="141"/>
      <c r="R80" s="141"/>
      <c r="S80" s="141"/>
      <c r="T80" s="141"/>
      <c r="U80" s="141"/>
      <c r="V80" s="141"/>
    </row>
    <row r="81" spans="1:22" s="3" customFormat="1" x14ac:dyDescent="0.3">
      <c r="A81" s="61" t="s">
        <v>82</v>
      </c>
      <c r="B81" s="141"/>
      <c r="C81" s="141" t="s">
        <v>172</v>
      </c>
      <c r="D81" s="141" t="s">
        <v>172</v>
      </c>
      <c r="E81" s="141" t="s">
        <v>172</v>
      </c>
      <c r="F81" s="141" t="s">
        <v>172</v>
      </c>
      <c r="G81" s="141" t="s">
        <v>172</v>
      </c>
      <c r="H81" s="141" t="s">
        <v>172</v>
      </c>
      <c r="I81" s="141" t="s">
        <v>172</v>
      </c>
      <c r="J81" s="141" t="s">
        <v>172</v>
      </c>
      <c r="K81" s="141" t="s">
        <v>172</v>
      </c>
      <c r="L81" s="141" t="s">
        <v>172</v>
      </c>
      <c r="M81" s="141" t="s">
        <v>172</v>
      </c>
      <c r="N81" s="141"/>
      <c r="O81" s="141" t="e">
        <f ca="1">IF($B79="Non",IF(O79="Non","Mann Withney",IF(O79="Oui","Mann Withney","")),IF($B79="Oui",IF(O79="Oui","T-Test Welch",IF(O79="Non","Mann Withney",""))))</f>
        <v>#NAME?</v>
      </c>
      <c r="P81" s="141" t="e">
        <f t="shared" ref="P81:Q81" ca="1" si="16">IF($O79="Non",IF(P79="Non","Mann Withney",IF(P$79="Oui","Mann Withney","")),IF($O79="Oui",IF(P79="Oui","T-Test Welch",IF(P79="Non","Mann Withney",""))))</f>
        <v>#NAME?</v>
      </c>
      <c r="Q81" s="141" t="e">
        <f t="shared" ca="1" si="16"/>
        <v>#NAME?</v>
      </c>
      <c r="R81" s="141" t="s">
        <v>172</v>
      </c>
      <c r="S81" s="141" t="s">
        <v>172</v>
      </c>
      <c r="T81" s="141" t="s">
        <v>172</v>
      </c>
      <c r="U81" s="141" t="s">
        <v>172</v>
      </c>
      <c r="V81" s="141" t="s">
        <v>172</v>
      </c>
    </row>
    <row r="82" spans="1:22" s="3" customFormat="1" x14ac:dyDescent="0.3">
      <c r="A82" s="61" t="s">
        <v>83</v>
      </c>
      <c r="B82" s="141"/>
      <c r="C82" s="141" t="s">
        <v>168</v>
      </c>
      <c r="D82" s="141">
        <v>0.09</v>
      </c>
      <c r="E82" s="141" t="s">
        <v>170</v>
      </c>
      <c r="F82" s="141" t="s">
        <v>170</v>
      </c>
      <c r="G82" s="141" t="s">
        <v>170</v>
      </c>
      <c r="H82" s="141" t="s">
        <v>170</v>
      </c>
      <c r="I82" s="141" t="s">
        <v>168</v>
      </c>
      <c r="J82" s="141" t="s">
        <v>168</v>
      </c>
      <c r="K82" s="141">
        <v>4.0000000000000001E-3</v>
      </c>
      <c r="L82" s="141" t="s">
        <v>170</v>
      </c>
      <c r="M82" s="141" t="s">
        <v>170</v>
      </c>
      <c r="N82" s="141"/>
      <c r="O82" s="141" t="e">
        <f ca="1">IF(O81="Mann Withney",[1]!MTEST($B6:$B53,O6:O53,2), IF(O81="T-Test Welch",_xlfn.T.TEST($B6:$B53,O6:O53,2,3),""))</f>
        <v>#NAME?</v>
      </c>
      <c r="P82" s="141" t="e">
        <f ca="1">IF(P81="Mann Withney",[1]!MTEST($O6:$O53,P6:P53,2), IF(P81="T-Test Welch",_xlfn.T.TEST($O6:$O53,P6:P53,2,3),""))</f>
        <v>#NAME?</v>
      </c>
      <c r="Q82" s="141" t="e">
        <f ca="1">IF(Q81="Mann Withney",[1]!MTEST($O6:$O53,Q6:Q53,2), IF(Q81="T-Test Welch",_xlfn.T.TEST($O6:$O53,Q6:Q53,2,3),""))</f>
        <v>#NAME?</v>
      </c>
      <c r="R82" s="141" t="s">
        <v>168</v>
      </c>
      <c r="S82" s="141" t="s">
        <v>168</v>
      </c>
      <c r="T82" s="141">
        <v>0.01</v>
      </c>
      <c r="U82" s="141">
        <v>7.0000000000000001E-3</v>
      </c>
      <c r="V82" s="141" t="s">
        <v>170</v>
      </c>
    </row>
    <row r="83" spans="1:22" s="3" customFormat="1" ht="15" thickBot="1" x14ac:dyDescent="0.35">
      <c r="A83" s="62" t="s">
        <v>84</v>
      </c>
      <c r="B83" s="142"/>
      <c r="C83" s="142" t="s">
        <v>167</v>
      </c>
      <c r="D83" s="142" t="s">
        <v>167</v>
      </c>
      <c r="E83" s="142" t="s">
        <v>169</v>
      </c>
      <c r="F83" s="142" t="s">
        <v>169</v>
      </c>
      <c r="G83" s="142" t="s">
        <v>169</v>
      </c>
      <c r="H83" s="142" t="s">
        <v>169</v>
      </c>
      <c r="I83" s="142" t="s">
        <v>167</v>
      </c>
      <c r="J83" s="142" t="s">
        <v>167</v>
      </c>
      <c r="K83" s="142" t="s">
        <v>171</v>
      </c>
      <c r="L83" s="142" t="s">
        <v>169</v>
      </c>
      <c r="M83" s="142" t="s">
        <v>169</v>
      </c>
      <c r="N83" s="142"/>
      <c r="O83" s="142" t="e">
        <f t="shared" ref="O83" ca="1" si="17">IF(O82&gt;0.05,"NS",IF(O82&gt;0.01,"*",IF(O82&gt;0.001,"**","***")))</f>
        <v>#NAME?</v>
      </c>
      <c r="P83" s="142" t="e">
        <f t="shared" ref="P83" ca="1" si="18">IF(P82&gt;0.05,"NS",IF(P82&gt;0.01,"*",IF(P82&gt;0.001,"**","***")))</f>
        <v>#NAME?</v>
      </c>
      <c r="Q83" s="142" t="e">
        <f t="shared" ref="Q83" ca="1" si="19">IF(Q82&gt;0.05,"NS",IF(Q82&gt;0.01,"*",IF(Q82&gt;0.001,"**","***")))</f>
        <v>#NAME?</v>
      </c>
      <c r="R83" s="142" t="s">
        <v>167</v>
      </c>
      <c r="S83" s="142" t="s">
        <v>167</v>
      </c>
      <c r="T83" s="142" t="s">
        <v>171</v>
      </c>
      <c r="U83" s="142" t="s">
        <v>171</v>
      </c>
      <c r="V83" s="142" t="s">
        <v>169</v>
      </c>
    </row>
    <row r="84" spans="1:22" s="1" customFormat="1" x14ac:dyDescent="0.3"/>
    <row r="85" spans="1:22" s="1" customFormat="1" x14ac:dyDescent="0.3">
      <c r="A85" s="2" t="s">
        <v>39</v>
      </c>
    </row>
    <row r="86" spans="1:22" x14ac:dyDescent="0.3">
      <c r="A86" s="1" t="s">
        <v>23</v>
      </c>
      <c r="B86" s="1">
        <f>B56+(3*B57)</f>
        <v>0.53187809016219567</v>
      </c>
    </row>
    <row r="87" spans="1:22" x14ac:dyDescent="0.3">
      <c r="A87" s="1" t="s">
        <v>24</v>
      </c>
      <c r="B87" s="1">
        <f>B56+(10*B57)</f>
        <v>1.5277911666578872</v>
      </c>
    </row>
    <row r="88" spans="1:22" ht="15" thickBot="1" x14ac:dyDescent="0.35"/>
    <row r="89" spans="1:22" s="48" customFormat="1" ht="26.4" thickBot="1" x14ac:dyDescent="0.35">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35"/>
    <row r="91" spans="1:22" s="48" customFormat="1" ht="26.4" thickBot="1" x14ac:dyDescent="0.35">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35"/>
    <row r="93" spans="1:22" s="48" customFormat="1" ht="26.4" thickBot="1" x14ac:dyDescent="0.35">
      <c r="A93" s="228" t="s">
        <v>57</v>
      </c>
      <c r="B93" s="229"/>
      <c r="C93" s="229"/>
      <c r="D93" s="229"/>
      <c r="E93" s="229"/>
      <c r="F93" s="229"/>
      <c r="G93" s="229"/>
      <c r="H93" s="229"/>
      <c r="I93" s="229"/>
      <c r="J93" s="229"/>
      <c r="K93" s="229"/>
      <c r="L93" s="229"/>
      <c r="M93" s="229"/>
      <c r="N93" s="229"/>
      <c r="O93" s="229"/>
      <c r="P93" s="229"/>
      <c r="Q93" s="229"/>
      <c r="R93" s="229"/>
      <c r="S93" s="229"/>
      <c r="T93" s="229"/>
      <c r="U93" s="229"/>
      <c r="V93" s="229"/>
    </row>
    <row r="94" spans="1:22" x14ac:dyDescent="0.3">
      <c r="B94" s="1">
        <f t="shared" ref="B94:V94" si="20">B75/$B$75</f>
        <v>1</v>
      </c>
      <c r="C94" s="1">
        <f t="shared" si="20"/>
        <v>2.3032402259235378</v>
      </c>
      <c r="D94" s="1">
        <f t="shared" si="20"/>
        <v>13.425012968293958</v>
      </c>
      <c r="E94" s="1">
        <f t="shared" si="20"/>
        <v>27.580529711000494</v>
      </c>
      <c r="F94" s="1">
        <f t="shared" si="20"/>
        <v>47.673967750613677</v>
      </c>
      <c r="G94" s="1">
        <f t="shared" si="20"/>
        <v>66.122442746447533</v>
      </c>
      <c r="H94" s="1">
        <f>H75/$B$75</f>
        <v>131.11850618253021</v>
      </c>
      <c r="I94" s="1">
        <f t="shared" si="20"/>
        <v>2.9080170757574342</v>
      </c>
      <c r="J94" s="1">
        <f t="shared" si="20"/>
        <v>2.6789324550495066</v>
      </c>
      <c r="K94" s="1">
        <f t="shared" si="20"/>
        <v>15.870056735225969</v>
      </c>
      <c r="L94" s="1">
        <f t="shared" si="20"/>
        <v>44.093350807502866</v>
      </c>
      <c r="M94" s="1">
        <f t="shared" si="20"/>
        <v>51.988129489290792</v>
      </c>
      <c r="N94" s="1">
        <f t="shared" si="20"/>
        <v>0</v>
      </c>
      <c r="O94" s="1">
        <f t="shared" si="20"/>
        <v>9.5185335153149655</v>
      </c>
      <c r="P94" s="1">
        <f t="shared" si="20"/>
        <v>77.28104808095469</v>
      </c>
      <c r="Q94" s="1">
        <f t="shared" si="20"/>
        <v>0.80432237611362656</v>
      </c>
      <c r="R94" s="1">
        <f t="shared" si="20"/>
        <v>14.959336410585394</v>
      </c>
      <c r="S94" s="1">
        <f t="shared" si="20"/>
        <v>11.217102058545256</v>
      </c>
      <c r="T94" s="1">
        <f t="shared" si="20"/>
        <v>27.134949507305766</v>
      </c>
      <c r="U94" s="1">
        <f t="shared" si="20"/>
        <v>34.739977833208421</v>
      </c>
      <c r="V94" s="1">
        <f t="shared" si="20"/>
        <v>50.061901780736314</v>
      </c>
    </row>
    <row r="98" spans="4:28" x14ac:dyDescent="0.3">
      <c r="D98" s="1"/>
      <c r="E98" s="1"/>
    </row>
    <row r="99" spans="4:28" x14ac:dyDescent="0.3">
      <c r="D99" s="1"/>
      <c r="E99" s="1"/>
    </row>
    <row r="100" spans="4:28" x14ac:dyDescent="0.3">
      <c r="D100" s="1"/>
      <c r="E100" s="1"/>
    </row>
    <row r="101" spans="4:28" x14ac:dyDescent="0.3">
      <c r="D101" s="1"/>
      <c r="E101" s="1"/>
      <c r="G101" s="1"/>
      <c r="H101" s="1"/>
      <c r="I101" s="1"/>
      <c r="J101" s="1"/>
      <c r="K101" s="1"/>
      <c r="L101" s="1"/>
      <c r="M101" s="1"/>
      <c r="N101" s="1"/>
      <c r="O101" s="1"/>
      <c r="P101" s="1"/>
      <c r="Q101" s="1"/>
      <c r="R101" s="1"/>
      <c r="S101" s="1"/>
      <c r="T101" s="1"/>
      <c r="U101" s="1"/>
      <c r="V101" s="1"/>
      <c r="W101" s="1"/>
      <c r="X101" s="1"/>
      <c r="Y101" s="1"/>
      <c r="Z101" s="1"/>
      <c r="AA101" s="1"/>
      <c r="AB101" s="1"/>
    </row>
    <row r="102" spans="4:28" x14ac:dyDescent="0.3">
      <c r="D102" s="1"/>
      <c r="E102" s="1"/>
      <c r="G102" s="1"/>
      <c r="H102" s="1"/>
      <c r="I102" s="1"/>
      <c r="J102" s="1"/>
      <c r="K102" s="1"/>
      <c r="L102" s="1"/>
      <c r="M102" s="1"/>
      <c r="N102" s="1"/>
      <c r="O102" s="1"/>
      <c r="P102" s="1"/>
      <c r="Q102" s="1"/>
      <c r="R102" s="1"/>
      <c r="S102" s="1"/>
      <c r="T102" s="1"/>
      <c r="U102" s="1"/>
      <c r="V102" s="1"/>
      <c r="W102" s="1"/>
      <c r="X102" s="1"/>
      <c r="Y102" s="1"/>
      <c r="Z102" s="1"/>
      <c r="AA102" s="1"/>
      <c r="AB102" s="1"/>
    </row>
    <row r="103" spans="4:28" x14ac:dyDescent="0.3">
      <c r="D103" s="1"/>
      <c r="E103" s="1"/>
    </row>
    <row r="104" spans="4:28" x14ac:dyDescent="0.3">
      <c r="D104" s="1"/>
      <c r="E104" s="1"/>
    </row>
    <row r="105" spans="4:28" x14ac:dyDescent="0.3">
      <c r="D105" s="1"/>
      <c r="E105" s="1"/>
    </row>
    <row r="106" spans="4:28" x14ac:dyDescent="0.3">
      <c r="D106" s="1"/>
      <c r="E106" s="1"/>
    </row>
    <row r="107" spans="4:28" x14ac:dyDescent="0.3">
      <c r="D107" s="1"/>
      <c r="E107" s="1"/>
    </row>
    <row r="108" spans="4:28" x14ac:dyDescent="0.3">
      <c r="D108" s="1"/>
      <c r="E108" s="1"/>
    </row>
    <row r="115" spans="4:5" x14ac:dyDescent="0.3">
      <c r="D115" s="1"/>
      <c r="E115" s="1"/>
    </row>
    <row r="116" spans="4:5" x14ac:dyDescent="0.3">
      <c r="D116" s="1"/>
      <c r="E116" s="1"/>
    </row>
    <row r="117" spans="4:5" x14ac:dyDescent="0.3">
      <c r="D117" s="1"/>
      <c r="E117" s="1"/>
    </row>
    <row r="118" spans="4:5" x14ac:dyDescent="0.3">
      <c r="D118" s="1"/>
      <c r="E118" s="1"/>
    </row>
    <row r="119" spans="4:5" x14ac:dyDescent="0.3">
      <c r="D119" s="1"/>
      <c r="E119" s="1"/>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oddFooter>&amp;C&amp;1#&amp;"Arial"&amp;10&amp;K000000Internal</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defaultColWidth="9.21875" defaultRowHeight="14.4" x14ac:dyDescent="0.3"/>
  <cols>
    <col min="1" max="1" width="33.77734375" style="41" bestFit="1" customWidth="1"/>
    <col min="2" max="3" width="14" style="41" bestFit="1" customWidth="1"/>
    <col min="4" max="4" width="14" style="41" customWidth="1"/>
    <col min="5" max="5" width="16" style="15" bestFit="1" customWidth="1"/>
    <col min="6" max="8" width="16" style="15" customWidth="1"/>
    <col min="9" max="13" width="19.21875" style="15" customWidth="1"/>
    <col min="14" max="14" width="32.21875" style="15" bestFit="1" customWidth="1"/>
    <col min="15" max="15" width="19.5546875" style="41" customWidth="1"/>
    <col min="16" max="16384" width="9.21875" style="41"/>
  </cols>
  <sheetData>
    <row r="1" spans="1:15" s="48" customFormat="1" ht="26.4" thickBot="1" x14ac:dyDescent="0.35">
      <c r="A1" s="228" t="s">
        <v>104</v>
      </c>
      <c r="B1" s="229"/>
      <c r="C1" s="229"/>
      <c r="D1" s="229"/>
      <c r="E1" s="229"/>
      <c r="F1" s="229"/>
      <c r="G1" s="229"/>
      <c r="H1" s="229"/>
      <c r="I1" s="229"/>
      <c r="J1" s="229"/>
      <c r="K1" s="229"/>
      <c r="L1" s="229"/>
      <c r="M1" s="229"/>
      <c r="N1" s="229"/>
      <c r="O1" s="230"/>
    </row>
    <row r="2" spans="1:15" s="48" customFormat="1" ht="26.4" thickBot="1" x14ac:dyDescent="0.35">
      <c r="A2" s="228" t="s">
        <v>105</v>
      </c>
      <c r="B2" s="229"/>
      <c r="C2" s="229"/>
      <c r="D2" s="229"/>
      <c r="E2" s="229"/>
      <c r="F2" s="229"/>
      <c r="G2" s="229"/>
      <c r="H2" s="229"/>
      <c r="I2" s="229"/>
      <c r="J2" s="229"/>
      <c r="K2" s="229"/>
      <c r="L2" s="229"/>
      <c r="M2" s="229"/>
      <c r="N2" s="229"/>
      <c r="O2" s="230"/>
    </row>
    <row r="3" spans="1:15" s="76" customFormat="1" ht="15.6" x14ac:dyDescent="0.3">
      <c r="H3" s="77"/>
      <c r="I3" s="77"/>
      <c r="J3" s="77"/>
      <c r="K3" s="77"/>
      <c r="L3" s="77"/>
      <c r="M3" s="77"/>
      <c r="N3" s="77"/>
    </row>
    <row r="4" spans="1:15" s="76" customFormat="1" ht="15.6" x14ac:dyDescent="0.3">
      <c r="O4"/>
    </row>
    <row r="5" spans="1:15" s="76" customFormat="1" ht="45.75" customHeight="1" thickBot="1" x14ac:dyDescent="0.35">
      <c r="A5" s="78"/>
      <c r="B5" s="87" t="s">
        <v>25</v>
      </c>
      <c r="C5" s="87" t="s">
        <v>26</v>
      </c>
      <c r="D5" s="87" t="s">
        <v>27</v>
      </c>
      <c r="E5" s="88" t="s">
        <v>64</v>
      </c>
      <c r="F5" s="126" t="s">
        <v>80</v>
      </c>
      <c r="G5" s="94" t="s">
        <v>42</v>
      </c>
      <c r="H5" s="94" t="s">
        <v>65</v>
      </c>
      <c r="I5" s="94" t="s">
        <v>66</v>
      </c>
      <c r="J5" s="95" t="s">
        <v>77</v>
      </c>
      <c r="K5" s="95" t="s">
        <v>67</v>
      </c>
      <c r="L5" s="96" t="s">
        <v>76</v>
      </c>
      <c r="M5" s="96" t="s">
        <v>68</v>
      </c>
      <c r="N5" s="96" t="s">
        <v>69</v>
      </c>
      <c r="O5"/>
    </row>
    <row r="6" spans="1:15" s="76" customFormat="1" ht="15.6" x14ac:dyDescent="0.3">
      <c r="A6" s="79" t="s">
        <v>28</v>
      </c>
      <c r="B6" s="99">
        <v>64</v>
      </c>
      <c r="C6" s="79"/>
      <c r="D6" s="79"/>
      <c r="E6" s="89"/>
      <c r="F6" s="90"/>
      <c r="G6" s="128">
        <f>IF(F6="NS","NC",ROUND(B6,2-(1+INT(LOG10(ABS(B6))))))</f>
        <v>64</v>
      </c>
      <c r="H6" s="120"/>
      <c r="I6" s="120"/>
      <c r="J6" s="121"/>
      <c r="K6" s="122"/>
      <c r="L6" s="124"/>
      <c r="M6" s="121"/>
      <c r="N6" s="91"/>
      <c r="O6"/>
    </row>
    <row r="7" spans="1:15" s="76" customFormat="1" ht="15.6" x14ac:dyDescent="0.3">
      <c r="A7" s="79" t="str">
        <f>'Page de garde'!A15</f>
        <v>Testosterone-3.7µg/L</v>
      </c>
      <c r="B7" s="98"/>
      <c r="C7" s="80"/>
      <c r="D7" s="80"/>
      <c r="E7" s="81"/>
      <c r="F7" s="97" t="str">
        <f>HLOOKUP(A7,'pooled normalised values'!$B$74:$V$83,10,FALSE)</f>
        <v>ns</v>
      </c>
      <c r="G7" s="128" t="str">
        <f>IF(F7="NS","NC",ROUND(B7,2-(1+INT(LOG10(ABS(B7))))))</f>
        <v>NC</v>
      </c>
      <c r="H7" s="119" t="str">
        <f>IF(VLOOKUP(A7,liste_groupe[],4,FALSE)="%",VLOOKUP(A7,liste_groupe[],3,FALSE)/100,IF(ISBLANK(VLOOKUP(A7,liste_groupe[],4,FALSE)),"Non","Non"))</f>
        <v>Non</v>
      </c>
      <c r="I7" s="128" t="str">
        <f>IF(F7="NS","NC",IF(H7="Non",G7,G7*(1/H7)))</f>
        <v>NC</v>
      </c>
      <c r="J7" s="129">
        <v>64</v>
      </c>
      <c r="K7" s="130">
        <f>IF(F7="NS",0,ROUND(I7/J7*100,0))</f>
        <v>0</v>
      </c>
      <c r="L7" s="125">
        <v>1</v>
      </c>
      <c r="M7" s="131">
        <f>IF(K7&gt;100,125,K7)</f>
        <v>0</v>
      </c>
      <c r="N7" s="92" t="str">
        <f>IF(H7="Non",CONCATENATE(VLOOKUP(A7,liste_groupe[],5,FALSE),"-",VLOOKUP(A7,liste_groupe[],3,FALSE),VLOOKUP(A7,liste_groupe[],4,FALSE)," : ",ROUND(K7,0),"%"),CONCATENATE(VLOOKUP(A7,liste_groupe[],5,FALSE)," : ",ROUND(K7,0),"%"))</f>
        <v>Testosterone-3.7µg/L : 0%</v>
      </c>
      <c r="O7"/>
    </row>
    <row r="8" spans="1:15" s="76" customFormat="1" ht="15.6" x14ac:dyDescent="0.3">
      <c r="A8" s="79" t="str">
        <f>'Page de garde'!A16</f>
        <v>Testosterone-11µg/L</v>
      </c>
      <c r="B8" s="98"/>
      <c r="C8" s="82"/>
      <c r="D8" s="80"/>
      <c r="E8" s="81"/>
      <c r="F8" s="97" t="str">
        <f>HLOOKUP(A8,'pooled normalised values'!$B$74:$V$83,10,FALSE)</f>
        <v>ns</v>
      </c>
      <c r="G8" s="128" t="str">
        <f t="shared" ref="G8:G13" si="0">IF(F8="NS","NC",ROUND(B8,2-(1+INT(LOG10(ABS(B8))))))</f>
        <v>NC</v>
      </c>
      <c r="H8" s="119" t="str">
        <f>IF(VLOOKUP(A8,liste_groupe[],4,FALSE)="%",VLOOKUP(A8,liste_groupe[],3,FALSE)/100,IF(ISBLANK(VLOOKUP(A8,liste_groupe[],4,FALSE)),"Non","Non"))</f>
        <v>Non</v>
      </c>
      <c r="I8" s="128" t="str">
        <f t="shared" ref="I8:I26" si="1">IF(F8="NS","NC",IF(H8="Non",G8,G8*(1/H8)))</f>
        <v>NC</v>
      </c>
      <c r="J8" s="129">
        <v>64</v>
      </c>
      <c r="K8" s="130">
        <f t="shared" ref="K8:K26" si="2">IF(F8="NS",0,ROUND(I8/J8*100,0))</f>
        <v>0</v>
      </c>
      <c r="L8" s="125"/>
      <c r="M8" s="131">
        <f t="shared" ref="M8:M26" si="3">IF(K8&gt;100,125,K8)</f>
        <v>0</v>
      </c>
      <c r="N8" s="92" t="str">
        <f>IF(H8="Non",CONCATENATE(VLOOKUP(A8,liste_groupe[],5,FALSE),"-",VLOOKUP(A8,liste_groupe[],3,FALSE),VLOOKUP(A8,liste_groupe[],4,FALSE)," : ",ROUND(K8,0),"%"),CONCATENATE(VLOOKUP(A8,liste_groupe[],5,FALSE)," : ",ROUND(K8,0),"%"))</f>
        <v>Testosterone-11µg/L : 0%</v>
      </c>
      <c r="O8"/>
    </row>
    <row r="9" spans="1:15" s="76" customFormat="1" ht="15.6" x14ac:dyDescent="0.3">
      <c r="A9" s="79" t="str">
        <f>'Page de garde'!A17</f>
        <v>Testosterone-33µg/L</v>
      </c>
      <c r="B9" s="98"/>
      <c r="C9" s="82"/>
      <c r="D9" s="80"/>
      <c r="E9" s="81"/>
      <c r="F9" s="97" t="str">
        <f>HLOOKUP(A9,'pooled normalised values'!$B$74:$V$83,10,FALSE)</f>
        <v>**</v>
      </c>
      <c r="G9" s="128" t="e">
        <f t="shared" si="0"/>
        <v>#NUM!</v>
      </c>
      <c r="H9" s="119" t="str">
        <f>IF(VLOOKUP(A9,liste_groupe[],4,FALSE)="%",VLOOKUP(A9,liste_groupe[],3,FALSE)/100,IF(ISBLANK(VLOOKUP(A9,liste_groupe[],4,FALSE)),"Non","Non"))</f>
        <v>Non</v>
      </c>
      <c r="I9" s="128" t="e">
        <f t="shared" si="1"/>
        <v>#NUM!</v>
      </c>
      <c r="J9" s="129">
        <v>64</v>
      </c>
      <c r="K9" s="130" t="e">
        <f t="shared" si="2"/>
        <v>#NUM!</v>
      </c>
      <c r="L9" s="125"/>
      <c r="M9" s="131" t="e">
        <f t="shared" si="3"/>
        <v>#NUM!</v>
      </c>
      <c r="N9" s="92" t="e">
        <f>IF(H9="Non",CONCATENATE(VLOOKUP(A9,liste_groupe[],5,FALSE),"-",VLOOKUP(A9,liste_groupe[],3,FALSE),VLOOKUP(A9,liste_groupe[],4,FALSE)," : ",ROUND(K9,0),"%"),CONCATENATE(VLOOKUP(A9,liste_groupe[],5,FALSE)," : ",ROUND(K9,0),"%"))</f>
        <v>#NUM!</v>
      </c>
      <c r="O9"/>
    </row>
    <row r="10" spans="1:15" s="76" customFormat="1" ht="15.6" x14ac:dyDescent="0.3">
      <c r="A10" s="79" t="str">
        <f>'Page de garde'!A18</f>
        <v>Testosterone-100µg/L</v>
      </c>
      <c r="B10" s="99"/>
      <c r="C10" s="79"/>
      <c r="D10" s="84"/>
      <c r="E10" s="81"/>
      <c r="F10" s="97" t="str">
        <f>HLOOKUP(A10,'pooled normalised values'!$B$74:$V$83,10,FALSE)</f>
        <v>***</v>
      </c>
      <c r="G10" s="128" t="e">
        <f t="shared" si="0"/>
        <v>#NUM!</v>
      </c>
      <c r="H10" s="119" t="str">
        <f>IF(VLOOKUP(A10,liste_groupe[],4,FALSE)="%",VLOOKUP(A10,liste_groupe[],3,FALSE)/100,IF(ISBLANK(VLOOKUP(A10,liste_groupe[],4,FALSE)),"Non","Non"))</f>
        <v>Non</v>
      </c>
      <c r="I10" s="128" t="e">
        <f t="shared" si="1"/>
        <v>#NUM!</v>
      </c>
      <c r="J10" s="129">
        <v>64</v>
      </c>
      <c r="K10" s="130" t="e">
        <f t="shared" si="2"/>
        <v>#NUM!</v>
      </c>
      <c r="L10" s="125"/>
      <c r="M10" s="131" t="e">
        <f t="shared" si="3"/>
        <v>#NUM!</v>
      </c>
      <c r="N10" s="92" t="e">
        <f>IF(H10="Non",CONCATENATE(VLOOKUP(A10,liste_groupe[],5,FALSE),"-",VLOOKUP(A10,liste_groupe[],3,FALSE),VLOOKUP(A10,liste_groupe[],4,FALSE)," : ",ROUND(K10,0),"%"),CONCATENATE(VLOOKUP(A10,liste_groupe[],5,FALSE)," : ",ROUND(K10,0),"%"))</f>
        <v>#NUM!</v>
      </c>
      <c r="O10"/>
    </row>
    <row r="11" spans="1:15" s="76" customFormat="1" ht="15.6" x14ac:dyDescent="0.3">
      <c r="A11" s="79" t="str">
        <f>'Page de garde'!A19</f>
        <v>Testosterone-300µg/L</v>
      </c>
      <c r="B11" s="99"/>
      <c r="C11" s="79"/>
      <c r="D11" s="84"/>
      <c r="E11" s="81"/>
      <c r="F11" s="97" t="str">
        <f>HLOOKUP(A11,'pooled normalised values'!$B$74:$V$83,10,FALSE)</f>
        <v>***</v>
      </c>
      <c r="G11" s="128" t="e">
        <f t="shared" si="0"/>
        <v>#NUM!</v>
      </c>
      <c r="H11" s="119" t="str">
        <f>IF(VLOOKUP(A11,liste_groupe[],4,FALSE)="%",VLOOKUP(A11,liste_groupe[],3,FALSE)/100,IF(ISBLANK(VLOOKUP(A11,liste_groupe[],4,FALSE)),"Non","Non"))</f>
        <v>Non</v>
      </c>
      <c r="I11" s="128" t="e">
        <f t="shared" si="1"/>
        <v>#NUM!</v>
      </c>
      <c r="J11" s="129">
        <v>64</v>
      </c>
      <c r="K11" s="130" t="e">
        <f t="shared" si="2"/>
        <v>#NUM!</v>
      </c>
      <c r="L11" s="125"/>
      <c r="M11" s="131" t="e">
        <f t="shared" si="3"/>
        <v>#NUM!</v>
      </c>
      <c r="N11" s="92" t="e">
        <f>IF(H11="Non",CONCATENATE(VLOOKUP(A11,liste_groupe[],5,FALSE),"-",VLOOKUP(A11,liste_groupe[],3,FALSE),VLOOKUP(A11,liste_groupe[],4,FALSE)," : ",ROUND(K11,0),"%"),CONCATENATE(VLOOKUP(A11,liste_groupe[],5,FALSE)," : ",ROUND(K11,0),"%"))</f>
        <v>#NUM!</v>
      </c>
      <c r="O11"/>
    </row>
    <row r="12" spans="1:15" s="76" customFormat="1" ht="15.6" x14ac:dyDescent="0.3">
      <c r="A12" s="79" t="str">
        <f>'Page de garde'!A20</f>
        <v xml:space="preserve"> </v>
      </c>
      <c r="B12" s="99"/>
      <c r="C12" s="79"/>
      <c r="D12" s="84"/>
      <c r="E12" s="81"/>
      <c r="F12" s="97" t="e">
        <f>HLOOKUP(A12,'pooled normalised values'!$B$74:$V$83,10,FALSE)</f>
        <v>#N/A</v>
      </c>
      <c r="G12" s="128" t="e">
        <f t="shared" si="0"/>
        <v>#N/A</v>
      </c>
      <c r="H12" s="119" t="str">
        <f>IF(VLOOKUP(A12,liste_groupe[],4,FALSE)="%",VLOOKUP(A12,liste_groupe[],3,FALSE)/100,IF(ISBLANK(VLOOKUP(A12,liste_groupe[],4,FALSE)),"Non","Non"))</f>
        <v>Non</v>
      </c>
      <c r="I12" s="128" t="e">
        <f t="shared" si="1"/>
        <v>#N/A</v>
      </c>
      <c r="J12" s="129">
        <v>64</v>
      </c>
      <c r="K12" s="130" t="e">
        <f t="shared" si="2"/>
        <v>#N/A</v>
      </c>
      <c r="L12" s="125"/>
      <c r="M12" s="131" t="e">
        <f t="shared" si="3"/>
        <v>#N/A</v>
      </c>
      <c r="N12" s="92" t="e">
        <f>IF(H12="Non",CONCATENATE(VLOOKUP(A12,liste_groupe[],5,FALSE),"-",VLOOKUP(A12,liste_groupe[],3,FALSE),VLOOKUP(A12,liste_groupe[],4,FALSE)," : ",ROUND(K12,0),"%"),CONCATENATE(VLOOKUP(A12,liste_groupe[],5,FALSE)," : ",ROUND(K12,0),"%"))</f>
        <v>#N/A</v>
      </c>
      <c r="O12"/>
    </row>
    <row r="13" spans="1:15" s="76" customFormat="1" ht="15.6" x14ac:dyDescent="0.3">
      <c r="A13" s="79" t="str">
        <f>'Page de garde'!A21</f>
        <v xml:space="preserve"> </v>
      </c>
      <c r="B13" s="99"/>
      <c r="C13" s="79"/>
      <c r="D13" s="79"/>
      <c r="E13" s="81"/>
      <c r="F13" s="97" t="e">
        <f>HLOOKUP(A13,'pooled normalised values'!$B$74:$V$83,10,FALSE)</f>
        <v>#N/A</v>
      </c>
      <c r="G13" s="128" t="e">
        <f t="shared" si="0"/>
        <v>#N/A</v>
      </c>
      <c r="H13" s="119" t="str">
        <f>IF(VLOOKUP(A13,liste_groupe[],4,FALSE)="%",VLOOKUP(A13,liste_groupe[],3,FALSE)/100,IF(ISBLANK(VLOOKUP(A13,liste_groupe[],4,FALSE)),"Non","Non"))</f>
        <v>Non</v>
      </c>
      <c r="I13" s="128" t="e">
        <f t="shared" si="1"/>
        <v>#N/A</v>
      </c>
      <c r="J13" s="129">
        <v>64</v>
      </c>
      <c r="K13" s="130" t="e">
        <f t="shared" si="2"/>
        <v>#N/A</v>
      </c>
      <c r="L13" s="125"/>
      <c r="M13" s="131" t="e">
        <f t="shared" si="3"/>
        <v>#N/A</v>
      </c>
      <c r="N13" s="92" t="e">
        <f>IF(H13="Non",CONCATENATE(VLOOKUP(A13,liste_groupe[],5,FALSE),"-",VLOOKUP(A13,liste_groupe[],3,FALSE),VLOOKUP(A13,liste_groupe[],4,FALSE)," : ",ROUND(K13,0),"%"),CONCATENATE(VLOOKUP(A13,liste_groupe[],5,FALSE)," : ",ROUND(K13,0),"%"))</f>
        <v>#N/A</v>
      </c>
      <c r="O13"/>
    </row>
    <row r="14" spans="1:15" s="76" customFormat="1" ht="15.6" x14ac:dyDescent="0.3">
      <c r="A14" s="79" t="str">
        <f>'Page de garde'!A22</f>
        <v xml:space="preserve"> </v>
      </c>
      <c r="B14" s="99"/>
      <c r="C14" s="79"/>
      <c r="D14" s="79"/>
      <c r="E14" s="81"/>
      <c r="F14" s="97" t="e">
        <f>HLOOKUP(A14,'pooled normalised values'!$B$74:$V$83,10,FALSE)</f>
        <v>#N/A</v>
      </c>
      <c r="G14" s="128" t="e">
        <f t="shared" ref="G14:G25" si="4">IF(F14="NS","NC",ROUND(B14,2-(1+INT(LOG10(ABS(B14))))))</f>
        <v>#N/A</v>
      </c>
      <c r="H14" s="119" t="str">
        <f>IF(VLOOKUP(A14,liste_groupe[],4,FALSE)="%",VLOOKUP(A14,liste_groupe[],3,FALSE)/100,IF(ISBLANK(VLOOKUP(A14,liste_groupe[],4,FALSE)),"Non","Non"))</f>
        <v>Non</v>
      </c>
      <c r="I14" s="128" t="e">
        <f t="shared" si="1"/>
        <v>#N/A</v>
      </c>
      <c r="J14" s="129">
        <v>64</v>
      </c>
      <c r="K14" s="130" t="e">
        <f t="shared" si="2"/>
        <v>#N/A</v>
      </c>
      <c r="L14" s="125"/>
      <c r="M14" s="131" t="e">
        <f t="shared" si="3"/>
        <v>#N/A</v>
      </c>
      <c r="N14" s="92" t="e">
        <f>IF(H14="Non",CONCATENATE(VLOOKUP(A14,liste_groupe[],5,FALSE),"-",VLOOKUP(A14,liste_groupe[],3,FALSE),VLOOKUP(A14,liste_groupe[],4,FALSE)," : ",ROUND(K14,0),"%"),CONCATENATE(VLOOKUP(A14,liste_groupe[],5,FALSE)," : ",ROUND(K14,0),"%"))</f>
        <v>#N/A</v>
      </c>
      <c r="O14" s="1"/>
    </row>
    <row r="15" spans="1:15" s="76" customFormat="1" ht="15.6" x14ac:dyDescent="0.3">
      <c r="A15" s="79" t="str">
        <f>'Page de garde'!A23</f>
        <v xml:space="preserve"> </v>
      </c>
      <c r="B15" s="99"/>
      <c r="C15" s="79"/>
      <c r="D15" s="79"/>
      <c r="E15" s="81"/>
      <c r="F15" s="97" t="e">
        <f>HLOOKUP(A15,'pooled normalised values'!$B$74:$V$83,10,FALSE)</f>
        <v>#N/A</v>
      </c>
      <c r="G15" s="128" t="e">
        <f t="shared" si="4"/>
        <v>#N/A</v>
      </c>
      <c r="H15" s="119" t="str">
        <f>IF(VLOOKUP(A15,liste_groupe[],4,FALSE)="%",VLOOKUP(A15,liste_groupe[],3,FALSE)/100,IF(ISBLANK(VLOOKUP(A15,liste_groupe[],4,FALSE)),"Non","Non"))</f>
        <v>Non</v>
      </c>
      <c r="I15" s="128" t="e">
        <f t="shared" si="1"/>
        <v>#N/A</v>
      </c>
      <c r="J15" s="129">
        <v>64</v>
      </c>
      <c r="K15" s="130" t="e">
        <f t="shared" si="2"/>
        <v>#N/A</v>
      </c>
      <c r="L15" s="125"/>
      <c r="M15" s="131" t="e">
        <f t="shared" si="3"/>
        <v>#N/A</v>
      </c>
      <c r="N15" s="92" t="e">
        <f>IF(H15="Non",CONCATENATE(VLOOKUP(A15,liste_groupe[],5,FALSE),"-",VLOOKUP(A15,liste_groupe[],3,FALSE),VLOOKUP(A15,liste_groupe[],4,FALSE)," : ",ROUND(K15,0),"%"),CONCATENATE(VLOOKUP(A15,liste_groupe[],5,FALSE)," : ",ROUND(K15,0),"%"))</f>
        <v>#N/A</v>
      </c>
      <c r="O15" s="1"/>
    </row>
    <row r="16" spans="1:15" s="76" customFormat="1" ht="15.6" x14ac:dyDescent="0.3">
      <c r="A16" s="79" t="str">
        <f>'Page de garde'!A24</f>
        <v xml:space="preserve"> </v>
      </c>
      <c r="B16" s="99"/>
      <c r="C16" s="79"/>
      <c r="D16" s="79"/>
      <c r="E16" s="81"/>
      <c r="F16" s="97" t="e">
        <f>HLOOKUP(A16,'pooled normalised values'!$B$74:$V$83,10,FALSE)</f>
        <v>#N/A</v>
      </c>
      <c r="G16" s="128" t="e">
        <f t="shared" si="4"/>
        <v>#N/A</v>
      </c>
      <c r="H16" s="119" t="str">
        <f>IF(VLOOKUP(A16,liste_groupe[],4,FALSE)="%",VLOOKUP(A16,liste_groupe[],3,FALSE)/100,IF(ISBLANK(VLOOKUP(A16,liste_groupe[],4,FALSE)),"Non","Non"))</f>
        <v>Non</v>
      </c>
      <c r="I16" s="128" t="e">
        <f t="shared" si="1"/>
        <v>#N/A</v>
      </c>
      <c r="J16" s="129">
        <v>64</v>
      </c>
      <c r="K16" s="130" t="e">
        <f t="shared" si="2"/>
        <v>#N/A</v>
      </c>
      <c r="L16" s="125"/>
      <c r="M16" s="131" t="e">
        <f t="shared" si="3"/>
        <v>#N/A</v>
      </c>
      <c r="N16" s="92" t="e">
        <f>IF(H16="Non",CONCATENATE(VLOOKUP(A16,liste_groupe[],5,FALSE),"-",VLOOKUP(A16,liste_groupe[],3,FALSE),VLOOKUP(A16,liste_groupe[],4,FALSE)," : ",ROUND(K16,0),"%"),CONCATENATE(VLOOKUP(A16,liste_groupe[],5,FALSE)," : ",ROUND(K16,0),"%"))</f>
        <v>#N/A</v>
      </c>
      <c r="O16" s="1"/>
    </row>
    <row r="17" spans="1:15" s="76" customFormat="1" ht="15.6" x14ac:dyDescent="0.3">
      <c r="A17" s="79" t="str">
        <f>'Page de garde'!A25</f>
        <v xml:space="preserve"> </v>
      </c>
      <c r="B17" s="99"/>
      <c r="C17" s="79"/>
      <c r="D17" s="79"/>
      <c r="E17" s="81"/>
      <c r="F17" s="97" t="e">
        <f>HLOOKUP(A17,'pooled normalised values'!$B$74:$V$83,10,FALSE)</f>
        <v>#N/A</v>
      </c>
      <c r="G17" s="128" t="e">
        <f t="shared" si="4"/>
        <v>#N/A</v>
      </c>
      <c r="H17" s="119" t="str">
        <f>IF(VLOOKUP(A17,liste_groupe[],4,FALSE)="%",VLOOKUP(A17,liste_groupe[],3,FALSE)/100,IF(ISBLANK(VLOOKUP(A17,liste_groupe[],4,FALSE)),"Non","Non"))</f>
        <v>Non</v>
      </c>
      <c r="I17" s="128" t="e">
        <f t="shared" si="1"/>
        <v>#N/A</v>
      </c>
      <c r="J17" s="129">
        <v>64</v>
      </c>
      <c r="K17" s="130" t="e">
        <f t="shared" si="2"/>
        <v>#N/A</v>
      </c>
      <c r="L17" s="125"/>
      <c r="M17" s="131" t="e">
        <f t="shared" si="3"/>
        <v>#N/A</v>
      </c>
      <c r="N17" s="92" t="e">
        <f>IF(H17="Non",CONCATENATE(VLOOKUP(A17,liste_groupe[],5,FALSE),"-",VLOOKUP(A17,liste_groupe[],3,FALSE),VLOOKUP(A17,liste_groupe[],4,FALSE)," : ",ROUND(K17,0),"%"),CONCATENATE(VLOOKUP(A17,liste_groupe[],5,FALSE)," : ",ROUND(K17,0),"%"))</f>
        <v>#N/A</v>
      </c>
      <c r="O17" s="1"/>
    </row>
    <row r="18" spans="1:15" s="76" customFormat="1" ht="15.6" x14ac:dyDescent="0.3">
      <c r="A18" s="79" t="str">
        <f>'Page de garde'!A26</f>
        <v xml:space="preserve"> </v>
      </c>
      <c r="B18" s="99"/>
      <c r="C18" s="79"/>
      <c r="D18" s="79"/>
      <c r="E18" s="81"/>
      <c r="F18" s="97" t="e">
        <f>HLOOKUP(A18,'pooled normalised values'!$B$74:$V$83,10,FALSE)</f>
        <v>#N/A</v>
      </c>
      <c r="G18" s="128" t="e">
        <f t="shared" si="4"/>
        <v>#N/A</v>
      </c>
      <c r="H18" s="119" t="str">
        <f>IF(VLOOKUP(A18,liste_groupe[],4,FALSE)="%",VLOOKUP(A18,liste_groupe[],3,FALSE)/100,IF(ISBLANK(VLOOKUP(A18,liste_groupe[],4,FALSE)),"Non","Non"))</f>
        <v>Non</v>
      </c>
      <c r="I18" s="128" t="e">
        <f t="shared" si="1"/>
        <v>#N/A</v>
      </c>
      <c r="J18" s="129">
        <v>64</v>
      </c>
      <c r="K18" s="130" t="e">
        <f t="shared" si="2"/>
        <v>#N/A</v>
      </c>
      <c r="L18" s="125"/>
      <c r="M18" s="131" t="e">
        <f t="shared" si="3"/>
        <v>#N/A</v>
      </c>
      <c r="N18" s="92" t="e">
        <f>IF(H18="Non",CONCATENATE(VLOOKUP(A18,liste_groupe[],5,FALSE),"-",VLOOKUP(A18,liste_groupe[],3,FALSE),VLOOKUP(A18,liste_groupe[],4,FALSE)," : ",ROUND(K18,0),"%"),CONCATENATE(VLOOKUP(A18,liste_groupe[],5,FALSE)," : ",ROUND(K18,0),"%"))</f>
        <v>#N/A</v>
      </c>
      <c r="O18" s="1"/>
    </row>
    <row r="19" spans="1:15" s="76" customFormat="1" ht="15.6" x14ac:dyDescent="0.3">
      <c r="A19" s="79" t="str">
        <f>'Page de garde'!A27</f>
        <v xml:space="preserve"> </v>
      </c>
      <c r="B19" s="99"/>
      <c r="C19" s="79"/>
      <c r="D19" s="79"/>
      <c r="E19" s="81"/>
      <c r="F19" s="97" t="e">
        <f>HLOOKUP(A19,'pooled normalised values'!$B$74:$V$83,10,FALSE)</f>
        <v>#N/A</v>
      </c>
      <c r="G19" s="128" t="e">
        <f t="shared" si="4"/>
        <v>#N/A</v>
      </c>
      <c r="H19" s="119" t="str">
        <f>IF(VLOOKUP(A19,liste_groupe[],4,FALSE)="%",VLOOKUP(A19,liste_groupe[],3,FALSE)/100,IF(ISBLANK(VLOOKUP(A19,liste_groupe[],4,FALSE)),"Non","Non"))</f>
        <v>Non</v>
      </c>
      <c r="I19" s="128" t="e">
        <f t="shared" si="1"/>
        <v>#N/A</v>
      </c>
      <c r="J19" s="129">
        <v>64</v>
      </c>
      <c r="K19" s="130" t="e">
        <f t="shared" si="2"/>
        <v>#N/A</v>
      </c>
      <c r="L19" s="125"/>
      <c r="M19" s="131" t="e">
        <f t="shared" si="3"/>
        <v>#N/A</v>
      </c>
      <c r="N19" s="92" t="e">
        <f>IF(H19="Non",CONCATENATE(VLOOKUP(A19,liste_groupe[],5,FALSE),"-",VLOOKUP(A19,liste_groupe[],3,FALSE),VLOOKUP(A19,liste_groupe[],4,FALSE)," : ",ROUND(K19,0),"%"),CONCATENATE(VLOOKUP(A19,liste_groupe[],5,FALSE)," : ",ROUND(K19,0),"%"))</f>
        <v>#N/A</v>
      </c>
      <c r="O19" s="1"/>
    </row>
    <row r="20" spans="1:15" s="76" customFormat="1" ht="15.6" x14ac:dyDescent="0.3">
      <c r="A20" s="79" t="str">
        <f>'Page de garde'!A28</f>
        <v xml:space="preserve"> </v>
      </c>
      <c r="B20" s="99"/>
      <c r="C20" s="79"/>
      <c r="D20" s="79"/>
      <c r="E20" s="81"/>
      <c r="F20" s="97" t="e">
        <f>HLOOKUP(A20,'pooled normalised values'!$B$74:$V$83,10,FALSE)</f>
        <v>#N/A</v>
      </c>
      <c r="G20" s="128" t="e">
        <f t="shared" si="4"/>
        <v>#N/A</v>
      </c>
      <c r="H20" s="119" t="str">
        <f>IF(VLOOKUP(A20,liste_groupe[],4,FALSE)="%",VLOOKUP(A20,liste_groupe[],3,FALSE)/100,IF(ISBLANK(VLOOKUP(A20,liste_groupe[],4,FALSE)),"Non","Non"))</f>
        <v>Non</v>
      </c>
      <c r="I20" s="128" t="e">
        <f t="shared" si="1"/>
        <v>#N/A</v>
      </c>
      <c r="J20" s="129">
        <v>64</v>
      </c>
      <c r="K20" s="130" t="e">
        <f t="shared" si="2"/>
        <v>#N/A</v>
      </c>
      <c r="L20" s="125"/>
      <c r="M20" s="131" t="e">
        <f t="shared" si="3"/>
        <v>#N/A</v>
      </c>
      <c r="N20" s="92" t="e">
        <f>IF(H20="Non",CONCATENATE(VLOOKUP(A20,liste_groupe[],5,FALSE),"-",VLOOKUP(A20,liste_groupe[],3,FALSE),VLOOKUP(A20,liste_groupe[],4,FALSE)," : ",ROUND(K20,0),"%"),CONCATENATE(VLOOKUP(A20,liste_groupe[],5,FALSE)," : ",ROUND(K20,0),"%"))</f>
        <v>#N/A</v>
      </c>
      <c r="O20" s="1"/>
    </row>
    <row r="21" spans="1:15" s="76" customFormat="1" ht="15.6" x14ac:dyDescent="0.3">
      <c r="A21" s="79" t="str">
        <f>'Page de garde'!A29</f>
        <v xml:space="preserve"> </v>
      </c>
      <c r="B21" s="99"/>
      <c r="C21" s="79"/>
      <c r="D21" s="79"/>
      <c r="E21" s="81"/>
      <c r="F21" s="97" t="e">
        <f>HLOOKUP(A21,'pooled normalised values'!$B$74:$V$83,10,FALSE)</f>
        <v>#N/A</v>
      </c>
      <c r="G21" s="128" t="e">
        <f t="shared" si="4"/>
        <v>#N/A</v>
      </c>
      <c r="H21" s="119" t="str">
        <f>IF(VLOOKUP(A21,liste_groupe[],4,FALSE)="%",VLOOKUP(A21,liste_groupe[],3,FALSE)/100,IF(ISBLANK(VLOOKUP(A21,liste_groupe[],4,FALSE)),"Non","Non"))</f>
        <v>Non</v>
      </c>
      <c r="I21" s="128" t="e">
        <f t="shared" si="1"/>
        <v>#N/A</v>
      </c>
      <c r="J21" s="129">
        <v>64</v>
      </c>
      <c r="K21" s="130" t="e">
        <f t="shared" si="2"/>
        <v>#N/A</v>
      </c>
      <c r="L21" s="125"/>
      <c r="M21" s="131" t="e">
        <f t="shared" si="3"/>
        <v>#N/A</v>
      </c>
      <c r="N21" s="92" t="e">
        <f>IF(H21="Non",CONCATENATE(VLOOKUP(A21,liste_groupe[],5,FALSE),"-",VLOOKUP(A21,liste_groupe[],3,FALSE),VLOOKUP(A21,liste_groupe[],4,FALSE)," : ",ROUND(K21,0),"%"),CONCATENATE(VLOOKUP(A21,liste_groupe[],5,FALSE)," : ",ROUND(K21,0),"%"))</f>
        <v>#N/A</v>
      </c>
      <c r="O21" s="1"/>
    </row>
    <row r="22" spans="1:15" s="76" customFormat="1" ht="15.6" x14ac:dyDescent="0.3">
      <c r="A22" s="79" t="str">
        <f>'Page de garde'!A30</f>
        <v xml:space="preserve"> </v>
      </c>
      <c r="B22" s="99"/>
      <c r="C22" s="79"/>
      <c r="D22" s="79"/>
      <c r="E22" s="81"/>
      <c r="F22" s="97" t="e">
        <f>HLOOKUP(A22,'pooled normalised values'!$B$74:$V$83,10,FALSE)</f>
        <v>#N/A</v>
      </c>
      <c r="G22" s="128" t="e">
        <f t="shared" si="4"/>
        <v>#N/A</v>
      </c>
      <c r="H22" s="119" t="str">
        <f>IF(VLOOKUP(A22,liste_groupe[],4,FALSE)="%",VLOOKUP(A22,liste_groupe[],3,FALSE)/100,IF(ISBLANK(VLOOKUP(A22,liste_groupe[],4,FALSE)),"Non","Non"))</f>
        <v>Non</v>
      </c>
      <c r="I22" s="128" t="e">
        <f t="shared" si="1"/>
        <v>#N/A</v>
      </c>
      <c r="J22" s="129">
        <v>64</v>
      </c>
      <c r="K22" s="130" t="e">
        <f t="shared" si="2"/>
        <v>#N/A</v>
      </c>
      <c r="L22" s="125"/>
      <c r="M22" s="131" t="e">
        <f t="shared" si="3"/>
        <v>#N/A</v>
      </c>
      <c r="N22" s="92" t="e">
        <f>IF(H22="Non",CONCATENATE(VLOOKUP(A22,liste_groupe[],5,FALSE),"-",VLOOKUP(A22,liste_groupe[],3,FALSE),VLOOKUP(A22,liste_groupe[],4,FALSE)," : ",ROUND(K22,0),"%"),CONCATENATE(VLOOKUP(A22,liste_groupe[],5,FALSE)," : ",ROUND(K22,0),"%"))</f>
        <v>#N/A</v>
      </c>
      <c r="O22" s="1"/>
    </row>
    <row r="23" spans="1:15" s="76" customFormat="1" ht="15.6" x14ac:dyDescent="0.3">
      <c r="A23" s="79" t="str">
        <f>'Page de garde'!A31</f>
        <v xml:space="preserve"> </v>
      </c>
      <c r="B23" s="99"/>
      <c r="C23" s="79"/>
      <c r="D23" s="79"/>
      <c r="E23" s="81"/>
      <c r="F23" s="97" t="e">
        <f>HLOOKUP(A23,'pooled normalised values'!$B$74:$V$83,10,FALSE)</f>
        <v>#N/A</v>
      </c>
      <c r="G23" s="128" t="e">
        <f t="shared" si="4"/>
        <v>#N/A</v>
      </c>
      <c r="H23" s="119" t="str">
        <f>IF(VLOOKUP(A23,liste_groupe[],4,FALSE)="%",VLOOKUP(A23,liste_groupe[],3,FALSE)/100,IF(ISBLANK(VLOOKUP(A23,liste_groupe[],4,FALSE)),"Non","Non"))</f>
        <v>Non</v>
      </c>
      <c r="I23" s="128" t="e">
        <f t="shared" si="1"/>
        <v>#N/A</v>
      </c>
      <c r="J23" s="129">
        <v>64</v>
      </c>
      <c r="K23" s="130" t="e">
        <f t="shared" si="2"/>
        <v>#N/A</v>
      </c>
      <c r="L23" s="125"/>
      <c r="M23" s="131" t="e">
        <f t="shared" si="3"/>
        <v>#N/A</v>
      </c>
      <c r="N23" s="92" t="e">
        <f>IF(H23="Non",CONCATENATE(VLOOKUP(A23,liste_groupe[],5,FALSE),"-",VLOOKUP(A23,liste_groupe[],3,FALSE),VLOOKUP(A23,liste_groupe[],4,FALSE)," : ",ROUND(K23,0),"%"),CONCATENATE(VLOOKUP(A23,liste_groupe[],5,FALSE)," : ",ROUND(K23,0),"%"))</f>
        <v>#N/A</v>
      </c>
      <c r="O23" s="1"/>
    </row>
    <row r="24" spans="1:15" s="76" customFormat="1" ht="15.6" x14ac:dyDescent="0.3">
      <c r="A24" s="79" t="str">
        <f>'Page de garde'!A32</f>
        <v xml:space="preserve"> </v>
      </c>
      <c r="B24" s="99"/>
      <c r="C24" s="79"/>
      <c r="D24" s="79"/>
      <c r="E24" s="81"/>
      <c r="F24" s="97" t="e">
        <f>HLOOKUP(A24,'pooled normalised values'!$B$74:$V$83,10,FALSE)</f>
        <v>#N/A</v>
      </c>
      <c r="G24" s="128" t="e">
        <f t="shared" si="4"/>
        <v>#N/A</v>
      </c>
      <c r="H24" s="119" t="str">
        <f>IF(VLOOKUP(A24,liste_groupe[],4,FALSE)="%",VLOOKUP(A24,liste_groupe[],3,FALSE)/100,IF(ISBLANK(VLOOKUP(A24,liste_groupe[],4,FALSE)),"Non","Non"))</f>
        <v>Non</v>
      </c>
      <c r="I24" s="128" t="e">
        <f t="shared" si="1"/>
        <v>#N/A</v>
      </c>
      <c r="J24" s="129">
        <v>64</v>
      </c>
      <c r="K24" s="130" t="e">
        <f t="shared" si="2"/>
        <v>#N/A</v>
      </c>
      <c r="L24" s="125"/>
      <c r="M24" s="131" t="e">
        <f t="shared" si="3"/>
        <v>#N/A</v>
      </c>
      <c r="N24" s="92" t="e">
        <f>IF(H24="Non",CONCATENATE(VLOOKUP(A24,liste_groupe[],5,FALSE),"-",VLOOKUP(A24,liste_groupe[],3,FALSE),VLOOKUP(A24,liste_groupe[],4,FALSE)," : ",ROUND(K24,0),"%"),CONCATENATE(VLOOKUP(A24,liste_groupe[],5,FALSE)," : ",ROUND(K24,0),"%"))</f>
        <v>#N/A</v>
      </c>
      <c r="O24" s="1"/>
    </row>
    <row r="25" spans="1:15" s="76" customFormat="1" ht="15.6" x14ac:dyDescent="0.3">
      <c r="A25" s="79" t="str">
        <f>'Page de garde'!A33</f>
        <v xml:space="preserve"> </v>
      </c>
      <c r="B25" s="99"/>
      <c r="C25" s="79"/>
      <c r="D25" s="79"/>
      <c r="E25" s="81"/>
      <c r="F25" s="97" t="e">
        <f>HLOOKUP(A25,'pooled normalised values'!$B$74:$V$83,10,FALSE)</f>
        <v>#N/A</v>
      </c>
      <c r="G25" s="128" t="e">
        <f t="shared" si="4"/>
        <v>#N/A</v>
      </c>
      <c r="H25" s="119" t="str">
        <f>IF(VLOOKUP(A25,liste_groupe[],4,FALSE)="%",VLOOKUP(A25,liste_groupe[],3,FALSE)/100,IF(ISBLANK(VLOOKUP(A25,liste_groupe[],4,FALSE)),"Non","Non"))</f>
        <v>Non</v>
      </c>
      <c r="I25" s="128" t="e">
        <f t="shared" si="1"/>
        <v>#N/A</v>
      </c>
      <c r="J25" s="129">
        <v>64</v>
      </c>
      <c r="K25" s="130" t="e">
        <f t="shared" si="2"/>
        <v>#N/A</v>
      </c>
      <c r="L25" s="125"/>
      <c r="M25" s="131" t="e">
        <f t="shared" si="3"/>
        <v>#N/A</v>
      </c>
      <c r="N25" s="92" t="e">
        <f>IF(H25="Non",CONCATENATE(VLOOKUP(A25,liste_groupe[],5,FALSE),"-",VLOOKUP(A25,liste_groupe[],3,FALSE),VLOOKUP(A25,liste_groupe[],4,FALSE)," : ",ROUND(K25,0),"%"),CONCATENATE(VLOOKUP(A25,liste_groupe[],5,FALSE)," : ",ROUND(K25,0),"%"))</f>
        <v>#N/A</v>
      </c>
      <c r="O25" s="1"/>
    </row>
    <row r="26" spans="1:15" s="76" customFormat="1" ht="15.6" x14ac:dyDescent="0.3">
      <c r="A26" s="79" t="str">
        <f>'Page de garde'!A34</f>
        <v xml:space="preserve"> </v>
      </c>
      <c r="B26" s="98"/>
      <c r="C26" s="85"/>
      <c r="D26" s="85"/>
      <c r="E26" s="81"/>
      <c r="F26" s="97" t="e">
        <f>HLOOKUP(A26,'pooled normalised values'!$B$74:$V$83,10,FALSE)</f>
        <v>#N/A</v>
      </c>
      <c r="G26" s="128" t="e">
        <f t="shared" ref="G26" si="5">IF(F26="NS","NC",ROUND(B26,2-(1+INT(LOG10(ABS(B26))))))</f>
        <v>#N/A</v>
      </c>
      <c r="H26" s="119" t="str">
        <f>IF(VLOOKUP(A26,liste_groupe[],4,FALSE)="%",VLOOKUP(A26,liste_groupe[],3,FALSE)/100,IF(ISBLANK(VLOOKUP(A26,liste_groupe[],4,FALSE)),"Non","Non"))</f>
        <v>Non</v>
      </c>
      <c r="I26" s="128" t="e">
        <f t="shared" si="1"/>
        <v>#N/A</v>
      </c>
      <c r="J26" s="129">
        <v>64</v>
      </c>
      <c r="K26" s="130" t="e">
        <f t="shared" si="2"/>
        <v>#N/A</v>
      </c>
      <c r="L26" s="125"/>
      <c r="M26" s="131" t="e">
        <f t="shared" si="3"/>
        <v>#N/A</v>
      </c>
      <c r="N26" s="92" t="e">
        <f>IF(H26="Non",CONCATENATE(VLOOKUP(A26,liste_groupe[],5,FALSE),"-",VLOOKUP(A26,liste_groupe[],3,FALSE),VLOOKUP(A26,liste_groupe[],4,FALSE)," : ",ROUND(K26,0),"%"),CONCATENATE(VLOOKUP(A26,liste_groupe[],5,FALSE)," : ",ROUND(K26,0),"%"))</f>
        <v>#N/A</v>
      </c>
      <c r="O26"/>
    </row>
    <row r="27" spans="1:15" s="76" customFormat="1" ht="15.6" x14ac:dyDescent="0.3">
      <c r="A27"/>
      <c r="B27"/>
      <c r="C27"/>
      <c r="D27"/>
      <c r="E27"/>
      <c r="F27"/>
      <c r="G27"/>
      <c r="H27"/>
      <c r="I27"/>
      <c r="J27"/>
      <c r="K27"/>
      <c r="L27"/>
      <c r="M27"/>
      <c r="N27"/>
      <c r="O27" s="1"/>
    </row>
    <row r="28" spans="1:15" s="76" customFormat="1" ht="31.8" thickBot="1" x14ac:dyDescent="0.35">
      <c r="A28"/>
      <c r="B28" s="87" t="s">
        <v>25</v>
      </c>
      <c r="C28" s="87" t="s">
        <v>26</v>
      </c>
      <c r="D28" s="87" t="s">
        <v>27</v>
      </c>
      <c r="E28" s="88" t="s">
        <v>64</v>
      </c>
      <c r="F28" s="126" t="s">
        <v>80</v>
      </c>
      <c r="G28" s="94" t="s">
        <v>42</v>
      </c>
      <c r="H28" s="94" t="s">
        <v>65</v>
      </c>
      <c r="I28" s="94" t="s">
        <v>66</v>
      </c>
      <c r="J28" s="95" t="s">
        <v>77</v>
      </c>
      <c r="K28" s="95" t="s">
        <v>67</v>
      </c>
      <c r="L28" s="96" t="s">
        <v>76</v>
      </c>
      <c r="M28" s="96" t="s">
        <v>68</v>
      </c>
      <c r="N28" s="96" t="s">
        <v>69</v>
      </c>
      <c r="O28" s="1"/>
    </row>
    <row r="29" spans="1:15" s="76" customFormat="1" ht="15.6" x14ac:dyDescent="0.3">
      <c r="A29" s="83" t="s">
        <v>29</v>
      </c>
      <c r="B29" s="99"/>
      <c r="C29" s="79"/>
      <c r="D29" s="79"/>
      <c r="E29" s="81"/>
      <c r="F29" s="90"/>
      <c r="G29" s="133"/>
      <c r="H29" s="120"/>
      <c r="I29" s="120"/>
      <c r="J29" s="121"/>
      <c r="K29" s="122"/>
      <c r="L29" s="124"/>
      <c r="M29" s="121"/>
      <c r="N29" s="91"/>
      <c r="O29"/>
    </row>
    <row r="30" spans="1:15" s="76" customFormat="1" ht="15.6" x14ac:dyDescent="0.3">
      <c r="A30" s="83" t="s">
        <v>31</v>
      </c>
      <c r="B30" s="99"/>
      <c r="C30" s="79"/>
      <c r="D30" s="79"/>
      <c r="E30" s="81"/>
      <c r="F30" s="90"/>
      <c r="G30" s="132" t="e">
        <f>IF(F30="NS","NC",ROUND(B30-$B$29,2-(1+INT(LOG10(ABS(B30-$B$29))))))</f>
        <v>#NUM!</v>
      </c>
      <c r="H30" s="120"/>
      <c r="I30" s="133"/>
      <c r="J30" s="134"/>
      <c r="K30" s="135"/>
      <c r="L30" s="134"/>
      <c r="M30" s="134"/>
      <c r="N30" s="136"/>
      <c r="O30"/>
    </row>
    <row r="31" spans="1:15" s="76" customFormat="1" ht="15.6" x14ac:dyDescent="0.3">
      <c r="A31" s="83" t="s">
        <v>30</v>
      </c>
      <c r="B31" s="99"/>
      <c r="C31" s="79"/>
      <c r="D31" s="79"/>
      <c r="E31" s="81"/>
      <c r="F31" s="90"/>
      <c r="G31" s="132" t="e">
        <f t="shared" ref="G31:G51" si="6">IF(F31="NS","NC",ROUND(B31-$B$29,2-(1+INT(LOG10(ABS(B31-$B$29))))))</f>
        <v>#NUM!</v>
      </c>
      <c r="H31" s="120"/>
      <c r="I31" s="133"/>
      <c r="J31" s="134"/>
      <c r="K31" s="135"/>
      <c r="L31" s="134"/>
      <c r="M31" s="134"/>
      <c r="N31" s="136"/>
    </row>
    <row r="32" spans="1:15" s="76" customFormat="1" ht="15.6" x14ac:dyDescent="0.3">
      <c r="A32" s="127" t="str">
        <f>'Page de garde'!A39</f>
        <v>Testosterone-3.7µg/L + Testostérone</v>
      </c>
      <c r="B32" s="99"/>
      <c r="C32" s="79"/>
      <c r="D32" s="79"/>
      <c r="E32" s="81"/>
      <c r="F32" s="93" t="str">
        <f>HLOOKUP(A32,'pooled normalised values'!$B$74:$V$83,10,FALSE)</f>
        <v>ns</v>
      </c>
      <c r="G32" s="132" t="str">
        <f t="shared" si="6"/>
        <v>NC</v>
      </c>
      <c r="H32" s="123" t="str">
        <f>IF(VLOOKUP(A32,liste_groupe[],4,FALSE)="%",VLOOKUP(A32,liste_groupe[],3,FALSE)/100,IF(ISBLANK(VLOOKUP(A32,liste_groupe[],4,FALSE)),"Non","Non"))</f>
        <v>Non</v>
      </c>
      <c r="I32" s="132" t="str">
        <f>IF(F32="NS","NC",IF(H32="Non",G32,G32*(1/H32)))</f>
        <v>NC</v>
      </c>
      <c r="J32" s="137" t="e">
        <f>IF(G32&lt;0,$G$31,$G$30)</f>
        <v>#NUM!</v>
      </c>
      <c r="K32" s="138">
        <f>IF(F32="NS",0,IF(I32&lt;0,-ROUND(I32/J32*100,0),ROUND(I32/J32*100,0)))</f>
        <v>0</v>
      </c>
      <c r="L32" s="139">
        <v>1</v>
      </c>
      <c r="M32" s="131">
        <f>IF(I32&lt;0,IF(K32&lt;-100,-125,K32),IF(K32&gt;100,125,K32))</f>
        <v>0</v>
      </c>
      <c r="N32" s="140" t="str">
        <f>IF(H32="Non",CONCATENATE(VLOOKUP(A32,liste_groupe[],5,FALSE),"-",VLOOKUP(A32,liste_groupe[],3,FALSE),VLOOKUP(A32,liste_groupe[],4,FALSE)," : ",ROUND(K32,0),"%"),CONCATENATE(VLOOKUP(A32,liste_groupe[],5,FALSE)," : ",ROUND(K32,0),"%"))</f>
        <v>Testosterone-3.7µg/L : 0%</v>
      </c>
    </row>
    <row r="33" spans="1:14" s="76" customFormat="1" ht="15.6" x14ac:dyDescent="0.3">
      <c r="A33" s="127" t="str">
        <f>'Page de garde'!A40</f>
        <v>Testosterone-11µg/L + Testostérone</v>
      </c>
      <c r="B33" s="98"/>
      <c r="C33" s="86"/>
      <c r="D33" s="86"/>
      <c r="E33" s="81"/>
      <c r="F33" s="93" t="str">
        <f>HLOOKUP(A33,'pooled normalised values'!$B$74:$V$83,10,FALSE)</f>
        <v>ns</v>
      </c>
      <c r="G33" s="132" t="str">
        <f>IF(F33="NS","NC",ROUND(B33-$B$29,2-(1+INT(LOG10(ABS(B33-$B$29))))))</f>
        <v>NC</v>
      </c>
      <c r="H33" s="123" t="str">
        <f>IF(VLOOKUP(A33,liste_groupe[],4,FALSE)="%",VLOOKUP(A33,liste_groupe[],3,FALSE)/100,IF(ISBLANK(VLOOKUP(A33,liste_groupe[],4,FALSE)),"Non","Non"))</f>
        <v>Non</v>
      </c>
      <c r="I33" s="132" t="str">
        <f t="shared" ref="I33:I51" si="7">IF(F33="NS","NC",IF(H33="Non",G33,G33*(1/H33)))</f>
        <v>NC</v>
      </c>
      <c r="J33" s="137" t="e">
        <f t="shared" ref="J33:J51" si="8">IF(G33&lt;0,$G$31,$G$30)</f>
        <v>#NUM!</v>
      </c>
      <c r="K33" s="138">
        <f t="shared" ref="K33:K51" si="9">IF(F33="NS",0,IF(I33&lt;0,-ROUND(I33/J33*100,0),ROUND(I33/J33*100,0)))</f>
        <v>0</v>
      </c>
      <c r="L33" s="139"/>
      <c r="M33" s="131">
        <f t="shared" ref="M33:M51" si="10">IF(I33&lt;0,IF(K33&lt;-100,-125,K33),IF(K33&gt;100,125,K33))</f>
        <v>0</v>
      </c>
      <c r="N33" s="140" t="str">
        <f>IF(H33="Non",CONCATENATE(VLOOKUP(A33,liste_groupe[],5,FALSE),"-",VLOOKUP(A33,liste_groupe[],3,FALSE),VLOOKUP(A33,liste_groupe[],4,FALSE)," : ",ROUND(K33,0),"%"),CONCATENATE(VLOOKUP(A33,liste_groupe[],5,FALSE)," : ",ROUND(K33,0),"%"))</f>
        <v>Testosterone-11µg/L : 0%</v>
      </c>
    </row>
    <row r="34" spans="1:14" s="76" customFormat="1" ht="15.6" x14ac:dyDescent="0.3">
      <c r="A34" s="127" t="str">
        <f>'Page de garde'!A41</f>
        <v>Testosterone-33µg/L + Testostérone</v>
      </c>
      <c r="B34" s="99"/>
      <c r="C34" s="79"/>
      <c r="D34" s="79"/>
      <c r="E34" s="81"/>
      <c r="F34" s="93" t="str">
        <f>HLOOKUP(A34,'pooled normalised values'!$B$74:$V$83,10,FALSE)</f>
        <v>**</v>
      </c>
      <c r="G34" s="132" t="e">
        <f t="shared" si="6"/>
        <v>#NUM!</v>
      </c>
      <c r="H34" s="123" t="str">
        <f>IF(VLOOKUP(A34,liste_groupe[],4,FALSE)="%",VLOOKUP(A34,liste_groupe[],3,FALSE)/100,IF(ISBLANK(VLOOKUP(A34,liste_groupe[],4,FALSE)),"Non","Non"))</f>
        <v>Non</v>
      </c>
      <c r="I34" s="132" t="e">
        <f t="shared" si="7"/>
        <v>#NUM!</v>
      </c>
      <c r="J34" s="137" t="e">
        <f t="shared" si="8"/>
        <v>#NUM!</v>
      </c>
      <c r="K34" s="138" t="e">
        <f t="shared" si="9"/>
        <v>#NUM!</v>
      </c>
      <c r="L34" s="139"/>
      <c r="M34" s="131" t="e">
        <f t="shared" si="10"/>
        <v>#NUM!</v>
      </c>
      <c r="N34" s="140" t="e">
        <f>IF(H34="Non",CONCATENATE(VLOOKUP(A34,liste_groupe[],5,FALSE),"-",VLOOKUP(A34,liste_groupe[],3,FALSE),VLOOKUP(A34,liste_groupe[],4,FALSE)," : ",ROUND(K34,0),"%"),CONCATENATE(VLOOKUP(A34,liste_groupe[],5,FALSE)," : ",ROUND(K34,0),"%"))</f>
        <v>#NUM!</v>
      </c>
    </row>
    <row r="35" spans="1:14" s="76" customFormat="1" ht="15.6" x14ac:dyDescent="0.3">
      <c r="A35" s="127" t="str">
        <f>'Page de garde'!A42</f>
        <v>Testosterone-100µg/L + Testostérone</v>
      </c>
      <c r="B35" s="98"/>
      <c r="C35" s="86"/>
      <c r="D35" s="86"/>
      <c r="E35" s="81"/>
      <c r="F35" s="93" t="str">
        <f>HLOOKUP(A35,'pooled normalised values'!$B$74:$V$83,10,FALSE)</f>
        <v>**</v>
      </c>
      <c r="G35" s="132" t="e">
        <f t="shared" si="6"/>
        <v>#NUM!</v>
      </c>
      <c r="H35" s="123" t="str">
        <f>IF(VLOOKUP(A35,liste_groupe[],4,FALSE)="%",VLOOKUP(A35,liste_groupe[],3,FALSE)/100,IF(ISBLANK(VLOOKUP(A35,liste_groupe[],4,FALSE)),"Non","Non"))</f>
        <v>Non</v>
      </c>
      <c r="I35" s="132" t="e">
        <f t="shared" si="7"/>
        <v>#NUM!</v>
      </c>
      <c r="J35" s="137" t="e">
        <f t="shared" si="8"/>
        <v>#NUM!</v>
      </c>
      <c r="K35" s="138" t="e">
        <f t="shared" si="9"/>
        <v>#NUM!</v>
      </c>
      <c r="L35" s="139"/>
      <c r="M35" s="131" t="e">
        <f t="shared" si="10"/>
        <v>#NUM!</v>
      </c>
      <c r="N35" s="140" t="e">
        <f>IF(H35="Non",CONCATENATE(VLOOKUP(A35,liste_groupe[],5,FALSE),"-",VLOOKUP(A35,liste_groupe[],3,FALSE),VLOOKUP(A35,liste_groupe[],4,FALSE)," : ",ROUND(K35,0),"%"),CONCATENATE(VLOOKUP(A35,liste_groupe[],5,FALSE)," : ",ROUND(K35,0),"%"))</f>
        <v>#NUM!</v>
      </c>
    </row>
    <row r="36" spans="1:14" s="76" customFormat="1" ht="15.6" x14ac:dyDescent="0.3">
      <c r="A36" s="127" t="str">
        <f>'Page de garde'!A43</f>
        <v>Testosterone-300µg/L + Testostérone</v>
      </c>
      <c r="B36" s="98"/>
      <c r="C36" s="86"/>
      <c r="D36" s="86"/>
      <c r="E36" s="81"/>
      <c r="F36" s="93" t="str">
        <f>HLOOKUP(A36,'pooled normalised values'!$B$74:$V$83,10,FALSE)</f>
        <v>***</v>
      </c>
      <c r="G36" s="132" t="e">
        <f t="shared" si="6"/>
        <v>#NUM!</v>
      </c>
      <c r="H36" s="123" t="str">
        <f>IF(VLOOKUP(A36,liste_groupe[],4,FALSE)="%",VLOOKUP(A36,liste_groupe[],3,FALSE)/100,IF(ISBLANK(VLOOKUP(A36,liste_groupe[],4,FALSE)),"Non","Non"))</f>
        <v>Non</v>
      </c>
      <c r="I36" s="132" t="e">
        <f t="shared" si="7"/>
        <v>#NUM!</v>
      </c>
      <c r="J36" s="137" t="e">
        <f t="shared" si="8"/>
        <v>#NUM!</v>
      </c>
      <c r="K36" s="138" t="e">
        <f t="shared" si="9"/>
        <v>#NUM!</v>
      </c>
      <c r="L36" s="139"/>
      <c r="M36" s="131" t="e">
        <f t="shared" si="10"/>
        <v>#NUM!</v>
      </c>
      <c r="N36" s="140" t="e">
        <f>IF(H36="Non",CONCATENATE(VLOOKUP(A36,liste_groupe[],5,FALSE),"-",VLOOKUP(A36,liste_groupe[],3,FALSE),VLOOKUP(A36,liste_groupe[],4,FALSE)," : ",ROUND(K36,0),"%"),CONCATENATE(VLOOKUP(A36,liste_groupe[],5,FALSE)," : ",ROUND(K36,0),"%"))</f>
        <v>#NUM!</v>
      </c>
    </row>
    <row r="37" spans="1:14" s="76" customFormat="1" ht="15.6" x14ac:dyDescent="0.3">
      <c r="A37" s="127" t="str">
        <f>'Page de garde'!A44</f>
        <v>0-00 + Testostérone</v>
      </c>
      <c r="B37" s="98"/>
      <c r="C37" s="86"/>
      <c r="D37" s="86"/>
      <c r="E37" s="81"/>
      <c r="F37" s="93" t="e">
        <f>HLOOKUP(A37,'pooled normalised values'!$B$74:$V$83,10,FALSE)</f>
        <v>#N/A</v>
      </c>
      <c r="G37" s="132" t="e">
        <f t="shared" si="6"/>
        <v>#N/A</v>
      </c>
      <c r="H37" s="123" t="str">
        <f>IF(VLOOKUP(A37,liste_groupe[],4,FALSE)="%",VLOOKUP(A37,liste_groupe[],3,FALSE)/100,IF(ISBLANK(VLOOKUP(A37,liste_groupe[],4,FALSE)),"Non","Non"))</f>
        <v>Non</v>
      </c>
      <c r="I37" s="132" t="e">
        <f t="shared" si="7"/>
        <v>#N/A</v>
      </c>
      <c r="J37" s="137" t="e">
        <f t="shared" si="8"/>
        <v>#N/A</v>
      </c>
      <c r="K37" s="138" t="e">
        <f t="shared" si="9"/>
        <v>#N/A</v>
      </c>
      <c r="L37" s="139"/>
      <c r="M37" s="131" t="e">
        <f t="shared" si="10"/>
        <v>#N/A</v>
      </c>
      <c r="N37" s="140" t="e">
        <f>IF(H37="Non",CONCATENATE(VLOOKUP(A37,liste_groupe[],5,FALSE),"-",VLOOKUP(A37,liste_groupe[],3,FALSE),VLOOKUP(A37,liste_groupe[],4,FALSE)," : ",ROUND(K37,0),"%"),CONCATENATE(VLOOKUP(A37,liste_groupe[],5,FALSE)," : ",ROUND(K37,0),"%"))</f>
        <v>#N/A</v>
      </c>
    </row>
    <row r="38" spans="1:14" s="76" customFormat="1" ht="15.6" x14ac:dyDescent="0.3">
      <c r="A38" s="127" t="str">
        <f>'Page de garde'!A45</f>
        <v>0-00 + Testostérone</v>
      </c>
      <c r="B38" s="98"/>
      <c r="C38" s="86"/>
      <c r="D38" s="86"/>
      <c r="E38" s="81"/>
      <c r="F38" s="93" t="e">
        <f>HLOOKUP(A38,'pooled normalised values'!$B$74:$V$83,10,FALSE)</f>
        <v>#N/A</v>
      </c>
      <c r="G38" s="132" t="e">
        <f t="shared" si="6"/>
        <v>#N/A</v>
      </c>
      <c r="H38" s="123" t="str">
        <f>IF(VLOOKUP(A38,liste_groupe[],4,FALSE)="%",VLOOKUP(A38,liste_groupe[],3,FALSE)/100,IF(ISBLANK(VLOOKUP(A38,liste_groupe[],4,FALSE)),"Non","Non"))</f>
        <v>Non</v>
      </c>
      <c r="I38" s="132" t="e">
        <f t="shared" si="7"/>
        <v>#N/A</v>
      </c>
      <c r="J38" s="137" t="e">
        <f t="shared" si="8"/>
        <v>#N/A</v>
      </c>
      <c r="K38" s="138" t="e">
        <f t="shared" si="9"/>
        <v>#N/A</v>
      </c>
      <c r="L38" s="139"/>
      <c r="M38" s="131" t="e">
        <f t="shared" si="10"/>
        <v>#N/A</v>
      </c>
      <c r="N38" s="140" t="e">
        <f>IF(H38="Non",CONCATENATE(VLOOKUP(A38,liste_groupe[],5,FALSE),"-",VLOOKUP(A38,liste_groupe[],3,FALSE),VLOOKUP(A38,liste_groupe[],4,FALSE)," : ",ROUND(K38,0),"%"),CONCATENATE(VLOOKUP(A38,liste_groupe[],5,FALSE)," : ",ROUND(K38,0),"%"))</f>
        <v>#N/A</v>
      </c>
    </row>
    <row r="39" spans="1:14" s="76" customFormat="1" ht="15.6" x14ac:dyDescent="0.3">
      <c r="A39" s="127" t="str">
        <f>'Page de garde'!A46</f>
        <v>0-00 + Testostérone</v>
      </c>
      <c r="B39" s="98"/>
      <c r="C39" s="86"/>
      <c r="D39" s="86"/>
      <c r="E39" s="81"/>
      <c r="F39" s="93" t="e">
        <f>HLOOKUP(A39,'pooled normalised values'!$B$74:$V$83,10,FALSE)</f>
        <v>#N/A</v>
      </c>
      <c r="G39" s="132" t="e">
        <f t="shared" ref="G39:G50" si="11">IF(F39="NS","NC",ROUND(B39-$B$29,2-(1+INT(LOG10(ABS(B39-$B$29))))))</f>
        <v>#N/A</v>
      </c>
      <c r="H39" s="123" t="str">
        <f>IF(VLOOKUP(A39,liste_groupe[],4,FALSE)="%",VLOOKUP(A39,liste_groupe[],3,FALSE)/100,IF(ISBLANK(VLOOKUP(A39,liste_groupe[],4,FALSE)),"Non","Non"))</f>
        <v>Non</v>
      </c>
      <c r="I39" s="132" t="e">
        <f t="shared" si="7"/>
        <v>#N/A</v>
      </c>
      <c r="J39" s="137" t="e">
        <f t="shared" ref="J39:J50" si="12">IF(G39&lt;0,$G$31,$G$30)</f>
        <v>#N/A</v>
      </c>
      <c r="K39" s="138" t="e">
        <f t="shared" si="9"/>
        <v>#N/A</v>
      </c>
      <c r="L39" s="139"/>
      <c r="M39" s="131" t="e">
        <f t="shared" si="10"/>
        <v>#N/A</v>
      </c>
      <c r="N39" s="140" t="e">
        <f>IF(H39="Non",CONCATENATE(VLOOKUP(A39,liste_groupe[],5,FALSE),"-",VLOOKUP(A39,liste_groupe[],3,FALSE),VLOOKUP(A39,liste_groupe[],4,FALSE)," : ",ROUND(K39,0),"%"),CONCATENATE(VLOOKUP(A39,liste_groupe[],5,FALSE)," : ",ROUND(K39,0),"%"))</f>
        <v>#N/A</v>
      </c>
    </row>
    <row r="40" spans="1:14" s="76" customFormat="1" ht="15.6" x14ac:dyDescent="0.3">
      <c r="A40" s="127" t="str">
        <f>'Page de garde'!A47</f>
        <v>0-00 + Testostérone</v>
      </c>
      <c r="B40" s="98"/>
      <c r="C40" s="86"/>
      <c r="D40" s="86"/>
      <c r="E40" s="81"/>
      <c r="F40" s="93" t="e">
        <f>HLOOKUP(A40,'pooled normalised values'!$B$74:$V$83,10,FALSE)</f>
        <v>#N/A</v>
      </c>
      <c r="G40" s="132" t="e">
        <f t="shared" si="11"/>
        <v>#N/A</v>
      </c>
      <c r="H40" s="123" t="str">
        <f>IF(VLOOKUP(A40,liste_groupe[],4,FALSE)="%",VLOOKUP(A40,liste_groupe[],3,FALSE)/100,IF(ISBLANK(VLOOKUP(A40,liste_groupe[],4,FALSE)),"Non","Non"))</f>
        <v>Non</v>
      </c>
      <c r="I40" s="132" t="e">
        <f t="shared" si="7"/>
        <v>#N/A</v>
      </c>
      <c r="J40" s="137" t="e">
        <f t="shared" si="12"/>
        <v>#N/A</v>
      </c>
      <c r="K40" s="138" t="e">
        <f t="shared" si="9"/>
        <v>#N/A</v>
      </c>
      <c r="L40" s="139"/>
      <c r="M40" s="131" t="e">
        <f t="shared" si="10"/>
        <v>#N/A</v>
      </c>
      <c r="N40" s="140" t="e">
        <f>IF(H40="Non",CONCATENATE(VLOOKUP(A40,liste_groupe[],5,FALSE),"-",VLOOKUP(A40,liste_groupe[],3,FALSE),VLOOKUP(A40,liste_groupe[],4,FALSE)," : ",ROUND(K40,0),"%"),CONCATENATE(VLOOKUP(A40,liste_groupe[],5,FALSE)," : ",ROUND(K40,0),"%"))</f>
        <v>#N/A</v>
      </c>
    </row>
    <row r="41" spans="1:14" s="76" customFormat="1" ht="15.6" x14ac:dyDescent="0.3">
      <c r="A41" s="127" t="str">
        <f>'Page de garde'!A48</f>
        <v>0-00 + Testostérone</v>
      </c>
      <c r="B41" s="98"/>
      <c r="C41" s="86"/>
      <c r="D41" s="86"/>
      <c r="E41" s="81"/>
      <c r="F41" s="93" t="e">
        <f>HLOOKUP(A41,'pooled normalised values'!$B$74:$V$83,10,FALSE)</f>
        <v>#N/A</v>
      </c>
      <c r="G41" s="132" t="e">
        <f t="shared" si="11"/>
        <v>#N/A</v>
      </c>
      <c r="H41" s="123" t="str">
        <f>IF(VLOOKUP(A41,liste_groupe[],4,FALSE)="%",VLOOKUP(A41,liste_groupe[],3,FALSE)/100,IF(ISBLANK(VLOOKUP(A41,liste_groupe[],4,FALSE)),"Non","Non"))</f>
        <v>Non</v>
      </c>
      <c r="I41" s="132" t="e">
        <f t="shared" si="7"/>
        <v>#N/A</v>
      </c>
      <c r="J41" s="137" t="e">
        <f t="shared" si="12"/>
        <v>#N/A</v>
      </c>
      <c r="K41" s="138" t="e">
        <f t="shared" si="9"/>
        <v>#N/A</v>
      </c>
      <c r="L41" s="139"/>
      <c r="M41" s="131" t="e">
        <f t="shared" si="10"/>
        <v>#N/A</v>
      </c>
      <c r="N41" s="140" t="e">
        <f>IF(H41="Non",CONCATENATE(VLOOKUP(A41,liste_groupe[],5,FALSE),"-",VLOOKUP(A41,liste_groupe[],3,FALSE),VLOOKUP(A41,liste_groupe[],4,FALSE)," : ",ROUND(K41,0),"%"),CONCATENATE(VLOOKUP(A41,liste_groupe[],5,FALSE)," : ",ROUND(K41,0),"%"))</f>
        <v>#N/A</v>
      </c>
    </row>
    <row r="42" spans="1:14" s="76" customFormat="1" ht="15.6" x14ac:dyDescent="0.3">
      <c r="A42" s="127" t="str">
        <f>'Page de garde'!A49</f>
        <v>0-00 + Testostérone</v>
      </c>
      <c r="B42" s="98"/>
      <c r="C42" s="86"/>
      <c r="D42" s="86"/>
      <c r="E42" s="81"/>
      <c r="F42" s="93" t="e">
        <f>HLOOKUP(A42,'pooled normalised values'!$B$74:$V$83,10,FALSE)</f>
        <v>#N/A</v>
      </c>
      <c r="G42" s="132" t="e">
        <f t="shared" si="11"/>
        <v>#N/A</v>
      </c>
      <c r="H42" s="123" t="str">
        <f>IF(VLOOKUP(A42,liste_groupe[],4,FALSE)="%",VLOOKUP(A42,liste_groupe[],3,FALSE)/100,IF(ISBLANK(VLOOKUP(A42,liste_groupe[],4,FALSE)),"Non","Non"))</f>
        <v>Non</v>
      </c>
      <c r="I42" s="132" t="e">
        <f t="shared" si="7"/>
        <v>#N/A</v>
      </c>
      <c r="J42" s="137" t="e">
        <f t="shared" si="12"/>
        <v>#N/A</v>
      </c>
      <c r="K42" s="138" t="e">
        <f t="shared" si="9"/>
        <v>#N/A</v>
      </c>
      <c r="L42" s="139"/>
      <c r="M42" s="131" t="e">
        <f t="shared" si="10"/>
        <v>#N/A</v>
      </c>
      <c r="N42" s="140" t="e">
        <f>IF(H42="Non",CONCATENATE(VLOOKUP(A42,liste_groupe[],5,FALSE),"-",VLOOKUP(A42,liste_groupe[],3,FALSE),VLOOKUP(A42,liste_groupe[],4,FALSE)," : ",ROUND(K42,0),"%"),CONCATENATE(VLOOKUP(A42,liste_groupe[],5,FALSE)," : ",ROUND(K42,0),"%"))</f>
        <v>#N/A</v>
      </c>
    </row>
    <row r="43" spans="1:14" s="76" customFormat="1" ht="15.6" x14ac:dyDescent="0.3">
      <c r="A43" s="127" t="str">
        <f>'Page de garde'!A50</f>
        <v>0-00 + Testostérone</v>
      </c>
      <c r="B43" s="98"/>
      <c r="C43" s="86"/>
      <c r="D43" s="86"/>
      <c r="E43" s="81"/>
      <c r="F43" s="93" t="e">
        <f>HLOOKUP(A43,'pooled normalised values'!$B$74:$V$83,10,FALSE)</f>
        <v>#N/A</v>
      </c>
      <c r="G43" s="132" t="e">
        <f t="shared" si="11"/>
        <v>#N/A</v>
      </c>
      <c r="H43" s="123" t="str">
        <f>IF(VLOOKUP(A43,liste_groupe[],4,FALSE)="%",VLOOKUP(A43,liste_groupe[],3,FALSE)/100,IF(ISBLANK(VLOOKUP(A43,liste_groupe[],4,FALSE)),"Non","Non"))</f>
        <v>Non</v>
      </c>
      <c r="I43" s="132" t="e">
        <f t="shared" si="7"/>
        <v>#N/A</v>
      </c>
      <c r="J43" s="137" t="e">
        <f t="shared" si="12"/>
        <v>#N/A</v>
      </c>
      <c r="K43" s="138" t="e">
        <f t="shared" si="9"/>
        <v>#N/A</v>
      </c>
      <c r="L43" s="139"/>
      <c r="M43" s="131" t="e">
        <f t="shared" si="10"/>
        <v>#N/A</v>
      </c>
      <c r="N43" s="140" t="e">
        <f>IF(H43="Non",CONCATENATE(VLOOKUP(A43,liste_groupe[],5,FALSE),"-",VLOOKUP(A43,liste_groupe[],3,FALSE),VLOOKUP(A43,liste_groupe[],4,FALSE)," : ",ROUND(K43,0),"%"),CONCATENATE(VLOOKUP(A43,liste_groupe[],5,FALSE)," : ",ROUND(K43,0),"%"))</f>
        <v>#N/A</v>
      </c>
    </row>
    <row r="44" spans="1:14" s="76" customFormat="1" ht="15.6" x14ac:dyDescent="0.3">
      <c r="A44" s="127" t="str">
        <f>'Page de garde'!A51</f>
        <v>0-00 + Testostérone</v>
      </c>
      <c r="B44" s="98"/>
      <c r="C44" s="86"/>
      <c r="D44" s="86"/>
      <c r="E44" s="81"/>
      <c r="F44" s="93" t="e">
        <f>HLOOKUP(A44,'pooled normalised values'!$B$74:$V$83,10,FALSE)</f>
        <v>#N/A</v>
      </c>
      <c r="G44" s="132" t="e">
        <f t="shared" si="11"/>
        <v>#N/A</v>
      </c>
      <c r="H44" s="123" t="str">
        <f>IF(VLOOKUP(A44,liste_groupe[],4,FALSE)="%",VLOOKUP(A44,liste_groupe[],3,FALSE)/100,IF(ISBLANK(VLOOKUP(A44,liste_groupe[],4,FALSE)),"Non","Non"))</f>
        <v>Non</v>
      </c>
      <c r="I44" s="132" t="e">
        <f t="shared" si="7"/>
        <v>#N/A</v>
      </c>
      <c r="J44" s="137" t="e">
        <f t="shared" si="12"/>
        <v>#N/A</v>
      </c>
      <c r="K44" s="138" t="e">
        <f t="shared" si="9"/>
        <v>#N/A</v>
      </c>
      <c r="L44" s="139"/>
      <c r="M44" s="131" t="e">
        <f t="shared" si="10"/>
        <v>#N/A</v>
      </c>
      <c r="N44" s="140" t="e">
        <f>IF(H44="Non",CONCATENATE(VLOOKUP(A44,liste_groupe[],5,FALSE),"-",VLOOKUP(A44,liste_groupe[],3,FALSE),VLOOKUP(A44,liste_groupe[],4,FALSE)," : ",ROUND(K44,0),"%"),CONCATENATE(VLOOKUP(A44,liste_groupe[],5,FALSE)," : ",ROUND(K44,0),"%"))</f>
        <v>#N/A</v>
      </c>
    </row>
    <row r="45" spans="1:14" s="76" customFormat="1" ht="15.6" x14ac:dyDescent="0.3">
      <c r="A45" s="127" t="str">
        <f>'Page de garde'!A52</f>
        <v>0-00 + Testostérone</v>
      </c>
      <c r="B45" s="98"/>
      <c r="C45" s="86"/>
      <c r="D45" s="86"/>
      <c r="E45" s="81"/>
      <c r="F45" s="93" t="e">
        <f>HLOOKUP(A45,'pooled normalised values'!$B$74:$V$83,10,FALSE)</f>
        <v>#N/A</v>
      </c>
      <c r="G45" s="132" t="e">
        <f t="shared" si="11"/>
        <v>#N/A</v>
      </c>
      <c r="H45" s="123" t="str">
        <f>IF(VLOOKUP(A45,liste_groupe[],4,FALSE)="%",VLOOKUP(A45,liste_groupe[],3,FALSE)/100,IF(ISBLANK(VLOOKUP(A45,liste_groupe[],4,FALSE)),"Non","Non"))</f>
        <v>Non</v>
      </c>
      <c r="I45" s="132" t="e">
        <f t="shared" si="7"/>
        <v>#N/A</v>
      </c>
      <c r="J45" s="137" t="e">
        <f t="shared" si="12"/>
        <v>#N/A</v>
      </c>
      <c r="K45" s="138" t="e">
        <f t="shared" si="9"/>
        <v>#N/A</v>
      </c>
      <c r="L45" s="139"/>
      <c r="M45" s="131" t="e">
        <f t="shared" si="10"/>
        <v>#N/A</v>
      </c>
      <c r="N45" s="140" t="e">
        <f>IF(H45="Non",CONCATENATE(VLOOKUP(A45,liste_groupe[],5,FALSE),"-",VLOOKUP(A45,liste_groupe[],3,FALSE),VLOOKUP(A45,liste_groupe[],4,FALSE)," : ",ROUND(K45,0),"%"),CONCATENATE(VLOOKUP(A45,liste_groupe[],5,FALSE)," : ",ROUND(K45,0),"%"))</f>
        <v>#N/A</v>
      </c>
    </row>
    <row r="46" spans="1:14" s="76" customFormat="1" ht="15.6" x14ac:dyDescent="0.3">
      <c r="A46" s="127" t="str">
        <f>'Page de garde'!A53</f>
        <v>0-00 + Testostérone</v>
      </c>
      <c r="B46" s="98"/>
      <c r="C46" s="86"/>
      <c r="D46" s="86"/>
      <c r="E46" s="81"/>
      <c r="F46" s="93" t="e">
        <f>HLOOKUP(A46,'pooled normalised values'!$B$74:$V$83,10,FALSE)</f>
        <v>#N/A</v>
      </c>
      <c r="G46" s="132" t="e">
        <f t="shared" si="11"/>
        <v>#N/A</v>
      </c>
      <c r="H46" s="123" t="str">
        <f>IF(VLOOKUP(A46,liste_groupe[],4,FALSE)="%",VLOOKUP(A46,liste_groupe[],3,FALSE)/100,IF(ISBLANK(VLOOKUP(A46,liste_groupe[],4,FALSE)),"Non","Non"))</f>
        <v>Non</v>
      </c>
      <c r="I46" s="132" t="e">
        <f t="shared" si="7"/>
        <v>#N/A</v>
      </c>
      <c r="J46" s="137" t="e">
        <f t="shared" si="12"/>
        <v>#N/A</v>
      </c>
      <c r="K46" s="138" t="e">
        <f t="shared" si="9"/>
        <v>#N/A</v>
      </c>
      <c r="L46" s="139"/>
      <c r="M46" s="131" t="e">
        <f t="shared" si="10"/>
        <v>#N/A</v>
      </c>
      <c r="N46" s="140" t="e">
        <f>IF(H46="Non",CONCATENATE(VLOOKUP(A46,liste_groupe[],5,FALSE),"-",VLOOKUP(A46,liste_groupe[],3,FALSE),VLOOKUP(A46,liste_groupe[],4,FALSE)," : ",ROUND(K46,0),"%"),CONCATENATE(VLOOKUP(A46,liste_groupe[],5,FALSE)," : ",ROUND(K46,0),"%"))</f>
        <v>#N/A</v>
      </c>
    </row>
    <row r="47" spans="1:14" s="76" customFormat="1" ht="15.6" x14ac:dyDescent="0.3">
      <c r="A47" s="127" t="str">
        <f>'Page de garde'!A54</f>
        <v>0-00 + Testostérone</v>
      </c>
      <c r="B47" s="98"/>
      <c r="C47" s="86"/>
      <c r="D47" s="86"/>
      <c r="E47" s="81"/>
      <c r="F47" s="93" t="e">
        <f>HLOOKUP(A47,'pooled normalised values'!$B$74:$V$83,10,FALSE)</f>
        <v>#N/A</v>
      </c>
      <c r="G47" s="132" t="e">
        <f t="shared" si="11"/>
        <v>#N/A</v>
      </c>
      <c r="H47" s="123" t="str">
        <f>IF(VLOOKUP(A47,liste_groupe[],4,FALSE)="%",VLOOKUP(A47,liste_groupe[],3,FALSE)/100,IF(ISBLANK(VLOOKUP(A47,liste_groupe[],4,FALSE)),"Non","Non"))</f>
        <v>Non</v>
      </c>
      <c r="I47" s="132" t="e">
        <f t="shared" si="7"/>
        <v>#N/A</v>
      </c>
      <c r="J47" s="137" t="e">
        <f t="shared" si="12"/>
        <v>#N/A</v>
      </c>
      <c r="K47" s="138" t="e">
        <f t="shared" si="9"/>
        <v>#N/A</v>
      </c>
      <c r="L47" s="139"/>
      <c r="M47" s="131" t="e">
        <f t="shared" si="10"/>
        <v>#N/A</v>
      </c>
      <c r="N47" s="140" t="e">
        <f>IF(H47="Non",CONCATENATE(VLOOKUP(A47,liste_groupe[],5,FALSE),"-",VLOOKUP(A47,liste_groupe[],3,FALSE),VLOOKUP(A47,liste_groupe[],4,FALSE)," : ",ROUND(K47,0),"%"),CONCATENATE(VLOOKUP(A47,liste_groupe[],5,FALSE)," : ",ROUND(K47,0),"%"))</f>
        <v>#N/A</v>
      </c>
    </row>
    <row r="48" spans="1:14" s="76" customFormat="1" ht="15.6" x14ac:dyDescent="0.3">
      <c r="A48" s="127" t="str">
        <f>'Page de garde'!A55</f>
        <v>0-00 + Testostérone</v>
      </c>
      <c r="B48" s="98"/>
      <c r="C48" s="86"/>
      <c r="D48" s="86"/>
      <c r="E48" s="81"/>
      <c r="F48" s="93" t="e">
        <f>HLOOKUP(A48,'pooled normalised values'!$B$74:$V$83,10,FALSE)</f>
        <v>#N/A</v>
      </c>
      <c r="G48" s="132" t="e">
        <f t="shared" si="11"/>
        <v>#N/A</v>
      </c>
      <c r="H48" s="123" t="str">
        <f>IF(VLOOKUP(A48,liste_groupe[],4,FALSE)="%",VLOOKUP(A48,liste_groupe[],3,FALSE)/100,IF(ISBLANK(VLOOKUP(A48,liste_groupe[],4,FALSE)),"Non","Non"))</f>
        <v>Non</v>
      </c>
      <c r="I48" s="132" t="e">
        <f t="shared" si="7"/>
        <v>#N/A</v>
      </c>
      <c r="J48" s="137" t="e">
        <f t="shared" si="12"/>
        <v>#N/A</v>
      </c>
      <c r="K48" s="138" t="e">
        <f t="shared" si="9"/>
        <v>#N/A</v>
      </c>
      <c r="L48" s="139"/>
      <c r="M48" s="131" t="e">
        <f t="shared" si="10"/>
        <v>#N/A</v>
      </c>
      <c r="N48" s="140" t="e">
        <f>IF(H48="Non",CONCATENATE(VLOOKUP(A48,liste_groupe[],5,FALSE),"-",VLOOKUP(A48,liste_groupe[],3,FALSE),VLOOKUP(A48,liste_groupe[],4,FALSE)," : ",ROUND(K48,0),"%"),CONCATENATE(VLOOKUP(A48,liste_groupe[],5,FALSE)," : ",ROUND(K48,0),"%"))</f>
        <v>#N/A</v>
      </c>
    </row>
    <row r="49" spans="1:15" s="76" customFormat="1" ht="15.6" x14ac:dyDescent="0.3">
      <c r="A49" s="127" t="str">
        <f>'Page de garde'!A56</f>
        <v>0-00 + Testostérone</v>
      </c>
      <c r="B49" s="98"/>
      <c r="C49" s="86"/>
      <c r="D49" s="86"/>
      <c r="E49" s="81"/>
      <c r="F49" s="93" t="e">
        <f>HLOOKUP(A49,'pooled normalised values'!$B$74:$V$83,10,FALSE)</f>
        <v>#N/A</v>
      </c>
      <c r="G49" s="132" t="e">
        <f t="shared" si="11"/>
        <v>#N/A</v>
      </c>
      <c r="H49" s="123" t="str">
        <f>IF(VLOOKUP(A49,liste_groupe[],4,FALSE)="%",VLOOKUP(A49,liste_groupe[],3,FALSE)/100,IF(ISBLANK(VLOOKUP(A49,liste_groupe[],4,FALSE)),"Non","Non"))</f>
        <v>Non</v>
      </c>
      <c r="I49" s="132" t="e">
        <f t="shared" si="7"/>
        <v>#N/A</v>
      </c>
      <c r="J49" s="137" t="e">
        <f t="shared" si="12"/>
        <v>#N/A</v>
      </c>
      <c r="K49" s="138" t="e">
        <f t="shared" si="9"/>
        <v>#N/A</v>
      </c>
      <c r="L49" s="139"/>
      <c r="M49" s="131" t="e">
        <f t="shared" si="10"/>
        <v>#N/A</v>
      </c>
      <c r="N49" s="140" t="e">
        <f>IF(H49="Non",CONCATENATE(VLOOKUP(A49,liste_groupe[],5,FALSE),"-",VLOOKUP(A49,liste_groupe[],3,FALSE),VLOOKUP(A49,liste_groupe[],4,FALSE)," : ",ROUND(K49,0),"%"),CONCATENATE(VLOOKUP(A49,liste_groupe[],5,FALSE)," : ",ROUND(K49,0),"%"))</f>
        <v>#N/A</v>
      </c>
    </row>
    <row r="50" spans="1:15" s="76" customFormat="1" ht="15.6" x14ac:dyDescent="0.3">
      <c r="A50" s="127" t="str">
        <f>'Page de garde'!A57</f>
        <v>0-00 + Testostérone</v>
      </c>
      <c r="B50" s="98"/>
      <c r="C50" s="86"/>
      <c r="D50" s="86"/>
      <c r="E50" s="81"/>
      <c r="F50" s="93" t="e">
        <f>HLOOKUP(A50,'pooled normalised values'!$B$74:$V$83,10,FALSE)</f>
        <v>#N/A</v>
      </c>
      <c r="G50" s="132" t="e">
        <f t="shared" si="11"/>
        <v>#N/A</v>
      </c>
      <c r="H50" s="123" t="str">
        <f>IF(VLOOKUP(A50,liste_groupe[],4,FALSE)="%",VLOOKUP(A50,liste_groupe[],3,FALSE)/100,IF(ISBLANK(VLOOKUP(A50,liste_groupe[],4,FALSE)),"Non","Non"))</f>
        <v>Non</v>
      </c>
      <c r="I50" s="132" t="e">
        <f t="shared" si="7"/>
        <v>#N/A</v>
      </c>
      <c r="J50" s="137" t="e">
        <f t="shared" si="12"/>
        <v>#N/A</v>
      </c>
      <c r="K50" s="138" t="e">
        <f t="shared" si="9"/>
        <v>#N/A</v>
      </c>
      <c r="L50" s="139"/>
      <c r="M50" s="131" t="e">
        <f t="shared" si="10"/>
        <v>#N/A</v>
      </c>
      <c r="N50" s="140" t="e">
        <f>IF(H50="Non",CONCATENATE(VLOOKUP(A50,liste_groupe[],5,FALSE),"-",VLOOKUP(A50,liste_groupe[],3,FALSE),VLOOKUP(A50,liste_groupe[],4,FALSE)," : ",ROUND(K50,0),"%"),CONCATENATE(VLOOKUP(A50,liste_groupe[],5,FALSE)," : ",ROUND(K50,0),"%"))</f>
        <v>#N/A</v>
      </c>
    </row>
    <row r="51" spans="1:15" s="76" customFormat="1" ht="15.6" x14ac:dyDescent="0.3">
      <c r="A51" s="127" t="str">
        <f>'Page de garde'!A58</f>
        <v>0-00 + Testostérone</v>
      </c>
      <c r="B51" s="98"/>
      <c r="C51" s="86"/>
      <c r="D51" s="86"/>
      <c r="E51" s="81"/>
      <c r="F51" s="93" t="e">
        <f>HLOOKUP(A51,'pooled normalised values'!$B$74:$V$83,10,FALSE)</f>
        <v>#N/A</v>
      </c>
      <c r="G51" s="132" t="e">
        <f t="shared" si="6"/>
        <v>#N/A</v>
      </c>
      <c r="H51" s="123" t="str">
        <f>IF(VLOOKUP(A51,liste_groupe[],4,FALSE)="%",VLOOKUP(A51,liste_groupe[],3,FALSE)/100,IF(ISBLANK(VLOOKUP(A51,liste_groupe[],4,FALSE)),"Non","Non"))</f>
        <v>Non</v>
      </c>
      <c r="I51" s="132" t="e">
        <f t="shared" si="7"/>
        <v>#N/A</v>
      </c>
      <c r="J51" s="137" t="e">
        <f t="shared" si="8"/>
        <v>#N/A</v>
      </c>
      <c r="K51" s="138" t="e">
        <f t="shared" si="9"/>
        <v>#N/A</v>
      </c>
      <c r="L51" s="139"/>
      <c r="M51" s="131" t="e">
        <f t="shared" si="10"/>
        <v>#N/A</v>
      </c>
      <c r="N51" s="140" t="e">
        <f>IF(H51="Non",CONCATENATE(VLOOKUP(A51,liste_groupe[],5,FALSE),"-",VLOOKUP(A51,liste_groupe[],3,FALSE),VLOOKUP(A51,liste_groupe[],4,FALSE)," : ",ROUND(K51,0),"%"),CONCATENATE(VLOOKUP(A51,liste_groupe[],5,FALSE)," : ",ROUND(K51,0),"%"))</f>
        <v>#N/A</v>
      </c>
    </row>
    <row r="52" spans="1:15" s="76" customFormat="1" ht="16.2" thickBot="1" x14ac:dyDescent="0.35">
      <c r="E52" s="77"/>
      <c r="F52" s="77"/>
      <c r="G52" s="77"/>
      <c r="H52" s="77"/>
      <c r="I52" s="77"/>
      <c r="J52" s="77"/>
      <c r="K52" s="77"/>
      <c r="L52" s="77"/>
      <c r="M52" s="77"/>
      <c r="N52" s="77"/>
    </row>
    <row r="53" spans="1:15" s="48" customFormat="1" ht="26.4" thickBot="1" x14ac:dyDescent="0.35">
      <c r="A53" s="228" t="s">
        <v>60</v>
      </c>
      <c r="B53" s="229"/>
      <c r="C53" s="229"/>
      <c r="D53" s="229"/>
      <c r="E53" s="229"/>
      <c r="F53" s="229"/>
      <c r="G53" s="229"/>
      <c r="H53" s="229"/>
      <c r="I53" s="229"/>
      <c r="J53" s="229"/>
      <c r="K53" s="229"/>
      <c r="L53" s="229"/>
      <c r="M53" s="229"/>
      <c r="N53" s="229"/>
      <c r="O53" s="230"/>
    </row>
  </sheetData>
  <mergeCells count="3">
    <mergeCell ref="A2:O2"/>
    <mergeCell ref="A1:O1"/>
    <mergeCell ref="A53:O53"/>
  </mergeCells>
  <pageMargins left="0.7" right="0.7" top="0.75" bottom="0.75" header="0.3" footer="0.3"/>
  <pageSetup paperSize="9" orientation="portrait" r:id="rId1"/>
  <headerFooter>
    <oddFooter>&amp;C&amp;1#&amp;"Arial"&amp;10&amp;K000000Internal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defaultColWidth="11.44140625" defaultRowHeight="14.4" x14ac:dyDescent="0.3"/>
  <cols>
    <col min="1" max="1" width="22.77734375" style="179" customWidth="1"/>
    <col min="2" max="2" width="46.21875" style="179" customWidth="1"/>
    <col min="3" max="3" width="15.21875" style="179" customWidth="1"/>
    <col min="4" max="4" width="24.77734375" style="179" customWidth="1"/>
    <col min="5" max="5" width="24.44140625" style="179" customWidth="1"/>
    <col min="6" max="6" width="23.21875" style="179" customWidth="1"/>
    <col min="7" max="7" width="21.21875" style="179" customWidth="1"/>
    <col min="8" max="16384" width="11.44140625" style="179"/>
  </cols>
  <sheetData>
    <row r="1" spans="1:7" ht="29.4" thickBot="1" x14ac:dyDescent="0.35">
      <c r="A1" s="184" t="s">
        <v>131</v>
      </c>
      <c r="B1" s="185" t="s">
        <v>132</v>
      </c>
      <c r="C1" s="185" t="s">
        <v>138</v>
      </c>
      <c r="D1" s="185" t="s">
        <v>137</v>
      </c>
      <c r="E1" s="185" t="s">
        <v>139</v>
      </c>
      <c r="F1" s="186" t="s">
        <v>140</v>
      </c>
      <c r="G1" s="187" t="s">
        <v>141</v>
      </c>
    </row>
    <row r="2" spans="1:7" ht="57.6" x14ac:dyDescent="0.3">
      <c r="A2" s="180" t="s">
        <v>133</v>
      </c>
      <c r="B2" s="181" t="s">
        <v>134</v>
      </c>
      <c r="C2" s="181" t="s">
        <v>135</v>
      </c>
      <c r="D2" s="181" t="s">
        <v>142</v>
      </c>
      <c r="E2" s="181" t="s">
        <v>136</v>
      </c>
      <c r="F2" s="182" t="s">
        <v>135</v>
      </c>
      <c r="G2" s="183" t="s">
        <v>135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defaultColWidth="11.5546875" defaultRowHeight="13.2" x14ac:dyDescent="0.25"/>
  <cols>
    <col min="1" max="1" width="18.77734375" style="17" customWidth="1"/>
    <col min="2" max="2" width="7.21875" style="17" bestFit="1" customWidth="1"/>
    <col min="3" max="3" width="10.5546875" style="17" customWidth="1"/>
    <col min="4" max="4" width="13.77734375" style="17" bestFit="1" customWidth="1"/>
    <col min="5" max="5" width="12" style="17" bestFit="1" customWidth="1"/>
    <col min="6" max="19" width="14.77734375" style="17" customWidth="1"/>
    <col min="20" max="21" width="11.44140625" style="17"/>
    <col min="22" max="22" width="13.5546875" style="17" bestFit="1" customWidth="1"/>
    <col min="23" max="34" width="13.5546875" style="17" customWidth="1"/>
    <col min="35" max="35" width="13.5546875" style="17" bestFit="1" customWidth="1"/>
    <col min="36" max="282" width="11.44140625" style="17"/>
    <col min="283" max="283" width="18.77734375" style="17" customWidth="1"/>
    <col min="284" max="284" width="13.77734375" style="17" bestFit="1" customWidth="1"/>
    <col min="285" max="285" width="17.21875" style="17" customWidth="1"/>
    <col min="286" max="286" width="11" style="17" customWidth="1"/>
    <col min="287" max="287" width="12" style="17" bestFit="1" customWidth="1"/>
    <col min="288" max="288" width="14.77734375" style="17" customWidth="1"/>
    <col min="289" max="538" width="11.44140625" style="17"/>
    <col min="539" max="539" width="18.77734375" style="17" customWidth="1"/>
    <col min="540" max="540" width="13.77734375" style="17" bestFit="1" customWidth="1"/>
    <col min="541" max="541" width="17.21875" style="17" customWidth="1"/>
    <col min="542" max="542" width="11" style="17" customWidth="1"/>
    <col min="543" max="543" width="12" style="17" bestFit="1" customWidth="1"/>
    <col min="544" max="544" width="14.77734375" style="17" customWidth="1"/>
    <col min="545" max="794" width="11.44140625" style="17"/>
    <col min="795" max="795" width="18.77734375" style="17" customWidth="1"/>
    <col min="796" max="796" width="13.77734375" style="17" bestFit="1" customWidth="1"/>
    <col min="797" max="797" width="17.21875" style="17" customWidth="1"/>
    <col min="798" max="798" width="11" style="17" customWidth="1"/>
    <col min="799" max="799" width="12" style="17" bestFit="1" customWidth="1"/>
    <col min="800" max="800" width="14.77734375" style="17" customWidth="1"/>
    <col min="801" max="1050" width="11.44140625" style="17"/>
    <col min="1051" max="1051" width="18.77734375" style="17" customWidth="1"/>
    <col min="1052" max="1052" width="13.77734375" style="17" bestFit="1" customWidth="1"/>
    <col min="1053" max="1053" width="17.21875" style="17" customWidth="1"/>
    <col min="1054" max="1054" width="11" style="17" customWidth="1"/>
    <col min="1055" max="1055" width="12" style="17" bestFit="1" customWidth="1"/>
    <col min="1056" max="1056" width="14.77734375" style="17" customWidth="1"/>
    <col min="1057" max="1306" width="11.44140625" style="17"/>
    <col min="1307" max="1307" width="18.77734375" style="17" customWidth="1"/>
    <col min="1308" max="1308" width="13.77734375" style="17" bestFit="1" customWidth="1"/>
    <col min="1309" max="1309" width="17.21875" style="17" customWidth="1"/>
    <col min="1310" max="1310" width="11" style="17" customWidth="1"/>
    <col min="1311" max="1311" width="12" style="17" bestFit="1" customWidth="1"/>
    <col min="1312" max="1312" width="14.77734375" style="17" customWidth="1"/>
    <col min="1313" max="1562" width="11.44140625" style="17"/>
    <col min="1563" max="1563" width="18.77734375" style="17" customWidth="1"/>
    <col min="1564" max="1564" width="13.77734375" style="17" bestFit="1" customWidth="1"/>
    <col min="1565" max="1565" width="17.21875" style="17" customWidth="1"/>
    <col min="1566" max="1566" width="11" style="17" customWidth="1"/>
    <col min="1567" max="1567" width="12" style="17" bestFit="1" customWidth="1"/>
    <col min="1568" max="1568" width="14.77734375" style="17" customWidth="1"/>
    <col min="1569" max="1818" width="11.44140625" style="17"/>
    <col min="1819" max="1819" width="18.77734375" style="17" customWidth="1"/>
    <col min="1820" max="1820" width="13.77734375" style="17" bestFit="1" customWidth="1"/>
    <col min="1821" max="1821" width="17.21875" style="17" customWidth="1"/>
    <col min="1822" max="1822" width="11" style="17" customWidth="1"/>
    <col min="1823" max="1823" width="12" style="17" bestFit="1" customWidth="1"/>
    <col min="1824" max="1824" width="14.77734375" style="17" customWidth="1"/>
    <col min="1825" max="2074" width="11.44140625" style="17"/>
    <col min="2075" max="2075" width="18.77734375" style="17" customWidth="1"/>
    <col min="2076" max="2076" width="13.77734375" style="17" bestFit="1" customWidth="1"/>
    <col min="2077" max="2077" width="17.21875" style="17" customWidth="1"/>
    <col min="2078" max="2078" width="11" style="17" customWidth="1"/>
    <col min="2079" max="2079" width="12" style="17" bestFit="1" customWidth="1"/>
    <col min="2080" max="2080" width="14.77734375" style="17" customWidth="1"/>
    <col min="2081" max="2330" width="11.44140625" style="17"/>
    <col min="2331" max="2331" width="18.77734375" style="17" customWidth="1"/>
    <col min="2332" max="2332" width="13.77734375" style="17" bestFit="1" customWidth="1"/>
    <col min="2333" max="2333" width="17.21875" style="17" customWidth="1"/>
    <col min="2334" max="2334" width="11" style="17" customWidth="1"/>
    <col min="2335" max="2335" width="12" style="17" bestFit="1" customWidth="1"/>
    <col min="2336" max="2336" width="14.77734375" style="17" customWidth="1"/>
    <col min="2337" max="2586" width="11.44140625" style="17"/>
    <col min="2587" max="2587" width="18.77734375" style="17" customWidth="1"/>
    <col min="2588" max="2588" width="13.77734375" style="17" bestFit="1" customWidth="1"/>
    <col min="2589" max="2589" width="17.21875" style="17" customWidth="1"/>
    <col min="2590" max="2590" width="11" style="17" customWidth="1"/>
    <col min="2591" max="2591" width="12" style="17" bestFit="1" customWidth="1"/>
    <col min="2592" max="2592" width="14.77734375" style="17" customWidth="1"/>
    <col min="2593" max="2842" width="11.44140625" style="17"/>
    <col min="2843" max="2843" width="18.77734375" style="17" customWidth="1"/>
    <col min="2844" max="2844" width="13.77734375" style="17" bestFit="1" customWidth="1"/>
    <col min="2845" max="2845" width="17.21875" style="17" customWidth="1"/>
    <col min="2846" max="2846" width="11" style="17" customWidth="1"/>
    <col min="2847" max="2847" width="12" style="17" bestFit="1" customWidth="1"/>
    <col min="2848" max="2848" width="14.77734375" style="17" customWidth="1"/>
    <col min="2849" max="3098" width="11.44140625" style="17"/>
    <col min="3099" max="3099" width="18.77734375" style="17" customWidth="1"/>
    <col min="3100" max="3100" width="13.77734375" style="17" bestFit="1" customWidth="1"/>
    <col min="3101" max="3101" width="17.21875" style="17" customWidth="1"/>
    <col min="3102" max="3102" width="11" style="17" customWidth="1"/>
    <col min="3103" max="3103" width="12" style="17" bestFit="1" customWidth="1"/>
    <col min="3104" max="3104" width="14.77734375" style="17" customWidth="1"/>
    <col min="3105" max="3354" width="11.44140625" style="17"/>
    <col min="3355" max="3355" width="18.77734375" style="17" customWidth="1"/>
    <col min="3356" max="3356" width="13.77734375" style="17" bestFit="1" customWidth="1"/>
    <col min="3357" max="3357" width="17.21875" style="17" customWidth="1"/>
    <col min="3358" max="3358" width="11" style="17" customWidth="1"/>
    <col min="3359" max="3359" width="12" style="17" bestFit="1" customWidth="1"/>
    <col min="3360" max="3360" width="14.77734375" style="17" customWidth="1"/>
    <col min="3361" max="3610" width="11.44140625" style="17"/>
    <col min="3611" max="3611" width="18.77734375" style="17" customWidth="1"/>
    <col min="3612" max="3612" width="13.77734375" style="17" bestFit="1" customWidth="1"/>
    <col min="3613" max="3613" width="17.21875" style="17" customWidth="1"/>
    <col min="3614" max="3614" width="11" style="17" customWidth="1"/>
    <col min="3615" max="3615" width="12" style="17" bestFit="1" customWidth="1"/>
    <col min="3616" max="3616" width="14.77734375" style="17" customWidth="1"/>
    <col min="3617" max="3866" width="11.44140625" style="17"/>
    <col min="3867" max="3867" width="18.77734375" style="17" customWidth="1"/>
    <col min="3868" max="3868" width="13.77734375" style="17" bestFit="1" customWidth="1"/>
    <col min="3869" max="3869" width="17.21875" style="17" customWidth="1"/>
    <col min="3870" max="3870" width="11" style="17" customWidth="1"/>
    <col min="3871" max="3871" width="12" style="17" bestFit="1" customWidth="1"/>
    <col min="3872" max="3872" width="14.77734375" style="17" customWidth="1"/>
    <col min="3873" max="4122" width="11.44140625" style="17"/>
    <col min="4123" max="4123" width="18.77734375" style="17" customWidth="1"/>
    <col min="4124" max="4124" width="13.77734375" style="17" bestFit="1" customWidth="1"/>
    <col min="4125" max="4125" width="17.21875" style="17" customWidth="1"/>
    <col min="4126" max="4126" width="11" style="17" customWidth="1"/>
    <col min="4127" max="4127" width="12" style="17" bestFit="1" customWidth="1"/>
    <col min="4128" max="4128" width="14.77734375" style="17" customWidth="1"/>
    <col min="4129" max="4378" width="11.44140625" style="17"/>
    <col min="4379" max="4379" width="18.77734375" style="17" customWidth="1"/>
    <col min="4380" max="4380" width="13.77734375" style="17" bestFit="1" customWidth="1"/>
    <col min="4381" max="4381" width="17.21875" style="17" customWidth="1"/>
    <col min="4382" max="4382" width="11" style="17" customWidth="1"/>
    <col min="4383" max="4383" width="12" style="17" bestFit="1" customWidth="1"/>
    <col min="4384" max="4384" width="14.77734375" style="17" customWidth="1"/>
    <col min="4385" max="4634" width="11.44140625" style="17"/>
    <col min="4635" max="4635" width="18.77734375" style="17" customWidth="1"/>
    <col min="4636" max="4636" width="13.77734375" style="17" bestFit="1" customWidth="1"/>
    <col min="4637" max="4637" width="17.21875" style="17" customWidth="1"/>
    <col min="4638" max="4638" width="11" style="17" customWidth="1"/>
    <col min="4639" max="4639" width="12" style="17" bestFit="1" customWidth="1"/>
    <col min="4640" max="4640" width="14.77734375" style="17" customWidth="1"/>
    <col min="4641" max="4890" width="11.44140625" style="17"/>
    <col min="4891" max="4891" width="18.77734375" style="17" customWidth="1"/>
    <col min="4892" max="4892" width="13.77734375" style="17" bestFit="1" customWidth="1"/>
    <col min="4893" max="4893" width="17.21875" style="17" customWidth="1"/>
    <col min="4894" max="4894" width="11" style="17" customWidth="1"/>
    <col min="4895" max="4895" width="12" style="17" bestFit="1" customWidth="1"/>
    <col min="4896" max="4896" width="14.77734375" style="17" customWidth="1"/>
    <col min="4897" max="5146" width="11.44140625" style="17"/>
    <col min="5147" max="5147" width="18.77734375" style="17" customWidth="1"/>
    <col min="5148" max="5148" width="13.77734375" style="17" bestFit="1" customWidth="1"/>
    <col min="5149" max="5149" width="17.21875" style="17" customWidth="1"/>
    <col min="5150" max="5150" width="11" style="17" customWidth="1"/>
    <col min="5151" max="5151" width="12" style="17" bestFit="1" customWidth="1"/>
    <col min="5152" max="5152" width="14.77734375" style="17" customWidth="1"/>
    <col min="5153" max="5402" width="11.44140625" style="17"/>
    <col min="5403" max="5403" width="18.77734375" style="17" customWidth="1"/>
    <col min="5404" max="5404" width="13.77734375" style="17" bestFit="1" customWidth="1"/>
    <col min="5405" max="5405" width="17.21875" style="17" customWidth="1"/>
    <col min="5406" max="5406" width="11" style="17" customWidth="1"/>
    <col min="5407" max="5407" width="12" style="17" bestFit="1" customWidth="1"/>
    <col min="5408" max="5408" width="14.77734375" style="17" customWidth="1"/>
    <col min="5409" max="5658" width="11.44140625" style="17"/>
    <col min="5659" max="5659" width="18.77734375" style="17" customWidth="1"/>
    <col min="5660" max="5660" width="13.77734375" style="17" bestFit="1" customWidth="1"/>
    <col min="5661" max="5661" width="17.21875" style="17" customWidth="1"/>
    <col min="5662" max="5662" width="11" style="17" customWidth="1"/>
    <col min="5663" max="5663" width="12" style="17" bestFit="1" customWidth="1"/>
    <col min="5664" max="5664" width="14.77734375" style="17" customWidth="1"/>
    <col min="5665" max="5914" width="11.44140625" style="17"/>
    <col min="5915" max="5915" width="18.77734375" style="17" customWidth="1"/>
    <col min="5916" max="5916" width="13.77734375" style="17" bestFit="1" customWidth="1"/>
    <col min="5917" max="5917" width="17.21875" style="17" customWidth="1"/>
    <col min="5918" max="5918" width="11" style="17" customWidth="1"/>
    <col min="5919" max="5919" width="12" style="17" bestFit="1" customWidth="1"/>
    <col min="5920" max="5920" width="14.77734375" style="17" customWidth="1"/>
    <col min="5921" max="6170" width="11.44140625" style="17"/>
    <col min="6171" max="6171" width="18.77734375" style="17" customWidth="1"/>
    <col min="6172" max="6172" width="13.77734375" style="17" bestFit="1" customWidth="1"/>
    <col min="6173" max="6173" width="17.21875" style="17" customWidth="1"/>
    <col min="6174" max="6174" width="11" style="17" customWidth="1"/>
    <col min="6175" max="6175" width="12" style="17" bestFit="1" customWidth="1"/>
    <col min="6176" max="6176" width="14.77734375" style="17" customWidth="1"/>
    <col min="6177" max="6426" width="11.44140625" style="17"/>
    <col min="6427" max="6427" width="18.77734375" style="17" customWidth="1"/>
    <col min="6428" max="6428" width="13.77734375" style="17" bestFit="1" customWidth="1"/>
    <col min="6429" max="6429" width="17.21875" style="17" customWidth="1"/>
    <col min="6430" max="6430" width="11" style="17" customWidth="1"/>
    <col min="6431" max="6431" width="12" style="17" bestFit="1" customWidth="1"/>
    <col min="6432" max="6432" width="14.77734375" style="17" customWidth="1"/>
    <col min="6433" max="6682" width="11.44140625" style="17"/>
    <col min="6683" max="6683" width="18.77734375" style="17" customWidth="1"/>
    <col min="6684" max="6684" width="13.77734375" style="17" bestFit="1" customWidth="1"/>
    <col min="6685" max="6685" width="17.21875" style="17" customWidth="1"/>
    <col min="6686" max="6686" width="11" style="17" customWidth="1"/>
    <col min="6687" max="6687" width="12" style="17" bestFit="1" customWidth="1"/>
    <col min="6688" max="6688" width="14.77734375" style="17" customWidth="1"/>
    <col min="6689" max="6938" width="11.44140625" style="17"/>
    <col min="6939" max="6939" width="18.77734375" style="17" customWidth="1"/>
    <col min="6940" max="6940" width="13.77734375" style="17" bestFit="1" customWidth="1"/>
    <col min="6941" max="6941" width="17.21875" style="17" customWidth="1"/>
    <col min="6942" max="6942" width="11" style="17" customWidth="1"/>
    <col min="6943" max="6943" width="12" style="17" bestFit="1" customWidth="1"/>
    <col min="6944" max="6944" width="14.77734375" style="17" customWidth="1"/>
    <col min="6945" max="7194" width="11.44140625" style="17"/>
    <col min="7195" max="7195" width="18.77734375" style="17" customWidth="1"/>
    <col min="7196" max="7196" width="13.77734375" style="17" bestFit="1" customWidth="1"/>
    <col min="7197" max="7197" width="17.21875" style="17" customWidth="1"/>
    <col min="7198" max="7198" width="11" style="17" customWidth="1"/>
    <col min="7199" max="7199" width="12" style="17" bestFit="1" customWidth="1"/>
    <col min="7200" max="7200" width="14.77734375" style="17" customWidth="1"/>
    <col min="7201" max="7450" width="11.44140625" style="17"/>
    <col min="7451" max="7451" width="18.77734375" style="17" customWidth="1"/>
    <col min="7452" max="7452" width="13.77734375" style="17" bestFit="1" customWidth="1"/>
    <col min="7453" max="7453" width="17.21875" style="17" customWidth="1"/>
    <col min="7454" max="7454" width="11" style="17" customWidth="1"/>
    <col min="7455" max="7455" width="12" style="17" bestFit="1" customWidth="1"/>
    <col min="7456" max="7456" width="14.77734375" style="17" customWidth="1"/>
    <col min="7457" max="7706" width="11.44140625" style="17"/>
    <col min="7707" max="7707" width="18.77734375" style="17" customWidth="1"/>
    <col min="7708" max="7708" width="13.77734375" style="17" bestFit="1" customWidth="1"/>
    <col min="7709" max="7709" width="17.21875" style="17" customWidth="1"/>
    <col min="7710" max="7710" width="11" style="17" customWidth="1"/>
    <col min="7711" max="7711" width="12" style="17" bestFit="1" customWidth="1"/>
    <col min="7712" max="7712" width="14.77734375" style="17" customWidth="1"/>
    <col min="7713" max="7962" width="11.44140625" style="17"/>
    <col min="7963" max="7963" width="18.77734375" style="17" customWidth="1"/>
    <col min="7964" max="7964" width="13.77734375" style="17" bestFit="1" customWidth="1"/>
    <col min="7965" max="7965" width="17.21875" style="17" customWidth="1"/>
    <col min="7966" max="7966" width="11" style="17" customWidth="1"/>
    <col min="7967" max="7967" width="12" style="17" bestFit="1" customWidth="1"/>
    <col min="7968" max="7968" width="14.77734375" style="17" customWidth="1"/>
    <col min="7969" max="8218" width="11.44140625" style="17"/>
    <col min="8219" max="8219" width="18.77734375" style="17" customWidth="1"/>
    <col min="8220" max="8220" width="13.77734375" style="17" bestFit="1" customWidth="1"/>
    <col min="8221" max="8221" width="17.21875" style="17" customWidth="1"/>
    <col min="8222" max="8222" width="11" style="17" customWidth="1"/>
    <col min="8223" max="8223" width="12" style="17" bestFit="1" customWidth="1"/>
    <col min="8224" max="8224" width="14.77734375" style="17" customWidth="1"/>
    <col min="8225" max="8474" width="11.44140625" style="17"/>
    <col min="8475" max="8475" width="18.77734375" style="17" customWidth="1"/>
    <col min="8476" max="8476" width="13.77734375" style="17" bestFit="1" customWidth="1"/>
    <col min="8477" max="8477" width="17.21875" style="17" customWidth="1"/>
    <col min="8478" max="8478" width="11" style="17" customWidth="1"/>
    <col min="8479" max="8479" width="12" style="17" bestFit="1" customWidth="1"/>
    <col min="8480" max="8480" width="14.77734375" style="17" customWidth="1"/>
    <col min="8481" max="8730" width="11.44140625" style="17"/>
    <col min="8731" max="8731" width="18.77734375" style="17" customWidth="1"/>
    <col min="8732" max="8732" width="13.77734375" style="17" bestFit="1" customWidth="1"/>
    <col min="8733" max="8733" width="17.21875" style="17" customWidth="1"/>
    <col min="8734" max="8734" width="11" style="17" customWidth="1"/>
    <col min="8735" max="8735" width="12" style="17" bestFit="1" customWidth="1"/>
    <col min="8736" max="8736" width="14.77734375" style="17" customWidth="1"/>
    <col min="8737" max="8986" width="11.44140625" style="17"/>
    <col min="8987" max="8987" width="18.77734375" style="17" customWidth="1"/>
    <col min="8988" max="8988" width="13.77734375" style="17" bestFit="1" customWidth="1"/>
    <col min="8989" max="8989" width="17.21875" style="17" customWidth="1"/>
    <col min="8990" max="8990" width="11" style="17" customWidth="1"/>
    <col min="8991" max="8991" width="12" style="17" bestFit="1" customWidth="1"/>
    <col min="8992" max="8992" width="14.77734375" style="17" customWidth="1"/>
    <col min="8993" max="9242" width="11.44140625" style="17"/>
    <col min="9243" max="9243" width="18.77734375" style="17" customWidth="1"/>
    <col min="9244" max="9244" width="13.77734375" style="17" bestFit="1" customWidth="1"/>
    <col min="9245" max="9245" width="17.21875" style="17" customWidth="1"/>
    <col min="9246" max="9246" width="11" style="17" customWidth="1"/>
    <col min="9247" max="9247" width="12" style="17" bestFit="1" customWidth="1"/>
    <col min="9248" max="9248" width="14.77734375" style="17" customWidth="1"/>
    <col min="9249" max="9498" width="11.44140625" style="17"/>
    <col min="9499" max="9499" width="18.77734375" style="17" customWidth="1"/>
    <col min="9500" max="9500" width="13.77734375" style="17" bestFit="1" customWidth="1"/>
    <col min="9501" max="9501" width="17.21875" style="17" customWidth="1"/>
    <col min="9502" max="9502" width="11" style="17" customWidth="1"/>
    <col min="9503" max="9503" width="12" style="17" bestFit="1" customWidth="1"/>
    <col min="9504" max="9504" width="14.77734375" style="17" customWidth="1"/>
    <col min="9505" max="9754" width="11.44140625" style="17"/>
    <col min="9755" max="9755" width="18.77734375" style="17" customWidth="1"/>
    <col min="9756" max="9756" width="13.77734375" style="17" bestFit="1" customWidth="1"/>
    <col min="9757" max="9757" width="17.21875" style="17" customWidth="1"/>
    <col min="9758" max="9758" width="11" style="17" customWidth="1"/>
    <col min="9759" max="9759" width="12" style="17" bestFit="1" customWidth="1"/>
    <col min="9760" max="9760" width="14.77734375" style="17" customWidth="1"/>
    <col min="9761" max="10010" width="11.44140625" style="17"/>
    <col min="10011" max="10011" width="18.77734375" style="17" customWidth="1"/>
    <col min="10012" max="10012" width="13.77734375" style="17" bestFit="1" customWidth="1"/>
    <col min="10013" max="10013" width="17.21875" style="17" customWidth="1"/>
    <col min="10014" max="10014" width="11" style="17" customWidth="1"/>
    <col min="10015" max="10015" width="12" style="17" bestFit="1" customWidth="1"/>
    <col min="10016" max="10016" width="14.77734375" style="17" customWidth="1"/>
    <col min="10017" max="10266" width="11.44140625" style="17"/>
    <col min="10267" max="10267" width="18.77734375" style="17" customWidth="1"/>
    <col min="10268" max="10268" width="13.77734375" style="17" bestFit="1" customWidth="1"/>
    <col min="10269" max="10269" width="17.21875" style="17" customWidth="1"/>
    <col min="10270" max="10270" width="11" style="17" customWidth="1"/>
    <col min="10271" max="10271" width="12" style="17" bestFit="1" customWidth="1"/>
    <col min="10272" max="10272" width="14.77734375" style="17" customWidth="1"/>
    <col min="10273" max="10522" width="11.44140625" style="17"/>
    <col min="10523" max="10523" width="18.77734375" style="17" customWidth="1"/>
    <col min="10524" max="10524" width="13.77734375" style="17" bestFit="1" customWidth="1"/>
    <col min="10525" max="10525" width="17.21875" style="17" customWidth="1"/>
    <col min="10526" max="10526" width="11" style="17" customWidth="1"/>
    <col min="10527" max="10527" width="12" style="17" bestFit="1" customWidth="1"/>
    <col min="10528" max="10528" width="14.77734375" style="17" customWidth="1"/>
    <col min="10529" max="10778" width="11.44140625" style="17"/>
    <col min="10779" max="10779" width="18.77734375" style="17" customWidth="1"/>
    <col min="10780" max="10780" width="13.77734375" style="17" bestFit="1" customWidth="1"/>
    <col min="10781" max="10781" width="17.21875" style="17" customWidth="1"/>
    <col min="10782" max="10782" width="11" style="17" customWidth="1"/>
    <col min="10783" max="10783" width="12" style="17" bestFit="1" customWidth="1"/>
    <col min="10784" max="10784" width="14.77734375" style="17" customWidth="1"/>
    <col min="10785" max="11034" width="11.44140625" style="17"/>
    <col min="11035" max="11035" width="18.77734375" style="17" customWidth="1"/>
    <col min="11036" max="11036" width="13.77734375" style="17" bestFit="1" customWidth="1"/>
    <col min="11037" max="11037" width="17.21875" style="17" customWidth="1"/>
    <col min="11038" max="11038" width="11" style="17" customWidth="1"/>
    <col min="11039" max="11039" width="12" style="17" bestFit="1" customWidth="1"/>
    <col min="11040" max="11040" width="14.77734375" style="17" customWidth="1"/>
    <col min="11041" max="11290" width="11.44140625" style="17"/>
    <col min="11291" max="11291" width="18.77734375" style="17" customWidth="1"/>
    <col min="11292" max="11292" width="13.77734375" style="17" bestFit="1" customWidth="1"/>
    <col min="11293" max="11293" width="17.21875" style="17" customWidth="1"/>
    <col min="11294" max="11294" width="11" style="17" customWidth="1"/>
    <col min="11295" max="11295" width="12" style="17" bestFit="1" customWidth="1"/>
    <col min="11296" max="11296" width="14.77734375" style="17" customWidth="1"/>
    <col min="11297" max="11546" width="11.44140625" style="17"/>
    <col min="11547" max="11547" width="18.77734375" style="17" customWidth="1"/>
    <col min="11548" max="11548" width="13.77734375" style="17" bestFit="1" customWidth="1"/>
    <col min="11549" max="11549" width="17.21875" style="17" customWidth="1"/>
    <col min="11550" max="11550" width="11" style="17" customWidth="1"/>
    <col min="11551" max="11551" width="12" style="17" bestFit="1" customWidth="1"/>
    <col min="11552" max="11552" width="14.77734375" style="17" customWidth="1"/>
    <col min="11553" max="11802" width="11.44140625" style="17"/>
    <col min="11803" max="11803" width="18.77734375" style="17" customWidth="1"/>
    <col min="11804" max="11804" width="13.77734375" style="17" bestFit="1" customWidth="1"/>
    <col min="11805" max="11805" width="17.21875" style="17" customWidth="1"/>
    <col min="11806" max="11806" width="11" style="17" customWidth="1"/>
    <col min="11807" max="11807" width="12" style="17" bestFit="1" customWidth="1"/>
    <col min="11808" max="11808" width="14.77734375" style="17" customWidth="1"/>
    <col min="11809" max="12058" width="11.44140625" style="17"/>
    <col min="12059" max="12059" width="18.77734375" style="17" customWidth="1"/>
    <col min="12060" max="12060" width="13.77734375" style="17" bestFit="1" customWidth="1"/>
    <col min="12061" max="12061" width="17.21875" style="17" customWidth="1"/>
    <col min="12062" max="12062" width="11" style="17" customWidth="1"/>
    <col min="12063" max="12063" width="12" style="17" bestFit="1" customWidth="1"/>
    <col min="12064" max="12064" width="14.77734375" style="17" customWidth="1"/>
    <col min="12065" max="12314" width="11.44140625" style="17"/>
    <col min="12315" max="12315" width="18.77734375" style="17" customWidth="1"/>
    <col min="12316" max="12316" width="13.77734375" style="17" bestFit="1" customWidth="1"/>
    <col min="12317" max="12317" width="17.21875" style="17" customWidth="1"/>
    <col min="12318" max="12318" width="11" style="17" customWidth="1"/>
    <col min="12319" max="12319" width="12" style="17" bestFit="1" customWidth="1"/>
    <col min="12320" max="12320" width="14.77734375" style="17" customWidth="1"/>
    <col min="12321" max="12570" width="11.44140625" style="17"/>
    <col min="12571" max="12571" width="18.77734375" style="17" customWidth="1"/>
    <col min="12572" max="12572" width="13.77734375" style="17" bestFit="1" customWidth="1"/>
    <col min="12573" max="12573" width="17.21875" style="17" customWidth="1"/>
    <col min="12574" max="12574" width="11" style="17" customWidth="1"/>
    <col min="12575" max="12575" width="12" style="17" bestFit="1" customWidth="1"/>
    <col min="12576" max="12576" width="14.77734375" style="17" customWidth="1"/>
    <col min="12577" max="12826" width="11.44140625" style="17"/>
    <col min="12827" max="12827" width="18.77734375" style="17" customWidth="1"/>
    <col min="12828" max="12828" width="13.77734375" style="17" bestFit="1" customWidth="1"/>
    <col min="12829" max="12829" width="17.21875" style="17" customWidth="1"/>
    <col min="12830" max="12830" width="11" style="17" customWidth="1"/>
    <col min="12831" max="12831" width="12" style="17" bestFit="1" customWidth="1"/>
    <col min="12832" max="12832" width="14.77734375" style="17" customWidth="1"/>
    <col min="12833" max="13082" width="11.44140625" style="17"/>
    <col min="13083" max="13083" width="18.77734375" style="17" customWidth="1"/>
    <col min="13084" max="13084" width="13.77734375" style="17" bestFit="1" customWidth="1"/>
    <col min="13085" max="13085" width="17.21875" style="17" customWidth="1"/>
    <col min="13086" max="13086" width="11" style="17" customWidth="1"/>
    <col min="13087" max="13087" width="12" style="17" bestFit="1" customWidth="1"/>
    <col min="13088" max="13088" width="14.77734375" style="17" customWidth="1"/>
    <col min="13089" max="13338" width="11.44140625" style="17"/>
    <col min="13339" max="13339" width="18.77734375" style="17" customWidth="1"/>
    <col min="13340" max="13340" width="13.77734375" style="17" bestFit="1" customWidth="1"/>
    <col min="13341" max="13341" width="17.21875" style="17" customWidth="1"/>
    <col min="13342" max="13342" width="11" style="17" customWidth="1"/>
    <col min="13343" max="13343" width="12" style="17" bestFit="1" customWidth="1"/>
    <col min="13344" max="13344" width="14.77734375" style="17" customWidth="1"/>
    <col min="13345" max="13594" width="11.44140625" style="17"/>
    <col min="13595" max="13595" width="18.77734375" style="17" customWidth="1"/>
    <col min="13596" max="13596" width="13.77734375" style="17" bestFit="1" customWidth="1"/>
    <col min="13597" max="13597" width="17.21875" style="17" customWidth="1"/>
    <col min="13598" max="13598" width="11" style="17" customWidth="1"/>
    <col min="13599" max="13599" width="12" style="17" bestFit="1" customWidth="1"/>
    <col min="13600" max="13600" width="14.77734375" style="17" customWidth="1"/>
    <col min="13601" max="13850" width="11.44140625" style="17"/>
    <col min="13851" max="13851" width="18.77734375" style="17" customWidth="1"/>
    <col min="13852" max="13852" width="13.77734375" style="17" bestFit="1" customWidth="1"/>
    <col min="13853" max="13853" width="17.21875" style="17" customWidth="1"/>
    <col min="13854" max="13854" width="11" style="17" customWidth="1"/>
    <col min="13855" max="13855" width="12" style="17" bestFit="1" customWidth="1"/>
    <col min="13856" max="13856" width="14.77734375" style="17" customWidth="1"/>
    <col min="13857" max="14106" width="11.44140625" style="17"/>
    <col min="14107" max="14107" width="18.77734375" style="17" customWidth="1"/>
    <col min="14108" max="14108" width="13.77734375" style="17" bestFit="1" customWidth="1"/>
    <col min="14109" max="14109" width="17.21875" style="17" customWidth="1"/>
    <col min="14110" max="14110" width="11" style="17" customWidth="1"/>
    <col min="14111" max="14111" width="12" style="17" bestFit="1" customWidth="1"/>
    <col min="14112" max="14112" width="14.77734375" style="17" customWidth="1"/>
    <col min="14113" max="14362" width="11.44140625" style="17"/>
    <col min="14363" max="14363" width="18.77734375" style="17" customWidth="1"/>
    <col min="14364" max="14364" width="13.77734375" style="17" bestFit="1" customWidth="1"/>
    <col min="14365" max="14365" width="17.21875" style="17" customWidth="1"/>
    <col min="14366" max="14366" width="11" style="17" customWidth="1"/>
    <col min="14367" max="14367" width="12" style="17" bestFit="1" customWidth="1"/>
    <col min="14368" max="14368" width="14.77734375" style="17" customWidth="1"/>
    <col min="14369" max="14618" width="11.44140625" style="17"/>
    <col min="14619" max="14619" width="18.77734375" style="17" customWidth="1"/>
    <col min="14620" max="14620" width="13.77734375" style="17" bestFit="1" customWidth="1"/>
    <col min="14621" max="14621" width="17.21875" style="17" customWidth="1"/>
    <col min="14622" max="14622" width="11" style="17" customWidth="1"/>
    <col min="14623" max="14623" width="12" style="17" bestFit="1" customWidth="1"/>
    <col min="14624" max="14624" width="14.77734375" style="17" customWidth="1"/>
    <col min="14625" max="14874" width="11.44140625" style="17"/>
    <col min="14875" max="14875" width="18.77734375" style="17" customWidth="1"/>
    <col min="14876" max="14876" width="13.77734375" style="17" bestFit="1" customWidth="1"/>
    <col min="14877" max="14877" width="17.21875" style="17" customWidth="1"/>
    <col min="14878" max="14878" width="11" style="17" customWidth="1"/>
    <col min="14879" max="14879" width="12" style="17" bestFit="1" customWidth="1"/>
    <col min="14880" max="14880" width="14.77734375" style="17" customWidth="1"/>
    <col min="14881" max="15130" width="11.44140625" style="17"/>
    <col min="15131" max="15131" width="18.77734375" style="17" customWidth="1"/>
    <col min="15132" max="15132" width="13.77734375" style="17" bestFit="1" customWidth="1"/>
    <col min="15133" max="15133" width="17.21875" style="17" customWidth="1"/>
    <col min="15134" max="15134" width="11" style="17" customWidth="1"/>
    <col min="15135" max="15135" width="12" style="17" bestFit="1" customWidth="1"/>
    <col min="15136" max="15136" width="14.77734375" style="17" customWidth="1"/>
    <col min="15137" max="15386" width="11.44140625" style="17"/>
    <col min="15387" max="15387" width="18.77734375" style="17" customWidth="1"/>
    <col min="15388" max="15388" width="13.77734375" style="17" bestFit="1" customWidth="1"/>
    <col min="15389" max="15389" width="17.21875" style="17" customWidth="1"/>
    <col min="15390" max="15390" width="11" style="17" customWidth="1"/>
    <col min="15391" max="15391" width="12" style="17" bestFit="1" customWidth="1"/>
    <col min="15392" max="15392" width="14.77734375" style="17" customWidth="1"/>
    <col min="15393" max="15642" width="11.44140625" style="17"/>
    <col min="15643" max="15643" width="18.77734375" style="17" customWidth="1"/>
    <col min="15644" max="15644" width="13.77734375" style="17" bestFit="1" customWidth="1"/>
    <col min="15645" max="15645" width="17.21875" style="17" customWidth="1"/>
    <col min="15646" max="15646" width="11" style="17" customWidth="1"/>
    <col min="15647" max="15647" width="12" style="17" bestFit="1" customWidth="1"/>
    <col min="15648" max="15648" width="14.77734375" style="17" customWidth="1"/>
    <col min="15649" max="15898" width="11.44140625" style="17"/>
    <col min="15899" max="15899" width="18.77734375" style="17" customWidth="1"/>
    <col min="15900" max="15900" width="13.77734375" style="17" bestFit="1" customWidth="1"/>
    <col min="15901" max="15901" width="17.21875" style="17" customWidth="1"/>
    <col min="15902" max="15902" width="11" style="17" customWidth="1"/>
    <col min="15903" max="15903" width="12" style="17" bestFit="1" customWidth="1"/>
    <col min="15904" max="15904" width="14.77734375" style="17" customWidth="1"/>
    <col min="15905" max="16154" width="11.44140625" style="17"/>
    <col min="16155" max="16155" width="18.77734375" style="17" customWidth="1"/>
    <col min="16156" max="16156" width="13.77734375" style="17" bestFit="1" customWidth="1"/>
    <col min="16157" max="16157" width="17.21875" style="17" customWidth="1"/>
    <col min="16158" max="16158" width="11" style="17" customWidth="1"/>
    <col min="16159" max="16159" width="12" style="17" bestFit="1" customWidth="1"/>
    <col min="16160" max="16160" width="14.77734375" style="17" customWidth="1"/>
    <col min="16161" max="16384" width="11.44140625" style="17"/>
  </cols>
  <sheetData>
    <row r="2" spans="1:37" x14ac:dyDescent="0.25">
      <c r="A2" s="17" t="s">
        <v>70</v>
      </c>
      <c r="B2" s="63">
        <f>'pooled normalised values'!B75</f>
        <v>0.10505820023547088</v>
      </c>
      <c r="D2" s="17" t="s">
        <v>9</v>
      </c>
      <c r="E2" s="18"/>
      <c r="F2" s="19" t="str">
        <f>'pooled normalised values'!J74</f>
        <v>Testosterone-11µg/L</v>
      </c>
      <c r="G2" s="19" t="str">
        <f>'pooled normalised values'!K74</f>
        <v>Testosterone-33µg/L</v>
      </c>
      <c r="H2" s="19" t="str">
        <f>'pooled normalised values'!L74</f>
        <v>Testosterone-100µg/L</v>
      </c>
      <c r="I2" s="19" t="str">
        <f>'pooled normalised values'!M74</f>
        <v>Testosterone-300µg/L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Testosterone-3.7µg/L + Testostérone</v>
      </c>
      <c r="W2" s="19" t="str">
        <f>'pooled normalised values'!S74</f>
        <v>Testosterone-11µg/L + Testostérone</v>
      </c>
      <c r="X2" s="19" t="str">
        <f>'pooled normalised values'!T74</f>
        <v>Testosterone-33µg/L + Testostérone</v>
      </c>
      <c r="Y2" s="19" t="str">
        <f>'pooled normalised values'!U74</f>
        <v>Testosterone-100µg/L + Testostérone</v>
      </c>
      <c r="Z2" s="19" t="str">
        <f>'pooled normalised values'!V74</f>
        <v>Testosterone-300µg/L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0.28144382227989267</v>
      </c>
      <c r="G3" s="19">
        <f>HLOOKUP(G2,'pooled normalised values'!C74:W83,2,FALSE)</f>
        <v>1.6672795982376531</v>
      </c>
      <c r="H3" s="19">
        <f>HLOOKUP(H2,'pooled normalised values'!C74:X83,2,FALSE)</f>
        <v>4.6323680781874979</v>
      </c>
      <c r="I3" s="19">
        <f>HLOOKUP(I2,'pooled normalised values'!D74:Y83,2,FALSE)</f>
        <v>5.4617793177535008</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1.5716009600130505</v>
      </c>
      <c r="W3" s="19">
        <f>HLOOKUP(W2,'pooled normalised values'!N74:AM83,2,FALSE)</f>
        <v>1.1784485541283602</v>
      </c>
      <c r="X3" s="19">
        <f>HLOOKUP(X2,'pooled normalised values'!N74:AN83,2,FALSE)</f>
        <v>2.8507489587179213</v>
      </c>
      <c r="Y3" s="19">
        <f>HLOOKUP(Y2,'pooled normalised values'!N74:AO83,2,FALSE)</f>
        <v>3.6497195473770305</v>
      </c>
      <c r="Z3" s="19">
        <f>HLOOKUP(Z2,'pooled normalised values'!N74:AP83,2,FALSE)</f>
        <v>5.2594133014490723</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1.0000000000000002</v>
      </c>
      <c r="D4" s="21" t="s">
        <v>2</v>
      </c>
      <c r="E4" s="22"/>
      <c r="F4" s="19">
        <f>HLOOKUP(F2,'pooled normalised values'!B74:V83,3,FALSE)</f>
        <v>0.10264636115444274</v>
      </c>
      <c r="G4" s="19">
        <f>HLOOKUP(G2,'pooled normalised values'!C74:W83,3,FALSE)</f>
        <v>0.44506197039293671</v>
      </c>
      <c r="H4" s="19">
        <f>HLOOKUP(H2,'pooled normalised values'!C74:X83,3,FALSE)</f>
        <v>0.84741234778658958</v>
      </c>
      <c r="I4" s="19">
        <f>HLOOKUP(I2,'pooled normalised values'!D74:Y83,3,FALSE)</f>
        <v>1.016192577020828</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0.3818035043936529</v>
      </c>
      <c r="W4" s="19">
        <f>HLOOKUP(W2,'pooled normalised values'!N74:AM83,3,FALSE)</f>
        <v>0.2420500346750529</v>
      </c>
      <c r="X4" s="19">
        <f>HLOOKUP(X2,'pooled normalised values'!N74:AN83,3,FALSE)</f>
        <v>0.48523533123874429</v>
      </c>
      <c r="Y4" s="19">
        <f>HLOOKUP(Y2,'pooled normalised values'!N74:AO83,3,FALSE)</f>
        <v>0.75508450807161198</v>
      </c>
      <c r="Z4" s="19">
        <f>HLOOKUP(Z2,'pooled normalised values'!N74:AP83,3,FALSE)</f>
        <v>0.80274688651294612</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8.1190078236959913</v>
      </c>
      <c r="D5" s="23" t="s">
        <v>11</v>
      </c>
      <c r="E5" s="22"/>
      <c r="F5" s="19" t="str">
        <f>HLOOKUP(F2,'pooled normalised values'!B74:V83,10,FALSE)</f>
        <v>ns</v>
      </c>
      <c r="G5" s="19" t="str">
        <f>HLOOKUP(G2,'pooled normalised values'!C74:W83,10,FALSE)</f>
        <v>**</v>
      </c>
      <c r="H5" s="19" t="str">
        <f>HLOOKUP(H2,'pooled normalised values'!C74:X83,10,FALSE)</f>
        <v>***</v>
      </c>
      <c r="I5" s="19" t="str">
        <f>HLOOKUP(I2,'pooled normalised values'!D74:Y83,10,FALSE)</f>
        <v>***</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v>
      </c>
      <c r="Y5" s="19" t="str">
        <f>HLOOKUP(Y2,'pooled normalised values'!N74:AO83,10,FALSE)</f>
        <v>**</v>
      </c>
      <c r="Z5" s="19" t="str">
        <f>HLOOKUP(Z2,'pooled normalised values'!N74:AP83,10,FALSE)</f>
        <v>***</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8.4500661243615105E-2</v>
      </c>
      <c r="D6" s="21" t="s">
        <v>12</v>
      </c>
      <c r="E6" s="24">
        <f>$B$2</f>
        <v>0.10505820023547088</v>
      </c>
      <c r="F6" s="24">
        <f>$B$2</f>
        <v>0.10505820023547088</v>
      </c>
      <c r="G6" s="24">
        <f t="shared" ref="G6:R6" si="0">$B$2</f>
        <v>0.10505820023547088</v>
      </c>
      <c r="H6" s="24">
        <f t="shared" si="0"/>
        <v>0.10505820023547088</v>
      </c>
      <c r="I6" s="24">
        <f t="shared" si="0"/>
        <v>0.10505820023547088</v>
      </c>
      <c r="J6" s="24">
        <f t="shared" si="0"/>
        <v>0.10505820023547088</v>
      </c>
      <c r="K6" s="24">
        <f t="shared" si="0"/>
        <v>0.10505820023547088</v>
      </c>
      <c r="L6" s="24">
        <f t="shared" si="0"/>
        <v>0.10505820023547088</v>
      </c>
      <c r="M6" s="24">
        <f t="shared" si="0"/>
        <v>0.10505820023547088</v>
      </c>
      <c r="N6" s="24">
        <f t="shared" si="0"/>
        <v>0.10505820023547088</v>
      </c>
      <c r="O6" s="24">
        <f t="shared" si="0"/>
        <v>0.10505820023547088</v>
      </c>
      <c r="P6" s="24">
        <f t="shared" si="0"/>
        <v>0.10505820023547088</v>
      </c>
      <c r="Q6" s="24">
        <f t="shared" si="0"/>
        <v>0.10505820023547088</v>
      </c>
      <c r="R6" s="24">
        <f t="shared" si="0"/>
        <v>0.10505820023547088</v>
      </c>
      <c r="S6" s="24">
        <f>$B$2</f>
        <v>0.10505820023547088</v>
      </c>
      <c r="T6" s="24">
        <f>$B$2</f>
        <v>0.10505820023547088</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1.0000000000000002</v>
      </c>
      <c r="V7" s="25">
        <f t="shared" si="1"/>
        <v>1.0000000000000002</v>
      </c>
      <c r="W7" s="25">
        <f t="shared" si="1"/>
        <v>1.0000000000000002</v>
      </c>
      <c r="X7" s="25">
        <f t="shared" si="1"/>
        <v>1.0000000000000002</v>
      </c>
      <c r="Y7" s="25">
        <f t="shared" si="1"/>
        <v>1.0000000000000002</v>
      </c>
      <c r="Z7" s="25">
        <f t="shared" si="1"/>
        <v>1.0000000000000002</v>
      </c>
      <c r="AA7" s="25">
        <f t="shared" si="1"/>
        <v>1.0000000000000002</v>
      </c>
      <c r="AB7" s="25">
        <f t="shared" si="1"/>
        <v>1.0000000000000002</v>
      </c>
      <c r="AC7" s="25">
        <f t="shared" si="1"/>
        <v>1.0000000000000002</v>
      </c>
      <c r="AD7" s="25">
        <f t="shared" si="1"/>
        <v>1.0000000000000002</v>
      </c>
      <c r="AE7" s="25">
        <f t="shared" si="1"/>
        <v>1.0000000000000002</v>
      </c>
      <c r="AF7" s="25">
        <f t="shared" si="1"/>
        <v>1.0000000000000002</v>
      </c>
      <c r="AG7" s="25">
        <f t="shared" si="1"/>
        <v>1.0000000000000002</v>
      </c>
      <c r="AH7" s="25">
        <f t="shared" si="1"/>
        <v>1.0000000000000002</v>
      </c>
      <c r="AI7" s="25">
        <f t="shared" si="1"/>
        <v>1.0000000000000002</v>
      </c>
      <c r="AJ7" s="25">
        <f t="shared" si="1"/>
        <v>1.0000000000000002</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8.4500661243615105E-2</v>
      </c>
      <c r="V8" s="25">
        <f t="shared" ref="V8:AJ8" si="2">$B$6</f>
        <v>8.4500661243615105E-2</v>
      </c>
      <c r="W8" s="25">
        <f t="shared" si="2"/>
        <v>8.4500661243615105E-2</v>
      </c>
      <c r="X8" s="25">
        <f t="shared" si="2"/>
        <v>8.4500661243615105E-2</v>
      </c>
      <c r="Y8" s="25">
        <f t="shared" si="2"/>
        <v>8.4500661243615105E-2</v>
      </c>
      <c r="Z8" s="25">
        <f t="shared" si="2"/>
        <v>8.4500661243615105E-2</v>
      </c>
      <c r="AA8" s="25">
        <f t="shared" si="2"/>
        <v>8.4500661243615105E-2</v>
      </c>
      <c r="AB8" s="25">
        <f t="shared" si="2"/>
        <v>8.4500661243615105E-2</v>
      </c>
      <c r="AC8" s="25">
        <f t="shared" si="2"/>
        <v>8.4500661243615105E-2</v>
      </c>
      <c r="AD8" s="25">
        <f t="shared" si="2"/>
        <v>8.4500661243615105E-2</v>
      </c>
      <c r="AE8" s="25">
        <f t="shared" si="2"/>
        <v>8.4500661243615105E-2</v>
      </c>
      <c r="AF8" s="25">
        <f t="shared" si="2"/>
        <v>8.4500661243615105E-2</v>
      </c>
      <c r="AG8" s="25">
        <f t="shared" si="2"/>
        <v>8.4500661243615105E-2</v>
      </c>
      <c r="AH8" s="25">
        <f t="shared" si="2"/>
        <v>8.4500661243615105E-2</v>
      </c>
      <c r="AI8" s="25">
        <f t="shared" si="2"/>
        <v>8.4500661243615105E-2</v>
      </c>
      <c r="AJ8" s="25">
        <f t="shared" si="2"/>
        <v>8.4500661243615105E-2</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8.0345071624523765</v>
      </c>
      <c r="V9" s="25">
        <f>$B$5-V8</f>
        <v>8.0345071624523765</v>
      </c>
      <c r="W9" s="25">
        <f t="shared" ref="W9:AH9" si="4">$B$5-W8</f>
        <v>8.0345071624523765</v>
      </c>
      <c r="X9" s="25">
        <f t="shared" si="4"/>
        <v>8.0345071624523765</v>
      </c>
      <c r="Y9" s="25">
        <f t="shared" si="4"/>
        <v>8.0345071624523765</v>
      </c>
      <c r="Z9" s="25">
        <f t="shared" si="4"/>
        <v>8.0345071624523765</v>
      </c>
      <c r="AA9" s="25">
        <f t="shared" si="4"/>
        <v>8.0345071624523765</v>
      </c>
      <c r="AB9" s="25">
        <f t="shared" si="4"/>
        <v>8.0345071624523765</v>
      </c>
      <c r="AC9" s="25">
        <f t="shared" si="4"/>
        <v>8.0345071624523765</v>
      </c>
      <c r="AD9" s="25">
        <f t="shared" si="4"/>
        <v>8.0345071624523765</v>
      </c>
      <c r="AE9" s="25">
        <f t="shared" si="4"/>
        <v>8.0345071624523765</v>
      </c>
      <c r="AF9" s="25">
        <f t="shared" si="4"/>
        <v>8.0345071624523765</v>
      </c>
      <c r="AG9" s="25">
        <f t="shared" si="4"/>
        <v>8.0345071624523765</v>
      </c>
      <c r="AH9" s="25">
        <f t="shared" si="4"/>
        <v>8.0345071624523765</v>
      </c>
      <c r="AI9" s="25">
        <f>$B$5-AI8</f>
        <v>8.0345071624523765</v>
      </c>
      <c r="AJ9" s="25">
        <f>$B$5-AJ8</f>
        <v>8.0345071624523765</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-5.5345071624523765</v>
      </c>
      <c r="V10" s="25">
        <f>2.5-V9</f>
        <v>-5.5345071624523765</v>
      </c>
      <c r="W10" s="25">
        <f t="shared" ref="W10:AH10" si="6">2.5-W9</f>
        <v>-5.5345071624523765</v>
      </c>
      <c r="X10" s="25">
        <f t="shared" si="6"/>
        <v>-5.5345071624523765</v>
      </c>
      <c r="Y10" s="25">
        <f t="shared" si="6"/>
        <v>-5.5345071624523765</v>
      </c>
      <c r="Z10" s="25">
        <f t="shared" si="6"/>
        <v>-5.5345071624523765</v>
      </c>
      <c r="AA10" s="25">
        <f t="shared" si="6"/>
        <v>-5.5345071624523765</v>
      </c>
      <c r="AB10" s="25">
        <f t="shared" si="6"/>
        <v>-5.5345071624523765</v>
      </c>
      <c r="AC10" s="25">
        <f t="shared" si="6"/>
        <v>-5.5345071624523765</v>
      </c>
      <c r="AD10" s="25">
        <f t="shared" si="6"/>
        <v>-5.5345071624523765</v>
      </c>
      <c r="AE10" s="25">
        <f t="shared" si="6"/>
        <v>-5.5345071624523765</v>
      </c>
      <c r="AF10" s="25">
        <f t="shared" si="6"/>
        <v>-5.5345071624523765</v>
      </c>
      <c r="AG10" s="25">
        <f t="shared" si="6"/>
        <v>-5.5345071624523765</v>
      </c>
      <c r="AH10" s="25">
        <f t="shared" si="6"/>
        <v>-5.5345071624523765</v>
      </c>
      <c r="AI10" s="25">
        <f>2.5-AI9</f>
        <v>-5.5345071624523765</v>
      </c>
      <c r="AJ10" s="25">
        <f>2.5-AJ9</f>
        <v>-5.5345071624523765</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defaultColWidth="11.5546875" defaultRowHeight="13.2" x14ac:dyDescent="0.25"/>
  <cols>
    <col min="1" max="1" width="18.77734375" style="17" customWidth="1"/>
    <col min="2" max="2" width="7.21875" style="17" bestFit="1" customWidth="1"/>
    <col min="3" max="3" width="10.5546875" style="17" customWidth="1"/>
    <col min="4" max="4" width="13.77734375" style="17" bestFit="1" customWidth="1"/>
    <col min="5" max="5" width="12" style="17" bestFit="1" customWidth="1"/>
    <col min="6" max="6" width="14.77734375" style="17" customWidth="1"/>
    <col min="7" max="8" width="11.44140625" style="17"/>
    <col min="9" max="9" width="13.5546875" style="17" bestFit="1" customWidth="1"/>
    <col min="10" max="256" width="11.44140625" style="17"/>
    <col min="257" max="257" width="18.77734375" style="17" customWidth="1"/>
    <col min="258" max="258" width="13.77734375" style="17" bestFit="1" customWidth="1"/>
    <col min="259" max="259" width="17.21875" style="17" customWidth="1"/>
    <col min="260" max="260" width="11" style="17" customWidth="1"/>
    <col min="261" max="261" width="12" style="17" bestFit="1" customWidth="1"/>
    <col min="262" max="262" width="14.77734375" style="17" customWidth="1"/>
    <col min="263" max="512" width="11.44140625" style="17"/>
    <col min="513" max="513" width="18.77734375" style="17" customWidth="1"/>
    <col min="514" max="514" width="13.77734375" style="17" bestFit="1" customWidth="1"/>
    <col min="515" max="515" width="17.21875" style="17" customWidth="1"/>
    <col min="516" max="516" width="11" style="17" customWidth="1"/>
    <col min="517" max="517" width="12" style="17" bestFit="1" customWidth="1"/>
    <col min="518" max="518" width="14.77734375" style="17" customWidth="1"/>
    <col min="519" max="768" width="11.44140625" style="17"/>
    <col min="769" max="769" width="18.77734375" style="17" customWidth="1"/>
    <col min="770" max="770" width="13.77734375" style="17" bestFit="1" customWidth="1"/>
    <col min="771" max="771" width="17.21875" style="17" customWidth="1"/>
    <col min="772" max="772" width="11" style="17" customWidth="1"/>
    <col min="773" max="773" width="12" style="17" bestFit="1" customWidth="1"/>
    <col min="774" max="774" width="14.77734375" style="17" customWidth="1"/>
    <col min="775" max="1024" width="11.44140625" style="17"/>
    <col min="1025" max="1025" width="18.77734375" style="17" customWidth="1"/>
    <col min="1026" max="1026" width="13.77734375" style="17" bestFit="1" customWidth="1"/>
    <col min="1027" max="1027" width="17.21875" style="17" customWidth="1"/>
    <col min="1028" max="1028" width="11" style="17" customWidth="1"/>
    <col min="1029" max="1029" width="12" style="17" bestFit="1" customWidth="1"/>
    <col min="1030" max="1030" width="14.77734375" style="17" customWidth="1"/>
    <col min="1031" max="1280" width="11.44140625" style="17"/>
    <col min="1281" max="1281" width="18.77734375" style="17" customWidth="1"/>
    <col min="1282" max="1282" width="13.77734375" style="17" bestFit="1" customWidth="1"/>
    <col min="1283" max="1283" width="17.21875" style="17" customWidth="1"/>
    <col min="1284" max="1284" width="11" style="17" customWidth="1"/>
    <col min="1285" max="1285" width="12" style="17" bestFit="1" customWidth="1"/>
    <col min="1286" max="1286" width="14.77734375" style="17" customWidth="1"/>
    <col min="1287" max="1536" width="11.44140625" style="17"/>
    <col min="1537" max="1537" width="18.77734375" style="17" customWidth="1"/>
    <col min="1538" max="1538" width="13.77734375" style="17" bestFit="1" customWidth="1"/>
    <col min="1539" max="1539" width="17.21875" style="17" customWidth="1"/>
    <col min="1540" max="1540" width="11" style="17" customWidth="1"/>
    <col min="1541" max="1541" width="12" style="17" bestFit="1" customWidth="1"/>
    <col min="1542" max="1542" width="14.77734375" style="17" customWidth="1"/>
    <col min="1543" max="1792" width="11.44140625" style="17"/>
    <col min="1793" max="1793" width="18.77734375" style="17" customWidth="1"/>
    <col min="1794" max="1794" width="13.77734375" style="17" bestFit="1" customWidth="1"/>
    <col min="1795" max="1795" width="17.21875" style="17" customWidth="1"/>
    <col min="1796" max="1796" width="11" style="17" customWidth="1"/>
    <col min="1797" max="1797" width="12" style="17" bestFit="1" customWidth="1"/>
    <col min="1798" max="1798" width="14.77734375" style="17" customWidth="1"/>
    <col min="1799" max="2048" width="11.44140625" style="17"/>
    <col min="2049" max="2049" width="18.77734375" style="17" customWidth="1"/>
    <col min="2050" max="2050" width="13.77734375" style="17" bestFit="1" customWidth="1"/>
    <col min="2051" max="2051" width="17.21875" style="17" customWidth="1"/>
    <col min="2052" max="2052" width="11" style="17" customWidth="1"/>
    <col min="2053" max="2053" width="12" style="17" bestFit="1" customWidth="1"/>
    <col min="2054" max="2054" width="14.77734375" style="17" customWidth="1"/>
    <col min="2055" max="2304" width="11.44140625" style="17"/>
    <col min="2305" max="2305" width="18.77734375" style="17" customWidth="1"/>
    <col min="2306" max="2306" width="13.77734375" style="17" bestFit="1" customWidth="1"/>
    <col min="2307" max="2307" width="17.21875" style="17" customWidth="1"/>
    <col min="2308" max="2308" width="11" style="17" customWidth="1"/>
    <col min="2309" max="2309" width="12" style="17" bestFit="1" customWidth="1"/>
    <col min="2310" max="2310" width="14.77734375" style="17" customWidth="1"/>
    <col min="2311" max="2560" width="11.44140625" style="17"/>
    <col min="2561" max="2561" width="18.77734375" style="17" customWidth="1"/>
    <col min="2562" max="2562" width="13.77734375" style="17" bestFit="1" customWidth="1"/>
    <col min="2563" max="2563" width="17.21875" style="17" customWidth="1"/>
    <col min="2564" max="2564" width="11" style="17" customWidth="1"/>
    <col min="2565" max="2565" width="12" style="17" bestFit="1" customWidth="1"/>
    <col min="2566" max="2566" width="14.77734375" style="17" customWidth="1"/>
    <col min="2567" max="2816" width="11.44140625" style="17"/>
    <col min="2817" max="2817" width="18.77734375" style="17" customWidth="1"/>
    <col min="2818" max="2818" width="13.77734375" style="17" bestFit="1" customWidth="1"/>
    <col min="2819" max="2819" width="17.21875" style="17" customWidth="1"/>
    <col min="2820" max="2820" width="11" style="17" customWidth="1"/>
    <col min="2821" max="2821" width="12" style="17" bestFit="1" customWidth="1"/>
    <col min="2822" max="2822" width="14.77734375" style="17" customWidth="1"/>
    <col min="2823" max="3072" width="11.44140625" style="17"/>
    <col min="3073" max="3073" width="18.77734375" style="17" customWidth="1"/>
    <col min="3074" max="3074" width="13.77734375" style="17" bestFit="1" customWidth="1"/>
    <col min="3075" max="3075" width="17.21875" style="17" customWidth="1"/>
    <col min="3076" max="3076" width="11" style="17" customWidth="1"/>
    <col min="3077" max="3077" width="12" style="17" bestFit="1" customWidth="1"/>
    <col min="3078" max="3078" width="14.77734375" style="17" customWidth="1"/>
    <col min="3079" max="3328" width="11.44140625" style="17"/>
    <col min="3329" max="3329" width="18.77734375" style="17" customWidth="1"/>
    <col min="3330" max="3330" width="13.77734375" style="17" bestFit="1" customWidth="1"/>
    <col min="3331" max="3331" width="17.21875" style="17" customWidth="1"/>
    <col min="3332" max="3332" width="11" style="17" customWidth="1"/>
    <col min="3333" max="3333" width="12" style="17" bestFit="1" customWidth="1"/>
    <col min="3334" max="3334" width="14.77734375" style="17" customWidth="1"/>
    <col min="3335" max="3584" width="11.44140625" style="17"/>
    <col min="3585" max="3585" width="18.77734375" style="17" customWidth="1"/>
    <col min="3586" max="3586" width="13.77734375" style="17" bestFit="1" customWidth="1"/>
    <col min="3587" max="3587" width="17.21875" style="17" customWidth="1"/>
    <col min="3588" max="3588" width="11" style="17" customWidth="1"/>
    <col min="3589" max="3589" width="12" style="17" bestFit="1" customWidth="1"/>
    <col min="3590" max="3590" width="14.77734375" style="17" customWidth="1"/>
    <col min="3591" max="3840" width="11.44140625" style="17"/>
    <col min="3841" max="3841" width="18.77734375" style="17" customWidth="1"/>
    <col min="3842" max="3842" width="13.77734375" style="17" bestFit="1" customWidth="1"/>
    <col min="3843" max="3843" width="17.21875" style="17" customWidth="1"/>
    <col min="3844" max="3844" width="11" style="17" customWidth="1"/>
    <col min="3845" max="3845" width="12" style="17" bestFit="1" customWidth="1"/>
    <col min="3846" max="3846" width="14.77734375" style="17" customWidth="1"/>
    <col min="3847" max="4096" width="11.44140625" style="17"/>
    <col min="4097" max="4097" width="18.77734375" style="17" customWidth="1"/>
    <col min="4098" max="4098" width="13.77734375" style="17" bestFit="1" customWidth="1"/>
    <col min="4099" max="4099" width="17.21875" style="17" customWidth="1"/>
    <col min="4100" max="4100" width="11" style="17" customWidth="1"/>
    <col min="4101" max="4101" width="12" style="17" bestFit="1" customWidth="1"/>
    <col min="4102" max="4102" width="14.77734375" style="17" customWidth="1"/>
    <col min="4103" max="4352" width="11.44140625" style="17"/>
    <col min="4353" max="4353" width="18.77734375" style="17" customWidth="1"/>
    <col min="4354" max="4354" width="13.77734375" style="17" bestFit="1" customWidth="1"/>
    <col min="4355" max="4355" width="17.21875" style="17" customWidth="1"/>
    <col min="4356" max="4356" width="11" style="17" customWidth="1"/>
    <col min="4357" max="4357" width="12" style="17" bestFit="1" customWidth="1"/>
    <col min="4358" max="4358" width="14.77734375" style="17" customWidth="1"/>
    <col min="4359" max="4608" width="11.44140625" style="17"/>
    <col min="4609" max="4609" width="18.77734375" style="17" customWidth="1"/>
    <col min="4610" max="4610" width="13.77734375" style="17" bestFit="1" customWidth="1"/>
    <col min="4611" max="4611" width="17.21875" style="17" customWidth="1"/>
    <col min="4612" max="4612" width="11" style="17" customWidth="1"/>
    <col min="4613" max="4613" width="12" style="17" bestFit="1" customWidth="1"/>
    <col min="4614" max="4614" width="14.77734375" style="17" customWidth="1"/>
    <col min="4615" max="4864" width="11.44140625" style="17"/>
    <col min="4865" max="4865" width="18.77734375" style="17" customWidth="1"/>
    <col min="4866" max="4866" width="13.77734375" style="17" bestFit="1" customWidth="1"/>
    <col min="4867" max="4867" width="17.21875" style="17" customWidth="1"/>
    <col min="4868" max="4868" width="11" style="17" customWidth="1"/>
    <col min="4869" max="4869" width="12" style="17" bestFit="1" customWidth="1"/>
    <col min="4870" max="4870" width="14.77734375" style="17" customWidth="1"/>
    <col min="4871" max="5120" width="11.44140625" style="17"/>
    <col min="5121" max="5121" width="18.77734375" style="17" customWidth="1"/>
    <col min="5122" max="5122" width="13.77734375" style="17" bestFit="1" customWidth="1"/>
    <col min="5123" max="5123" width="17.21875" style="17" customWidth="1"/>
    <col min="5124" max="5124" width="11" style="17" customWidth="1"/>
    <col min="5125" max="5125" width="12" style="17" bestFit="1" customWidth="1"/>
    <col min="5126" max="5126" width="14.77734375" style="17" customWidth="1"/>
    <col min="5127" max="5376" width="11.44140625" style="17"/>
    <col min="5377" max="5377" width="18.77734375" style="17" customWidth="1"/>
    <col min="5378" max="5378" width="13.77734375" style="17" bestFit="1" customWidth="1"/>
    <col min="5379" max="5379" width="17.21875" style="17" customWidth="1"/>
    <col min="5380" max="5380" width="11" style="17" customWidth="1"/>
    <col min="5381" max="5381" width="12" style="17" bestFit="1" customWidth="1"/>
    <col min="5382" max="5382" width="14.77734375" style="17" customWidth="1"/>
    <col min="5383" max="5632" width="11.44140625" style="17"/>
    <col min="5633" max="5633" width="18.77734375" style="17" customWidth="1"/>
    <col min="5634" max="5634" width="13.77734375" style="17" bestFit="1" customWidth="1"/>
    <col min="5635" max="5635" width="17.21875" style="17" customWidth="1"/>
    <col min="5636" max="5636" width="11" style="17" customWidth="1"/>
    <col min="5637" max="5637" width="12" style="17" bestFit="1" customWidth="1"/>
    <col min="5638" max="5638" width="14.77734375" style="17" customWidth="1"/>
    <col min="5639" max="5888" width="11.44140625" style="17"/>
    <col min="5889" max="5889" width="18.77734375" style="17" customWidth="1"/>
    <col min="5890" max="5890" width="13.77734375" style="17" bestFit="1" customWidth="1"/>
    <col min="5891" max="5891" width="17.21875" style="17" customWidth="1"/>
    <col min="5892" max="5892" width="11" style="17" customWidth="1"/>
    <col min="5893" max="5893" width="12" style="17" bestFit="1" customWidth="1"/>
    <col min="5894" max="5894" width="14.77734375" style="17" customWidth="1"/>
    <col min="5895" max="6144" width="11.44140625" style="17"/>
    <col min="6145" max="6145" width="18.77734375" style="17" customWidth="1"/>
    <col min="6146" max="6146" width="13.77734375" style="17" bestFit="1" customWidth="1"/>
    <col min="6147" max="6147" width="17.21875" style="17" customWidth="1"/>
    <col min="6148" max="6148" width="11" style="17" customWidth="1"/>
    <col min="6149" max="6149" width="12" style="17" bestFit="1" customWidth="1"/>
    <col min="6150" max="6150" width="14.77734375" style="17" customWidth="1"/>
    <col min="6151" max="6400" width="11.44140625" style="17"/>
    <col min="6401" max="6401" width="18.77734375" style="17" customWidth="1"/>
    <col min="6402" max="6402" width="13.77734375" style="17" bestFit="1" customWidth="1"/>
    <col min="6403" max="6403" width="17.21875" style="17" customWidth="1"/>
    <col min="6404" max="6404" width="11" style="17" customWidth="1"/>
    <col min="6405" max="6405" width="12" style="17" bestFit="1" customWidth="1"/>
    <col min="6406" max="6406" width="14.77734375" style="17" customWidth="1"/>
    <col min="6407" max="6656" width="11.44140625" style="17"/>
    <col min="6657" max="6657" width="18.77734375" style="17" customWidth="1"/>
    <col min="6658" max="6658" width="13.77734375" style="17" bestFit="1" customWidth="1"/>
    <col min="6659" max="6659" width="17.21875" style="17" customWidth="1"/>
    <col min="6660" max="6660" width="11" style="17" customWidth="1"/>
    <col min="6661" max="6661" width="12" style="17" bestFit="1" customWidth="1"/>
    <col min="6662" max="6662" width="14.77734375" style="17" customWidth="1"/>
    <col min="6663" max="6912" width="11.44140625" style="17"/>
    <col min="6913" max="6913" width="18.77734375" style="17" customWidth="1"/>
    <col min="6914" max="6914" width="13.77734375" style="17" bestFit="1" customWidth="1"/>
    <col min="6915" max="6915" width="17.21875" style="17" customWidth="1"/>
    <col min="6916" max="6916" width="11" style="17" customWidth="1"/>
    <col min="6917" max="6917" width="12" style="17" bestFit="1" customWidth="1"/>
    <col min="6918" max="6918" width="14.77734375" style="17" customWidth="1"/>
    <col min="6919" max="7168" width="11.44140625" style="17"/>
    <col min="7169" max="7169" width="18.77734375" style="17" customWidth="1"/>
    <col min="7170" max="7170" width="13.77734375" style="17" bestFit="1" customWidth="1"/>
    <col min="7171" max="7171" width="17.21875" style="17" customWidth="1"/>
    <col min="7172" max="7172" width="11" style="17" customWidth="1"/>
    <col min="7173" max="7173" width="12" style="17" bestFit="1" customWidth="1"/>
    <col min="7174" max="7174" width="14.77734375" style="17" customWidth="1"/>
    <col min="7175" max="7424" width="11.44140625" style="17"/>
    <col min="7425" max="7425" width="18.77734375" style="17" customWidth="1"/>
    <col min="7426" max="7426" width="13.77734375" style="17" bestFit="1" customWidth="1"/>
    <col min="7427" max="7427" width="17.21875" style="17" customWidth="1"/>
    <col min="7428" max="7428" width="11" style="17" customWidth="1"/>
    <col min="7429" max="7429" width="12" style="17" bestFit="1" customWidth="1"/>
    <col min="7430" max="7430" width="14.77734375" style="17" customWidth="1"/>
    <col min="7431" max="7680" width="11.44140625" style="17"/>
    <col min="7681" max="7681" width="18.77734375" style="17" customWidth="1"/>
    <col min="7682" max="7682" width="13.77734375" style="17" bestFit="1" customWidth="1"/>
    <col min="7683" max="7683" width="17.21875" style="17" customWidth="1"/>
    <col min="7684" max="7684" width="11" style="17" customWidth="1"/>
    <col min="7685" max="7685" width="12" style="17" bestFit="1" customWidth="1"/>
    <col min="7686" max="7686" width="14.77734375" style="17" customWidth="1"/>
    <col min="7687" max="7936" width="11.44140625" style="17"/>
    <col min="7937" max="7937" width="18.77734375" style="17" customWidth="1"/>
    <col min="7938" max="7938" width="13.77734375" style="17" bestFit="1" customWidth="1"/>
    <col min="7939" max="7939" width="17.21875" style="17" customWidth="1"/>
    <col min="7940" max="7940" width="11" style="17" customWidth="1"/>
    <col min="7941" max="7941" width="12" style="17" bestFit="1" customWidth="1"/>
    <col min="7942" max="7942" width="14.77734375" style="17" customWidth="1"/>
    <col min="7943" max="8192" width="11.44140625" style="17"/>
    <col min="8193" max="8193" width="18.77734375" style="17" customWidth="1"/>
    <col min="8194" max="8194" width="13.77734375" style="17" bestFit="1" customWidth="1"/>
    <col min="8195" max="8195" width="17.21875" style="17" customWidth="1"/>
    <col min="8196" max="8196" width="11" style="17" customWidth="1"/>
    <col min="8197" max="8197" width="12" style="17" bestFit="1" customWidth="1"/>
    <col min="8198" max="8198" width="14.77734375" style="17" customWidth="1"/>
    <col min="8199" max="8448" width="11.44140625" style="17"/>
    <col min="8449" max="8449" width="18.77734375" style="17" customWidth="1"/>
    <col min="8450" max="8450" width="13.77734375" style="17" bestFit="1" customWidth="1"/>
    <col min="8451" max="8451" width="17.21875" style="17" customWidth="1"/>
    <col min="8452" max="8452" width="11" style="17" customWidth="1"/>
    <col min="8453" max="8453" width="12" style="17" bestFit="1" customWidth="1"/>
    <col min="8454" max="8454" width="14.77734375" style="17" customWidth="1"/>
    <col min="8455" max="8704" width="11.44140625" style="17"/>
    <col min="8705" max="8705" width="18.77734375" style="17" customWidth="1"/>
    <col min="8706" max="8706" width="13.77734375" style="17" bestFit="1" customWidth="1"/>
    <col min="8707" max="8707" width="17.21875" style="17" customWidth="1"/>
    <col min="8708" max="8708" width="11" style="17" customWidth="1"/>
    <col min="8709" max="8709" width="12" style="17" bestFit="1" customWidth="1"/>
    <col min="8710" max="8710" width="14.77734375" style="17" customWidth="1"/>
    <col min="8711" max="8960" width="11.44140625" style="17"/>
    <col min="8961" max="8961" width="18.77734375" style="17" customWidth="1"/>
    <col min="8962" max="8962" width="13.77734375" style="17" bestFit="1" customWidth="1"/>
    <col min="8963" max="8963" width="17.21875" style="17" customWidth="1"/>
    <col min="8964" max="8964" width="11" style="17" customWidth="1"/>
    <col min="8965" max="8965" width="12" style="17" bestFit="1" customWidth="1"/>
    <col min="8966" max="8966" width="14.77734375" style="17" customWidth="1"/>
    <col min="8967" max="9216" width="11.44140625" style="17"/>
    <col min="9217" max="9217" width="18.77734375" style="17" customWidth="1"/>
    <col min="9218" max="9218" width="13.77734375" style="17" bestFit="1" customWidth="1"/>
    <col min="9219" max="9219" width="17.21875" style="17" customWidth="1"/>
    <col min="9220" max="9220" width="11" style="17" customWidth="1"/>
    <col min="9221" max="9221" width="12" style="17" bestFit="1" customWidth="1"/>
    <col min="9222" max="9222" width="14.77734375" style="17" customWidth="1"/>
    <col min="9223" max="9472" width="11.44140625" style="17"/>
    <col min="9473" max="9473" width="18.77734375" style="17" customWidth="1"/>
    <col min="9474" max="9474" width="13.77734375" style="17" bestFit="1" customWidth="1"/>
    <col min="9475" max="9475" width="17.21875" style="17" customWidth="1"/>
    <col min="9476" max="9476" width="11" style="17" customWidth="1"/>
    <col min="9477" max="9477" width="12" style="17" bestFit="1" customWidth="1"/>
    <col min="9478" max="9478" width="14.77734375" style="17" customWidth="1"/>
    <col min="9479" max="9728" width="11.44140625" style="17"/>
    <col min="9729" max="9729" width="18.77734375" style="17" customWidth="1"/>
    <col min="9730" max="9730" width="13.77734375" style="17" bestFit="1" customWidth="1"/>
    <col min="9731" max="9731" width="17.21875" style="17" customWidth="1"/>
    <col min="9732" max="9732" width="11" style="17" customWidth="1"/>
    <col min="9733" max="9733" width="12" style="17" bestFit="1" customWidth="1"/>
    <col min="9734" max="9734" width="14.77734375" style="17" customWidth="1"/>
    <col min="9735" max="9984" width="11.44140625" style="17"/>
    <col min="9985" max="9985" width="18.77734375" style="17" customWidth="1"/>
    <col min="9986" max="9986" width="13.77734375" style="17" bestFit="1" customWidth="1"/>
    <col min="9987" max="9987" width="17.21875" style="17" customWidth="1"/>
    <col min="9988" max="9988" width="11" style="17" customWidth="1"/>
    <col min="9989" max="9989" width="12" style="17" bestFit="1" customWidth="1"/>
    <col min="9990" max="9990" width="14.77734375" style="17" customWidth="1"/>
    <col min="9991" max="10240" width="11.44140625" style="17"/>
    <col min="10241" max="10241" width="18.77734375" style="17" customWidth="1"/>
    <col min="10242" max="10242" width="13.77734375" style="17" bestFit="1" customWidth="1"/>
    <col min="10243" max="10243" width="17.21875" style="17" customWidth="1"/>
    <col min="10244" max="10244" width="11" style="17" customWidth="1"/>
    <col min="10245" max="10245" width="12" style="17" bestFit="1" customWidth="1"/>
    <col min="10246" max="10246" width="14.77734375" style="17" customWidth="1"/>
    <col min="10247" max="10496" width="11.44140625" style="17"/>
    <col min="10497" max="10497" width="18.77734375" style="17" customWidth="1"/>
    <col min="10498" max="10498" width="13.77734375" style="17" bestFit="1" customWidth="1"/>
    <col min="10499" max="10499" width="17.21875" style="17" customWidth="1"/>
    <col min="10500" max="10500" width="11" style="17" customWidth="1"/>
    <col min="10501" max="10501" width="12" style="17" bestFit="1" customWidth="1"/>
    <col min="10502" max="10502" width="14.77734375" style="17" customWidth="1"/>
    <col min="10503" max="10752" width="11.44140625" style="17"/>
    <col min="10753" max="10753" width="18.77734375" style="17" customWidth="1"/>
    <col min="10754" max="10754" width="13.77734375" style="17" bestFit="1" customWidth="1"/>
    <col min="10755" max="10755" width="17.21875" style="17" customWidth="1"/>
    <col min="10756" max="10756" width="11" style="17" customWidth="1"/>
    <col min="10757" max="10757" width="12" style="17" bestFit="1" customWidth="1"/>
    <col min="10758" max="10758" width="14.77734375" style="17" customWidth="1"/>
    <col min="10759" max="11008" width="11.44140625" style="17"/>
    <col min="11009" max="11009" width="18.77734375" style="17" customWidth="1"/>
    <col min="11010" max="11010" width="13.77734375" style="17" bestFit="1" customWidth="1"/>
    <col min="11011" max="11011" width="17.21875" style="17" customWidth="1"/>
    <col min="11012" max="11012" width="11" style="17" customWidth="1"/>
    <col min="11013" max="11013" width="12" style="17" bestFit="1" customWidth="1"/>
    <col min="11014" max="11014" width="14.77734375" style="17" customWidth="1"/>
    <col min="11015" max="11264" width="11.44140625" style="17"/>
    <col min="11265" max="11265" width="18.77734375" style="17" customWidth="1"/>
    <col min="11266" max="11266" width="13.77734375" style="17" bestFit="1" customWidth="1"/>
    <col min="11267" max="11267" width="17.21875" style="17" customWidth="1"/>
    <col min="11268" max="11268" width="11" style="17" customWidth="1"/>
    <col min="11269" max="11269" width="12" style="17" bestFit="1" customWidth="1"/>
    <col min="11270" max="11270" width="14.77734375" style="17" customWidth="1"/>
    <col min="11271" max="11520" width="11.44140625" style="17"/>
    <col min="11521" max="11521" width="18.77734375" style="17" customWidth="1"/>
    <col min="11522" max="11522" width="13.77734375" style="17" bestFit="1" customWidth="1"/>
    <col min="11523" max="11523" width="17.21875" style="17" customWidth="1"/>
    <col min="11524" max="11524" width="11" style="17" customWidth="1"/>
    <col min="11525" max="11525" width="12" style="17" bestFit="1" customWidth="1"/>
    <col min="11526" max="11526" width="14.77734375" style="17" customWidth="1"/>
    <col min="11527" max="11776" width="11.44140625" style="17"/>
    <col min="11777" max="11777" width="18.77734375" style="17" customWidth="1"/>
    <col min="11778" max="11778" width="13.77734375" style="17" bestFit="1" customWidth="1"/>
    <col min="11779" max="11779" width="17.21875" style="17" customWidth="1"/>
    <col min="11780" max="11780" width="11" style="17" customWidth="1"/>
    <col min="11781" max="11781" width="12" style="17" bestFit="1" customWidth="1"/>
    <col min="11782" max="11782" width="14.77734375" style="17" customWidth="1"/>
    <col min="11783" max="12032" width="11.44140625" style="17"/>
    <col min="12033" max="12033" width="18.77734375" style="17" customWidth="1"/>
    <col min="12034" max="12034" width="13.77734375" style="17" bestFit="1" customWidth="1"/>
    <col min="12035" max="12035" width="17.21875" style="17" customWidth="1"/>
    <col min="12036" max="12036" width="11" style="17" customWidth="1"/>
    <col min="12037" max="12037" width="12" style="17" bestFit="1" customWidth="1"/>
    <col min="12038" max="12038" width="14.77734375" style="17" customWidth="1"/>
    <col min="12039" max="12288" width="11.44140625" style="17"/>
    <col min="12289" max="12289" width="18.77734375" style="17" customWidth="1"/>
    <col min="12290" max="12290" width="13.77734375" style="17" bestFit="1" customWidth="1"/>
    <col min="12291" max="12291" width="17.21875" style="17" customWidth="1"/>
    <col min="12292" max="12292" width="11" style="17" customWidth="1"/>
    <col min="12293" max="12293" width="12" style="17" bestFit="1" customWidth="1"/>
    <col min="12294" max="12294" width="14.77734375" style="17" customWidth="1"/>
    <col min="12295" max="12544" width="11.44140625" style="17"/>
    <col min="12545" max="12545" width="18.77734375" style="17" customWidth="1"/>
    <col min="12546" max="12546" width="13.77734375" style="17" bestFit="1" customWidth="1"/>
    <col min="12547" max="12547" width="17.21875" style="17" customWidth="1"/>
    <col min="12548" max="12548" width="11" style="17" customWidth="1"/>
    <col min="12549" max="12549" width="12" style="17" bestFit="1" customWidth="1"/>
    <col min="12550" max="12550" width="14.77734375" style="17" customWidth="1"/>
    <col min="12551" max="12800" width="11.44140625" style="17"/>
    <col min="12801" max="12801" width="18.77734375" style="17" customWidth="1"/>
    <col min="12802" max="12802" width="13.77734375" style="17" bestFit="1" customWidth="1"/>
    <col min="12803" max="12803" width="17.21875" style="17" customWidth="1"/>
    <col min="12804" max="12804" width="11" style="17" customWidth="1"/>
    <col min="12805" max="12805" width="12" style="17" bestFit="1" customWidth="1"/>
    <col min="12806" max="12806" width="14.77734375" style="17" customWidth="1"/>
    <col min="12807" max="13056" width="11.44140625" style="17"/>
    <col min="13057" max="13057" width="18.77734375" style="17" customWidth="1"/>
    <col min="13058" max="13058" width="13.77734375" style="17" bestFit="1" customWidth="1"/>
    <col min="13059" max="13059" width="17.21875" style="17" customWidth="1"/>
    <col min="13060" max="13060" width="11" style="17" customWidth="1"/>
    <col min="13061" max="13061" width="12" style="17" bestFit="1" customWidth="1"/>
    <col min="13062" max="13062" width="14.77734375" style="17" customWidth="1"/>
    <col min="13063" max="13312" width="11.44140625" style="17"/>
    <col min="13313" max="13313" width="18.77734375" style="17" customWidth="1"/>
    <col min="13314" max="13314" width="13.77734375" style="17" bestFit="1" customWidth="1"/>
    <col min="13315" max="13315" width="17.21875" style="17" customWidth="1"/>
    <col min="13316" max="13316" width="11" style="17" customWidth="1"/>
    <col min="13317" max="13317" width="12" style="17" bestFit="1" customWidth="1"/>
    <col min="13318" max="13318" width="14.77734375" style="17" customWidth="1"/>
    <col min="13319" max="13568" width="11.44140625" style="17"/>
    <col min="13569" max="13569" width="18.77734375" style="17" customWidth="1"/>
    <col min="13570" max="13570" width="13.77734375" style="17" bestFit="1" customWidth="1"/>
    <col min="13571" max="13571" width="17.21875" style="17" customWidth="1"/>
    <col min="13572" max="13572" width="11" style="17" customWidth="1"/>
    <col min="13573" max="13573" width="12" style="17" bestFit="1" customWidth="1"/>
    <col min="13574" max="13574" width="14.77734375" style="17" customWidth="1"/>
    <col min="13575" max="13824" width="11.44140625" style="17"/>
    <col min="13825" max="13825" width="18.77734375" style="17" customWidth="1"/>
    <col min="13826" max="13826" width="13.77734375" style="17" bestFit="1" customWidth="1"/>
    <col min="13827" max="13827" width="17.21875" style="17" customWidth="1"/>
    <col min="13828" max="13828" width="11" style="17" customWidth="1"/>
    <col min="13829" max="13829" width="12" style="17" bestFit="1" customWidth="1"/>
    <col min="13830" max="13830" width="14.77734375" style="17" customWidth="1"/>
    <col min="13831" max="14080" width="11.44140625" style="17"/>
    <col min="14081" max="14081" width="18.77734375" style="17" customWidth="1"/>
    <col min="14082" max="14082" width="13.77734375" style="17" bestFit="1" customWidth="1"/>
    <col min="14083" max="14083" width="17.21875" style="17" customWidth="1"/>
    <col min="14084" max="14084" width="11" style="17" customWidth="1"/>
    <col min="14085" max="14085" width="12" style="17" bestFit="1" customWidth="1"/>
    <col min="14086" max="14086" width="14.77734375" style="17" customWidth="1"/>
    <col min="14087" max="14336" width="11.44140625" style="17"/>
    <col min="14337" max="14337" width="18.77734375" style="17" customWidth="1"/>
    <col min="14338" max="14338" width="13.77734375" style="17" bestFit="1" customWidth="1"/>
    <col min="14339" max="14339" width="17.21875" style="17" customWidth="1"/>
    <col min="14340" max="14340" width="11" style="17" customWidth="1"/>
    <col min="14341" max="14341" width="12" style="17" bestFit="1" customWidth="1"/>
    <col min="14342" max="14342" width="14.77734375" style="17" customWidth="1"/>
    <col min="14343" max="14592" width="11.44140625" style="17"/>
    <col min="14593" max="14593" width="18.77734375" style="17" customWidth="1"/>
    <col min="14594" max="14594" width="13.77734375" style="17" bestFit="1" customWidth="1"/>
    <col min="14595" max="14595" width="17.21875" style="17" customWidth="1"/>
    <col min="14596" max="14596" width="11" style="17" customWidth="1"/>
    <col min="14597" max="14597" width="12" style="17" bestFit="1" customWidth="1"/>
    <col min="14598" max="14598" width="14.77734375" style="17" customWidth="1"/>
    <col min="14599" max="14848" width="11.44140625" style="17"/>
    <col min="14849" max="14849" width="18.77734375" style="17" customWidth="1"/>
    <col min="14850" max="14850" width="13.77734375" style="17" bestFit="1" customWidth="1"/>
    <col min="14851" max="14851" width="17.21875" style="17" customWidth="1"/>
    <col min="14852" max="14852" width="11" style="17" customWidth="1"/>
    <col min="14853" max="14853" width="12" style="17" bestFit="1" customWidth="1"/>
    <col min="14854" max="14854" width="14.77734375" style="17" customWidth="1"/>
    <col min="14855" max="15104" width="11.44140625" style="17"/>
    <col min="15105" max="15105" width="18.77734375" style="17" customWidth="1"/>
    <col min="15106" max="15106" width="13.77734375" style="17" bestFit="1" customWidth="1"/>
    <col min="15107" max="15107" width="17.21875" style="17" customWidth="1"/>
    <col min="15108" max="15108" width="11" style="17" customWidth="1"/>
    <col min="15109" max="15109" width="12" style="17" bestFit="1" customWidth="1"/>
    <col min="15110" max="15110" width="14.77734375" style="17" customWidth="1"/>
    <col min="15111" max="15360" width="11.44140625" style="17"/>
    <col min="15361" max="15361" width="18.77734375" style="17" customWidth="1"/>
    <col min="15362" max="15362" width="13.77734375" style="17" bestFit="1" customWidth="1"/>
    <col min="15363" max="15363" width="17.21875" style="17" customWidth="1"/>
    <col min="15364" max="15364" width="11" style="17" customWidth="1"/>
    <col min="15365" max="15365" width="12" style="17" bestFit="1" customWidth="1"/>
    <col min="15366" max="15366" width="14.77734375" style="17" customWidth="1"/>
    <col min="15367" max="15616" width="11.44140625" style="17"/>
    <col min="15617" max="15617" width="18.77734375" style="17" customWidth="1"/>
    <col min="15618" max="15618" width="13.77734375" style="17" bestFit="1" customWidth="1"/>
    <col min="15619" max="15619" width="17.21875" style="17" customWidth="1"/>
    <col min="15620" max="15620" width="11" style="17" customWidth="1"/>
    <col min="15621" max="15621" width="12" style="17" bestFit="1" customWidth="1"/>
    <col min="15622" max="15622" width="14.77734375" style="17" customWidth="1"/>
    <col min="15623" max="15872" width="11.44140625" style="17"/>
    <col min="15873" max="15873" width="18.77734375" style="17" customWidth="1"/>
    <col min="15874" max="15874" width="13.77734375" style="17" bestFit="1" customWidth="1"/>
    <col min="15875" max="15875" width="17.21875" style="17" customWidth="1"/>
    <col min="15876" max="15876" width="11" style="17" customWidth="1"/>
    <col min="15877" max="15877" width="12" style="17" bestFit="1" customWidth="1"/>
    <col min="15878" max="15878" width="14.77734375" style="17" customWidth="1"/>
    <col min="15879" max="16128" width="11.44140625" style="17"/>
    <col min="16129" max="16129" width="18.77734375" style="17" customWidth="1"/>
    <col min="16130" max="16130" width="13.77734375" style="17" bestFit="1" customWidth="1"/>
    <col min="16131" max="16131" width="17.21875" style="17" customWidth="1"/>
    <col min="16132" max="16132" width="11" style="17" customWidth="1"/>
    <col min="16133" max="16133" width="12" style="17" bestFit="1" customWidth="1"/>
    <col min="16134" max="16134" width="14.77734375" style="17" customWidth="1"/>
    <col min="16135" max="16384" width="11.44140625" style="17"/>
  </cols>
  <sheetData>
    <row r="2" spans="1:11" x14ac:dyDescent="0.25">
      <c r="A2" s="17" t="s">
        <v>70</v>
      </c>
      <c r="B2" s="63">
        <f>'pooled normalised values'!B75</f>
        <v>0.10505820023547088</v>
      </c>
      <c r="D2" s="17" t="s">
        <v>9</v>
      </c>
      <c r="E2" s="18"/>
      <c r="F2" s="19" t="str">
        <f>'pooled normalised values'!J74</f>
        <v>Testosterone-11µg/L</v>
      </c>
      <c r="G2" s="18"/>
      <c r="H2" s="20"/>
      <c r="I2" s="19" t="str">
        <f>'pooled normalised values'!R74</f>
        <v>Testosterone-3.7µg/L + Testostérone</v>
      </c>
      <c r="J2" s="20"/>
      <c r="K2" s="17" t="s">
        <v>9</v>
      </c>
    </row>
    <row r="3" spans="1:11" x14ac:dyDescent="0.25">
      <c r="A3" s="17" t="s">
        <v>71</v>
      </c>
      <c r="B3" s="63">
        <f>'summary results'!E6</f>
        <v>0</v>
      </c>
      <c r="D3" s="21" t="s">
        <v>10</v>
      </c>
      <c r="E3" s="22"/>
      <c r="F3" s="19">
        <f>HLOOKUP(F2,'pooled normalised values'!B74:V83,2,FALSE)</f>
        <v>0.28144382227989267</v>
      </c>
      <c r="G3" s="22"/>
      <c r="H3" s="20"/>
      <c r="I3" s="19">
        <f>HLOOKUP(I2,'pooled normalised values'!N74:AL83,2,FALSE)</f>
        <v>1.5716009600130505</v>
      </c>
      <c r="J3" s="20"/>
      <c r="K3" s="21" t="s">
        <v>10</v>
      </c>
    </row>
    <row r="4" spans="1:11" x14ac:dyDescent="0.25">
      <c r="A4" s="17" t="s">
        <v>72</v>
      </c>
      <c r="B4" s="63">
        <f>'pooled normalised values'!O75</f>
        <v>1.0000000000000002</v>
      </c>
      <c r="D4" s="21" t="s">
        <v>2</v>
      </c>
      <c r="E4" s="22"/>
      <c r="F4" s="19">
        <f>HLOOKUP(F2,'pooled normalised values'!B74:V83,3,FALSE)</f>
        <v>0.10264636115444274</v>
      </c>
      <c r="G4" s="22"/>
      <c r="H4" s="20"/>
      <c r="I4" s="19">
        <f>HLOOKUP(I2,'pooled normalised values'!N74:AL83,3,FALSE)</f>
        <v>0.3818035043936529</v>
      </c>
      <c r="J4" s="20"/>
      <c r="K4" s="21" t="s">
        <v>2</v>
      </c>
    </row>
    <row r="5" spans="1:11" x14ac:dyDescent="0.25">
      <c r="A5" s="17" t="s">
        <v>73</v>
      </c>
      <c r="B5" s="63">
        <f>'pooled normalised values'!P75</f>
        <v>8.1190078236959913</v>
      </c>
      <c r="D5" s="23" t="s">
        <v>11</v>
      </c>
      <c r="E5" s="22"/>
      <c r="F5" s="19" t="str">
        <f>HLOOKUP(F2,'pooled normalised values'!B74:V83,10,FALSE)</f>
        <v>ns</v>
      </c>
      <c r="G5" s="22"/>
      <c r="H5" s="20"/>
      <c r="I5" s="19" t="str">
        <f>HLOOKUP(I2,'pooled normalised values'!N74:AL83,10,FALSE)</f>
        <v>ns</v>
      </c>
      <c r="J5" s="20"/>
      <c r="K5" s="23" t="s">
        <v>11</v>
      </c>
    </row>
    <row r="6" spans="1:11" x14ac:dyDescent="0.25">
      <c r="A6" s="17" t="s">
        <v>74</v>
      </c>
      <c r="B6" s="63">
        <f>'pooled normalised values'!Q75</f>
        <v>8.4500661243615105E-2</v>
      </c>
      <c r="D6" s="21" t="s">
        <v>12</v>
      </c>
      <c r="E6" s="24">
        <f>$B$2</f>
        <v>0.10505820023547088</v>
      </c>
      <c r="F6" s="24">
        <f>$B$2</f>
        <v>0.10505820023547088</v>
      </c>
      <c r="G6" s="24">
        <f>$B$2</f>
        <v>0.10505820023547088</v>
      </c>
      <c r="H6" s="25"/>
      <c r="I6" s="25"/>
      <c r="J6" s="25"/>
      <c r="K6" s="21" t="s">
        <v>12</v>
      </c>
    </row>
    <row r="7" spans="1:11" x14ac:dyDescent="0.25">
      <c r="B7" s="26"/>
      <c r="D7" s="26" t="s">
        <v>13</v>
      </c>
      <c r="E7" s="24"/>
      <c r="F7" s="24"/>
      <c r="G7" s="27"/>
      <c r="H7" s="25">
        <f t="shared" ref="H7:J7" si="0">$B$4</f>
        <v>1.0000000000000002</v>
      </c>
      <c r="I7" s="25">
        <f t="shared" si="0"/>
        <v>1.0000000000000002</v>
      </c>
      <c r="J7" s="25">
        <f t="shared" si="0"/>
        <v>1.0000000000000002</v>
      </c>
      <c r="K7" s="26" t="s">
        <v>13</v>
      </c>
    </row>
    <row r="8" spans="1:11" x14ac:dyDescent="0.25">
      <c r="D8" s="28" t="s">
        <v>14</v>
      </c>
      <c r="E8" s="24">
        <v>0</v>
      </c>
      <c r="F8" s="24">
        <v>0</v>
      </c>
      <c r="G8" s="27">
        <v>0</v>
      </c>
      <c r="H8" s="25">
        <f>$B$6</f>
        <v>8.4500661243615105E-2</v>
      </c>
      <c r="I8" s="25">
        <f t="shared" ref="I8:J8" si="1">$B$6</f>
        <v>8.4500661243615105E-2</v>
      </c>
      <c r="J8" s="25">
        <f t="shared" si="1"/>
        <v>8.4500661243615105E-2</v>
      </c>
      <c r="K8" s="28" t="s">
        <v>14</v>
      </c>
    </row>
    <row r="9" spans="1:11" x14ac:dyDescent="0.25">
      <c r="D9" s="28" t="s">
        <v>15</v>
      </c>
      <c r="E9" s="29">
        <f>$B$3-E8</f>
        <v>0</v>
      </c>
      <c r="F9" s="29">
        <f>$B$3-F8</f>
        <v>0</v>
      </c>
      <c r="G9" s="29">
        <f>$B$3-G8</f>
        <v>0</v>
      </c>
      <c r="H9" s="25">
        <f>$B$5-H8</f>
        <v>8.0345071624523765</v>
      </c>
      <c r="I9" s="25">
        <f>$B$5-I8</f>
        <v>8.0345071624523765</v>
      </c>
      <c r="J9" s="25">
        <f>$B$5-J8</f>
        <v>8.0345071624523765</v>
      </c>
      <c r="K9" s="28" t="s">
        <v>15</v>
      </c>
    </row>
    <row r="10" spans="1:11" x14ac:dyDescent="0.25">
      <c r="D10" s="28" t="s">
        <v>16</v>
      </c>
      <c r="E10" s="27">
        <f t="shared" ref="E10:J10" si="2">2.5-E9</f>
        <v>2.5</v>
      </c>
      <c r="F10" s="27">
        <f t="shared" si="2"/>
        <v>2.5</v>
      </c>
      <c r="G10" s="27">
        <f t="shared" si="2"/>
        <v>2.5</v>
      </c>
      <c r="H10" s="25">
        <f t="shared" si="2"/>
        <v>-5.5345071624523765</v>
      </c>
      <c r="I10" s="25">
        <f t="shared" si="2"/>
        <v>-5.5345071624523765</v>
      </c>
      <c r="J10" s="25">
        <f t="shared" si="2"/>
        <v>-5.5345071624523765</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defaultColWidth="11.5546875" defaultRowHeight="14.4" x14ac:dyDescent="0.3"/>
  <cols>
    <col min="1" max="1" width="11.44140625" style="1"/>
    <col min="3" max="3" width="15.21875" customWidth="1"/>
    <col min="4" max="4" width="13.77734375" customWidth="1"/>
    <col min="5" max="5" width="18.21875" customWidth="1"/>
    <col min="6" max="6" width="14" customWidth="1"/>
    <col min="7" max="7" width="14.44140625" customWidth="1"/>
    <col min="8" max="8" width="14.21875" customWidth="1"/>
    <col min="9" max="9" width="17" customWidth="1"/>
    <col min="10" max="10" width="12.5546875" customWidth="1"/>
    <col min="11" max="11" width="13.21875" customWidth="1"/>
    <col min="12" max="12" width="15.77734375" customWidth="1"/>
    <col min="13" max="14" width="16.21875" customWidth="1"/>
    <col min="17" max="23" width="9.77734375" customWidth="1"/>
  </cols>
  <sheetData>
    <row r="1" spans="1:23" ht="29.4" thickBot="1" x14ac:dyDescent="0.35">
      <c r="A1" s="146" t="s">
        <v>102</v>
      </c>
      <c r="B1" s="146" t="s">
        <v>103</v>
      </c>
      <c r="C1" s="143" t="s">
        <v>86</v>
      </c>
      <c r="D1" s="143" t="s">
        <v>87</v>
      </c>
      <c r="E1" s="144" t="s">
        <v>88</v>
      </c>
      <c r="F1" s="144" t="s">
        <v>89</v>
      </c>
      <c r="G1" s="143" t="s">
        <v>90</v>
      </c>
      <c r="H1" s="143" t="s">
        <v>91</v>
      </c>
      <c r="I1" s="143" t="s">
        <v>92</v>
      </c>
      <c r="J1" s="143" t="s">
        <v>93</v>
      </c>
      <c r="K1" s="143" t="s">
        <v>94</v>
      </c>
      <c r="L1" s="143" t="s">
        <v>95</v>
      </c>
      <c r="M1" s="143" t="s">
        <v>96</v>
      </c>
      <c r="N1" s="143" t="s">
        <v>97</v>
      </c>
      <c r="Q1" s="231" t="s">
        <v>99</v>
      </c>
      <c r="R1" s="231"/>
      <c r="S1" s="231"/>
      <c r="U1" s="231" t="s">
        <v>98</v>
      </c>
      <c r="V1" s="231"/>
      <c r="W1" s="231"/>
    </row>
    <row r="2" spans="1:23" x14ac:dyDescent="0.3">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8" t="s">
        <v>7</v>
      </c>
      <c r="R2" s="1" t="s">
        <v>130</v>
      </c>
      <c r="U2" s="118" t="s">
        <v>7</v>
      </c>
      <c r="V2" s="1" t="s">
        <v>130</v>
      </c>
    </row>
    <row r="3" spans="1:23" x14ac:dyDescent="0.3">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8" t="s">
        <v>78</v>
      </c>
      <c r="R3" s="1" t="s">
        <v>106</v>
      </c>
      <c r="U3" s="118" t="s">
        <v>78</v>
      </c>
      <c r="V3" s="1" t="s">
        <v>50</v>
      </c>
    </row>
    <row r="4" spans="1:23" x14ac:dyDescent="0.3">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8" t="s">
        <v>100</v>
      </c>
      <c r="U5" s="118" t="s">
        <v>100</v>
      </c>
    </row>
    <row r="6" spans="1:23" x14ac:dyDescent="0.3">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5" t="s">
        <v>112</v>
      </c>
      <c r="U6" s="145" t="s">
        <v>101</v>
      </c>
    </row>
    <row r="7" spans="1:23" x14ac:dyDescent="0.3">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3">
      <c r="A8" s="1">
        <f t="shared" si="1"/>
        <v>0</v>
      </c>
      <c r="B8" s="44">
        <f t="shared" si="2"/>
        <v>0</v>
      </c>
      <c r="D8" s="44" t="e">
        <f>CONCATENATE(VLOOKUP(Tableau3[[#This Row],[Nom ND]],liste_groupe[],3,FALSE),VLOOKUP(Tableau3[[#This Row],[Nom ND]],liste_groupe[],4,FALSE))</f>
        <v>#N/A</v>
      </c>
      <c r="E8" s="147"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3">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3">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3">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3">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E76037-60DC-419D-8DC6-4766D7EFF7C4}">
  <ds:schemaRefs>
    <ds:schemaRef ds:uri="http://schemas.microsoft.com/sharepoint/v3/contenttype/forms"/>
  </ds:schemaRefs>
</ds:datastoreItem>
</file>

<file path=customXml/itemProps2.xml><?xml version="1.0" encoding="utf-8"?>
<ds:datastoreItem xmlns:ds="http://schemas.openxmlformats.org/officeDocument/2006/customXml" ds:itemID="{36670EB2-30C8-4F5B-A7D5-62716F0D0B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14</vt:i4>
      </vt:variant>
      <vt:variant>
        <vt:lpstr>Charts</vt:lpstr>
      </vt:variant>
      <vt:variant>
        <vt:i4>4</vt:i4>
      </vt:variant>
      <vt:variant>
        <vt:lpstr>Named Ranges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R4</vt:lpstr>
      <vt:lpstr>Graph R3</vt:lpstr>
      <vt:lpstr>pooled normalised graphe</vt:lpstr>
      <vt:lpstr>'Page de garde'!Print_Area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2022-12-22T15:09:41Z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2022-12-22T15:09:40Z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69e060b9-99d6-4232-8e44-38cf62040376</vt:lpwstr>
  </property>
  <property fmtid="{D5CDD505-2E9C-101B-9397-08002B2CF9AE}" pid="8" name="MSIP_Label_06530cf4-8573-4c29-a912-bbcdac835909_ContentBits">
    <vt:lpwstr>2</vt:lpwstr>
  </property>
</Properties>
</file>