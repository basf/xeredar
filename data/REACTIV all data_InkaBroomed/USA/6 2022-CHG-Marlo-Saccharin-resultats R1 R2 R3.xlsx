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filterPrivacy="1" hidePivotFieldList="1" defaultThemeVersion="124226"/>
  <xr:revisionPtr revIDLastSave="0" documentId="13_ncr:1_{8712F7BB-EAD3-48F5-AAFA-88F03311816E}" xr6:coauthVersionLast="47" xr6:coauthVersionMax="47" xr10:uidLastSave="{00000000-0000-0000-0000-000000000000}"/>
  <bookViews>
    <workbookView xWindow="-110" yWindow="-110" windowWidth="19420" windowHeight="10420" firstSheet="9" activeTab="11"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81029"/>
  <pivotCaches>
    <pivotCache cacheId="24" r:id="rId20"/>
    <pivotCache cacheId="25" r:id="rId21"/>
    <pivotCache cacheId="26" r:id="rId22"/>
    <pivotCache cacheId="27" r:id="rId23"/>
  </pivotCache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V94" i="4" l="1"/>
  <c r="U94" i="4"/>
  <c r="T94" i="4"/>
  <c r="S94" i="4"/>
  <c r="R94" i="4"/>
  <c r="Q94" i="4"/>
  <c r="P94" i="4"/>
  <c r="O94" i="4"/>
  <c r="N94" i="4"/>
  <c r="M94" i="4"/>
  <c r="L94" i="4"/>
  <c r="K94" i="4"/>
  <c r="J94" i="4"/>
  <c r="I94" i="4"/>
  <c r="H94" i="4"/>
  <c r="G94" i="4"/>
  <c r="F94" i="4"/>
  <c r="E94" i="4"/>
  <c r="D94" i="4"/>
  <c r="C94" i="4"/>
  <c r="B94" i="4"/>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15" i="10"/>
  <c r="A7" i="22" s="1"/>
  <c r="A16" i="10"/>
  <c r="A8" i="22" s="1"/>
  <c r="A17" i="10"/>
  <c r="A9" i="22" s="1"/>
  <c r="A18" i="10"/>
  <c r="A10" i="22" s="1"/>
  <c r="A19" i="10"/>
  <c r="A11" i="22" s="1"/>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Q35" i="33"/>
  <c r="Q45" i="4" s="1"/>
  <c r="P35" i="33"/>
  <c r="P45" i="4" s="1"/>
  <c r="D35" i="33"/>
  <c r="D45" i="4" s="1"/>
  <c r="Q34" i="33"/>
  <c r="Q44" i="4" s="1"/>
  <c r="P34" i="33"/>
  <c r="P44" i="4" s="1"/>
  <c r="Q33" i="33"/>
  <c r="Q43" i="4" s="1"/>
  <c r="P33" i="33"/>
  <c r="P43" i="4" s="1"/>
  <c r="Q32" i="33"/>
  <c r="Q42" i="4" s="1"/>
  <c r="P32" i="33"/>
  <c r="P42" i="4" s="1"/>
  <c r="C32" i="33"/>
  <c r="C42" i="4" s="1"/>
  <c r="Q31" i="33"/>
  <c r="Q41" i="4" s="1"/>
  <c r="P31" i="33"/>
  <c r="P41" i="4" s="1"/>
  <c r="L31" i="33"/>
  <c r="L41" i="4" s="1"/>
  <c r="Q30" i="33"/>
  <c r="Q40" i="4" s="1"/>
  <c r="P30" i="33"/>
  <c r="P40" i="4" s="1"/>
  <c r="C30" i="33"/>
  <c r="C40" i="4" s="1"/>
  <c r="Q29" i="33"/>
  <c r="Q39" i="4" s="1"/>
  <c r="P29" i="33"/>
  <c r="P39" i="4" s="1"/>
  <c r="L29" i="33"/>
  <c r="L39" i="4" s="1"/>
  <c r="T28" i="33"/>
  <c r="Q28" i="33"/>
  <c r="P28" i="33"/>
  <c r="H28" i="33"/>
  <c r="C28" i="33"/>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T35" i="33" s="1"/>
  <c r="T45" i="4" s="1"/>
  <c r="L23" i="33"/>
  <c r="J23" i="33"/>
  <c r="I23" i="33"/>
  <c r="H23" i="33"/>
  <c r="G23" i="33"/>
  <c r="F23" i="33"/>
  <c r="E23" i="33"/>
  <c r="D23" i="33"/>
  <c r="C23" i="33"/>
  <c r="B23" i="33"/>
  <c r="A22" i="33"/>
  <c r="H22" i="33"/>
  <c r="G45" i="33"/>
  <c r="F27" i="33"/>
  <c r="F52" i="33" s="1"/>
  <c r="E45" i="33"/>
  <c r="D22" i="33"/>
  <c r="C45" i="33"/>
  <c r="B45" i="33"/>
  <c r="P56" i="33"/>
  <c r="Q56" i="33"/>
  <c r="O42" i="33" l="1"/>
  <c r="O52" i="4" s="1"/>
  <c r="O43" i="33"/>
  <c r="O53" i="4" s="1"/>
  <c r="H30" i="33"/>
  <c r="H40" i="4" s="1"/>
  <c r="T30" i="33"/>
  <c r="T40" i="4" s="1"/>
  <c r="H32" i="33"/>
  <c r="H42" i="4" s="1"/>
  <c r="T32" i="33"/>
  <c r="T42" i="4" s="1"/>
  <c r="K28" i="33"/>
  <c r="K38" i="4" s="1"/>
  <c r="D29" i="33"/>
  <c r="D39" i="4" s="1"/>
  <c r="K30" i="33"/>
  <c r="K40" i="4" s="1"/>
  <c r="D31" i="33"/>
  <c r="D41" i="4" s="1"/>
  <c r="K32" i="33"/>
  <c r="K42" i="4" s="1"/>
  <c r="G33" i="33"/>
  <c r="G43" i="4" s="1"/>
  <c r="T33" i="33"/>
  <c r="T43" i="4" s="1"/>
  <c r="O36" i="33"/>
  <c r="O46" i="4" s="1"/>
  <c r="O37" i="33"/>
  <c r="O47" i="4" s="1"/>
  <c r="O38" i="33"/>
  <c r="O48" i="4" s="1"/>
  <c r="O39" i="33"/>
  <c r="O49" i="4" s="1"/>
  <c r="O40" i="33"/>
  <c r="O50" i="4" s="1"/>
  <c r="O41" i="33"/>
  <c r="O51" i="4" s="1"/>
  <c r="G29" i="33"/>
  <c r="G39" i="4" s="1"/>
  <c r="U29" i="33"/>
  <c r="U39" i="4" s="1"/>
  <c r="G31" i="33"/>
  <c r="G41" i="4" s="1"/>
  <c r="U31" i="33"/>
  <c r="U41" i="4" s="1"/>
  <c r="K33" i="33"/>
  <c r="K43" i="4" s="1"/>
  <c r="C34" i="33"/>
  <c r="C44" i="4" s="1"/>
  <c r="O35" i="33"/>
  <c r="O45" i="4" s="1"/>
  <c r="G35" i="33"/>
  <c r="G45" i="4" s="1"/>
  <c r="D28" i="33"/>
  <c r="L28" i="33"/>
  <c r="U28" i="33"/>
  <c r="H29" i="33"/>
  <c r="D30" i="33"/>
  <c r="D40" i="4" s="1"/>
  <c r="L30" i="33"/>
  <c r="L40" i="4" s="1"/>
  <c r="U30" i="33"/>
  <c r="U40" i="4" s="1"/>
  <c r="H31" i="33"/>
  <c r="H41" i="4" s="1"/>
  <c r="D32" i="33"/>
  <c r="D42" i="4" s="1"/>
  <c r="L32" i="33"/>
  <c r="L42" i="4" s="1"/>
  <c r="U32" i="33"/>
  <c r="U42" i="4" s="1"/>
  <c r="G34" i="33"/>
  <c r="G44" i="4" s="1"/>
  <c r="T34" i="33"/>
  <c r="T44" i="4" s="1"/>
  <c r="K35" i="33"/>
  <c r="K45" i="4" s="1"/>
  <c r="S35" i="33"/>
  <c r="S45" i="4" s="1"/>
  <c r="J35" i="33"/>
  <c r="J45" i="4" s="1"/>
  <c r="F35" i="33"/>
  <c r="F45" i="4" s="1"/>
  <c r="B35" i="33"/>
  <c r="B45" i="4" s="1"/>
  <c r="S34" i="33"/>
  <c r="S44" i="4" s="1"/>
  <c r="O34" i="33"/>
  <c r="O44" i="4" s="1"/>
  <c r="J34" i="33"/>
  <c r="J44" i="4" s="1"/>
  <c r="F34" i="33"/>
  <c r="F44" i="4" s="1"/>
  <c r="B34" i="33"/>
  <c r="B44" i="4" s="1"/>
  <c r="S33" i="33"/>
  <c r="S43" i="4" s="1"/>
  <c r="O33" i="33"/>
  <c r="O43" i="4" s="1"/>
  <c r="J33" i="33"/>
  <c r="J43" i="4" s="1"/>
  <c r="F33" i="33"/>
  <c r="F43" i="4" s="1"/>
  <c r="B33" i="33"/>
  <c r="B43" i="4" s="1"/>
  <c r="S32" i="33"/>
  <c r="S42" i="4" s="1"/>
  <c r="O32" i="33"/>
  <c r="O42" i="4" s="1"/>
  <c r="J32" i="33"/>
  <c r="J42" i="4" s="1"/>
  <c r="F32" i="33"/>
  <c r="F42" i="4" s="1"/>
  <c r="B32" i="33"/>
  <c r="B42" i="4" s="1"/>
  <c r="S31" i="33"/>
  <c r="S41" i="4" s="1"/>
  <c r="O31" i="33"/>
  <c r="O41" i="4" s="1"/>
  <c r="J31" i="33"/>
  <c r="J41" i="4" s="1"/>
  <c r="F31" i="33"/>
  <c r="F41" i="4" s="1"/>
  <c r="B31" i="33"/>
  <c r="B41" i="4" s="1"/>
  <c r="S30" i="33"/>
  <c r="S40" i="4" s="1"/>
  <c r="O30" i="33"/>
  <c r="O40" i="4" s="1"/>
  <c r="J30" i="33"/>
  <c r="J40" i="4" s="1"/>
  <c r="F30" i="33"/>
  <c r="F40" i="4" s="1"/>
  <c r="B30" i="33"/>
  <c r="B40" i="4" s="1"/>
  <c r="S29" i="33"/>
  <c r="S39" i="4" s="1"/>
  <c r="O29" i="33"/>
  <c r="O39" i="4" s="1"/>
  <c r="J29" i="33"/>
  <c r="J39" i="4" s="1"/>
  <c r="F29" i="33"/>
  <c r="F39" i="4" s="1"/>
  <c r="B29" i="33"/>
  <c r="B39" i="4" s="1"/>
  <c r="S28" i="33"/>
  <c r="S38" i="4" s="1"/>
  <c r="O28" i="33"/>
  <c r="O38" i="4" s="1"/>
  <c r="J28" i="33"/>
  <c r="J38" i="4" s="1"/>
  <c r="F28" i="33"/>
  <c r="B28" i="33"/>
  <c r="B38" i="4" s="1"/>
  <c r="R35" i="33"/>
  <c r="R45" i="4" s="1"/>
  <c r="M35" i="33"/>
  <c r="M45" i="4" s="1"/>
  <c r="I35" i="33"/>
  <c r="I45" i="4" s="1"/>
  <c r="E35" i="33"/>
  <c r="E45" i="4" s="1"/>
  <c r="V34" i="33"/>
  <c r="V44" i="4" s="1"/>
  <c r="R34" i="33"/>
  <c r="R44" i="4" s="1"/>
  <c r="M34" i="33"/>
  <c r="M44" i="4" s="1"/>
  <c r="I34" i="33"/>
  <c r="I44" i="4" s="1"/>
  <c r="E34" i="33"/>
  <c r="E44" i="4" s="1"/>
  <c r="V33" i="33"/>
  <c r="V43" i="4" s="1"/>
  <c r="R33" i="33"/>
  <c r="R43" i="4" s="1"/>
  <c r="M33" i="33"/>
  <c r="M43" i="4" s="1"/>
  <c r="I33" i="33"/>
  <c r="I43" i="4" s="1"/>
  <c r="E33" i="33"/>
  <c r="E43" i="4" s="1"/>
  <c r="V32" i="33"/>
  <c r="V42" i="4" s="1"/>
  <c r="R32" i="33"/>
  <c r="R42" i="4" s="1"/>
  <c r="M32" i="33"/>
  <c r="M42" i="4" s="1"/>
  <c r="I32" i="33"/>
  <c r="I42" i="4" s="1"/>
  <c r="E32" i="33"/>
  <c r="E42" i="4" s="1"/>
  <c r="V31" i="33"/>
  <c r="V41" i="4" s="1"/>
  <c r="R31" i="33"/>
  <c r="R41" i="4" s="1"/>
  <c r="M31" i="33"/>
  <c r="M41" i="4" s="1"/>
  <c r="I31" i="33"/>
  <c r="I41" i="4" s="1"/>
  <c r="E31" i="33"/>
  <c r="E41" i="4" s="1"/>
  <c r="V30" i="33"/>
  <c r="V40" i="4" s="1"/>
  <c r="R30" i="33"/>
  <c r="R40" i="4" s="1"/>
  <c r="M30" i="33"/>
  <c r="M40" i="4" s="1"/>
  <c r="I30" i="33"/>
  <c r="I40" i="4" s="1"/>
  <c r="E30" i="33"/>
  <c r="E40" i="4" s="1"/>
  <c r="V29" i="33"/>
  <c r="V39" i="4" s="1"/>
  <c r="R29" i="33"/>
  <c r="R39" i="4" s="1"/>
  <c r="M29" i="33"/>
  <c r="M39" i="4" s="1"/>
  <c r="I29" i="33"/>
  <c r="I39" i="4" s="1"/>
  <c r="E29" i="33"/>
  <c r="E39" i="4" s="1"/>
  <c r="V28" i="33"/>
  <c r="V38" i="4" s="1"/>
  <c r="R28" i="33"/>
  <c r="R38" i="4" s="1"/>
  <c r="M28" i="33"/>
  <c r="M38" i="4" s="1"/>
  <c r="I28" i="33"/>
  <c r="I38" i="4" s="1"/>
  <c r="E28" i="33"/>
  <c r="E38" i="4" s="1"/>
  <c r="U35" i="33"/>
  <c r="U45" i="4" s="1"/>
  <c r="L35" i="33"/>
  <c r="L45" i="4" s="1"/>
  <c r="H35" i="33"/>
  <c r="H45" i="4" s="1"/>
  <c r="U33" i="33"/>
  <c r="U43" i="4" s="1"/>
  <c r="L33" i="33"/>
  <c r="L43" i="4" s="1"/>
  <c r="H33" i="33"/>
  <c r="H43" i="4" s="1"/>
  <c r="D33" i="33"/>
  <c r="D43" i="4" s="1"/>
  <c r="V35" i="33"/>
  <c r="V45" i="4" s="1"/>
  <c r="U34" i="33"/>
  <c r="U44" i="4" s="1"/>
  <c r="L34" i="33"/>
  <c r="L44" i="4" s="1"/>
  <c r="H34" i="33"/>
  <c r="H44" i="4" s="1"/>
  <c r="D34" i="33"/>
  <c r="D44" i="4" s="1"/>
  <c r="G28" i="33"/>
  <c r="G38" i="4" s="1"/>
  <c r="C29" i="33"/>
  <c r="K29" i="33"/>
  <c r="T29" i="33"/>
  <c r="G30" i="33"/>
  <c r="G40" i="4" s="1"/>
  <c r="C31" i="33"/>
  <c r="C41" i="4" s="1"/>
  <c r="K31" i="33"/>
  <c r="K41" i="4" s="1"/>
  <c r="T31" i="33"/>
  <c r="T41" i="4" s="1"/>
  <c r="G32" i="33"/>
  <c r="G42" i="4" s="1"/>
  <c r="C33" i="33"/>
  <c r="C43" i="4" s="1"/>
  <c r="K34" i="33"/>
  <c r="K44" i="4" s="1"/>
  <c r="C35" i="33"/>
  <c r="C45" i="4" s="1"/>
  <c r="D38" i="4"/>
  <c r="H38" i="4"/>
  <c r="B22" i="33"/>
  <c r="E22" i="33"/>
  <c r="I45" i="33"/>
  <c r="I52" i="33"/>
  <c r="I27" i="33"/>
  <c r="C38" i="4"/>
  <c r="P46" i="33"/>
  <c r="P53" i="33" s="1"/>
  <c r="P38" i="4"/>
  <c r="P47" i="33"/>
  <c r="P48" i="33" s="1"/>
  <c r="P54" i="33" s="1"/>
  <c r="T38" i="4"/>
  <c r="B27" i="33"/>
  <c r="B52" i="33" s="1"/>
  <c r="L38" i="4"/>
  <c r="Q47" i="33"/>
  <c r="Q48" i="33" s="1"/>
  <c r="Q54" i="33" s="1"/>
  <c r="Q38" i="4"/>
  <c r="D27" i="33"/>
  <c r="D52" i="33" s="1"/>
  <c r="I22" i="33"/>
  <c r="E27" i="33"/>
  <c r="E52" i="33" s="1"/>
  <c r="F38" i="4"/>
  <c r="D45" i="33"/>
  <c r="P57" i="33"/>
  <c r="Q57" i="33"/>
  <c r="Q46" i="33"/>
  <c r="Q53" i="33" s="1"/>
  <c r="F22" i="33"/>
  <c r="F45" i="33"/>
  <c r="G22" i="33"/>
  <c r="G27" i="33"/>
  <c r="G52" i="33" s="1"/>
  <c r="C22" i="33"/>
  <c r="C27" i="33"/>
  <c r="C52" i="33" s="1"/>
  <c r="H27" i="33"/>
  <c r="H52" i="33" s="1"/>
  <c r="H45" i="33"/>
  <c r="S56" i="33"/>
  <c r="R56" i="33"/>
  <c r="T56" i="33"/>
  <c r="M56" i="33"/>
  <c r="E56" i="33"/>
  <c r="L56" i="33"/>
  <c r="I56" i="33"/>
  <c r="C56" i="33"/>
  <c r="U56" i="33"/>
  <c r="J56" i="33"/>
  <c r="F56" i="33"/>
  <c r="G56" i="33"/>
  <c r="O56" i="33"/>
  <c r="K56" i="33"/>
  <c r="B56" i="33"/>
  <c r="H56" i="33"/>
  <c r="D56" i="33"/>
  <c r="V56" i="33"/>
  <c r="K46" i="33" l="1"/>
  <c r="K53" i="33" s="1"/>
  <c r="U46" i="33"/>
  <c r="U53" i="33" s="1"/>
  <c r="U55" i="33" s="1"/>
  <c r="C47" i="33"/>
  <c r="C48" i="33" s="1"/>
  <c r="C54" i="33" s="1"/>
  <c r="L46" i="33"/>
  <c r="L53" i="33" s="1"/>
  <c r="E46" i="33"/>
  <c r="E53" i="33" s="1"/>
  <c r="G46" i="33"/>
  <c r="G53" i="33" s="1"/>
  <c r="C46" i="33"/>
  <c r="C53" i="33" s="1"/>
  <c r="T47" i="33"/>
  <c r="T48" i="33" s="1"/>
  <c r="T54" i="33" s="1"/>
  <c r="D46" i="33"/>
  <c r="D53" i="33" s="1"/>
  <c r="F46" i="33"/>
  <c r="F53" i="33" s="1"/>
  <c r="V46" i="33"/>
  <c r="V53" i="33" s="1"/>
  <c r="L47" i="33"/>
  <c r="L48" i="33" s="1"/>
  <c r="L54" i="33" s="1"/>
  <c r="G47" i="33"/>
  <c r="G48" i="33" s="1"/>
  <c r="G54" i="33" s="1"/>
  <c r="M46" i="33"/>
  <c r="M53" i="33" s="1"/>
  <c r="J47" i="33"/>
  <c r="J48" i="33" s="1"/>
  <c r="J54" i="33" s="1"/>
  <c r="T46" i="33"/>
  <c r="T53" i="33" s="1"/>
  <c r="C57" i="33"/>
  <c r="M57" i="33"/>
  <c r="O57" i="33"/>
  <c r="P59" i="33" s="1"/>
  <c r="L57" i="33"/>
  <c r="K57" i="33"/>
  <c r="G57" i="33"/>
  <c r="R57" i="33"/>
  <c r="R59" i="33" s="1"/>
  <c r="B57" i="33"/>
  <c r="S57" i="33"/>
  <c r="D57" i="33"/>
  <c r="I57" i="33"/>
  <c r="J57" i="33"/>
  <c r="U57" i="33"/>
  <c r="T57" i="33"/>
  <c r="E57" i="33"/>
  <c r="V57" i="33"/>
  <c r="F57" i="33"/>
  <c r="H57" i="33"/>
  <c r="C39" i="4"/>
  <c r="K39" i="4"/>
  <c r="V47" i="33"/>
  <c r="V48" i="33" s="1"/>
  <c r="V54" i="33" s="1"/>
  <c r="M47" i="33"/>
  <c r="M48" i="33" s="1"/>
  <c r="M54" i="33" s="1"/>
  <c r="E47" i="33"/>
  <c r="E48" i="33" s="1"/>
  <c r="E54" i="33" s="1"/>
  <c r="H47" i="33"/>
  <c r="H48" i="33" s="1"/>
  <c r="H54" i="33" s="1"/>
  <c r="O46" i="33"/>
  <c r="O53" i="33" s="1"/>
  <c r="O55" i="33" s="1"/>
  <c r="J46" i="33"/>
  <c r="J53" i="33" s="1"/>
  <c r="R46" i="33"/>
  <c r="R53" i="33" s="1"/>
  <c r="R55" i="33" s="1"/>
  <c r="B46" i="33"/>
  <c r="B53" i="33" s="1"/>
  <c r="M55" i="33" s="1"/>
  <c r="H46" i="33"/>
  <c r="H53" i="33" s="1"/>
  <c r="S47" i="33"/>
  <c r="S48" i="33" s="1"/>
  <c r="S54" i="33" s="1"/>
  <c r="O47" i="33"/>
  <c r="O48" i="33" s="1"/>
  <c r="O54" i="33" s="1"/>
  <c r="K47" i="33"/>
  <c r="K48" i="33" s="1"/>
  <c r="K54" i="33" s="1"/>
  <c r="I46" i="33"/>
  <c r="I53" i="33" s="1"/>
  <c r="R47" i="33"/>
  <c r="R48" i="33" s="1"/>
  <c r="R54" i="33" s="1"/>
  <c r="I47" i="33"/>
  <c r="I48" i="33" s="1"/>
  <c r="I54" i="33" s="1"/>
  <c r="B47" i="33"/>
  <c r="B48" i="33" s="1"/>
  <c r="B54" i="33" s="1"/>
  <c r="U47" i="33"/>
  <c r="U48" i="33" s="1"/>
  <c r="U54" i="33" s="1"/>
  <c r="D47" i="33"/>
  <c r="D48" i="33" s="1"/>
  <c r="D54" i="33" s="1"/>
  <c r="S46" i="33"/>
  <c r="S53" i="33" s="1"/>
  <c r="S55" i="33" s="1"/>
  <c r="F47" i="33"/>
  <c r="F48" i="33" s="1"/>
  <c r="F54" i="33" s="1"/>
  <c r="U38" i="4"/>
  <c r="T39" i="4"/>
  <c r="H39" i="4"/>
  <c r="Q55" i="33"/>
  <c r="P55" i="33"/>
  <c r="F59" i="33" l="1"/>
  <c r="S59" i="33"/>
  <c r="B64" i="33"/>
  <c r="V55" i="33"/>
  <c r="T59" i="33"/>
  <c r="U59" i="33"/>
  <c r="T55" i="33"/>
  <c r="E59" i="33"/>
  <c r="E60" i="33" s="1"/>
  <c r="E61" i="33" s="1"/>
  <c r="H59" i="33"/>
  <c r="H60" i="33" s="1"/>
  <c r="H61" i="33" s="1"/>
  <c r="J59" i="33"/>
  <c r="J60" i="33" s="1"/>
  <c r="J61" i="33" s="1"/>
  <c r="B65" i="33"/>
  <c r="D59" i="33"/>
  <c r="V59" i="33"/>
  <c r="C59" i="33"/>
  <c r="G59" i="33"/>
  <c r="G60" i="33" s="1"/>
  <c r="I59" i="33"/>
  <c r="L59" i="33"/>
  <c r="L60" i="33" s="1"/>
  <c r="L61" i="33" s="1"/>
  <c r="O59" i="33"/>
  <c r="Q59" i="33"/>
  <c r="K59" i="33"/>
  <c r="K60" i="33" s="1"/>
  <c r="K61" i="33" s="1"/>
  <c r="M59" i="33"/>
  <c r="M60" i="33" s="1"/>
  <c r="M61" i="33" s="1"/>
  <c r="F60" i="33"/>
  <c r="F61" i="33" s="1"/>
  <c r="D55" i="33"/>
  <c r="B55" i="33"/>
  <c r="K55" i="33"/>
  <c r="L55" i="33"/>
  <c r="G55" i="33"/>
  <c r="F55" i="33"/>
  <c r="C55" i="33"/>
  <c r="J55" i="33"/>
  <c r="H55" i="33"/>
  <c r="I55" i="33"/>
  <c r="E55" i="33"/>
  <c r="I60" i="33"/>
  <c r="D60" i="33"/>
  <c r="S60" i="33"/>
  <c r="O60" i="33"/>
  <c r="T60" i="33"/>
  <c r="Q60" i="33"/>
  <c r="P60" i="33"/>
  <c r="R60" i="33"/>
  <c r="U60" i="33"/>
  <c r="C60" i="33"/>
  <c r="V60" i="33"/>
  <c r="S61" i="33" l="1"/>
  <c r="V61" i="33"/>
  <c r="R61" i="33"/>
  <c r="U61" i="33"/>
  <c r="T61" i="33"/>
  <c r="I61" i="33"/>
  <c r="C61" i="33"/>
  <c r="Q61" i="33"/>
  <c r="O61" i="33"/>
  <c r="P61" i="33"/>
  <c r="D61" i="33"/>
  <c r="G61" i="33"/>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R28" i="23"/>
  <c r="S28" i="23"/>
  <c r="S22" i="4" s="1"/>
  <c r="T28" i="23"/>
  <c r="T22" i="4" s="1"/>
  <c r="U28" i="23"/>
  <c r="U22" i="4" s="1"/>
  <c r="V28" i="23"/>
  <c r="R29" i="23"/>
  <c r="R23" i="4" s="1"/>
  <c r="S29" i="23"/>
  <c r="S23" i="4" s="1"/>
  <c r="T29" i="23"/>
  <c r="T23" i="4" s="1"/>
  <c r="U29" i="23"/>
  <c r="U23" i="4" s="1"/>
  <c r="V29" i="23"/>
  <c r="V23" i="4" s="1"/>
  <c r="R30" i="23"/>
  <c r="R24" i="4" s="1"/>
  <c r="S30" i="23"/>
  <c r="S24" i="4" s="1"/>
  <c r="T30" i="23"/>
  <c r="T24" i="4" s="1"/>
  <c r="U30" i="23"/>
  <c r="U24" i="4" s="1"/>
  <c r="V30" i="23"/>
  <c r="V24" i="4" s="1"/>
  <c r="R31" i="23"/>
  <c r="R25" i="4" s="1"/>
  <c r="S31" i="23"/>
  <c r="S25" i="4" s="1"/>
  <c r="T31" i="23"/>
  <c r="T25" i="4" s="1"/>
  <c r="U31" i="23"/>
  <c r="U25" i="4" s="1"/>
  <c r="V31" i="23"/>
  <c r="V25" i="4" s="1"/>
  <c r="Q32" i="23"/>
  <c r="Q26" i="4" s="1"/>
  <c r="R32" i="23"/>
  <c r="R26" i="4" s="1"/>
  <c r="S32" i="23"/>
  <c r="S26" i="4" s="1"/>
  <c r="T32" i="23"/>
  <c r="T26" i="4" s="1"/>
  <c r="U32" i="23"/>
  <c r="U26" i="4" s="1"/>
  <c r="V32" i="23"/>
  <c r="V26" i="4" s="1"/>
  <c r="R33" i="23"/>
  <c r="R27" i="4" s="1"/>
  <c r="S33" i="23"/>
  <c r="S27" i="4" s="1"/>
  <c r="T33" i="23"/>
  <c r="U33" i="23"/>
  <c r="U27" i="4" s="1"/>
  <c r="V33" i="23"/>
  <c r="V27" i="4" s="1"/>
  <c r="R34" i="23"/>
  <c r="R28" i="4" s="1"/>
  <c r="S34" i="23"/>
  <c r="S28" i="4" s="1"/>
  <c r="T34" i="23"/>
  <c r="T28" i="4" s="1"/>
  <c r="U34" i="23"/>
  <c r="U28" i="4" s="1"/>
  <c r="V34" i="23"/>
  <c r="V28" i="4" s="1"/>
  <c r="P35" i="23"/>
  <c r="P29" i="4" s="1"/>
  <c r="R35" i="23"/>
  <c r="R29" i="4" s="1"/>
  <c r="S35" i="23"/>
  <c r="S29" i="4" s="1"/>
  <c r="T35" i="23"/>
  <c r="T29" i="4" s="1"/>
  <c r="U35" i="23"/>
  <c r="V35" i="23"/>
  <c r="V29" i="4" s="1"/>
  <c r="P36" i="23"/>
  <c r="P30" i="4" s="1"/>
  <c r="Q36" i="23"/>
  <c r="Q30" i="4" s="1"/>
  <c r="R36" i="23"/>
  <c r="R30" i="4" s="1"/>
  <c r="S36" i="23"/>
  <c r="S30" i="4" s="1"/>
  <c r="T36" i="23"/>
  <c r="T30" i="4" s="1"/>
  <c r="U36" i="23"/>
  <c r="U30" i="4" s="1"/>
  <c r="V36" i="23"/>
  <c r="V30" i="4" s="1"/>
  <c r="P37" i="23"/>
  <c r="P31" i="4" s="1"/>
  <c r="Q37" i="23"/>
  <c r="R37" i="23"/>
  <c r="R31" i="4" s="1"/>
  <c r="S37" i="23"/>
  <c r="S31" i="4" s="1"/>
  <c r="T37" i="23"/>
  <c r="T31" i="4" s="1"/>
  <c r="U37" i="23"/>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U33" i="4" s="1"/>
  <c r="V39" i="23"/>
  <c r="V33" i="4" s="1"/>
  <c r="P40" i="23"/>
  <c r="P34" i="4" s="1"/>
  <c r="Q40" i="23"/>
  <c r="Q34" i="4" s="1"/>
  <c r="R40" i="23"/>
  <c r="R34" i="4" s="1"/>
  <c r="S40" i="23"/>
  <c r="S34" i="4" s="1"/>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T42" i="23"/>
  <c r="T36" i="4" s="1"/>
  <c r="U42" i="23"/>
  <c r="U36" i="4" s="1"/>
  <c r="V42" i="23"/>
  <c r="V36" i="4" s="1"/>
  <c r="P43" i="23"/>
  <c r="Q43" i="23"/>
  <c r="Q37" i="4" s="1"/>
  <c r="R43" i="23"/>
  <c r="S43" i="23"/>
  <c r="T43" i="23"/>
  <c r="U43" i="23"/>
  <c r="U37" i="4" s="1"/>
  <c r="V43" i="23"/>
  <c r="K28" i="23"/>
  <c r="K22" i="4" s="1"/>
  <c r="L28" i="23"/>
  <c r="M28" i="23"/>
  <c r="K29" i="23"/>
  <c r="K23" i="4" s="1"/>
  <c r="L29" i="23"/>
  <c r="L23" i="4" s="1"/>
  <c r="M29" i="23"/>
  <c r="M23" i="4" s="1"/>
  <c r="K30" i="23"/>
  <c r="K24" i="4" s="1"/>
  <c r="L30" i="23"/>
  <c r="L24" i="4" s="1"/>
  <c r="M30" i="23"/>
  <c r="M24" i="4" s="1"/>
  <c r="K31" i="23"/>
  <c r="K25" i="4" s="1"/>
  <c r="L31" i="23"/>
  <c r="L25" i="4" s="1"/>
  <c r="M31" i="23"/>
  <c r="M25" i="4" s="1"/>
  <c r="K32" i="23"/>
  <c r="K26" i="4" s="1"/>
  <c r="L32" i="23"/>
  <c r="L26" i="4" s="1"/>
  <c r="M32" i="23"/>
  <c r="M26" i="4" s="1"/>
  <c r="K33" i="23"/>
  <c r="K27" i="4" s="1"/>
  <c r="L33" i="23"/>
  <c r="L27" i="4" s="1"/>
  <c r="M33" i="23"/>
  <c r="M27" i="4" s="1"/>
  <c r="K34" i="23"/>
  <c r="K28" i="4" s="1"/>
  <c r="L34" i="23"/>
  <c r="L28" i="4" s="1"/>
  <c r="M34" i="23"/>
  <c r="M28" i="4" s="1"/>
  <c r="K35" i="23"/>
  <c r="K29" i="4" s="1"/>
  <c r="L35" i="23"/>
  <c r="L29" i="4" s="1"/>
  <c r="M35" i="23"/>
  <c r="M29" i="4" s="1"/>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28" i="1"/>
  <c r="T28" i="1"/>
  <c r="U28" i="1"/>
  <c r="V28" i="1"/>
  <c r="S29" i="1"/>
  <c r="S7" i="4" s="1"/>
  <c r="T29" i="1"/>
  <c r="T7" i="4" s="1"/>
  <c r="U29" i="1"/>
  <c r="U7" i="4" s="1"/>
  <c r="V29" i="1"/>
  <c r="V7" i="4" s="1"/>
  <c r="S30" i="1"/>
  <c r="S8" i="4" s="1"/>
  <c r="T30" i="1"/>
  <c r="T8" i="4" s="1"/>
  <c r="U30" i="1"/>
  <c r="U8" i="4" s="1"/>
  <c r="V30" i="1"/>
  <c r="V8" i="4" s="1"/>
  <c r="S31" i="1"/>
  <c r="S9" i="4" s="1"/>
  <c r="T31" i="1"/>
  <c r="T9" i="4" s="1"/>
  <c r="U31" i="1"/>
  <c r="U9" i="4" s="1"/>
  <c r="V31" i="1"/>
  <c r="V9" i="4" s="1"/>
  <c r="S32" i="1"/>
  <c r="S10" i="4" s="1"/>
  <c r="T32" i="1"/>
  <c r="T10" i="4" s="1"/>
  <c r="U32" i="1"/>
  <c r="U10" i="4" s="1"/>
  <c r="V32" i="1"/>
  <c r="V10" i="4" s="1"/>
  <c r="S33" i="1"/>
  <c r="S11" i="4" s="1"/>
  <c r="T33" i="1"/>
  <c r="T11" i="4" s="1"/>
  <c r="U33" i="1"/>
  <c r="U11" i="4" s="1"/>
  <c r="V33" i="1"/>
  <c r="V11" i="4" s="1"/>
  <c r="S34" i="1"/>
  <c r="S12" i="4" s="1"/>
  <c r="T34" i="1"/>
  <c r="T12" i="4" s="1"/>
  <c r="U34" i="1"/>
  <c r="U12" i="4" s="1"/>
  <c r="V34" i="1"/>
  <c r="V12" i="4" s="1"/>
  <c r="S35" i="1"/>
  <c r="S13" i="4" s="1"/>
  <c r="T35" i="1"/>
  <c r="T13" i="4" s="1"/>
  <c r="U35" i="1"/>
  <c r="U13" i="4" s="1"/>
  <c r="V35" i="1"/>
  <c r="V13" i="4" s="1"/>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J28" i="1"/>
  <c r="N45" i="1"/>
  <c r="A45" i="1"/>
  <c r="A45" i="23"/>
  <c r="A22" i="23"/>
  <c r="A22" i="1"/>
  <c r="B1" i="4"/>
  <c r="A52" i="23"/>
  <c r="I43" i="23"/>
  <c r="H43" i="23"/>
  <c r="G43" i="23"/>
  <c r="F43" i="23"/>
  <c r="E43" i="23"/>
  <c r="D43" i="23"/>
  <c r="C43" i="23"/>
  <c r="B43" i="23"/>
  <c r="S36" i="4"/>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U31" i="4"/>
  <c r="Q31" i="4"/>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29" i="23"/>
  <c r="J23" i="4" s="1"/>
  <c r="J40" i="23"/>
  <c r="J34" i="4" s="1"/>
  <c r="J36" i="23"/>
  <c r="J30" i="4" s="1"/>
  <c r="I33" i="23"/>
  <c r="I27" i="4" s="1"/>
  <c r="J32" i="23"/>
  <c r="J26" i="4" s="1"/>
  <c r="I29" i="23"/>
  <c r="I23" i="4" s="1"/>
  <c r="J28" i="23"/>
  <c r="J42" i="23"/>
  <c r="J36" i="4" s="1"/>
  <c r="J38" i="23"/>
  <c r="J32" i="4" s="1"/>
  <c r="J34" i="23"/>
  <c r="J28" i="4" s="1"/>
  <c r="H32" i="23"/>
  <c r="H26" i="4" s="1"/>
  <c r="I31" i="23"/>
  <c r="I25" i="4" s="1"/>
  <c r="J30" i="23"/>
  <c r="J24" i="4" s="1"/>
  <c r="F30" i="23"/>
  <c r="F24" i="4" s="1"/>
  <c r="J41" i="23"/>
  <c r="J35" i="4" s="1"/>
  <c r="J37" i="23"/>
  <c r="J31" i="4" s="1"/>
  <c r="H35" i="23"/>
  <c r="H29" i="4" s="1"/>
  <c r="I34" i="23"/>
  <c r="I28" i="4" s="1"/>
  <c r="J43" i="23"/>
  <c r="J39" i="23"/>
  <c r="J33" i="4" s="1"/>
  <c r="J35" i="23"/>
  <c r="J29" i="4" s="1"/>
  <c r="I32" i="23"/>
  <c r="I26" i="4" s="1"/>
  <c r="J31" i="23"/>
  <c r="J25" i="4" s="1"/>
  <c r="I28" i="23"/>
  <c r="I35" i="23"/>
  <c r="I29" i="4" s="1"/>
  <c r="D32" i="23"/>
  <c r="D26" i="4" s="1"/>
  <c r="J33" i="23"/>
  <c r="J27" i="4" s="1"/>
  <c r="G28" i="23"/>
  <c r="I30" i="23"/>
  <c r="I24" i="4" s="1"/>
  <c r="P22" i="23"/>
  <c r="S23" i="1"/>
  <c r="T23" i="1"/>
  <c r="U23" i="1"/>
  <c r="V23" i="1"/>
  <c r="S24" i="1"/>
  <c r="T24" i="1"/>
  <c r="U24" i="1"/>
  <c r="V24" i="1"/>
  <c r="L23" i="1"/>
  <c r="M23" i="1"/>
  <c r="L24" i="1"/>
  <c r="M24" i="1"/>
  <c r="I23" i="1"/>
  <c r="I24" i="1"/>
  <c r="J29" i="1"/>
  <c r="J7" i="4" s="1"/>
  <c r="J30" i="1"/>
  <c r="J8" i="4" s="1"/>
  <c r="J31" i="1"/>
  <c r="J9" i="4" s="1"/>
  <c r="J32" i="1"/>
  <c r="J33" i="1"/>
  <c r="J11" i="4" s="1"/>
  <c r="J34" i="1"/>
  <c r="J12" i="4" s="1"/>
  <c r="J35" i="1"/>
  <c r="J13" i="4" s="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R33" i="1"/>
  <c r="R11" i="4" s="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I30" i="1"/>
  <c r="I8" i="4" s="1"/>
  <c r="I34" i="1"/>
  <c r="I12" i="4" s="1"/>
  <c r="I29" i="1"/>
  <c r="I33" i="1"/>
  <c r="I11" i="4" s="1"/>
  <c r="O43" i="1"/>
  <c r="Q31" i="1"/>
  <c r="Q9" i="4" s="1"/>
  <c r="Q34" i="1"/>
  <c r="Q12" i="4" s="1"/>
  <c r="O40" i="1"/>
  <c r="O18" i="4" s="1"/>
  <c r="P28" i="1"/>
  <c r="P30" i="1"/>
  <c r="P8" i="4" s="1"/>
  <c r="P33" i="1"/>
  <c r="P11" i="4" s="1"/>
  <c r="P34" i="1"/>
  <c r="P12" i="4" s="1"/>
  <c r="O41" i="1"/>
  <c r="O19" i="4" s="1"/>
  <c r="Q28" i="1"/>
  <c r="Q33" i="1"/>
  <c r="Q11" i="4" s="1"/>
  <c r="Q35" i="1"/>
  <c r="Q13" i="4" s="1"/>
  <c r="O38" i="1"/>
  <c r="O16"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T56" i="23"/>
  <c r="J56" i="23"/>
  <c r="L56" i="23"/>
  <c r="V56" i="1"/>
  <c r="U56" i="1"/>
  <c r="I56" i="23"/>
  <c r="M56" i="23"/>
  <c r="J56" i="1"/>
  <c r="S56" i="1"/>
  <c r="T56" i="1"/>
  <c r="U56" i="23"/>
  <c r="V56" i="23"/>
  <c r="S56" i="23"/>
  <c r="R56" i="23"/>
  <c r="K56" i="23"/>
  <c r="E35" i="23" l="1"/>
  <c r="E29" i="4" s="1"/>
  <c r="F34" i="23"/>
  <c r="F28" i="4" s="1"/>
  <c r="H30" i="23"/>
  <c r="H24" i="4" s="1"/>
  <c r="H34" i="23"/>
  <c r="H28" i="4" s="1"/>
  <c r="G30" i="23"/>
  <c r="G24" i="4" s="1"/>
  <c r="G34" i="23"/>
  <c r="G28" i="4" s="1"/>
  <c r="E34" i="23"/>
  <c r="E28" i="4" s="1"/>
  <c r="E31" i="23"/>
  <c r="E25" i="4" s="1"/>
  <c r="G31" i="23"/>
  <c r="G25" i="4" s="1"/>
  <c r="G35" i="23"/>
  <c r="G29" i="4" s="1"/>
  <c r="C28" i="23"/>
  <c r="G32" i="23"/>
  <c r="G26" i="4" s="1"/>
  <c r="D29" i="23"/>
  <c r="D23" i="4" s="1"/>
  <c r="H33" i="23"/>
  <c r="H27" i="4" s="1"/>
  <c r="F28" i="23"/>
  <c r="H28" i="23"/>
  <c r="H22" i="4" s="1"/>
  <c r="E28" i="23"/>
  <c r="D28" i="23"/>
  <c r="E29" i="23"/>
  <c r="E23" i="4" s="1"/>
  <c r="F29" i="23"/>
  <c r="F23" i="4" s="1"/>
  <c r="O42" i="1"/>
  <c r="O20" i="4" s="1"/>
  <c r="O39" i="1"/>
  <c r="O17" i="4" s="1"/>
  <c r="B33" i="1"/>
  <c r="B11" i="4" s="1"/>
  <c r="G34" i="1"/>
  <c r="G12" i="4" s="1"/>
  <c r="G35" i="1"/>
  <c r="G13" i="4" s="1"/>
  <c r="E33" i="1"/>
  <c r="E11" i="4" s="1"/>
  <c r="E29" i="1"/>
  <c r="D33" i="1"/>
  <c r="D11" i="4" s="1"/>
  <c r="D35" i="1"/>
  <c r="D13" i="4" s="1"/>
  <c r="H34" i="1"/>
  <c r="H12" i="4" s="1"/>
  <c r="G29" i="1"/>
  <c r="G7" i="4" s="1"/>
  <c r="F34" i="1"/>
  <c r="F12" i="4" s="1"/>
  <c r="E30" i="1"/>
  <c r="E8" i="4" s="1"/>
  <c r="H31" i="1"/>
  <c r="F29" i="1"/>
  <c r="F7" i="4" s="1"/>
  <c r="H35" i="1"/>
  <c r="H13" i="4" s="1"/>
  <c r="E35" i="1"/>
  <c r="E13" i="4" s="1"/>
  <c r="H30" i="1"/>
  <c r="H8" i="4" s="1"/>
  <c r="F33" i="1"/>
  <c r="F11" i="4" s="1"/>
  <c r="C35" i="1"/>
  <c r="C13" i="4" s="1"/>
  <c r="H32" i="1"/>
  <c r="H10" i="4" s="1"/>
  <c r="F35" i="1"/>
  <c r="F13" i="4" s="1"/>
  <c r="E32" i="1"/>
  <c r="E10" i="4" s="1"/>
  <c r="C33" i="1"/>
  <c r="C11" i="4" s="1"/>
  <c r="G30" i="1"/>
  <c r="G8" i="4" s="1"/>
  <c r="F30" i="1"/>
  <c r="F32" i="1"/>
  <c r="F10" i="4" s="1"/>
  <c r="H33" i="1"/>
  <c r="H11" i="4" s="1"/>
  <c r="O40" i="23"/>
  <c r="O34" i="4" s="1"/>
  <c r="O33" i="23"/>
  <c r="O27" i="4" s="1"/>
  <c r="O32" i="1"/>
  <c r="O10" i="4" s="1"/>
  <c r="P31" i="23"/>
  <c r="P25" i="4" s="1"/>
  <c r="Q28" i="23"/>
  <c r="Q22" i="4" s="1"/>
  <c r="H31" i="23"/>
  <c r="H25" i="4" s="1"/>
  <c r="D35" i="23"/>
  <c r="D29" i="4" s="1"/>
  <c r="G33" i="23"/>
  <c r="G27" i="4" s="1"/>
  <c r="C30" i="23"/>
  <c r="C24" i="4" s="1"/>
  <c r="E32" i="23"/>
  <c r="E26" i="4" s="1"/>
  <c r="C34" i="23"/>
  <c r="C28" i="4" s="1"/>
  <c r="C33" i="23"/>
  <c r="C27" i="4" s="1"/>
  <c r="C31" i="23"/>
  <c r="C25" i="4" s="1"/>
  <c r="E33" i="23"/>
  <c r="E27" i="4" s="1"/>
  <c r="C35" i="23"/>
  <c r="C29" i="4" s="1"/>
  <c r="E30" i="23"/>
  <c r="O43" i="23"/>
  <c r="O37" i="4" s="1"/>
  <c r="O39" i="23"/>
  <c r="O33" i="4" s="1"/>
  <c r="O29" i="23"/>
  <c r="O23" i="4" s="1"/>
  <c r="Q33" i="23"/>
  <c r="Q27" i="4" s="1"/>
  <c r="P32" i="23"/>
  <c r="P26" i="4" s="1"/>
  <c r="Q29" i="23"/>
  <c r="Q23" i="4" s="1"/>
  <c r="P28" i="23"/>
  <c r="O42" i="23"/>
  <c r="O36" i="4" s="1"/>
  <c r="O36" i="23"/>
  <c r="O30" i="4" s="1"/>
  <c r="Q34" i="23"/>
  <c r="Q28" i="4" s="1"/>
  <c r="P33" i="23"/>
  <c r="P27" i="4" s="1"/>
  <c r="Q30" i="23"/>
  <c r="Q24" i="4" s="1"/>
  <c r="P29" i="23"/>
  <c r="P23" i="4" s="1"/>
  <c r="F33" i="23"/>
  <c r="F27" i="4" s="1"/>
  <c r="G29" i="23"/>
  <c r="H29" i="23"/>
  <c r="F31" i="23"/>
  <c r="D33" i="23"/>
  <c r="D27" i="4" s="1"/>
  <c r="F35" i="23"/>
  <c r="F29" i="4" s="1"/>
  <c r="C32" i="23"/>
  <c r="C26" i="4" s="1"/>
  <c r="C29" i="23"/>
  <c r="D30" i="23"/>
  <c r="F32" i="23"/>
  <c r="F26" i="4" s="1"/>
  <c r="D34" i="23"/>
  <c r="D28" i="4" s="1"/>
  <c r="D31" i="23"/>
  <c r="D25" i="4" s="1"/>
  <c r="O41" i="23"/>
  <c r="O35" i="4" s="1"/>
  <c r="O35" i="23"/>
  <c r="O29" i="4" s="1"/>
  <c r="Q35" i="23"/>
  <c r="Q29" i="4" s="1"/>
  <c r="P34" i="23"/>
  <c r="P28" i="4" s="1"/>
  <c r="Q31" i="23"/>
  <c r="Q25" i="4" s="1"/>
  <c r="P30" i="23"/>
  <c r="P24" i="4" s="1"/>
  <c r="M34" i="1"/>
  <c r="M12" i="4" s="1"/>
  <c r="L33" i="1"/>
  <c r="L11" i="4" s="1"/>
  <c r="K32" i="1"/>
  <c r="K10" i="4" s="1"/>
  <c r="M30" i="1"/>
  <c r="M8" i="4" s="1"/>
  <c r="L29" i="1"/>
  <c r="L7" i="4" s="1"/>
  <c r="K28" i="1"/>
  <c r="M35" i="1"/>
  <c r="M13" i="4" s="1"/>
  <c r="L34" i="1"/>
  <c r="L12" i="4" s="1"/>
  <c r="K33" i="1"/>
  <c r="K11" i="4" s="1"/>
  <c r="M31" i="1"/>
  <c r="M9" i="4" s="1"/>
  <c r="L30" i="1"/>
  <c r="L8" i="4" s="1"/>
  <c r="K29" i="1"/>
  <c r="K7" i="4" s="1"/>
  <c r="L35" i="1"/>
  <c r="L13" i="4" s="1"/>
  <c r="K34" i="1"/>
  <c r="K12" i="4" s="1"/>
  <c r="M32" i="1"/>
  <c r="M10" i="4" s="1"/>
  <c r="L31" i="1"/>
  <c r="L9" i="4" s="1"/>
  <c r="K30" i="1"/>
  <c r="K8" i="4" s="1"/>
  <c r="M28" i="1"/>
  <c r="K35" i="1"/>
  <c r="K13" i="4" s="1"/>
  <c r="M33" i="1"/>
  <c r="M11" i="4" s="1"/>
  <c r="L32" i="1"/>
  <c r="L10" i="4" s="1"/>
  <c r="K31" i="1"/>
  <c r="K9" i="4" s="1"/>
  <c r="M29" i="1"/>
  <c r="M7" i="4" s="1"/>
  <c r="L28" i="1"/>
  <c r="L6" i="4" s="1"/>
  <c r="O9" i="12"/>
  <c r="O10" i="12" s="1"/>
  <c r="E22" i="4"/>
  <c r="F22" i="4"/>
  <c r="T6" i="4"/>
  <c r="M22" i="4"/>
  <c r="P6" i="4"/>
  <c r="Q6" i="4"/>
  <c r="I22" i="4"/>
  <c r="D22" i="4"/>
  <c r="J22" i="4"/>
  <c r="C22" i="4"/>
  <c r="J6" i="4"/>
  <c r="K6" i="4"/>
  <c r="S6" i="4"/>
  <c r="L22" i="4"/>
  <c r="G22" i="4"/>
  <c r="M6" i="4"/>
  <c r="U6"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R46" i="23"/>
  <c r="R53" i="23" s="1"/>
  <c r="B28" i="23"/>
  <c r="B30" i="23"/>
  <c r="B24" i="4" s="1"/>
  <c r="B34" i="23"/>
  <c r="B28" i="4" s="1"/>
  <c r="B35" i="23"/>
  <c r="O28" i="23"/>
  <c r="B31" i="23"/>
  <c r="B25" i="4" s="1"/>
  <c r="B29" i="23"/>
  <c r="B23" i="4" s="1"/>
  <c r="M46" i="23"/>
  <c r="M53" i="23" s="1"/>
  <c r="Q32" i="1"/>
  <c r="P32" i="1"/>
  <c r="P10" i="4" s="1"/>
  <c r="D4" i="4"/>
  <c r="O29" i="1"/>
  <c r="O7" i="4" s="1"/>
  <c r="B27" i="23"/>
  <c r="B52" i="23" s="1"/>
  <c r="K45" i="23"/>
  <c r="E27" i="23"/>
  <c r="E52" i="23" s="1"/>
  <c r="Q30" i="1"/>
  <c r="Q8" i="4" s="1"/>
  <c r="B29" i="1"/>
  <c r="B7" i="4" s="1"/>
  <c r="P35" i="1"/>
  <c r="P13" i="4" s="1"/>
  <c r="P31" i="1"/>
  <c r="P9" i="4" s="1"/>
  <c r="H22" i="23"/>
  <c r="V47" i="23"/>
  <c r="V48" i="23" s="1"/>
  <c r="V54" i="23" s="1"/>
  <c r="R47" i="23"/>
  <c r="R48" i="23" s="1"/>
  <c r="R54" i="23" s="1"/>
  <c r="K47" i="23"/>
  <c r="K48" i="23" s="1"/>
  <c r="K54" i="23" s="1"/>
  <c r="M47" i="23"/>
  <c r="M48" i="23" s="1"/>
  <c r="M54" i="23" s="1"/>
  <c r="L46" i="23"/>
  <c r="L53" i="23" s="1"/>
  <c r="P37" i="1"/>
  <c r="F22" i="23"/>
  <c r="K46" i="23"/>
  <c r="K53" i="23" s="1"/>
  <c r="L47" i="23"/>
  <c r="L48" i="23" s="1"/>
  <c r="L54" i="23" s="1"/>
  <c r="O36" i="1"/>
  <c r="H45" i="23"/>
  <c r="U46" i="23"/>
  <c r="U53" i="23" s="1"/>
  <c r="T46" i="23"/>
  <c r="T53" i="23" s="1"/>
  <c r="R31" i="1"/>
  <c r="R9" i="4" s="1"/>
  <c r="R22" i="4"/>
  <c r="V22" i="4"/>
  <c r="U29" i="4"/>
  <c r="T47" i="23"/>
  <c r="T48" i="23" s="1"/>
  <c r="T54" i="23" s="1"/>
  <c r="T27" i="4"/>
  <c r="J57" i="1"/>
  <c r="V57" i="1"/>
  <c r="U57" i="23"/>
  <c r="J57" i="23"/>
  <c r="U57" i="1"/>
  <c r="M57" i="23"/>
  <c r="T57" i="23"/>
  <c r="I57" i="23"/>
  <c r="T57" i="1"/>
  <c r="L57" i="23"/>
  <c r="S57" i="23"/>
  <c r="S57" i="1"/>
  <c r="K57" i="23"/>
  <c r="V57" i="23"/>
  <c r="R57" i="23"/>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J47" i="1"/>
  <c r="J48" i="1" s="1"/>
  <c r="J54" i="1" s="1"/>
  <c r="B28" i="1"/>
  <c r="D32" i="1"/>
  <c r="B30" i="1"/>
  <c r="B8" i="4" s="1"/>
  <c r="C28" i="1"/>
  <c r="D31" i="1"/>
  <c r="D9" i="4" s="1"/>
  <c r="U46" i="1"/>
  <c r="U53" i="1" s="1"/>
  <c r="O28" i="1"/>
  <c r="C30" i="1"/>
  <c r="C8" i="4" s="1"/>
  <c r="C31" i="1"/>
  <c r="C9" i="4" s="1"/>
  <c r="D29" i="1"/>
  <c r="D7" i="4" s="1"/>
  <c r="D30" i="1"/>
  <c r="S47" i="1"/>
  <c r="S48" i="1" s="1"/>
  <c r="S54" i="1" s="1"/>
  <c r="T46" i="1"/>
  <c r="T53" i="1" s="1"/>
  <c r="T47" i="1"/>
  <c r="T48" i="1" s="1"/>
  <c r="T54" i="1" s="1"/>
  <c r="S46" i="1"/>
  <c r="S53" i="1" s="1"/>
  <c r="V46" i="1"/>
  <c r="V53" i="1" s="1"/>
  <c r="V6" i="4"/>
  <c r="V47" i="1"/>
  <c r="V48" i="1" s="1"/>
  <c r="V54" i="1" s="1"/>
  <c r="U47" i="1"/>
  <c r="U48" i="1" s="1"/>
  <c r="U54" i="1" s="1"/>
  <c r="G21" i="4"/>
  <c r="I21" i="4"/>
  <c r="F21" i="4"/>
  <c r="H21" i="4"/>
  <c r="E21" i="4"/>
  <c r="L52" i="23"/>
  <c r="E7" i="4"/>
  <c r="D17" i="4"/>
  <c r="F8" i="4"/>
  <c r="H9" i="4"/>
  <c r="J10" i="4"/>
  <c r="J46" i="1"/>
  <c r="J53" i="1" s="1"/>
  <c r="C4" i="4"/>
  <c r="J47" i="23"/>
  <c r="J48" i="23" s="1"/>
  <c r="J54" i="23" s="1"/>
  <c r="I46" i="23"/>
  <c r="I53" i="23" s="1"/>
  <c r="U47" i="23"/>
  <c r="U48" i="23" s="1"/>
  <c r="U54" i="23" s="1"/>
  <c r="A47" i="22"/>
  <c r="J46" i="23"/>
  <c r="J53" i="23" s="1"/>
  <c r="I47" i="23"/>
  <c r="I48" i="23" s="1"/>
  <c r="I54" i="23" s="1"/>
  <c r="G27" i="23"/>
  <c r="G52" i="23" s="1"/>
  <c r="A50" i="22"/>
  <c r="H50" i="22" s="1"/>
  <c r="K27" i="23"/>
  <c r="L22" i="1"/>
  <c r="I7" i="4"/>
  <c r="D27" i="1"/>
  <c r="D52" i="1" s="1"/>
  <c r="D45" i="1"/>
  <c r="D22" i="23"/>
  <c r="D45" i="23"/>
  <c r="D27" i="23"/>
  <c r="D52" i="23" s="1"/>
  <c r="S46" i="23"/>
  <c r="S53" i="23" s="1"/>
  <c r="S47" i="23"/>
  <c r="S48" i="23" s="1"/>
  <c r="S54" i="23" s="1"/>
  <c r="V46" i="23"/>
  <c r="V53"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L56" i="1"/>
  <c r="E56" i="23"/>
  <c r="P56" i="1"/>
  <c r="E56" i="1"/>
  <c r="U78" i="4"/>
  <c r="H56" i="23"/>
  <c r="H56" i="1"/>
  <c r="K56" i="1"/>
  <c r="F56" i="23"/>
  <c r="C56" i="1"/>
  <c r="M56" i="1"/>
  <c r="L78" i="4"/>
  <c r="T78" i="4"/>
  <c r="D56" i="23"/>
  <c r="M78" i="4"/>
  <c r="K78" i="4"/>
  <c r="R56" i="1"/>
  <c r="C56" i="23"/>
  <c r="O56" i="23"/>
  <c r="S78" i="4"/>
  <c r="G56" i="23"/>
  <c r="I56" i="1"/>
  <c r="D56" i="1"/>
  <c r="P56" i="23"/>
  <c r="G56" i="1"/>
  <c r="Q56" i="1"/>
  <c r="O56" i="1"/>
  <c r="B56" i="1"/>
  <c r="F56" i="1"/>
  <c r="J78" i="4"/>
  <c r="Q56" i="23"/>
  <c r="B56" i="23"/>
  <c r="V78" i="4"/>
  <c r="M47" i="1" l="1"/>
  <c r="M48" i="1" s="1"/>
  <c r="M54" i="1" s="1"/>
  <c r="Q46" i="23"/>
  <c r="Q53" i="23" s="1"/>
  <c r="Q47" i="23"/>
  <c r="Q48" i="23" s="1"/>
  <c r="Q54" i="23" s="1"/>
  <c r="G47" i="23"/>
  <c r="G48" i="23" s="1"/>
  <c r="G54" i="23" s="1"/>
  <c r="P47" i="23"/>
  <c r="P48" i="23" s="1"/>
  <c r="P54" i="23" s="1"/>
  <c r="K47" i="1"/>
  <c r="K48" i="1" s="1"/>
  <c r="K54" i="1" s="1"/>
  <c r="M46" i="1"/>
  <c r="M53" i="1" s="1"/>
  <c r="D47" i="23"/>
  <c r="D48" i="23" s="1"/>
  <c r="D54" i="23" s="1"/>
  <c r="C57" i="23"/>
  <c r="F57" i="23"/>
  <c r="Q57" i="23"/>
  <c r="G57" i="23"/>
  <c r="P57" i="23"/>
  <c r="D57" i="23"/>
  <c r="H57" i="23"/>
  <c r="E57" i="23"/>
  <c r="F46" i="23"/>
  <c r="F53" i="23" s="1"/>
  <c r="C47" i="23"/>
  <c r="C48" i="23" s="1"/>
  <c r="C54" i="23" s="1"/>
  <c r="H46" i="23"/>
  <c r="H53" i="23" s="1"/>
  <c r="H47" i="23"/>
  <c r="H48" i="23" s="1"/>
  <c r="H54" i="23" s="1"/>
  <c r="E46" i="23"/>
  <c r="E53" i="23" s="1"/>
  <c r="C23" i="4"/>
  <c r="F25" i="4"/>
  <c r="G23" i="4"/>
  <c r="F47" i="23"/>
  <c r="F48" i="23" s="1"/>
  <c r="F54" i="23" s="1"/>
  <c r="D46" i="23"/>
  <c r="D53" i="23" s="1"/>
  <c r="D24" i="4"/>
  <c r="C46" i="23"/>
  <c r="C53" i="23" s="1"/>
  <c r="E47" i="23"/>
  <c r="E48" i="23" s="1"/>
  <c r="E54" i="23" s="1"/>
  <c r="G46" i="23"/>
  <c r="G53" i="23" s="1"/>
  <c r="P46" i="23"/>
  <c r="P53" i="23" s="1"/>
  <c r="P22" i="4"/>
  <c r="H23" i="4"/>
  <c r="E24" i="4"/>
  <c r="S63" i="4"/>
  <c r="S64" i="4" s="1"/>
  <c r="L57" i="1"/>
  <c r="M57" i="1"/>
  <c r="K57" i="1"/>
  <c r="K46" i="1"/>
  <c r="K53" i="1" s="1"/>
  <c r="L47" i="1"/>
  <c r="L48" i="1" s="1"/>
  <c r="L54" i="1" s="1"/>
  <c r="L46" i="1"/>
  <c r="L53" i="1" s="1"/>
  <c r="F46" i="1"/>
  <c r="F53" i="1" s="1"/>
  <c r="L63" i="4"/>
  <c r="L64" i="4" s="1"/>
  <c r="M63" i="4"/>
  <c r="M64" i="4" s="1"/>
  <c r="P47" i="1"/>
  <c r="P48" i="1" s="1"/>
  <c r="P54" i="1" s="1"/>
  <c r="D6" i="4"/>
  <c r="R6" i="4"/>
  <c r="C6" i="4"/>
  <c r="B22" i="4"/>
  <c r="I6" i="4"/>
  <c r="P7" i="4"/>
  <c r="E6" i="4"/>
  <c r="H6" i="4"/>
  <c r="F6" i="4"/>
  <c r="O6" i="4"/>
  <c r="B6" i="4"/>
  <c r="G6" i="4"/>
  <c r="Q7" i="4"/>
  <c r="K63" i="4"/>
  <c r="K64" i="4" s="1"/>
  <c r="U63" i="4"/>
  <c r="U64" i="4" s="1"/>
  <c r="J63" i="4"/>
  <c r="J64" i="4" s="1"/>
  <c r="V63" i="4"/>
  <c r="V64" i="4" s="1"/>
  <c r="T63" i="4"/>
  <c r="T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M57" i="4"/>
  <c r="M58" i="4" s="1"/>
  <c r="M76" i="4" s="1"/>
  <c r="T57" i="4"/>
  <c r="T58" i="4" s="1"/>
  <c r="T76" i="4" s="1"/>
  <c r="H57" i="1"/>
  <c r="G57" i="1"/>
  <c r="F57" i="1"/>
  <c r="I57" i="1"/>
  <c r="E57" i="1"/>
  <c r="H7" i="4"/>
  <c r="G46" i="1"/>
  <c r="G53" i="1" s="1"/>
  <c r="H46" i="1"/>
  <c r="H53" i="1" s="1"/>
  <c r="H47" i="1"/>
  <c r="H48" i="1" s="1"/>
  <c r="H54" i="1" s="1"/>
  <c r="G11" i="4"/>
  <c r="F9" i="4"/>
  <c r="I13" i="4"/>
  <c r="E12" i="4"/>
  <c r="I55" i="4"/>
  <c r="I62" i="4"/>
  <c r="V57" i="4"/>
  <c r="V58" i="4" s="1"/>
  <c r="V76" i="4" s="1"/>
  <c r="V56" i="4"/>
  <c r="V75" i="4" s="1"/>
  <c r="U57" i="4"/>
  <c r="U58" i="4" s="1"/>
  <c r="U76" i="4" s="1"/>
  <c r="L56" i="4"/>
  <c r="L75" i="4" s="1"/>
  <c r="S56" i="4"/>
  <c r="S75" i="4" s="1"/>
  <c r="K57" i="4"/>
  <c r="K58" i="4" s="1"/>
  <c r="K76" i="4" s="1"/>
  <c r="J56" i="4"/>
  <c r="J75" i="4" s="1"/>
  <c r="O55" i="4"/>
  <c r="O62" i="4"/>
  <c r="F55" i="4"/>
  <c r="F62" i="4"/>
  <c r="M55" i="4"/>
  <c r="M62" i="4"/>
  <c r="J55" i="4"/>
  <c r="J62" i="4"/>
  <c r="L57" i="4"/>
  <c r="L58" i="4" s="1"/>
  <c r="L76" i="4" s="1"/>
  <c r="K56" i="4"/>
  <c r="K75" i="4" s="1"/>
  <c r="J57" i="4"/>
  <c r="J58" i="4" s="1"/>
  <c r="J76" i="4" s="1"/>
  <c r="P55" i="4"/>
  <c r="P62" i="4"/>
  <c r="G55" i="4"/>
  <c r="G62" i="4"/>
  <c r="H74" i="4"/>
  <c r="H62" i="4"/>
  <c r="U22" i="33"/>
  <c r="U45" i="33"/>
  <c r="U27" i="33"/>
  <c r="U52" i="33" s="1"/>
  <c r="R45" i="33"/>
  <c r="R27" i="33"/>
  <c r="R52" i="33" s="1"/>
  <c r="R22" i="33"/>
  <c r="U56" i="4"/>
  <c r="U75" i="4" s="1"/>
  <c r="M56" i="4"/>
  <c r="M75" i="4" s="1"/>
  <c r="T56" i="4"/>
  <c r="T75" i="4" s="1"/>
  <c r="C74" i="4"/>
  <c r="C62" i="4"/>
  <c r="D55" i="4"/>
  <c r="D62" i="4"/>
  <c r="S27" i="33"/>
  <c r="S52" i="33" s="1"/>
  <c r="S22" i="33"/>
  <c r="S45" i="33"/>
  <c r="A36" i="22"/>
  <c r="H36" i="22" s="1"/>
  <c r="V4" i="33"/>
  <c r="S57" i="4"/>
  <c r="S58" i="4" s="1"/>
  <c r="S76" i="4" s="1"/>
  <c r="Q55" i="4"/>
  <c r="V4" i="1"/>
  <c r="V45" i="1" s="1"/>
  <c r="O32" i="4"/>
  <c r="Q10" i="4"/>
  <c r="B32" i="4"/>
  <c r="H55" i="4"/>
  <c r="R10" i="4"/>
  <c r="O14" i="4"/>
  <c r="P15" i="4"/>
  <c r="V4" i="23"/>
  <c r="V45" i="23" s="1"/>
  <c r="K79" i="4"/>
  <c r="B10" i="4"/>
  <c r="A32" i="22"/>
  <c r="H32" i="22" s="1"/>
  <c r="D13" i="28"/>
  <c r="D9" i="28"/>
  <c r="D5" i="28"/>
  <c r="D14" i="28"/>
  <c r="D10" i="28"/>
  <c r="D6" i="28"/>
  <c r="D15" i="28"/>
  <c r="D11" i="28"/>
  <c r="D7" i="28"/>
  <c r="D3" i="28"/>
  <c r="D12" i="28"/>
  <c r="D8" i="28"/>
  <c r="D4" i="28"/>
  <c r="L79" i="4"/>
  <c r="V79" i="4"/>
  <c r="M79" i="4"/>
  <c r="J79" i="4"/>
  <c r="U79" i="4"/>
  <c r="T79" i="4"/>
  <c r="S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B78" i="4"/>
  <c r="C78" i="4"/>
  <c r="P78" i="4"/>
  <c r="H78" i="4"/>
  <c r="D78" i="4"/>
  <c r="R78" i="4"/>
  <c r="G78" i="4"/>
  <c r="O78" i="4"/>
  <c r="F78" i="4"/>
  <c r="Q78" i="4"/>
  <c r="E78" i="4"/>
  <c r="I78" i="4"/>
  <c r="F55" i="23" l="1"/>
  <c r="C55" i="23"/>
  <c r="C63" i="4"/>
  <c r="C64" i="4" s="1"/>
  <c r="R63" i="4"/>
  <c r="R64" i="4" s="1"/>
  <c r="I57" i="4"/>
  <c r="I58" i="4" s="1"/>
  <c r="I76" i="4" s="1"/>
  <c r="I4" i="12" s="1"/>
  <c r="H56" i="4"/>
  <c r="H75" i="4" s="1"/>
  <c r="G55" i="1"/>
  <c r="V4" i="4"/>
  <c r="V55" i="4" s="1"/>
  <c r="I63" i="4"/>
  <c r="I64" i="4" s="1"/>
  <c r="F63" i="4"/>
  <c r="F64" i="4" s="1"/>
  <c r="P55" i="23"/>
  <c r="V55" i="23"/>
  <c r="Q55" i="23"/>
  <c r="U55" i="23"/>
  <c r="T55" i="1"/>
  <c r="R55" i="23"/>
  <c r="T55" i="23"/>
  <c r="V55" i="1"/>
  <c r="R55" i="1"/>
  <c r="P55" i="1"/>
  <c r="S55" i="1"/>
  <c r="U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H3" i="12" s="1"/>
  <c r="J4" i="12"/>
  <c r="M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AH2" i="12"/>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P56" i="4"/>
  <c r="R57" i="4"/>
  <c r="R58" i="4" s="1"/>
  <c r="R76" i="4" s="1"/>
  <c r="Q57" i="4"/>
  <c r="Q58" i="4" s="1"/>
  <c r="Q76" i="4" s="1"/>
  <c r="Q79" i="4"/>
  <c r="P79" i="4"/>
  <c r="R79" i="4"/>
  <c r="U4" i="4"/>
  <c r="F2" i="27"/>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R59" i="23"/>
  <c r="O79" i="4"/>
  <c r="B79" i="4"/>
  <c r="B64" i="23"/>
  <c r="L59" i="23"/>
  <c r="L60" i="23" s="1"/>
  <c r="F59" i="23"/>
  <c r="F60" i="23" s="1"/>
  <c r="Q59" i="23"/>
  <c r="Q60" i="23" s="1"/>
  <c r="V59" i="23"/>
  <c r="P59" i="23"/>
  <c r="P60" i="23" s="1"/>
  <c r="T59" i="23"/>
  <c r="T60" i="23" s="1"/>
  <c r="U59" i="23"/>
  <c r="S59" i="23"/>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E59" i="23"/>
  <c r="J59" i="23"/>
  <c r="K59" i="23"/>
  <c r="K60" i="23" s="1"/>
  <c r="D59" i="23"/>
  <c r="D60" i="23" s="1"/>
  <c r="I59" i="23"/>
  <c r="O59" i="23"/>
  <c r="O60" i="23" s="1"/>
  <c r="G59" i="23"/>
  <c r="G60" i="23" s="1"/>
  <c r="H59" i="23"/>
  <c r="H60" i="23" s="1"/>
  <c r="M59" i="23"/>
  <c r="C55" i="1"/>
  <c r="H55" i="1"/>
  <c r="F55" i="1"/>
  <c r="I55" i="1"/>
  <c r="L55" i="1"/>
  <c r="J55" i="1"/>
  <c r="D55" i="1"/>
  <c r="K55" i="1"/>
  <c r="E55" i="1"/>
  <c r="O59" i="1"/>
  <c r="O60" i="1" s="1"/>
  <c r="J59" i="1"/>
  <c r="F59" i="1"/>
  <c r="F60" i="1" s="1"/>
  <c r="M59" i="1"/>
  <c r="I59" i="1"/>
  <c r="E59" i="1"/>
  <c r="L59" i="1"/>
  <c r="H59" i="1"/>
  <c r="H60" i="1" s="1"/>
  <c r="D59" i="1"/>
  <c r="K59" i="1"/>
  <c r="C59" i="1"/>
  <c r="G59" i="1"/>
  <c r="G60" i="1" s="1"/>
  <c r="M55" i="1"/>
  <c r="T59" i="1"/>
  <c r="T60" i="1" s="1"/>
  <c r="P59" i="1"/>
  <c r="P60" i="1" s="1"/>
  <c r="S59" i="1"/>
  <c r="S60" i="1" s="1"/>
  <c r="V59" i="1"/>
  <c r="V60" i="1" s="1"/>
  <c r="R59" i="1"/>
  <c r="R60" i="1" s="1"/>
  <c r="U59" i="1"/>
  <c r="Q59" i="1"/>
  <c r="B65" i="1"/>
  <c r="B64" i="1"/>
  <c r="B55" i="1"/>
  <c r="T27" i="23"/>
  <c r="T52" i="23" s="1"/>
  <c r="T45" i="23"/>
  <c r="T22" i="23"/>
  <c r="J3" i="12"/>
  <c r="T27" i="1"/>
  <c r="T52" i="1" s="1"/>
  <c r="T45" i="1"/>
  <c r="T4" i="4"/>
  <c r="T62" i="4" s="1"/>
  <c r="T22" i="1"/>
  <c r="I60" i="23"/>
  <c r="J60" i="1"/>
  <c r="K60" i="1"/>
  <c r="S60" i="23"/>
  <c r="I60" i="1"/>
  <c r="L60" i="1"/>
  <c r="R60" i="23"/>
  <c r="E60" i="1"/>
  <c r="C60" i="23"/>
  <c r="U60" i="23"/>
  <c r="M60" i="23"/>
  <c r="C60" i="1"/>
  <c r="M60" i="1"/>
  <c r="U60" i="1"/>
  <c r="V60" i="23"/>
  <c r="D60" i="1"/>
  <c r="E60" i="23"/>
  <c r="J60" i="23"/>
  <c r="Q60" i="1"/>
  <c r="F4" i="12" l="1"/>
  <c r="F4" i="27"/>
  <c r="G4" i="12"/>
  <c r="H4" i="12"/>
  <c r="I3" i="12"/>
  <c r="F3" i="12"/>
  <c r="G3" i="12"/>
  <c r="V62" i="4"/>
  <c r="V74" i="4"/>
  <c r="Z2" i="12" s="1"/>
  <c r="AA2" i="12"/>
  <c r="P75" i="4"/>
  <c r="B5" i="27" s="1"/>
  <c r="O81" i="4"/>
  <c r="O82" i="4" s="1"/>
  <c r="AE2" i="12"/>
  <c r="U74" i="4"/>
  <c r="Y2" i="12" s="1"/>
  <c r="U62" i="4"/>
  <c r="B6" i="12"/>
  <c r="B6" i="27"/>
  <c r="R61" i="23"/>
  <c r="U55" i="4"/>
  <c r="F3" i="27"/>
  <c r="V77" i="4"/>
  <c r="U77" i="4"/>
  <c r="O77" i="4"/>
  <c r="S77" i="4"/>
  <c r="Q77" i="4"/>
  <c r="R77" i="4"/>
  <c r="P81" i="4"/>
  <c r="Q81" i="4"/>
  <c r="B86" i="4"/>
  <c r="B87" i="4"/>
  <c r="B75" i="4"/>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P3" i="12"/>
  <c r="Q3" i="12"/>
  <c r="K2" i="12"/>
  <c r="K4" i="12" s="1"/>
  <c r="B4" i="27"/>
  <c r="B4" i="12"/>
  <c r="O61" i="1"/>
  <c r="Q61" i="1"/>
  <c r="P61" i="1"/>
  <c r="C61" i="1"/>
  <c r="R61" i="1"/>
  <c r="AB2" i="12"/>
  <c r="AF2" i="12"/>
  <c r="T55" i="4"/>
  <c r="T74" i="4"/>
  <c r="P82" i="4"/>
  <c r="Q82" i="4"/>
  <c r="B5" i="12" l="1"/>
  <c r="P77" i="4"/>
  <c r="AB4" i="12"/>
  <c r="AD4" i="12"/>
  <c r="AE4" i="12"/>
  <c r="Z4" i="12"/>
  <c r="W4" i="12"/>
  <c r="AG4" i="12"/>
  <c r="AC4" i="12"/>
  <c r="AH4" i="12"/>
  <c r="AF4" i="12"/>
  <c r="Y4" i="12"/>
  <c r="AA4" i="12"/>
  <c r="K77" i="4"/>
  <c r="J77" i="4"/>
  <c r="G77" i="4"/>
  <c r="F77" i="4"/>
  <c r="L77" i="4"/>
  <c r="B77" i="4"/>
  <c r="B2" i="27"/>
  <c r="G6" i="27" s="1"/>
  <c r="M77" i="4"/>
  <c r="I77" i="4"/>
  <c r="B2" i="12"/>
  <c r="E6" i="12" s="1"/>
  <c r="H77" i="4"/>
  <c r="D77" i="4"/>
  <c r="C77" i="4"/>
  <c r="E77" i="4"/>
  <c r="AG8" i="12"/>
  <c r="U8" i="12"/>
  <c r="U9" i="12" s="1"/>
  <c r="U10" i="12" s="1"/>
  <c r="AJ8" i="12"/>
  <c r="AJ9" i="12" s="1"/>
  <c r="AJ10" i="12" s="1"/>
  <c r="AB8" i="12"/>
  <c r="Z8" i="12"/>
  <c r="AC8" i="12"/>
  <c r="AC9" i="12" s="1"/>
  <c r="AC10" i="12" s="1"/>
  <c r="V8" i="12"/>
  <c r="V9" i="12" s="1"/>
  <c r="V10" i="12" s="1"/>
  <c r="X8" i="12"/>
  <c r="AH8" i="12"/>
  <c r="AD8" i="12"/>
  <c r="AD9" i="12" s="1"/>
  <c r="AD10" i="12" s="1"/>
  <c r="AI8" i="12"/>
  <c r="AI9" i="12" s="1"/>
  <c r="AI10" i="12" s="1"/>
  <c r="W8" i="12"/>
  <c r="Y8" i="12"/>
  <c r="AE8" i="12"/>
  <c r="AE9" i="12" s="1"/>
  <c r="AE10" i="12" s="1"/>
  <c r="AA8" i="12"/>
  <c r="AA9" i="12" s="1"/>
  <c r="AA10" i="12" s="1"/>
  <c r="AF8" i="12"/>
  <c r="H8" i="27"/>
  <c r="H9" i="27" s="1"/>
  <c r="H10" i="27" s="1"/>
  <c r="J8" i="27"/>
  <c r="J9" i="27" s="1"/>
  <c r="J10" i="27" s="1"/>
  <c r="I8" i="27"/>
  <c r="I9" i="27" s="1"/>
  <c r="I10" i="27" s="1"/>
  <c r="P83" i="4"/>
  <c r="S5" i="12"/>
  <c r="Q83" i="4"/>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Y9" i="12" l="1"/>
  <c r="Y10" i="12" s="1"/>
  <c r="AH9" i="12"/>
  <c r="AH10" i="12" s="1"/>
  <c r="Z9" i="12"/>
  <c r="Z10" i="12" s="1"/>
  <c r="AG9" i="12"/>
  <c r="AG10" i="12" s="1"/>
  <c r="AF9" i="12"/>
  <c r="AF10" i="12" s="1"/>
  <c r="W9" i="12"/>
  <c r="W10" i="12" s="1"/>
  <c r="X9" i="12"/>
  <c r="X10" i="12" s="1"/>
  <c r="AB9" i="12"/>
  <c r="AB10" i="12" s="1"/>
  <c r="R5" i="12"/>
  <c r="Q5" i="12"/>
  <c r="P5" i="12"/>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F12" i="22"/>
  <c r="K12" i="22" s="1"/>
  <c r="M12" i="22" s="1"/>
  <c r="F16" i="22"/>
  <c r="G16" i="22" s="1"/>
  <c r="F22" i="22"/>
  <c r="I22" i="22" s="1"/>
  <c r="J5" i="12"/>
  <c r="F15" i="22"/>
  <c r="K15" i="22" s="1"/>
  <c r="M15" i="22" s="1"/>
  <c r="L5" i="12"/>
  <c r="F21" i="22"/>
  <c r="G21" i="22" s="1"/>
  <c r="F5" i="12"/>
  <c r="F24" i="22"/>
  <c r="K24" i="22" s="1"/>
  <c r="M24" i="22" s="1"/>
  <c r="F10" i="22"/>
  <c r="F11" i="22"/>
  <c r="F13" i="22"/>
  <c r="I13" i="22" s="1"/>
  <c r="F14" i="22"/>
  <c r="K14" i="22" s="1"/>
  <c r="M14" i="22" s="1"/>
  <c r="F18" i="22"/>
  <c r="G18" i="22" s="1"/>
  <c r="F8" i="22"/>
  <c r="G8" i="22" s="1"/>
  <c r="F5" i="27"/>
  <c r="F25" i="22"/>
  <c r="G25" i="22" s="1"/>
  <c r="G5" i="12"/>
  <c r="H5" i="12"/>
  <c r="F17" i="22"/>
  <c r="K17" i="22" s="1"/>
  <c r="M17" i="22" s="1"/>
  <c r="K5" i="12"/>
  <c r="G51" i="22"/>
  <c r="J51" i="22" s="1"/>
  <c r="I51" i="22"/>
  <c r="M51" i="22" s="1"/>
  <c r="K51" i="22"/>
  <c r="N51" i="22" s="1"/>
  <c r="G44" i="22"/>
  <c r="J44" i="22" s="1"/>
  <c r="I44" i="22"/>
  <c r="M44" i="22" s="1"/>
  <c r="K44" i="22"/>
  <c r="N44" i="22" s="1"/>
  <c r="G9" i="22"/>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L3" i="28"/>
  <c r="I14" i="22" l="1"/>
  <c r="I12" i="22"/>
  <c r="G12" i="22"/>
  <c r="G13" i="22"/>
  <c r="G24" i="22"/>
  <c r="K25" i="22"/>
  <c r="M25" i="22" s="1"/>
  <c r="G14" i="22"/>
  <c r="I24" i="22"/>
  <c r="I36" i="22"/>
  <c r="I15" i="22"/>
  <c r="G15" i="22"/>
  <c r="I34" i="22"/>
  <c r="K34" i="22" s="1"/>
  <c r="N34" i="22" s="1"/>
  <c r="I25" i="22"/>
  <c r="I32" i="22"/>
  <c r="K32" i="22" s="1"/>
  <c r="N32" i="22" s="1"/>
  <c r="I7" i="22"/>
  <c r="G3" i="28" s="1"/>
  <c r="I33" i="22"/>
  <c r="I9" i="22"/>
  <c r="K9" i="22" s="1"/>
  <c r="M9" i="22" s="1"/>
  <c r="K26" i="22"/>
  <c r="M26" i="22" s="1"/>
  <c r="I35" i="22"/>
  <c r="I18" i="22"/>
  <c r="K19" i="22"/>
  <c r="M19" i="22" s="1"/>
  <c r="K16" i="22"/>
  <c r="M16" i="22" s="1"/>
  <c r="I19" i="22"/>
  <c r="K18" i="22"/>
  <c r="M18" i="22" s="1"/>
  <c r="G10" i="22"/>
  <c r="I10" i="22" s="1"/>
  <c r="K10" i="22" s="1"/>
  <c r="G22" i="22"/>
  <c r="K21" i="22"/>
  <c r="M21" i="22" s="1"/>
  <c r="G11" i="22"/>
  <c r="I11" i="22" s="1"/>
  <c r="K11" i="22" s="1"/>
  <c r="M11" i="22" s="1"/>
  <c r="I17" i="22"/>
  <c r="I26" i="22"/>
  <c r="G17" i="22"/>
  <c r="K13" i="22"/>
  <c r="M13" i="22" s="1"/>
  <c r="I16" i="22"/>
  <c r="G20" i="22"/>
  <c r="K23" i="22"/>
  <c r="M23" i="22" s="1"/>
  <c r="I21" i="22"/>
  <c r="K22" i="22"/>
  <c r="M22" i="22" s="1"/>
  <c r="I8" i="22"/>
  <c r="K8" i="22" s="1"/>
  <c r="M8" i="22" s="1"/>
  <c r="I23" i="22"/>
  <c r="K20" i="22"/>
  <c r="M20" i="22" s="1"/>
  <c r="H3" i="28"/>
  <c r="N15" i="22"/>
  <c r="N12" i="22"/>
  <c r="N24" i="22"/>
  <c r="N17" i="22"/>
  <c r="N14" i="22"/>
  <c r="L2" i="28"/>
  <c r="K3" i="28"/>
  <c r="K2" i="28"/>
  <c r="G2" i="28"/>
  <c r="G13" i="28"/>
  <c r="G14" i="28"/>
  <c r="G4" i="28"/>
  <c r="G8" i="28"/>
  <c r="G11" i="28"/>
  <c r="G12" i="28"/>
  <c r="G9" i="28"/>
  <c r="G6" i="28"/>
  <c r="G15" i="28"/>
  <c r="G7" i="28"/>
  <c r="G5" i="28"/>
  <c r="G10" i="28"/>
  <c r="H6" i="28"/>
  <c r="H15" i="28"/>
  <c r="H12" i="28"/>
  <c r="H9" i="28"/>
  <c r="H14" i="28"/>
  <c r="H10" i="28"/>
  <c r="H13" i="28"/>
  <c r="H11" i="28"/>
  <c r="H8" i="28"/>
  <c r="H5" i="28"/>
  <c r="H4" i="28"/>
  <c r="H7" i="28"/>
  <c r="H2" i="28"/>
  <c r="N25" i="22" l="1"/>
  <c r="K7" i="22"/>
  <c r="M7" i="22" s="1"/>
  <c r="M32" i="22"/>
  <c r="M34" i="22"/>
  <c r="K36" i="22"/>
  <c r="N36" i="22" s="1"/>
  <c r="N20" i="22"/>
  <c r="N26" i="22"/>
  <c r="M10" i="22"/>
  <c r="N10" i="22"/>
  <c r="K33" i="22"/>
  <c r="N33" i="22" s="1"/>
  <c r="K35" i="22"/>
  <c r="N35" i="22" s="1"/>
  <c r="N18" i="22"/>
  <c r="N13" i="22"/>
  <c r="N19" i="22"/>
  <c r="N16" i="22"/>
  <c r="N8" i="22"/>
  <c r="N21" i="22"/>
  <c r="N11" i="22"/>
  <c r="N9" i="22"/>
  <c r="N23" i="22"/>
  <c r="N22" i="22"/>
  <c r="M36" i="22" l="1"/>
  <c r="M35" i="22"/>
  <c r="N7" i="22"/>
  <c r="M33"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<sst xmlns="http://schemas.openxmlformats.org/spreadsheetml/2006/main" count="488" uniqueCount="175">
  <si>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</si>
  <si>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</si>
  <si>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</si>
  <si>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</si>
  <si>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</si>
  <si>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</si>
  <si>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</si>
  <si>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</si>
  <si>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</si>
  <si>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</si>
  <si>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</si>
  <si>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</si>
  <si>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</si>
  <si>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</si>
  <si>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</si>
  <si>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</si>
  <si>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</si>
  <si>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</si>
  <si>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</si>
  <si>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</si>
  <si>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</si>
  <si>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</si>
  <si>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</si>
  <si>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</si>
  <si>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</si>
  <si>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</si>
  <si>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</si>
  <si>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</si>
  <si>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</si>
  <si>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</si>
  <si>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</si>
  <si>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</si>
  <si>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</si>
  <si>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</si>
  <si>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</si>
  <si>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</si>
  <si>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</si>
  <si>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</si>
  <si>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</si>
  <si>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</si>
  <si>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</si>
  <si>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</si>
  <si>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</si>
  <si>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</si>
  <si>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</si>
  <si>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</si>
  <si>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</si>
  <si>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</si>
  <si>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</si>
  <si>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</si>
  <si>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</si>
  <si>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</si>
  <si>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</si>
  <si>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</si>
  <si>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</si>
  <si>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</si>
  <si>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</si>
  <si>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</si>
  <si>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</si>
  <si>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</si>
  <si>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</si>
  <si>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</si>
  <si>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</si>
  <si>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</si>
  <si>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</si>
  <si>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</si>
  <si>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</si>
  <si>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</si>
  <si>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</si>
  <si>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</si>
  <si>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</si>
  <si>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</si>
  <si>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</si>
  <si>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</si>
  <si>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</si>
  <si>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</si>
  <si>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</si>
  <si>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</si>
  <si>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</si>
  <si>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</si>
  <si>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</si>
  <si>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</si>
  <si>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</si>
  <si>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</si>
  <si>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</si>
  <si>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</si>
  <si>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</si>
  <si>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</si>
  <si>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</si>
  <si>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</si>
  <si>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</si>
  <si>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</si>
  <si>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</si>
  <si>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</si>
  <si>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</si>
  <si>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</si>
  <si>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</si>
  <si>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</si>
  <si>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</si>
  <si>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</si>
  <si>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</si>
  <si>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</si>
  <si>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</si>
  <si>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</si>
  <si>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</si>
  <si>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</si>
  <si>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</si>
  <si>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</si>
  <si>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</si>
  <si>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</si>
  <si>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</si>
  <si>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</si>
  <si>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</si>
  <si>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</si>
  <si>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</si>
  <si>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</si>
  <si>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</si>
  <si>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</si>
  <si>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</si>
  <si>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</si>
  <si>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</si>
  <si>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</si>
  <si>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</si>
  <si>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</si>
  <si>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</si>
  <si>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</si>
  <si>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</si>
  <si>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</si>
  <si>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</si>
  <si>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</si>
  <si>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</si>
  <si>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</si>
  <si>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</si>
  <si>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</si>
  <si>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</si>
  <si>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</si>
  <si>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</si>
  <si>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</si>
  <si>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</si>
  <si>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</si>
  <si>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</si>
  <si>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</si>
  <si>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</si>
  <si>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</si>
  <si>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</si>
  <si>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</si>
  <si>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</si>
  <si>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</si>
  <si>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</si>
  <si>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</si>
  <si>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</si>
  <si>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</si>
  <si>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</si>
  <si>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</si>
  <si>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</si>
  <si>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</si>
  <si>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</si>
  <si>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</si>
  <si>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</si>
  <si>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</si>
  <si>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</si>
  <si>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</si>
  <si>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</si>
  <si>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</si>
  <si>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#VALEUR!</t>
  </si>
  <si>
    <t>n'utilisez pas cette ligne SVP</t>
  </si>
  <si>
    <t>Test</t>
  </si>
  <si>
    <t>mg/L</t>
  </si>
  <si>
    <t>Saccharin</t>
  </si>
  <si>
    <t>ns</t>
  </si>
  <si>
    <t>&gt;0,99</t>
  </si>
  <si>
    <t>**</t>
  </si>
  <si>
    <t>***</t>
  </si>
  <si>
    <t>&lt;0,001</t>
  </si>
  <si>
    <t>Kruskal-Wallis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</si>
</sst>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2">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0.17915551446443795</c:v>
                  </c:pt>
                  <c:pt idx="2">
                    <c:v>0.68483983700518425</c:v>
                  </c:pt>
                  <c:pt idx="3">
                    <c:v>2.0696519462416876E-2</c:v>
                  </c:pt>
                  <c:pt idx="4">
                    <c:v>0.22986899441570857</c:v>
                  </c:pt>
                  <c:pt idx="5">
                    <c:v>0.28770962865492583</c:v>
                  </c:pt>
                  <c:pt idx="6">
                    <c:v>0.13761920643566297</c:v>
                  </c:pt>
                  <c:pt idx="7">
                    <c:v>0.2408169817208376</c:v>
                  </c:pt>
                  <c:pt idx="8">
                    <c:v>0.39719673353987528</c:v>
                  </c:pt>
                </c:numCache>
              </c:numRef>
            </c:plus>
            <c:minus>
              <c:numRef>
                <c:f>'R1'!$N$48:$V$48</c:f>
                <c:numCache>
                  <c:formatCode>General</c:formatCode>
                  <c:ptCount val="9"/>
                  <c:pt idx="0">
                    <c:v>0</c:v>
                  </c:pt>
                  <c:pt idx="1">
                    <c:v>0.17915551446443795</c:v>
                  </c:pt>
                  <c:pt idx="2">
                    <c:v>0.68483983700518425</c:v>
                  </c:pt>
                  <c:pt idx="3">
                    <c:v>2.0696519462416876E-2</c:v>
                  </c:pt>
                  <c:pt idx="4">
                    <c:v>0.22986899441570857</c:v>
                  </c:pt>
                  <c:pt idx="5">
                    <c:v>0.28770962865492583</c:v>
                  </c:pt>
                  <c:pt idx="6">
                    <c:v>0.13761920643566297</c:v>
                  </c:pt>
                  <c:pt idx="7">
                    <c:v>0.2408169817208376</c:v>
                  </c:pt>
                  <c:pt idx="8">
                    <c:v>0.39719673353987528</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Saccharin-0,01mg/L</c:v>
                </c:pt>
                <c:pt idx="8">
                  <c:v>Saccharin-0,1mg/L</c:v>
                </c:pt>
                <c:pt idx="9">
                  <c:v>Saccharin-1mg/L</c:v>
                </c:pt>
                <c:pt idx="10">
                  <c:v>Saccharin-10mg/L</c:v>
                </c:pt>
                <c:pt idx="11">
                  <c:v>Saccharin-100mg/L</c:v>
                </c:pt>
                <c:pt idx="13">
                  <c:v>Testo -30µg/L</c:v>
                </c:pt>
                <c:pt idx="14">
                  <c:v>Testo 30µg/L + EE2 -64ng/L</c:v>
                </c:pt>
                <c:pt idx="15">
                  <c:v>Testo 30µg/L + FAD-10µg/L</c:v>
                </c:pt>
                <c:pt idx="16">
                  <c:v>Saccharin-0,01mg/L + Testostérone</c:v>
                </c:pt>
                <c:pt idx="17">
                  <c:v>Saccharin-0,1mg/L + Testostérone</c:v>
                </c:pt>
                <c:pt idx="18">
                  <c:v>Saccharin-1mg/L + Testostérone</c:v>
                </c:pt>
                <c:pt idx="19">
                  <c:v>Saccharin-10mg/L + Testostérone</c:v>
                </c:pt>
                <c:pt idx="20">
                  <c:v>Saccharin-100mg/L + Testostérone</c:v>
                </c:pt>
              </c:strCache>
            </c:strRef>
          </c:cat>
          <c:val>
            <c:numRef>
              <c:f>'R1'!$B$53:$V$53</c:f>
              <c:numCache>
                <c:formatCode>0.0000</c:formatCode>
                <c:ptCount val="21"/>
                <c:pt idx="0">
                  <c:v>4.2041765340733617E-2</c:v>
                </c:pt>
                <c:pt idx="1">
                  <c:v>4.121746208226907E-2</c:v>
                </c:pt>
                <c:pt idx="2">
                  <c:v>0.46983572311573629</c:v>
                </c:pt>
                <c:pt idx="3">
                  <c:v>0.62844255273044614</c:v>
                </c:pt>
                <c:pt idx="4">
                  <c:v>2.4491332411275675</c:v>
                </c:pt>
                <c:pt idx="5">
                  <c:v>3.5938438002147288</c:v>
                </c:pt>
                <c:pt idx="6">
                  <c:v>6.1966719913730293</c:v>
                </c:pt>
                <c:pt idx="7">
                  <c:v>5.5744643747715074E-2</c:v>
                </c:pt>
                <c:pt idx="8">
                  <c:v>6.3898228097247503E-2</c:v>
                </c:pt>
                <c:pt idx="9">
                  <c:v>6.1481811944030497E-2</c:v>
                </c:pt>
                <c:pt idx="10">
                  <c:v>8.5202892683664253E-2</c:v>
                </c:pt>
                <c:pt idx="11">
                  <c:v>8.5172675164825587E-2</c:v>
                </c:pt>
                <c:pt idx="13">
                  <c:v>0.99999999999999989</c:v>
                </c:pt>
                <c:pt idx="14">
                  <c:v>2.8980724003868543</c:v>
                </c:pt>
                <c:pt idx="15">
                  <c:v>5.6447146318831784E-2</c:v>
                </c:pt>
                <c:pt idx="16">
                  <c:v>0.88168523190150161</c:v>
                </c:pt>
                <c:pt idx="17">
                  <c:v>0.95082242232740066</c:v>
                </c:pt>
                <c:pt idx="18">
                  <c:v>0.90196200817046668</c:v>
                </c:pt>
                <c:pt idx="19">
                  <c:v>0.48803707041417627</c:v>
                </c:pt>
                <c:pt idx="20">
                  <c:v>1.2059073847937387</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1.8908303579917643E-2</c:v>
                  </c:pt>
                  <c:pt idx="1">
                    <c:v>8.7110685696399501E-2</c:v>
                  </c:pt>
                  <c:pt idx="2">
                    <c:v>0.11639219145914462</c:v>
                  </c:pt>
                  <c:pt idx="3">
                    <c:v>0.24016927450529746</c:v>
                  </c:pt>
                  <c:pt idx="4">
                    <c:v>0.37866148263703309</c:v>
                  </c:pt>
                  <c:pt idx="5">
                    <c:v>0.29031506165516552</c:v>
                  </c:pt>
                  <c:pt idx="6">
                    <c:v>0.85083614944891617</c:v>
                  </c:pt>
                  <c:pt idx="7">
                    <c:v>1.9047205564215554E-2</c:v>
                  </c:pt>
                  <c:pt idx="8">
                    <c:v>2.0466456788833302E-2</c:v>
                  </c:pt>
                  <c:pt idx="9">
                    <c:v>1.1192921403232099E-2</c:v>
                  </c:pt>
                  <c:pt idx="10">
                    <c:v>1.0588341633095785E-2</c:v>
                  </c:pt>
                  <c:pt idx="11">
                    <c:v>3.5313914072824804E-2</c:v>
                  </c:pt>
                  <c:pt idx="13">
                    <c:v>0.17697178012820805</c:v>
                  </c:pt>
                  <c:pt idx="14">
                    <c:v>0.35922809516884369</c:v>
                  </c:pt>
                  <c:pt idx="15">
                    <c:v>2.0969752684255338E-2</c:v>
                  </c:pt>
                  <c:pt idx="16">
                    <c:v>0.14895806303489492</c:v>
                  </c:pt>
                  <c:pt idx="17">
                    <c:v>0.23616472063452104</c:v>
                  </c:pt>
                  <c:pt idx="18">
                    <c:v>0.17218167043017149</c:v>
                  </c:pt>
                  <c:pt idx="19">
                    <c:v>0.35571616004770601</c:v>
                  </c:pt>
                  <c:pt idx="20">
                    <c:v>0.35823584796194008</c:v>
                  </c:pt>
                </c:numCache>
              </c:numRef>
            </c:plus>
            <c:minus>
              <c:numRef>
                <c:f>'R1'!$N$48:$V$48</c:f>
                <c:numCache>
                  <c:formatCode>General</c:formatCode>
                  <c:ptCount val="9"/>
                  <c:pt idx="0">
                    <c:v>0</c:v>
                  </c:pt>
                  <c:pt idx="1">
                    <c:v>0.17915551446443795</c:v>
                  </c:pt>
                  <c:pt idx="2">
                    <c:v>0.68483983700518425</c:v>
                  </c:pt>
                  <c:pt idx="3">
                    <c:v>2.0696519462416876E-2</c:v>
                  </c:pt>
                  <c:pt idx="4">
                    <c:v>0.22986899441570857</c:v>
                  </c:pt>
                  <c:pt idx="5">
                    <c:v>0.28770962865492583</c:v>
                  </c:pt>
                  <c:pt idx="6">
                    <c:v>0.13761920643566297</c:v>
                  </c:pt>
                  <c:pt idx="7">
                    <c:v>0.2408169817208376</c:v>
                  </c:pt>
                  <c:pt idx="8">
                    <c:v>0.39719673353987528</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Saccharin-0,01mg/L</c:v>
                </c:pt>
                <c:pt idx="8">
                  <c:v>Saccharin-0,1mg/L</c:v>
                </c:pt>
                <c:pt idx="9">
                  <c:v>Saccharin-1mg/L</c:v>
                </c:pt>
                <c:pt idx="10">
                  <c:v>Saccharin-10mg/L</c:v>
                </c:pt>
                <c:pt idx="11">
                  <c:v>Saccharin-100mg/L</c:v>
                </c:pt>
                <c:pt idx="13">
                  <c:v>Testo -30µg/L</c:v>
                </c:pt>
                <c:pt idx="14">
                  <c:v>Testo 30µg/L + EE2 -64ng/L</c:v>
                </c:pt>
                <c:pt idx="15">
                  <c:v>Testo 30µg/L + FAD-10µg/L</c:v>
                </c:pt>
                <c:pt idx="16">
                  <c:v>Saccharin-0,01mg/L + Testostérone</c:v>
                </c:pt>
                <c:pt idx="17">
                  <c:v>Saccharin-0,1mg/L + Testostérone</c:v>
                </c:pt>
                <c:pt idx="18">
                  <c:v>Saccharin-1mg/L + Testostérone</c:v>
                </c:pt>
                <c:pt idx="19">
                  <c:v>Saccharin-10mg/L + Testostérone</c:v>
                </c:pt>
                <c:pt idx="20">
                  <c:v>Saccharin-100mg/L + Testostérone</c:v>
                </c:pt>
              </c:strCache>
            </c:strRef>
          </c:cat>
          <c:val>
            <c:numRef>
              <c:f>'R2'!$B$53:$V$53</c:f>
              <c:numCache>
                <c:formatCode>0.0000</c:formatCode>
                <c:ptCount val="21"/>
                <c:pt idx="0">
                  <c:v>8.3724945167275147E-2</c:v>
                </c:pt>
                <c:pt idx="1">
                  <c:v>0.1862186980167653</c:v>
                </c:pt>
                <c:pt idx="2">
                  <c:v>0.48522936602626565</c:v>
                </c:pt>
                <c:pt idx="3">
                  <c:v>1.1508738680835533</c:v>
                </c:pt>
                <c:pt idx="4">
                  <c:v>2.8655458706921526</c:v>
                </c:pt>
                <c:pt idx="5">
                  <c:v>3.5388966925913983</c:v>
                </c:pt>
                <c:pt idx="6">
                  <c:v>6.9671942267994176</c:v>
                </c:pt>
                <c:pt idx="7">
                  <c:v>7.2336866753494322E-2</c:v>
                </c:pt>
                <c:pt idx="8">
                  <c:v>5.0797299651914554E-2</c:v>
                </c:pt>
                <c:pt idx="9">
                  <c:v>4.1984299086676231E-2</c:v>
                </c:pt>
                <c:pt idx="10">
                  <c:v>3.4195321778513275E-2</c:v>
                </c:pt>
                <c:pt idx="11">
                  <c:v>7.11339252823327E-2</c:v>
                </c:pt>
                <c:pt idx="13">
                  <c:v>0.99999999999999978</c:v>
                </c:pt>
                <c:pt idx="14">
                  <c:v>3.2072529485482337</c:v>
                </c:pt>
                <c:pt idx="15">
                  <c:v>8.4943733760392978E-2</c:v>
                </c:pt>
                <c:pt idx="16">
                  <c:v>0.37446724874276882</c:v>
                </c:pt>
                <c:pt idx="17">
                  <c:v>0.63932408732021118</c:v>
                </c:pt>
                <c:pt idx="18">
                  <c:v>0.74113184210101957</c:v>
                </c:pt>
                <c:pt idx="19">
                  <c:v>1.0940064475703235</c:v>
                </c:pt>
                <c:pt idx="20">
                  <c:v>1.0202322047833949</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2.7726422141117289E-2</c:v>
                  </c:pt>
                  <c:pt idx="1">
                    <c:v>6.0278033120595362E-2</c:v>
                  </c:pt>
                  <c:pt idx="2">
                    <c:v>0.60110063436973749</c:v>
                  </c:pt>
                  <c:pt idx="3">
                    <c:v>0.22707930046667515</c:v>
                  </c:pt>
                  <c:pt idx="4">
                    <c:v>0.75531407892108748</c:v>
                  </c:pt>
                  <c:pt idx="5">
                    <c:v>0.76775494046701642</c:v>
                  </c:pt>
                  <c:pt idx="6">
                    <c:v>0.77852876535977122</c:v>
                  </c:pt>
                  <c:pt idx="7">
                    <c:v>7.3123684530786395E-2</c:v>
                  </c:pt>
                  <c:pt idx="8">
                    <c:v>2.576209906988498E-2</c:v>
                  </c:pt>
                  <c:pt idx="9">
                    <c:v>5.1088254070826546E-2</c:v>
                  </c:pt>
                  <c:pt idx="10">
                    <c:v>3.2052534745832424E-2</c:v>
                  </c:pt>
                  <c:pt idx="11">
                    <c:v>4.643113923038461E-2</c:v>
                  </c:pt>
                  <c:pt idx="13">
                    <c:v>0.23291301026263403</c:v>
                  </c:pt>
                  <c:pt idx="14">
                    <c:v>0.74514435310962945</c:v>
                  </c:pt>
                  <c:pt idx="15">
                    <c:v>9.7903776734422993E-2</c:v>
                  </c:pt>
                  <c:pt idx="16">
                    <c:v>0.2381168087649157</c:v>
                  </c:pt>
                  <c:pt idx="17">
                    <c:v>0.33158426930647222</c:v>
                  </c:pt>
                  <c:pt idx="18">
                    <c:v>0.72642683128811592</c:v>
                  </c:pt>
                  <c:pt idx="19">
                    <c:v>0.74516200204672767</c:v>
                  </c:pt>
                  <c:pt idx="20">
                    <c:v>0.55356145813302282</c:v>
                  </c:pt>
                </c:numCache>
              </c:numRef>
            </c:plus>
            <c:minus>
              <c:numRef>
                <c:f>'R1'!$N$48:$V$48</c:f>
                <c:numCache>
                  <c:formatCode>General</c:formatCode>
                  <c:ptCount val="9"/>
                  <c:pt idx="0">
                    <c:v>0</c:v>
                  </c:pt>
                  <c:pt idx="1">
                    <c:v>0.17915551446443795</c:v>
                  </c:pt>
                  <c:pt idx="2">
                    <c:v>0.68483983700518425</c:v>
                  </c:pt>
                  <c:pt idx="3">
                    <c:v>2.0696519462416876E-2</c:v>
                  </c:pt>
                  <c:pt idx="4">
                    <c:v>0.22986899441570857</c:v>
                  </c:pt>
                  <c:pt idx="5">
                    <c:v>0.28770962865492583</c:v>
                  </c:pt>
                  <c:pt idx="6">
                    <c:v>0.13761920643566297</c:v>
                  </c:pt>
                  <c:pt idx="7">
                    <c:v>0.2408169817208376</c:v>
                  </c:pt>
                  <c:pt idx="8">
                    <c:v>0.39719673353987528</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Saccharin-0,01mg/L</c:v>
                </c:pt>
                <c:pt idx="8">
                  <c:v>Saccharin-0,1mg/L</c:v>
                </c:pt>
                <c:pt idx="9">
                  <c:v>Saccharin-1mg/L</c:v>
                </c:pt>
                <c:pt idx="10">
                  <c:v>Saccharin-10mg/L</c:v>
                </c:pt>
                <c:pt idx="11">
                  <c:v>Saccharin-100mg/L</c:v>
                </c:pt>
                <c:pt idx="13">
                  <c:v>Testo -30µg/L</c:v>
                </c:pt>
                <c:pt idx="14">
                  <c:v>Testo 30µg/L + EE2 -64ng/L</c:v>
                </c:pt>
                <c:pt idx="15">
                  <c:v>Testo 30µg/L + FAD-10µg/L</c:v>
                </c:pt>
                <c:pt idx="16">
                  <c:v>Saccharin-0,01mg/L + Testostérone</c:v>
                </c:pt>
                <c:pt idx="17">
                  <c:v>Saccharin-0,1mg/L + Testostérone</c:v>
                </c:pt>
                <c:pt idx="18">
                  <c:v>Saccharin-1mg/L + Testostérone</c:v>
                </c:pt>
                <c:pt idx="19">
                  <c:v>Saccharin-10mg/L + Testostérone</c:v>
                </c:pt>
                <c:pt idx="20">
                  <c:v>Saccharin-100mg/L + Testostérone</c:v>
                </c:pt>
              </c:strCache>
            </c:strRef>
          </c:cat>
          <c:val>
            <c:numRef>
              <c:f>'R3'!$B$53:$V$53</c:f>
              <c:numCache>
                <c:formatCode>0.0000</c:formatCode>
                <c:ptCount val="21"/>
                <c:pt idx="0">
                  <c:v>0.26625910068598652</c:v>
                </c:pt>
                <c:pt idx="1">
                  <c:v>0.15274554240507565</c:v>
                </c:pt>
                <c:pt idx="2">
                  <c:v>1.5680562279804406</c:v>
                </c:pt>
                <c:pt idx="3">
                  <c:v>1.4566589621076991</c:v>
                </c:pt>
                <c:pt idx="4">
                  <c:v>3.9869108975937588</c:v>
                </c:pt>
                <c:pt idx="5">
                  <c:v>5.9681006512620716</c:v>
                </c:pt>
                <c:pt idx="6">
                  <c:v>7.8082271278971422</c:v>
                </c:pt>
                <c:pt idx="7">
                  <c:v>0.29645286282705291</c:v>
                </c:pt>
                <c:pt idx="8">
                  <c:v>0.11803172133630659</c:v>
                </c:pt>
                <c:pt idx="9">
                  <c:v>0.14725026386836296</c:v>
                </c:pt>
                <c:pt idx="10">
                  <c:v>0.15982912003984925</c:v>
                </c:pt>
                <c:pt idx="11">
                  <c:v>0.17967022199267751</c:v>
                </c:pt>
                <c:pt idx="13">
                  <c:v>1</c:v>
                </c:pt>
                <c:pt idx="14">
                  <c:v>5.6708129061407506</c:v>
                </c:pt>
                <c:pt idx="15">
                  <c:v>0.34645270317464816</c:v>
                </c:pt>
                <c:pt idx="16">
                  <c:v>0.97979099903689681</c:v>
                </c:pt>
                <c:pt idx="17">
                  <c:v>1.5199271146859059</c:v>
                </c:pt>
                <c:pt idx="18">
                  <c:v>2.1954223265107209</c:v>
                </c:pt>
                <c:pt idx="19">
                  <c:v>1.7523435975194808</c:v>
                </c:pt>
                <c:pt idx="20">
                  <c:v>1.6291896283411758</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67E221FD-8351-4A44-80F7-43F1151E6C8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12A580CF-6996-4F03-BABC-8ECD292EA51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33C-4530-84A9-991A3866ABD4}"/>
                </c:ext>
              </c:extLst>
            </c:dLbl>
            <c:dLbl>
              <c:idx val="2"/>
              <c:tx>
                <c:rich>
                  <a:bodyPr/>
                  <a:lstStyle/>
                  <a:p>
                    <a:fld id="{892001D0-4C66-4306-ADDC-EC17EF1A30F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583287F6-DD7D-4ED2-9DEF-18F72F95955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FDCFAEB3-2CFF-40D5-B994-BCB91493669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0A358318-9D91-47A0-A52A-1E0297F76A7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F2F5A43A-BEDB-42E0-8751-B75C51E9DC9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0AD647F1-EA01-4B05-A82D-0A954160B64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49E4EDBD-4091-4DB5-B3EA-A2FD0FDBAC2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6940E6ED-59B5-4D29-B8B4-9D414EFD9B4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C64F0B4E-275B-4989-8C68-963ACF60275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F1923C31-D03D-49DC-8844-C08371EB756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F51A8519-69A1-4FCB-8CE1-EE2FE8A46C7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79FF3132-EF68-4364-B026-D025342D12D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64AB7F0F-E029-45EE-8E09-69D408396CB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9EB5740A-24EA-4052-BE41-5508B01DE06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F3B6D6BD-3074-4000-90B5-C8BE971A65C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FDFDA67C-29A6-4B1D-BCFA-89B57FD174D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4E2DB907-84D4-4D72-8C38-C26F25D2FC5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69DC8305-D0B0-4700-943E-7493362CFCF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2.3221462061790637E-2</c:v>
                  </c:pt>
                  <c:pt idx="1">
                    <c:v>3.6502498985669977E-2</c:v>
                  </c:pt>
                  <c:pt idx="2">
                    <c:v>0.23349190472805287</c:v>
                  </c:pt>
                  <c:pt idx="3">
                    <c:v>0.13396286594256923</c:v>
                  </c:pt>
                  <c:pt idx="4">
                    <c:v>0.32102353669988976</c:v>
                  </c:pt>
                  <c:pt idx="5">
                    <c:v>0.38028614340544958</c:v>
                  </c:pt>
                  <c:pt idx="6">
                    <c:v>0.40896558082658957</c:v>
                  </c:pt>
                  <c:pt idx="7">
                    <c:v>3.3631155847157097E-2</c:v>
                  </c:pt>
                  <c:pt idx="8">
                    <c:v>1.3453172576540167E-2</c:v>
                  </c:pt>
                  <c:pt idx="9">
                    <c:v>1.9011352627021604E-2</c:v>
                  </c:pt>
                  <c:pt idx="10">
                    <c:v>1.6222293629566939E-2</c:v>
                  </c:pt>
                  <c:pt idx="11">
                    <c:v>2.4485878785900052E-2</c:v>
                  </c:pt>
                  <c:pt idx="13">
                    <c:v>0.11279696573613029</c:v>
                  </c:pt>
                  <c:pt idx="14">
                    <c:v>0.42886160620072145</c:v>
                  </c:pt>
                  <c:pt idx="15">
                    <c:v>4.2438928238614428E-2</c:v>
                  </c:pt>
                  <c:pt idx="16">
                    <c:v>0.1281529320296135</c:v>
                  </c:pt>
                  <c:pt idx="17">
                    <c:v>0.17603862190996819</c:v>
                  </c:pt>
                  <c:pt idx="18">
                    <c:v>0.26831161250618607</c:v>
                  </c:pt>
                  <c:pt idx="19">
                    <c:v>0.29434882842010673</c:v>
                  </c:pt>
                  <c:pt idx="20">
                    <c:v>0.25086873067502363</c:v>
                  </c:pt>
                </c:numCache>
              </c:numRef>
            </c:plus>
            <c:minus>
              <c:numRef>
                <c:f>'pooled normalised values'!$B$76:$V$76</c:f>
                <c:numCache>
                  <c:formatCode>General</c:formatCode>
                  <c:ptCount val="21"/>
                  <c:pt idx="0">
                    <c:v>2.3221462061790637E-2</c:v>
                  </c:pt>
                  <c:pt idx="1">
                    <c:v>3.6502498985669977E-2</c:v>
                  </c:pt>
                  <c:pt idx="2">
                    <c:v>0.23349190472805287</c:v>
                  </c:pt>
                  <c:pt idx="3">
                    <c:v>0.13396286594256923</c:v>
                  </c:pt>
                  <c:pt idx="4">
                    <c:v>0.32102353669988976</c:v>
                  </c:pt>
                  <c:pt idx="5">
                    <c:v>0.38028614340544958</c:v>
                  </c:pt>
                  <c:pt idx="6">
                    <c:v>0.40896558082658957</c:v>
                  </c:pt>
                  <c:pt idx="7">
                    <c:v>3.3631155847157097E-2</c:v>
                  </c:pt>
                  <c:pt idx="8">
                    <c:v>1.3453172576540167E-2</c:v>
                  </c:pt>
                  <c:pt idx="9">
                    <c:v>1.9011352627021604E-2</c:v>
                  </c:pt>
                  <c:pt idx="10">
                    <c:v>1.6222293629566939E-2</c:v>
                  </c:pt>
                  <c:pt idx="11">
                    <c:v>2.4485878785900052E-2</c:v>
                  </c:pt>
                  <c:pt idx="13">
                    <c:v>0.11279696573613029</c:v>
                  </c:pt>
                  <c:pt idx="14">
                    <c:v>0.42886160620072145</c:v>
                  </c:pt>
                  <c:pt idx="15">
                    <c:v>4.2438928238614428E-2</c:v>
                  </c:pt>
                  <c:pt idx="16">
                    <c:v>0.1281529320296135</c:v>
                  </c:pt>
                  <c:pt idx="17">
                    <c:v>0.17603862190996819</c:v>
                  </c:pt>
                  <c:pt idx="18">
                    <c:v>0.26831161250618607</c:v>
                  </c:pt>
                  <c:pt idx="19">
                    <c:v>0.29434882842010673</c:v>
                  </c:pt>
                  <c:pt idx="20">
                    <c:v>0.25086873067502363</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Saccharin-0,01mg/L</c:v>
                </c:pt>
                <c:pt idx="8">
                  <c:v>Saccharin-0,1mg/L</c:v>
                </c:pt>
                <c:pt idx="9">
                  <c:v>Saccharin-1mg/L</c:v>
                </c:pt>
                <c:pt idx="10">
                  <c:v>Saccharin-10mg/L</c:v>
                </c:pt>
                <c:pt idx="11">
                  <c:v>Saccharin-100mg/L</c:v>
                </c:pt>
                <c:pt idx="13">
                  <c:v>Testo -30µg/L</c:v>
                </c:pt>
                <c:pt idx="14">
                  <c:v>Testo 30µg/L + EE2 -64ng/L</c:v>
                </c:pt>
                <c:pt idx="15">
                  <c:v>Testo 30µg/L + FAD-10µg/L</c:v>
                </c:pt>
                <c:pt idx="16">
                  <c:v>Saccharin-0,01mg/L + Testostérone</c:v>
                </c:pt>
                <c:pt idx="17">
                  <c:v>Saccharin-0,1mg/L + Testostérone</c:v>
                </c:pt>
                <c:pt idx="18">
                  <c:v>Saccharin-1mg/L + Testostérone</c:v>
                </c:pt>
                <c:pt idx="19">
                  <c:v>Saccharin-10mg/L + Testostérone</c:v>
                </c:pt>
                <c:pt idx="20">
                  <c:v>Saccharin-100mg/L + Testostérone</c:v>
                </c:pt>
              </c:strCache>
            </c:strRef>
          </c:cat>
          <c:val>
            <c:numRef>
              <c:f>'pooled normalised values'!$B$75:$V$75</c:f>
              <c:numCache>
                <c:formatCode>0.0000</c:formatCode>
                <c:ptCount val="21"/>
                <c:pt idx="0">
                  <c:v>0.13067527039799842</c:v>
                </c:pt>
                <c:pt idx="1">
                  <c:v>0.12672723416803669</c:v>
                </c:pt>
                <c:pt idx="2">
                  <c:v>0.84104043904081438</c:v>
                </c:pt>
                <c:pt idx="3">
                  <c:v>1.0786584609738992</c:v>
                </c:pt>
                <c:pt idx="4">
                  <c:v>3.1005300031378256</c:v>
                </c:pt>
                <c:pt idx="5">
                  <c:v>4.366947048022733</c:v>
                </c:pt>
                <c:pt idx="6">
                  <c:v>6.9906977820231972</c:v>
                </c:pt>
                <c:pt idx="7">
                  <c:v>0.14151145777608742</c:v>
                </c:pt>
                <c:pt idx="8">
                  <c:v>7.7575749695156224E-2</c:v>
                </c:pt>
                <c:pt idx="9">
                  <c:v>8.0803510231486714E-2</c:v>
                </c:pt>
                <c:pt idx="10">
                  <c:v>9.3075778167342249E-2</c:v>
                </c:pt>
                <c:pt idx="11">
                  <c:v>0.11376872409723279</c:v>
                </c:pt>
                <c:pt idx="13">
                  <c:v>1</c:v>
                </c:pt>
                <c:pt idx="14">
                  <c:v>3.9253794183586117</c:v>
                </c:pt>
                <c:pt idx="15">
                  <c:v>0.16261452775129098</c:v>
                </c:pt>
                <c:pt idx="16">
                  <c:v>0.74531449322705579</c:v>
                </c:pt>
                <c:pt idx="17">
                  <c:v>1.0366912081111728</c:v>
                </c:pt>
                <c:pt idx="18">
                  <c:v>1.257970450254347</c:v>
                </c:pt>
                <c:pt idx="19">
                  <c:v>1.1114623718346601</c:v>
                </c:pt>
                <c:pt idx="20">
                  <c:v>1.2851097393061031</c:v>
                </c:pt>
              </c:numCache>
            </c:numRef>
          </c:val>
          <c:extLst>
            <c:ext xmlns:c15="http://schemas.microsoft.com/office/drawing/2012/chart" uri="{02D57815-91ED-43cb-92C2-25804820EDAC}">
              <c15:datalabelsRange>
                <c15:f>'pooled normalised values'!$B$83:$V$83</c15:f>
                <c15:dlblRangeCache>
                  <c:ptCount val="21"/>
                  <c:pt idx="1">
                    <c:v>ns</c:v>
                  </c:pt>
                  <c:pt idx="2">
                    <c:v>ns</c:v>
                  </c:pt>
                  <c:pt idx="3">
                    <c:v>**</c:v>
                  </c:pt>
                  <c:pt idx="4">
                    <c:v>***</c:v>
                  </c:pt>
                  <c:pt idx="5">
                    <c:v>***</c:v>
                  </c:pt>
                  <c:pt idx="6">
                    <c:v>***</c:v>
                  </c:pt>
                  <c:pt idx="7">
                    <c:v>ns</c:v>
                  </c:pt>
                  <c:pt idx="8">
                    <c:v>ns</c:v>
                  </c:pt>
                  <c:pt idx="9">
                    <c:v>ns</c:v>
                  </c:pt>
                  <c:pt idx="10">
                    <c:v>ns</c:v>
                  </c:pt>
                  <c:pt idx="11">
                    <c:v>ns</c:v>
                  </c:pt>
                  <c:pt idx="13">
                    <c:v>***</c:v>
                  </c:pt>
                  <c:pt idx="14">
                    <c:v>***</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Saccharin-0,01mg/L : 0%</c:v>
                  </c:pt>
                  <c:pt idx="1">
                    <c:v>Saccharin-0,1mg/L : 0%</c:v>
                  </c:pt>
                  <c:pt idx="2">
                    <c:v>Saccharin-1mg/L : 0%</c:v>
                  </c:pt>
                  <c:pt idx="3">
                    <c:v>Saccharin-10mg/L : 0%</c:v>
                  </c:pt>
                  <c:pt idx="4">
                    <c:v>Saccharin-100mg/L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Saccharin-0,01mg/L : 0%</c:v>
                  </c:pt>
                  <c:pt idx="1">
                    <c:v>Saccharin-0,1mg/L : 0%</c:v>
                  </c:pt>
                  <c:pt idx="2">
                    <c:v>Saccharin-1mg/L : 0%</c:v>
                  </c:pt>
                  <c:pt idx="3">
                    <c:v>Saccharin-10mg/L : 0%</c:v>
                  </c:pt>
                  <c:pt idx="4">
                    <c:v>Saccharin-100mg/L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Saccharin-0,01mg/L : 0%</c:v>
                  </c:pt>
                  <c:pt idx="1">
                    <c:v>Saccharin-0,1mg/L : 0%</c:v>
                  </c:pt>
                  <c:pt idx="2">
                    <c:v>Saccharin-1mg/L : 0%</c:v>
                  </c:pt>
                  <c:pt idx="3">
                    <c:v>Saccharin-10mg/L : 0%</c:v>
                  </c:pt>
                  <c:pt idx="4">
                    <c:v>Saccharin-100mg/L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Saccharin-0,01mg/L : 0%</c:v>
                  </c:pt>
                  <c:pt idx="1">
                    <c:v>Saccharin-0,1mg/L : 0%</c:v>
                  </c:pt>
                  <c:pt idx="2">
                    <c:v>Saccharin-1mg/L : 0%</c:v>
                  </c:pt>
                  <c:pt idx="3">
                    <c:v>Saccharin-10mg/L : 0%</c:v>
                  </c:pt>
                  <c:pt idx="4">
                    <c:v>Saccharin-100mg/L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Saccharin-0,1mg/L</c:v>
                </c:pt>
                <c:pt idx="2">
                  <c:v>Saccharin-1mg/L</c:v>
                </c:pt>
                <c:pt idx="3">
                  <c:v>Saccharin-10mg/L</c:v>
                </c:pt>
                <c:pt idx="4">
                  <c:v>Saccharin-100mg/L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Saccharin-0,1mg/L</c:v>
                </c:pt>
                <c:pt idx="2">
                  <c:v>Saccharin-1mg/L</c:v>
                </c:pt>
                <c:pt idx="3">
                  <c:v>Saccharin-10mg/L</c:v>
                </c:pt>
                <c:pt idx="4">
                  <c:v>Saccharin-100mg/L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Saccharin-0,1mg/L</c:v>
                </c:pt>
                <c:pt idx="2">
                  <c:v>Saccharin-1mg/L</c:v>
                </c:pt>
                <c:pt idx="3">
                  <c:v>Saccharin-10mg/L</c:v>
                </c:pt>
                <c:pt idx="4">
                  <c:v>Saccharin-100mg/L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721A564D-3F05-4FE9-B57A-6102B9236CC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D6CBB56F-63BC-4DFF-B6A8-54AD3F63F41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37F5B3B0-32D0-41BF-8343-51226B15CCB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DAFD7A08-F923-42CA-B7DD-A89D83B4624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49EA51FF-39D5-4660-85BE-7DBFA289F21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00F9DC3F-B0F5-4EE1-8065-36747EF5707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F21C6941-9D75-4BC1-8806-11D9470D90F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BA6321D3-E976-4780-93F4-760B885718F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05AF50AB-68F5-411C-B37C-157A0F325F6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F6AF0864-69E9-4739-B1E0-FD0594B2F0F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93D96C57-3079-4F9B-9BB1-5DCCB80AF78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EBD6A66C-FB45-4C5B-BE12-2A75983A57E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EB258483-B130-45A0-9DA1-7422F1DF481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E71A0B9D-BCF9-457B-AE05-291715D9A2B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1.3453172576540167E-2</c:v>
                  </c:pt>
                  <c:pt idx="2">
                    <c:v>1.9011352627021604E-2</c:v>
                  </c:pt>
                  <c:pt idx="3">
                    <c:v>1.6222293629566939E-2</c:v>
                  </c:pt>
                  <c:pt idx="4">
                    <c:v>2.4485878785900052E-2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1.3453172576540167E-2</c:v>
                  </c:pt>
                  <c:pt idx="2">
                    <c:v>1.9011352627021604E-2</c:v>
                  </c:pt>
                  <c:pt idx="3">
                    <c:v>1.6222293629566939E-2</c:v>
                  </c:pt>
                  <c:pt idx="4">
                    <c:v>2.4485878785900052E-2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Saccharin-0,1mg/L</c:v>
                </c:pt>
                <c:pt idx="2">
                  <c:v>Saccharin-1mg/L</c:v>
                </c:pt>
                <c:pt idx="3">
                  <c:v>Saccharin-10mg/L</c:v>
                </c:pt>
                <c:pt idx="4">
                  <c:v>Saccharin-100mg/L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7.7575749695156224E-2</c:v>
                </c:pt>
                <c:pt idx="2">
                  <c:v>8.0803510231486714E-2</c:v>
                </c:pt>
                <c:pt idx="3">
                  <c:v>9.3075778167342249E-2</c:v>
                </c:pt>
                <c:pt idx="4">
                  <c:v>0.11376872409723279</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0.13067527039799842</c:v>
                </c:pt>
                <c:pt idx="1">
                  <c:v>0.13067527039799842</c:v>
                </c:pt>
                <c:pt idx="2">
                  <c:v>0.13067527039799842</c:v>
                </c:pt>
                <c:pt idx="3">
                  <c:v>0.13067527039799842</c:v>
                </c:pt>
                <c:pt idx="4">
                  <c:v>0.13067527039799842</c:v>
                </c:pt>
                <c:pt idx="5">
                  <c:v>0.13067527039799842</c:v>
                </c:pt>
                <c:pt idx="6">
                  <c:v>0.13067527039799842</c:v>
                </c:pt>
                <c:pt idx="7">
                  <c:v>0.13067527039799842</c:v>
                </c:pt>
                <c:pt idx="8">
                  <c:v>0.13067527039799842</c:v>
                </c:pt>
                <c:pt idx="9">
                  <c:v>0.13067527039799842</c:v>
                </c:pt>
                <c:pt idx="10">
                  <c:v>0.13067527039799842</c:v>
                </c:pt>
                <c:pt idx="11">
                  <c:v>0.13067527039799842</c:v>
                </c:pt>
                <c:pt idx="12">
                  <c:v>0.13067527039799842</c:v>
                </c:pt>
                <c:pt idx="13">
                  <c:v>0.13067527039799842</c:v>
                </c:pt>
                <c:pt idx="14">
                  <c:v>0.13067527039799842</c:v>
                </c:pt>
                <c:pt idx="15">
                  <c:v>0.13067527039799842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0.16261452775129098</c:v>
                </c:pt>
                <c:pt idx="1">
                  <c:v>0.16261452775129098</c:v>
                </c:pt>
                <c:pt idx="2">
                  <c:v>0.16261452775129098</c:v>
                </c:pt>
                <c:pt idx="3">
                  <c:v>0.16261452775129098</c:v>
                </c:pt>
                <c:pt idx="4">
                  <c:v>0.16261452775129098</c:v>
                </c:pt>
                <c:pt idx="5">
                  <c:v>0.16261452775129098</c:v>
                </c:pt>
                <c:pt idx="6">
                  <c:v>0.16261452775129098</c:v>
                </c:pt>
                <c:pt idx="7">
                  <c:v>0.16261452775129098</c:v>
                </c:pt>
                <c:pt idx="8">
                  <c:v>0.16261452775129098</c:v>
                </c:pt>
                <c:pt idx="9">
                  <c:v>0.16261452775129098</c:v>
                </c:pt>
                <c:pt idx="10">
                  <c:v>0.16261452775129098</c:v>
                </c:pt>
                <c:pt idx="11">
                  <c:v>0.16261452775129098</c:v>
                </c:pt>
                <c:pt idx="12">
                  <c:v>0.16261452775129098</c:v>
                </c:pt>
                <c:pt idx="13">
                  <c:v>0.16261452775129098</c:v>
                </c:pt>
                <c:pt idx="14">
                  <c:v>0.16261452775129098</c:v>
                </c:pt>
                <c:pt idx="15">
                  <c:v>0.16261452775129098</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3.7627648906073206</c:v>
                </c:pt>
                <c:pt idx="1">
                  <c:v>3.7627648906073206</c:v>
                </c:pt>
                <c:pt idx="2">
                  <c:v>3.7627648906073206</c:v>
                </c:pt>
                <c:pt idx="3">
                  <c:v>3.7627648906073206</c:v>
                </c:pt>
                <c:pt idx="4">
                  <c:v>3.7627648906073206</c:v>
                </c:pt>
                <c:pt idx="5">
                  <c:v>3.7627648906073206</c:v>
                </c:pt>
                <c:pt idx="6">
                  <c:v>3.7627648906073206</c:v>
                </c:pt>
                <c:pt idx="7">
                  <c:v>3.7627648906073206</c:v>
                </c:pt>
                <c:pt idx="8">
                  <c:v>3.7627648906073206</c:v>
                </c:pt>
                <c:pt idx="9">
                  <c:v>3.7627648906073206</c:v>
                </c:pt>
                <c:pt idx="10">
                  <c:v>3.7627648906073206</c:v>
                </c:pt>
                <c:pt idx="11">
                  <c:v>3.7627648906073206</c:v>
                </c:pt>
                <c:pt idx="12">
                  <c:v>3.7627648906073206</c:v>
                </c:pt>
                <c:pt idx="13">
                  <c:v>3.7627648906073206</c:v>
                </c:pt>
                <c:pt idx="14">
                  <c:v>3.7627648906073206</c:v>
                </c:pt>
                <c:pt idx="15">
                  <c:v>3.7627648906073206</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-1.2627648906073206</c:v>
                </c:pt>
                <c:pt idx="1">
                  <c:v>-1.2627648906073206</c:v>
                </c:pt>
                <c:pt idx="2">
                  <c:v>-1.2627648906073206</c:v>
                </c:pt>
                <c:pt idx="3">
                  <c:v>-1.2627648906073206</c:v>
                </c:pt>
                <c:pt idx="4">
                  <c:v>-1.2627648906073206</c:v>
                </c:pt>
                <c:pt idx="5">
                  <c:v>-1.2627648906073206</c:v>
                </c:pt>
                <c:pt idx="6">
                  <c:v>-1.2627648906073206</c:v>
                </c:pt>
                <c:pt idx="7">
                  <c:v>-1.2627648906073206</c:v>
                </c:pt>
                <c:pt idx="8">
                  <c:v>-1.2627648906073206</c:v>
                </c:pt>
                <c:pt idx="9">
                  <c:v>-1.2627648906073206</c:v>
                </c:pt>
                <c:pt idx="10">
                  <c:v>-1.2627648906073206</c:v>
                </c:pt>
                <c:pt idx="11">
                  <c:v>-1.2627648906073206</c:v>
                </c:pt>
                <c:pt idx="12">
                  <c:v>-1.2627648906073206</c:v>
                </c:pt>
                <c:pt idx="13">
                  <c:v>-1.2627648906073206</c:v>
                </c:pt>
                <c:pt idx="14">
                  <c:v>-1.2627648906073206</c:v>
                </c:pt>
                <c:pt idx="15">
                  <c:v>-1.2627648906073206</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0822B8D8-DD75-434A-9998-A58FDC06624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0CF72B5A-CF2C-412B-8C60-306158D4272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023CEBC1-32E3-4838-B741-8723DE4F9C8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B5CD945E-D7FA-4FF2-89BD-136F32B874C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0219170C-2722-4B5F-BFB3-074EDB813A9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4B89B32B-EA31-48DA-8309-A0404D274C2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87436993-168B-4991-A5FF-A81733E3305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C95D46AA-8EA1-4D96-9F46-BAEC59F2227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A56D907A-6A72-41BA-A4E6-9E50E4162DA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4BBD371E-23F4-48D9-89C1-C38A86EF646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A00B800E-7980-46DA-BB37-07C06DD854B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BAE3EB48-4D9C-4D31-A257-A4A2B51EDC3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192FAA50-E67A-48AE-93C5-35D4C4F0AA5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DA1C5F50-08F3-4DA5-8781-A46D855182B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0.1281529320296135</c:v>
                  </c:pt>
                  <c:pt idx="2">
                    <c:v>0.17603862190996819</c:v>
                  </c:pt>
                  <c:pt idx="3">
                    <c:v>0.26831161250618607</c:v>
                  </c:pt>
                  <c:pt idx="4">
                    <c:v>0.29434882842010673</c:v>
                  </c:pt>
                  <c:pt idx="5">
                    <c:v>0.25086873067502363</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0.1281529320296135</c:v>
                  </c:pt>
                  <c:pt idx="2">
                    <c:v>0.17603862190996819</c:v>
                  </c:pt>
                  <c:pt idx="3">
                    <c:v>0.26831161250618607</c:v>
                  </c:pt>
                  <c:pt idx="4">
                    <c:v>0.29434882842010673</c:v>
                  </c:pt>
                  <c:pt idx="5">
                    <c:v>0.25086873067502363</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0.74531449322705579</c:v>
                </c:pt>
                <c:pt idx="2">
                  <c:v>1.0366912081111728</c:v>
                </c:pt>
                <c:pt idx="3">
                  <c:v>1.257970450254347</c:v>
                </c:pt>
                <c:pt idx="4">
                  <c:v>1.1114623718346601</c:v>
                </c:pt>
                <c:pt idx="5">
                  <c:v>1.2851097393061031</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Saccharin-0,1mg/L</c:v>
                </c:pt>
                <c:pt idx="2">
                  <c:v>Saccharin-1mg/L</c:v>
                </c:pt>
                <c:pt idx="3">
                  <c:v>Saccharin-10mg/L</c:v>
                </c:pt>
                <c:pt idx="4">
                  <c:v>Saccharin-100mg/L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Saccharin-0,1mg/L</c:v>
                </c:pt>
                <c:pt idx="2">
                  <c:v>Saccharin-1mg/L</c:v>
                </c:pt>
                <c:pt idx="3">
                  <c:v>Saccharin-10mg/L</c:v>
                </c:pt>
                <c:pt idx="4">
                  <c:v>Saccharin-100mg/L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Saccharin-0,1mg/L</c:v>
                </c:pt>
                <c:pt idx="2">
                  <c:v>Saccharin-1mg/L</c:v>
                </c:pt>
                <c:pt idx="3">
                  <c:v>Saccharin-10mg/L</c:v>
                </c:pt>
                <c:pt idx="4">
                  <c:v>Saccharin-100mg/L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93659F53-2DF3-4CCB-A2D9-5CE91390A2B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E516C644-2E13-4BB6-AAE8-2A2FFC3B8FF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4A972CB7-47A5-4706-BBAB-A51F67E35D6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C6AD933D-CA06-48B7-AE7A-214D6E683AF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18E97774-4920-41A2-B41A-C890279436C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889F052F-3BB3-48BA-A844-500CD90F7FC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74E43F15-1279-4ECE-A239-DE596230BDD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3D53FCDD-624A-4F73-8E29-4165F0557B3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8D4D83E5-AAA7-4D68-AD8E-AE6CE0A5FE5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3F94435F-249D-42A1-8F04-0E2D5EBC024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1B61424D-888A-4E24-8020-A307F36408F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70557404-21A9-43C6-AD41-3F8034156F5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44BBD884-2E44-4630-BFD2-21C1C5769C0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F30F7A60-2450-4DC6-BE8D-BAE105A8336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1.3453172576540167E-2</c:v>
                  </c:pt>
                  <c:pt idx="2">
                    <c:v>1.9011352627021604E-2</c:v>
                  </c:pt>
                  <c:pt idx="3">
                    <c:v>1.6222293629566939E-2</c:v>
                  </c:pt>
                  <c:pt idx="4">
                    <c:v>2.4485878785900052E-2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1.3453172576540167E-2</c:v>
                  </c:pt>
                  <c:pt idx="2">
                    <c:v>1.9011352627021604E-2</c:v>
                  </c:pt>
                  <c:pt idx="3">
                    <c:v>1.6222293629566939E-2</c:v>
                  </c:pt>
                  <c:pt idx="4">
                    <c:v>2.4485878785900052E-2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Saccharin-0,1mg/L</c:v>
                </c:pt>
                <c:pt idx="2">
                  <c:v>Saccharin-1mg/L</c:v>
                </c:pt>
                <c:pt idx="3">
                  <c:v>Saccharin-10mg/L</c:v>
                </c:pt>
                <c:pt idx="4">
                  <c:v>Saccharin-100mg/L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7.7575749695156224E-2</c:v>
                </c:pt>
                <c:pt idx="2">
                  <c:v>8.0803510231486714E-2</c:v>
                </c:pt>
                <c:pt idx="3">
                  <c:v>9.3075778167342249E-2</c:v>
                </c:pt>
                <c:pt idx="4">
                  <c:v>0.11376872409723279</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0.13067527039799842</c:v>
                </c:pt>
                <c:pt idx="1">
                  <c:v>0.13067527039799842</c:v>
                </c:pt>
                <c:pt idx="2">
                  <c:v>0.13067527039799842</c:v>
                </c:pt>
                <c:pt idx="3">
                  <c:v>0.13067527039799842</c:v>
                </c:pt>
                <c:pt idx="4">
                  <c:v>0.13067527039799842</c:v>
                </c:pt>
                <c:pt idx="5">
                  <c:v>0.13067527039799842</c:v>
                </c:pt>
                <c:pt idx="6">
                  <c:v>0.13067527039799842</c:v>
                </c:pt>
                <c:pt idx="7">
                  <c:v>0.13067527039799842</c:v>
                </c:pt>
                <c:pt idx="8">
                  <c:v>0.13067527039799842</c:v>
                </c:pt>
                <c:pt idx="9">
                  <c:v>0.13067527039799842</c:v>
                </c:pt>
                <c:pt idx="10">
                  <c:v>0.13067527039799842</c:v>
                </c:pt>
                <c:pt idx="11">
                  <c:v>0.13067527039799842</c:v>
                </c:pt>
                <c:pt idx="12">
                  <c:v>0.13067527039799842</c:v>
                </c:pt>
                <c:pt idx="13">
                  <c:v>0.13067527039799842</c:v>
                </c:pt>
                <c:pt idx="14">
                  <c:v>0.13067527039799842</c:v>
                </c:pt>
                <c:pt idx="15">
                  <c:v>0.13067527039799842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0.16261452775129098</c:v>
                </c:pt>
                <c:pt idx="1">
                  <c:v>0.16261452775129098</c:v>
                </c:pt>
                <c:pt idx="2">
                  <c:v>0.16261452775129098</c:v>
                </c:pt>
                <c:pt idx="3">
                  <c:v>0.16261452775129098</c:v>
                </c:pt>
                <c:pt idx="4">
                  <c:v>0.16261452775129098</c:v>
                </c:pt>
                <c:pt idx="5">
                  <c:v>0.16261452775129098</c:v>
                </c:pt>
                <c:pt idx="6">
                  <c:v>0.16261452775129098</c:v>
                </c:pt>
                <c:pt idx="7">
                  <c:v>0.16261452775129098</c:v>
                </c:pt>
                <c:pt idx="8">
                  <c:v>0.16261452775129098</c:v>
                </c:pt>
                <c:pt idx="9">
                  <c:v>0.16261452775129098</c:v>
                </c:pt>
                <c:pt idx="10">
                  <c:v>0.16261452775129098</c:v>
                </c:pt>
                <c:pt idx="11">
                  <c:v>0.16261452775129098</c:v>
                </c:pt>
                <c:pt idx="12">
                  <c:v>0.16261452775129098</c:v>
                </c:pt>
                <c:pt idx="13">
                  <c:v>0.16261452775129098</c:v>
                </c:pt>
                <c:pt idx="14">
                  <c:v>0.16261452775129098</c:v>
                </c:pt>
                <c:pt idx="15">
                  <c:v>0.16261452775129098</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3.7627648906073206</c:v>
                </c:pt>
                <c:pt idx="1">
                  <c:v>3.7627648906073206</c:v>
                </c:pt>
                <c:pt idx="2">
                  <c:v>3.7627648906073206</c:v>
                </c:pt>
                <c:pt idx="3">
                  <c:v>3.7627648906073206</c:v>
                </c:pt>
                <c:pt idx="4">
                  <c:v>3.7627648906073206</c:v>
                </c:pt>
                <c:pt idx="5">
                  <c:v>3.7627648906073206</c:v>
                </c:pt>
                <c:pt idx="6">
                  <c:v>3.7627648906073206</c:v>
                </c:pt>
                <c:pt idx="7">
                  <c:v>3.7627648906073206</c:v>
                </c:pt>
                <c:pt idx="8">
                  <c:v>3.7627648906073206</c:v>
                </c:pt>
                <c:pt idx="9">
                  <c:v>3.7627648906073206</c:v>
                </c:pt>
                <c:pt idx="10">
                  <c:v>3.7627648906073206</c:v>
                </c:pt>
                <c:pt idx="11">
                  <c:v>3.7627648906073206</c:v>
                </c:pt>
                <c:pt idx="12">
                  <c:v>3.7627648906073206</c:v>
                </c:pt>
                <c:pt idx="13">
                  <c:v>3.7627648906073206</c:v>
                </c:pt>
                <c:pt idx="14">
                  <c:v>3.7627648906073206</c:v>
                </c:pt>
                <c:pt idx="15">
                  <c:v>3.7627648906073206</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-1.2627648906073206</c:v>
                </c:pt>
                <c:pt idx="1">
                  <c:v>-1.2627648906073206</c:v>
                </c:pt>
                <c:pt idx="2">
                  <c:v>-1.2627648906073206</c:v>
                </c:pt>
                <c:pt idx="3">
                  <c:v>-1.2627648906073206</c:v>
                </c:pt>
                <c:pt idx="4">
                  <c:v>-1.2627648906073206</c:v>
                </c:pt>
                <c:pt idx="5">
                  <c:v>-1.2627648906073206</c:v>
                </c:pt>
                <c:pt idx="6">
                  <c:v>-1.2627648906073206</c:v>
                </c:pt>
                <c:pt idx="7">
                  <c:v>-1.2627648906073206</c:v>
                </c:pt>
                <c:pt idx="8">
                  <c:v>-1.2627648906073206</c:v>
                </c:pt>
                <c:pt idx="9">
                  <c:v>-1.2627648906073206</c:v>
                </c:pt>
                <c:pt idx="10">
                  <c:v>-1.2627648906073206</c:v>
                </c:pt>
                <c:pt idx="11">
                  <c:v>-1.2627648906073206</c:v>
                </c:pt>
                <c:pt idx="12">
                  <c:v>-1.2627648906073206</c:v>
                </c:pt>
                <c:pt idx="13">
                  <c:v>-1.2627648906073206</c:v>
                </c:pt>
                <c:pt idx="14">
                  <c:v>-1.2627648906073206</c:v>
                </c:pt>
                <c:pt idx="15">
                  <c:v>-1.2627648906073206</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78E945DD-2C28-4761-855B-97337EEBD06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4580D138-00D0-42C5-8FF8-6AE99E14968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726B81AD-5E80-4B0D-AB30-87353410C37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D5E99C7E-4DF7-40E7-9DAB-6B7BAC54A42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8872DF29-4981-486D-A7CE-D857F2ED63B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5C3016C0-D96E-495E-8F59-64B4699C135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0B1E10D3-1D58-4BC5-BB20-0BFB1A65FA7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87447B4C-A936-49CF-AC2E-4FA16770377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08663E51-42EF-4E54-9170-8B9E982CECD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D231223A-0220-4FEE-942E-A24295F9C6C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3E113B51-CCCF-40E8-80ED-FE1E9CF27D2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B11B202B-C2EE-495F-B663-662946C713E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3B3F4727-D1E9-4AAB-81F6-35C4B5C27A7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30645B57-D512-4E7F-A0E6-C4C85850DA1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0.1281529320296135</c:v>
                  </c:pt>
                  <c:pt idx="2">
                    <c:v>0.17603862190996819</c:v>
                  </c:pt>
                  <c:pt idx="3">
                    <c:v>0.26831161250618607</c:v>
                  </c:pt>
                  <c:pt idx="4">
                    <c:v>0.29434882842010673</c:v>
                  </c:pt>
                  <c:pt idx="5">
                    <c:v>0.25086873067502363</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0.1281529320296135</c:v>
                  </c:pt>
                  <c:pt idx="2">
                    <c:v>0.17603862190996819</c:v>
                  </c:pt>
                  <c:pt idx="3">
                    <c:v>0.26831161250618607</c:v>
                  </c:pt>
                  <c:pt idx="4">
                    <c:v>0.29434882842010673</c:v>
                  </c:pt>
                  <c:pt idx="5">
                    <c:v>0.25086873067502363</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0.74531449322705579</c:v>
                </c:pt>
                <c:pt idx="2">
                  <c:v>1.0366912081111728</c:v>
                </c:pt>
                <c:pt idx="3">
                  <c:v>1.257970450254347</c:v>
                </c:pt>
                <c:pt idx="4">
                  <c:v>1.1114623718346601</c:v>
                </c:pt>
                <c:pt idx="5">
                  <c:v>1.2851097393061031</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Saccharin-0,1mg/L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Saccharin-0,1mg/L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Saccharin-0,1mg/L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854FA199-DA2E-4B3A-9168-3EA53CB50C5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2752D78B-B67D-4757-96F3-0883324C496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1.3453172576540167E-2</c:v>
                  </c:pt>
                </c:numCache>
              </c:numRef>
            </c:plus>
            <c:minus>
              <c:numRef>
                <c:f>'Graph format rapport CHG 1éch'!$E$4:$G$4</c:f>
                <c:numCache>
                  <c:formatCode>General</c:formatCode>
                  <c:ptCount val="3"/>
                  <c:pt idx="1">
                    <c:v>1.3453172576540167E-2</c:v>
                  </c:pt>
                </c:numCache>
              </c:numRef>
            </c:minus>
          </c:errBars>
          <c:cat>
            <c:strRef>
              <c:f>'Graph format rapport CHG 1éch'!$E$2:$G$2</c:f>
              <c:strCache>
                <c:ptCount val="2"/>
                <c:pt idx="1">
                  <c:v>Saccharin-0,1mg/L</c:v>
                </c:pt>
              </c:strCache>
            </c:strRef>
          </c:cat>
          <c:val>
            <c:numRef>
              <c:f>'Graph format rapport CHG 1éch'!$E$3:$G$3</c:f>
              <c:numCache>
                <c:formatCode>General</c:formatCode>
                <c:ptCount val="3"/>
                <c:pt idx="1">
                  <c:v>7.7575749695156224E-2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0.13067527039799842</c:v>
                </c:pt>
                <c:pt idx="1">
                  <c:v>0.13067527039799842</c:v>
                </c:pt>
                <c:pt idx="2">
                  <c:v>0.13067527039799842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Saccharin-0,01mg/L + Testostérone</c:v>
                </c:pt>
              </c:strCache>
            </c:strRef>
          </c:cat>
          <c:val>
            <c:numRef>
              <c:f>'Graph format rapport CHG 1éch'!$H$8:$J$8</c:f>
              <c:numCache>
                <c:formatCode>General</c:formatCode>
                <c:ptCount val="3"/>
                <c:pt idx="0">
                  <c:v>0.16261452775129098</c:v>
                </c:pt>
                <c:pt idx="1">
                  <c:v>0.16261452775129098</c:v>
                </c:pt>
                <c:pt idx="2">
                  <c:v>0.16261452775129098</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Saccharin-0,01mg/L + Testostérone</c:v>
                </c:pt>
              </c:strCache>
            </c:strRef>
          </c:cat>
          <c:val>
            <c:numRef>
              <c:f>'Graph format rapport CHG 1éch'!$H$9:$J$9</c:f>
              <c:numCache>
                <c:formatCode>General</c:formatCode>
                <c:ptCount val="3"/>
                <c:pt idx="0">
                  <c:v>3.7627648906073206</c:v>
                </c:pt>
                <c:pt idx="1">
                  <c:v>3.7627648906073206</c:v>
                </c:pt>
                <c:pt idx="2">
                  <c:v>3.7627648906073206</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Saccharin-0,01mg/L + Testostérone</c:v>
                </c:pt>
              </c:strCache>
            </c:strRef>
          </c:cat>
          <c:val>
            <c:numRef>
              <c:f>'Graph format rapport CHG 1éch'!$H$10:$J$10</c:f>
              <c:numCache>
                <c:formatCode>General</c:formatCode>
                <c:ptCount val="3"/>
                <c:pt idx="0">
                  <c:v>-1.2627648906073206</c:v>
                </c:pt>
                <c:pt idx="1">
                  <c:v>-1.2627648906073206</c:v>
                </c:pt>
                <c:pt idx="2">
                  <c:v>-1.2627648906073206</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BD5E1CB6-7D28-4E5A-8D59-3BB4F3FEA07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542BA157-AA7C-48B3-9DE3-C6D377AF31D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0.1281529320296135</c:v>
                  </c:pt>
                </c:numCache>
              </c:numRef>
            </c:plus>
            <c:minus>
              <c:numRef>
                <c:f>'Graph format rapport CHG 1éch'!$H$4:$J$4</c:f>
                <c:numCache>
                  <c:formatCode>General</c:formatCode>
                  <c:ptCount val="3"/>
                  <c:pt idx="1">
                    <c:v>0.1281529320296135</c:v>
                  </c:pt>
                </c:numCache>
              </c:numRef>
            </c:minus>
          </c:errBars>
          <c:cat>
            <c:strRef>
              <c:f>'Graph format rapport CHG 1éch'!$H$2:$J$2</c:f>
              <c:strCache>
                <c:ptCount val="2"/>
                <c:pt idx="1">
                  <c:v>Saccharin-0,01mg/L + Testostérone</c:v>
                </c:pt>
              </c:strCache>
            </c:strRef>
          </c:cat>
          <c:val>
            <c:numRef>
              <c:f>'Graph format rapport CHG 1éch'!$H$3:$J$3</c:f>
              <c:numCache>
                <c:formatCode>General</c:formatCode>
                <c:ptCount val="3"/>
                <c:pt idx="1">
                  <c:v>0.74531449322705579</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Saccharin-0,01mg/L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Saccharin-0,1mg/L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Saccharin-0,1mg/L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Saccharin-0,1mg/L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8C45F63A-DFD6-4E11-A083-8F28A46908C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29904C4D-ACBF-4185-894B-7BB16C7EB41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1.3453172576540167E-2</c:v>
                  </c:pt>
                </c:numCache>
              </c:numRef>
            </c:plus>
            <c:minus>
              <c:numRef>
                <c:f>'Graph format rapport CHG 1éch'!$E$4:$G$4</c:f>
                <c:numCache>
                  <c:formatCode>General</c:formatCode>
                  <c:ptCount val="3"/>
                  <c:pt idx="1">
                    <c:v>1.3453172576540167E-2</c:v>
                  </c:pt>
                </c:numCache>
              </c:numRef>
            </c:minus>
          </c:errBars>
          <c:cat>
            <c:strRef>
              <c:f>'Graph format rapport CHG 1éch'!$E$2:$G$2</c:f>
              <c:strCache>
                <c:ptCount val="2"/>
                <c:pt idx="1">
                  <c:v>Saccharin-0,1mg/L</c:v>
                </c:pt>
              </c:strCache>
            </c:strRef>
          </c:cat>
          <c:val>
            <c:numRef>
              <c:f>'Graph format rapport CHG 1éch'!$E$3:$G$3</c:f>
              <c:numCache>
                <c:formatCode>General</c:formatCode>
                <c:ptCount val="3"/>
                <c:pt idx="1">
                  <c:v>7.7575749695156224E-2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0.13067527039799842</c:v>
                </c:pt>
                <c:pt idx="1">
                  <c:v>0.13067527039799842</c:v>
                </c:pt>
                <c:pt idx="2">
                  <c:v>0.13067527039799842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Saccharin-0,01mg/L + Testostérone</c:v>
                </c:pt>
              </c:strCache>
            </c:strRef>
          </c:cat>
          <c:val>
            <c:numRef>
              <c:f>'Graph format rapport CHG 1éch'!$H$8:$J$8</c:f>
              <c:numCache>
                <c:formatCode>General</c:formatCode>
                <c:ptCount val="3"/>
                <c:pt idx="0">
                  <c:v>0.16261452775129098</c:v>
                </c:pt>
                <c:pt idx="1">
                  <c:v>0.16261452775129098</c:v>
                </c:pt>
                <c:pt idx="2">
                  <c:v>0.16261452775129098</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Saccharin-0,01mg/L + Testostérone</c:v>
                </c:pt>
              </c:strCache>
            </c:strRef>
          </c:cat>
          <c:val>
            <c:numRef>
              <c:f>'Graph format rapport CHG 1éch'!$H$9:$J$9</c:f>
              <c:numCache>
                <c:formatCode>General</c:formatCode>
                <c:ptCount val="3"/>
                <c:pt idx="0">
                  <c:v>3.7627648906073206</c:v>
                </c:pt>
                <c:pt idx="1">
                  <c:v>3.7627648906073206</c:v>
                </c:pt>
                <c:pt idx="2">
                  <c:v>3.7627648906073206</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Saccharin-0,01mg/L + Testostérone</c:v>
                </c:pt>
              </c:strCache>
            </c:strRef>
          </c:cat>
          <c:val>
            <c:numRef>
              <c:f>'Graph format rapport CHG 1éch'!$H$10:$J$10</c:f>
              <c:numCache>
                <c:formatCode>General</c:formatCode>
                <c:ptCount val="3"/>
                <c:pt idx="0">
                  <c:v>-1.2627648906073206</c:v>
                </c:pt>
                <c:pt idx="1">
                  <c:v>-1.2627648906073206</c:v>
                </c:pt>
                <c:pt idx="2">
                  <c:v>-1.2627648906073206</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9EB9428D-6AE7-4527-8F8F-58D8F09E4D9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1ACFCB0F-0D44-4512-824D-524F695DFF2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0.1281529320296135</c:v>
                  </c:pt>
                </c:numCache>
              </c:numRef>
            </c:plus>
            <c:minus>
              <c:numRef>
                <c:f>'Graph format rapport CHG 1éch'!$H$4:$J$4</c:f>
                <c:numCache>
                  <c:formatCode>General</c:formatCode>
                  <c:ptCount val="3"/>
                  <c:pt idx="1">
                    <c:v>0.1281529320296135</c:v>
                  </c:pt>
                </c:numCache>
              </c:numRef>
            </c:minus>
          </c:errBars>
          <c:cat>
            <c:strRef>
              <c:f>'Graph format rapport CHG 1éch'!$H$2:$J$2</c:f>
              <c:strCache>
                <c:ptCount val="2"/>
                <c:pt idx="1">
                  <c:v>Saccharin-0,01mg/L + Testostérone</c:v>
                </c:pt>
              </c:strCache>
            </c:strRef>
          </c:cat>
          <c:val>
            <c:numRef>
              <c:f>'Graph format rapport CHG 1éch'!$H$3:$J$3</c:f>
              <c:numCache>
                <c:formatCode>General</c:formatCode>
                <c:ptCount val="3"/>
                <c:pt idx="1">
                  <c:v>0.74531449322705579</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Saccharin-0,01mg/L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62"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62"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62"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62"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382676" y="10062696"/>
          <a:ext cx="8425736" cy="1074705"/>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546152" y="3836226"/>
          <a:ext cx="8425736" cy="1070169"/>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754287" y="10062696"/>
          <a:ext cx="8425736" cy="1074705"/>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917763" y="3836226"/>
          <a:ext cx="8425736" cy="1070169"/>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20742013892" createdVersion="6" refreshedVersion="8" minRefreshableVersion="3" recordCount="52" xr:uid="{8DEF666A-6C7D-4C16-AD6D-82242760D5D9}">
  <cacheSource type="worksheet">
    <worksheetSource name="liste_groupe"/>
  </cacheSource>
  <cacheFields count="6">
    <cacheField name="Nom sur le graphique" numFmtId="0">
      <sharedItems count="14">
        <s v="Témoin solvant"/>
        <s v="EE2-22,5ng/L"/>
        <s v="EE2-33,8ng/L"/>
        <s v="EE2-50,6ng/L"/>
        <s v="EE2-76ng/L"/>
        <s v="EE2-114ng/L"/>
        <s v="EE2-170,9ng/L"/>
        <s v="EE2-488ng/L"/>
        <s v=" "/>
        <s v="Testo -30µg/L"/>
        <s v="Testo 30µg/L + EE2 -64ng/L"/>
        <s v="Testo 30µg/L + FAD-10µg/L"/>
        <s v="0-00 + Testostérone"/>
        <s v="Testo 30µg/L + FAD-10mg/L"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20742361108" createdVersion="5" refreshedVersion="8" minRefreshableVersion="3" recordCount="1710" xr:uid="{00000000-000A-0000-FFFF-FFFF14000000}">
  <cacheSource type="worksheet">
    <worksheetSource name="Tableau467"/>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20742592592" createdVersion="5" refreshedVersion="8" minRefreshableVersion="3" recordCount="1530" xr:uid="{00000000-000A-0000-FFFF-FFFF10000000}">
  <cacheSource type="worksheet">
    <worksheetSource name="Tableau46"/>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20742708331" createdVersion="5" refreshedVersion="8" minRefreshableVersion="3" recordCount="1556" xr:uid="{00000000-000A-0000-FFFF-FFFF0C000000}">
  <cacheSource type="worksheet">
    <worksheetSource name="Tableau4"/>
  </cacheSource>
  <cacheFields count="9">
    <cacheField name="Nom groupe" numFmtId="0">
      <sharedItems containsBlank="1" count="2">
        <s v=""/>
        <m u="1"/>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µ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27"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3">
        <item m="1" x="1"/>
        <item x="0"/>
        <item t="default"/>
      </items>
    </pivotField>
    <pivotField axis="axisRow" subtotalTop="0" showAll="0" sortType="ascending">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v="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26"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25"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24"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24"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13" zoomScale="55" zoomScaleNormal="55" workbookViewId="0">
      <selection activeCell="D21" sqref="D21"/>
    </sheetView>
  </sheetViews>
  <sheetFormatPr baseColWidth="10" defaultRowHeight="39" customHeight="1" x14ac:dyDescent="0.35"/>
  <cols>
    <col min="1" max="1" width="42" bestFit="1" customWidth="1"/>
    <col min="2" max="2" width="33.81640625" style="44" bestFit="1" customWidth="1"/>
    <col min="3" max="3" width="21.26953125" customWidth="1"/>
    <col min="4" max="4" width="30.453125" customWidth="1"/>
    <col min="5" max="5" width="62.26953125" style="160" bestFit="1" customWidth="1"/>
    <col min="6" max="6" width="56.7265625" bestFit="1" customWidth="1"/>
    <col min="7" max="7" width="19.453125" customWidth="1"/>
    <col min="8" max="8" width="15.26953125" customWidth="1"/>
    <col min="9" max="9" width="18" customWidth="1"/>
    <col min="10" max="10" width="19.54296875" bestFit="1" customWidth="1"/>
  </cols>
  <sheetData>
    <row r="1" spans="1:9" ht="39" customHeight="1" thickBot="1" x14ac:dyDescent="0.4">
      <c r="A1" s="195" t="s">
        <v>36</v>
      </c>
      <c r="B1" s="196"/>
      <c r="C1" s="196"/>
      <c r="D1" s="196"/>
      <c r="E1" s="196"/>
      <c r="F1" s="196"/>
      <c r="G1" s="196"/>
      <c r="H1" s="196"/>
      <c r="I1" s="197"/>
    </row>
    <row r="2" spans="1:9" ht="21" x14ac:dyDescent="0.5">
      <c r="A2" s="188" t="s">
        <v>17</v>
      </c>
      <c r="B2" s="42" t="s">
        <v>115</v>
      </c>
      <c r="C2" s="198"/>
      <c r="D2" s="199"/>
      <c r="E2" s="42" t="s">
        <v>21</v>
      </c>
      <c r="F2" s="210"/>
      <c r="G2" s="211"/>
      <c r="H2" s="211"/>
      <c r="I2" s="212"/>
    </row>
    <row r="3" spans="1:9" ht="21" x14ac:dyDescent="0.5">
      <c r="A3" s="189" t="s">
        <v>18</v>
      </c>
      <c r="B3" s="43" t="s">
        <v>115</v>
      </c>
      <c r="C3" s="200"/>
      <c r="D3" s="201"/>
      <c r="E3" s="43" t="s">
        <v>21</v>
      </c>
      <c r="F3" s="207"/>
      <c r="G3" s="208"/>
      <c r="H3" s="208"/>
      <c r="I3" s="209"/>
    </row>
    <row r="4" spans="1:9" ht="21.5" thickBot="1" x14ac:dyDescent="0.55000000000000004">
      <c r="A4" s="190" t="s">
        <v>22</v>
      </c>
      <c r="B4" s="178" t="s">
        <v>115</v>
      </c>
      <c r="C4" s="202"/>
      <c r="D4" s="203"/>
      <c r="E4" s="178" t="s">
        <v>21</v>
      </c>
      <c r="F4" s="204"/>
      <c r="G4" s="205"/>
      <c r="H4" s="205"/>
      <c r="I4" s="206"/>
    </row>
    <row r="5" spans="1:9" s="1" customFormat="1" ht="65.25" customHeight="1" thickBot="1" x14ac:dyDescent="0.4">
      <c r="A5" s="195" t="s">
        <v>37</v>
      </c>
      <c r="B5" s="196"/>
      <c r="C5" s="196"/>
      <c r="D5" s="196"/>
      <c r="E5" s="196"/>
      <c r="F5" s="196"/>
      <c r="G5" s="196"/>
      <c r="H5" s="196"/>
      <c r="I5" s="197"/>
    </row>
    <row r="6" spans="1:9" s="109" customFormat="1" ht="39" customHeight="1" x14ac:dyDescent="0.5">
      <c r="A6" s="75" t="s">
        <v>35</v>
      </c>
      <c r="B6" s="100" t="s">
        <v>7</v>
      </c>
      <c r="C6" s="64" t="s">
        <v>19</v>
      </c>
      <c r="D6" s="64" t="s">
        <v>75</v>
      </c>
      <c r="E6" s="157" t="s">
        <v>51</v>
      </c>
      <c r="F6" s="108" t="s">
        <v>78</v>
      </c>
    </row>
    <row r="7" spans="1:9" s="166" customFormat="1" ht="39" customHeight="1" x14ac:dyDescent="0.5">
      <c r="A7"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2" t="s">
        <v>123</v>
      </c>
      <c r="C7" s="163"/>
      <c r="D7" s="164"/>
      <c r="E7" s="165" t="s">
        <v>125</v>
      </c>
      <c r="F7" s="110"/>
    </row>
    <row r="8" spans="1:9" s="166" customFormat="1" ht="39" customHeight="1" x14ac:dyDescent="0.5">
      <c r="A8"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2" t="s">
        <v>123</v>
      </c>
      <c r="C8" s="163">
        <v>22.5</v>
      </c>
      <c r="D8" s="164" t="s">
        <v>124</v>
      </c>
      <c r="E8" s="165" t="s">
        <v>126</v>
      </c>
      <c r="F8" s="110"/>
    </row>
    <row r="9" spans="1:9" s="166" customFormat="1" ht="39" customHeight="1" x14ac:dyDescent="0.5">
      <c r="A9"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2" t="s">
        <v>123</v>
      </c>
      <c r="C9" s="163">
        <v>33.799999999999997</v>
      </c>
      <c r="D9" s="164" t="s">
        <v>124</v>
      </c>
      <c r="E9" s="165" t="s">
        <v>126</v>
      </c>
      <c r="F9" s="110"/>
    </row>
    <row r="10" spans="1:9" s="166" customFormat="1" ht="39" customHeight="1" x14ac:dyDescent="0.5">
      <c r="A10"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2" t="s">
        <v>123</v>
      </c>
      <c r="C10" s="163">
        <v>50.6</v>
      </c>
      <c r="D10" s="164" t="s">
        <v>124</v>
      </c>
      <c r="E10" s="165" t="s">
        <v>126</v>
      </c>
      <c r="F10" s="110"/>
    </row>
    <row r="11" spans="1:9" s="166" customFormat="1" ht="39" customHeight="1" x14ac:dyDescent="0.5">
      <c r="A11"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2" t="s">
        <v>123</v>
      </c>
      <c r="C11" s="163">
        <v>76</v>
      </c>
      <c r="D11" s="164" t="s">
        <v>124</v>
      </c>
      <c r="E11" s="165" t="s">
        <v>126</v>
      </c>
      <c r="F11" s="110"/>
    </row>
    <row r="12" spans="1:9" s="166" customFormat="1" ht="39" customHeight="1" x14ac:dyDescent="0.5">
      <c r="A12"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2" t="s">
        <v>123</v>
      </c>
      <c r="C12" s="163">
        <v>114</v>
      </c>
      <c r="D12" s="164" t="s">
        <v>124</v>
      </c>
      <c r="E12" s="165" t="s">
        <v>126</v>
      </c>
      <c r="F12" s="110"/>
    </row>
    <row r="13" spans="1:9" s="166" customFormat="1" ht="39" customHeight="1" x14ac:dyDescent="0.5">
      <c r="A13"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2" t="s">
        <v>123</v>
      </c>
      <c r="C13" s="163">
        <v>170.9</v>
      </c>
      <c r="D13" s="164" t="s">
        <v>124</v>
      </c>
      <c r="E13" s="165" t="s">
        <v>126</v>
      </c>
      <c r="F13" s="110"/>
    </row>
    <row r="14" spans="1:9" s="166" customFormat="1" ht="39" customHeight="1" x14ac:dyDescent="0.5">
      <c r="A14"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2" t="s">
        <v>123</v>
      </c>
      <c r="C14" s="163">
        <v>488</v>
      </c>
      <c r="D14" s="164" t="s">
        <v>124</v>
      </c>
      <c r="E14" s="165" t="s">
        <v>126</v>
      </c>
      <c r="F14" s="110"/>
    </row>
    <row r="15" spans="1:9" s="166" customFormat="1" ht="39" customHeight="1" x14ac:dyDescent="0.5">
      <c r="A15"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Saccharin-0,01mg/L</v>
      </c>
      <c r="B15" s="162" t="s">
        <v>166</v>
      </c>
      <c r="C15" s="163">
        <v>0.01</v>
      </c>
      <c r="D15" s="164" t="s">
        <v>167</v>
      </c>
      <c r="E15" s="165" t="s">
        <v>168</v>
      </c>
      <c r="F15" s="110"/>
    </row>
    <row r="16" spans="1:9" s="111" customFormat="1" ht="39" customHeight="1" x14ac:dyDescent="0.35">
      <c r="A1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Saccharin-0,1mg/L</v>
      </c>
      <c r="B16" s="162" t="s">
        <v>166</v>
      </c>
      <c r="C16" s="105">
        <v>0.1</v>
      </c>
      <c r="D16" s="164" t="s">
        <v>167</v>
      </c>
      <c r="E16" s="165" t="s">
        <v>168</v>
      </c>
      <c r="F16" s="110"/>
    </row>
    <row r="17" spans="1:6" s="111" customFormat="1" ht="39" customHeight="1" x14ac:dyDescent="0.35">
      <c r="A1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Saccharin-1mg/L</v>
      </c>
      <c r="B17" s="162" t="s">
        <v>166</v>
      </c>
      <c r="C17" s="105">
        <v>1</v>
      </c>
      <c r="D17" s="164" t="s">
        <v>167</v>
      </c>
      <c r="E17" s="165" t="s">
        <v>168</v>
      </c>
      <c r="F17" s="110"/>
    </row>
    <row r="18" spans="1:6" s="111" customFormat="1" ht="39" customHeight="1" x14ac:dyDescent="0.35">
      <c r="A1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Saccharin-10mg/L</v>
      </c>
      <c r="B18" s="162" t="s">
        <v>166</v>
      </c>
      <c r="C18" s="105">
        <v>10</v>
      </c>
      <c r="D18" s="164" t="s">
        <v>167</v>
      </c>
      <c r="E18" s="165" t="s">
        <v>168</v>
      </c>
      <c r="F18" s="110"/>
    </row>
    <row r="19" spans="1:6" s="111" customFormat="1" ht="39" customHeight="1" x14ac:dyDescent="0.35">
      <c r="A1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Saccharin-100mg/L</v>
      </c>
      <c r="B19" s="162" t="s">
        <v>166</v>
      </c>
      <c r="C19" s="105">
        <v>100</v>
      </c>
      <c r="D19" s="164" t="s">
        <v>167</v>
      </c>
      <c r="E19" s="165" t="s">
        <v>168</v>
      </c>
      <c r="F19" s="110"/>
    </row>
    <row r="20" spans="1:6" s="111" customFormat="1" ht="39" customHeight="1" x14ac:dyDescent="0.3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5"/>
      <c r="D20" s="105"/>
      <c r="E20" s="40"/>
      <c r="F20" s="110"/>
    </row>
    <row r="21" spans="1:6" s="111" customFormat="1" ht="39" customHeight="1" x14ac:dyDescent="0.3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3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5"/>
      <c r="D22" s="105"/>
      <c r="E22" s="40"/>
      <c r="F22" s="110"/>
    </row>
    <row r="23" spans="1:6" s="111" customFormat="1" ht="39" customHeight="1" x14ac:dyDescent="0.3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3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5"/>
      <c r="D24" s="105"/>
      <c r="E24" s="40"/>
      <c r="F24" s="110"/>
    </row>
    <row r="25" spans="1:6" s="111" customFormat="1" ht="39" customHeight="1" x14ac:dyDescent="0.3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3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5"/>
      <c r="D26" s="105"/>
      <c r="E26" s="40"/>
      <c r="F26" s="110"/>
    </row>
    <row r="27" spans="1:6" s="111" customFormat="1" ht="39" customHeight="1" x14ac:dyDescent="0.3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3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5"/>
      <c r="D28" s="105"/>
      <c r="E28" s="40"/>
      <c r="F28" s="110"/>
    </row>
    <row r="29" spans="1:6" s="111" customFormat="1" ht="39" customHeight="1" x14ac:dyDescent="0.3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3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5"/>
      <c r="D30" s="114"/>
      <c r="E30" s="40"/>
      <c r="F30" s="110"/>
    </row>
    <row r="31" spans="1:6" s="111" customFormat="1" ht="39" customHeight="1" x14ac:dyDescent="0.3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3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5"/>
      <c r="D32" s="114"/>
      <c r="E32" s="40"/>
      <c r="F32" s="110"/>
    </row>
    <row r="33" spans="1:6" s="111" customFormat="1" ht="39" customHeight="1" x14ac:dyDescent="0.3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3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5"/>
      <c r="D34" s="114"/>
      <c r="E34" s="40"/>
      <c r="F34" s="110"/>
    </row>
    <row r="35" spans="1:6" s="111" customFormat="1" ht="39" customHeight="1" thickBot="1" x14ac:dyDescent="0.4">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7"/>
      <c r="C35" s="168"/>
      <c r="D35" s="115"/>
      <c r="E35" s="167"/>
      <c r="F35" s="110"/>
    </row>
    <row r="36" spans="1:6" s="111" customFormat="1" ht="39" customHeight="1" x14ac:dyDescent="0.35">
      <c r="A36"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8" t="s">
        <v>20</v>
      </c>
      <c r="F36" s="170"/>
    </row>
    <row r="37" spans="1:6" s="111" customFormat="1" ht="39" customHeight="1" thickBot="1" x14ac:dyDescent="0.4">
      <c r="A37"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9" t="s">
        <v>128</v>
      </c>
      <c r="F37" s="172"/>
    </row>
    <row r="38" spans="1:6" s="111" customFormat="1" ht="39" customHeight="1" thickBot="1" x14ac:dyDescent="0.4">
      <c r="A38" s="1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4" t="s">
        <v>123</v>
      </c>
      <c r="C38" s="175">
        <v>10</v>
      </c>
      <c r="D38" s="116" t="s">
        <v>127</v>
      </c>
      <c r="E38" s="176" t="s">
        <v>129</v>
      </c>
      <c r="F38" s="177"/>
    </row>
    <row r="39" spans="1:6" s="111" customFormat="1" ht="39" customHeight="1" x14ac:dyDescent="0.35">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Saccharin-0,01mg/L + Testostérone</v>
      </c>
      <c r="B39" s="191" t="str">
        <f>B15</f>
        <v>Test</v>
      </c>
      <c r="C39" s="191">
        <f t="shared" ref="C39:E39" si="0">C15</f>
        <v>0.01</v>
      </c>
      <c r="D39" s="191" t="str">
        <f t="shared" si="0"/>
        <v>mg/L</v>
      </c>
      <c r="E39" s="191" t="str">
        <f t="shared" si="0"/>
        <v>Saccharin</v>
      </c>
      <c r="F39" s="112" t="s">
        <v>50</v>
      </c>
    </row>
    <row r="40" spans="1:6" s="111" customFormat="1" ht="39" customHeight="1" x14ac:dyDescent="0.35">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Saccharin-0,1mg/L + Testostérone</v>
      </c>
      <c r="B40" s="193" t="str">
        <f t="shared" ref="B40:E40" si="1">B16</f>
        <v>Test</v>
      </c>
      <c r="C40" s="193">
        <f t="shared" si="1"/>
        <v>0.1</v>
      </c>
      <c r="D40" s="193" t="str">
        <f t="shared" si="1"/>
        <v>mg/L</v>
      </c>
      <c r="E40" s="193" t="str">
        <f t="shared" si="1"/>
        <v>Saccharin</v>
      </c>
      <c r="F40" s="113" t="s">
        <v>50</v>
      </c>
    </row>
    <row r="41" spans="1:6" s="111" customFormat="1" ht="39" customHeight="1" x14ac:dyDescent="0.35">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Saccharin-1mg/L + Testostérone</v>
      </c>
      <c r="B41" s="193" t="str">
        <f t="shared" ref="B41:E41" si="2">B17</f>
        <v>Test</v>
      </c>
      <c r="C41" s="193">
        <f t="shared" si="2"/>
        <v>1</v>
      </c>
      <c r="D41" s="193" t="str">
        <f t="shared" si="2"/>
        <v>mg/L</v>
      </c>
      <c r="E41" s="193" t="str">
        <f t="shared" si="2"/>
        <v>Saccharin</v>
      </c>
      <c r="F41" s="113" t="s">
        <v>50</v>
      </c>
    </row>
    <row r="42" spans="1:6" s="111" customFormat="1" ht="39" customHeight="1" x14ac:dyDescent="0.35">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Saccharin-10mg/L + Testostérone</v>
      </c>
      <c r="B42" s="193" t="str">
        <f t="shared" ref="B42:E42" si="3">B18</f>
        <v>Test</v>
      </c>
      <c r="C42" s="193">
        <f t="shared" si="3"/>
        <v>10</v>
      </c>
      <c r="D42" s="193" t="str">
        <f t="shared" si="3"/>
        <v>mg/L</v>
      </c>
      <c r="E42" s="193" t="str">
        <f t="shared" si="3"/>
        <v>Saccharin</v>
      </c>
      <c r="F42" s="113" t="s">
        <v>50</v>
      </c>
    </row>
    <row r="43" spans="1:6" s="111" customFormat="1" ht="39" customHeight="1" x14ac:dyDescent="0.35">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Saccharin-100mg/L + Testostérone</v>
      </c>
      <c r="B43" s="193" t="str">
        <f t="shared" ref="B43:E43" si="4">B19</f>
        <v>Test</v>
      </c>
      <c r="C43" s="193">
        <f t="shared" si="4"/>
        <v>100</v>
      </c>
      <c r="D43" s="193" t="str">
        <f t="shared" si="4"/>
        <v>mg/L</v>
      </c>
      <c r="E43" s="193" t="str">
        <f t="shared" si="4"/>
        <v>Saccharin</v>
      </c>
      <c r="F43" s="113" t="s">
        <v>50</v>
      </c>
    </row>
    <row r="44" spans="1:6" s="111" customFormat="1" ht="39" customHeight="1" x14ac:dyDescent="0.35">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3">
        <f t="shared" ref="B44:E44" si="5">B20</f>
        <v>0</v>
      </c>
      <c r="C44" s="193">
        <f t="shared" si="5"/>
        <v>0</v>
      </c>
      <c r="D44" s="193">
        <f t="shared" si="5"/>
        <v>0</v>
      </c>
      <c r="E44" s="193">
        <f t="shared" si="5"/>
        <v>0</v>
      </c>
      <c r="F44" s="113" t="s">
        <v>50</v>
      </c>
    </row>
    <row r="45" spans="1:6" s="111" customFormat="1" ht="39" customHeight="1" x14ac:dyDescent="0.35">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3">
        <f t="shared" ref="B45:E45" si="6">B21</f>
        <v>0</v>
      </c>
      <c r="C45" s="193">
        <f t="shared" si="6"/>
        <v>0</v>
      </c>
      <c r="D45" s="193">
        <f t="shared" si="6"/>
        <v>0</v>
      </c>
      <c r="E45" s="193">
        <f t="shared" si="6"/>
        <v>0</v>
      </c>
      <c r="F45" s="113" t="s">
        <v>50</v>
      </c>
    </row>
    <row r="46" spans="1:6" s="111" customFormat="1" ht="39" customHeight="1" x14ac:dyDescent="0.35">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3">
        <f t="shared" ref="B46:E46" si="7">B22</f>
        <v>0</v>
      </c>
      <c r="C46" s="193">
        <f t="shared" si="7"/>
        <v>0</v>
      </c>
      <c r="D46" s="193">
        <f t="shared" si="7"/>
        <v>0</v>
      </c>
      <c r="E46" s="193">
        <f t="shared" si="7"/>
        <v>0</v>
      </c>
      <c r="F46" s="113" t="s">
        <v>50</v>
      </c>
    </row>
    <row r="47" spans="1:6" s="111" customFormat="1" ht="39" customHeight="1" x14ac:dyDescent="0.35">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3">
        <f t="shared" ref="B47:E47" si="8">B23</f>
        <v>0</v>
      </c>
      <c r="C47" s="193">
        <f t="shared" si="8"/>
        <v>0</v>
      </c>
      <c r="D47" s="193">
        <f t="shared" si="8"/>
        <v>0</v>
      </c>
      <c r="E47" s="193">
        <f t="shared" si="8"/>
        <v>0</v>
      </c>
      <c r="F47" s="113" t="s">
        <v>50</v>
      </c>
    </row>
    <row r="48" spans="1:6" s="111" customFormat="1" ht="39" customHeight="1" x14ac:dyDescent="0.35">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3">
        <f t="shared" ref="B48:E48" si="9">B24</f>
        <v>0</v>
      </c>
      <c r="C48" s="193">
        <f t="shared" si="9"/>
        <v>0</v>
      </c>
      <c r="D48" s="193">
        <f t="shared" si="9"/>
        <v>0</v>
      </c>
      <c r="E48" s="193">
        <f t="shared" si="9"/>
        <v>0</v>
      </c>
      <c r="F48" s="113" t="s">
        <v>50</v>
      </c>
    </row>
    <row r="49" spans="1:6" s="111" customFormat="1" ht="39" customHeight="1" x14ac:dyDescent="0.35">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3">
        <f t="shared" ref="B49:E49" si="10">B25</f>
        <v>0</v>
      </c>
      <c r="C49" s="193">
        <f t="shared" si="10"/>
        <v>0</v>
      </c>
      <c r="D49" s="193">
        <f t="shared" si="10"/>
        <v>0</v>
      </c>
      <c r="E49" s="193">
        <f t="shared" si="10"/>
        <v>0</v>
      </c>
      <c r="F49" s="113" t="s">
        <v>50</v>
      </c>
    </row>
    <row r="50" spans="1:6" s="111" customFormat="1" ht="39" customHeight="1" x14ac:dyDescent="0.35">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3">
        <f t="shared" ref="B50:E50" si="11">B26</f>
        <v>0</v>
      </c>
      <c r="C50" s="193">
        <f t="shared" si="11"/>
        <v>0</v>
      </c>
      <c r="D50" s="193">
        <f t="shared" si="11"/>
        <v>0</v>
      </c>
      <c r="E50" s="193">
        <f t="shared" si="11"/>
        <v>0</v>
      </c>
      <c r="F50" s="113" t="s">
        <v>50</v>
      </c>
    </row>
    <row r="51" spans="1:6" s="111" customFormat="1" ht="39" customHeight="1" x14ac:dyDescent="0.35">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3">
        <f t="shared" ref="B51:E51" si="12">B27</f>
        <v>0</v>
      </c>
      <c r="C51" s="193">
        <f t="shared" si="12"/>
        <v>0</v>
      </c>
      <c r="D51" s="193">
        <f t="shared" si="12"/>
        <v>0</v>
      </c>
      <c r="E51" s="193">
        <f t="shared" si="12"/>
        <v>0</v>
      </c>
      <c r="F51" s="113" t="s">
        <v>50</v>
      </c>
    </row>
    <row r="52" spans="1:6" s="111" customFormat="1" ht="39" customHeight="1" x14ac:dyDescent="0.35">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3">
        <f t="shared" ref="B52:E52" si="13">B28</f>
        <v>0</v>
      </c>
      <c r="C52" s="193">
        <f t="shared" si="13"/>
        <v>0</v>
      </c>
      <c r="D52" s="193">
        <f t="shared" si="13"/>
        <v>0</v>
      </c>
      <c r="E52" s="193">
        <f t="shared" si="13"/>
        <v>0</v>
      </c>
      <c r="F52" s="113" t="s">
        <v>50</v>
      </c>
    </row>
    <row r="53" spans="1:6" s="111" customFormat="1" ht="39" customHeight="1" x14ac:dyDescent="0.35">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3">
        <f t="shared" ref="B53:E53" si="14">B29</f>
        <v>0</v>
      </c>
      <c r="C53" s="193">
        <f t="shared" si="14"/>
        <v>0</v>
      </c>
      <c r="D53" s="193">
        <f t="shared" si="14"/>
        <v>0</v>
      </c>
      <c r="E53" s="193">
        <f t="shared" si="14"/>
        <v>0</v>
      </c>
      <c r="F53" s="113" t="s">
        <v>50</v>
      </c>
    </row>
    <row r="54" spans="1:6" s="111" customFormat="1" ht="39" customHeight="1" x14ac:dyDescent="0.35">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3">
        <f t="shared" ref="B54:E54" si="15">B30</f>
        <v>0</v>
      </c>
      <c r="C54" s="193">
        <f t="shared" si="15"/>
        <v>0</v>
      </c>
      <c r="D54" s="193">
        <f t="shared" si="15"/>
        <v>0</v>
      </c>
      <c r="E54" s="193">
        <f t="shared" si="15"/>
        <v>0</v>
      </c>
      <c r="F54" s="113" t="s">
        <v>50</v>
      </c>
    </row>
    <row r="55" spans="1:6" s="111" customFormat="1" ht="39" customHeight="1" x14ac:dyDescent="0.35">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3">
        <f t="shared" ref="B55:E55" si="16">B31</f>
        <v>0</v>
      </c>
      <c r="C55" s="193">
        <f t="shared" si="16"/>
        <v>0</v>
      </c>
      <c r="D55" s="193">
        <f t="shared" si="16"/>
        <v>0</v>
      </c>
      <c r="E55" s="193">
        <f t="shared" si="16"/>
        <v>0</v>
      </c>
      <c r="F55" s="113" t="s">
        <v>50</v>
      </c>
    </row>
    <row r="56" spans="1:6" s="111" customFormat="1" ht="39" customHeight="1" x14ac:dyDescent="0.35">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3">
        <f t="shared" ref="B56:E56" si="17">B32</f>
        <v>0</v>
      </c>
      <c r="C56" s="193">
        <f t="shared" si="17"/>
        <v>0</v>
      </c>
      <c r="D56" s="193">
        <f t="shared" si="17"/>
        <v>0</v>
      </c>
      <c r="E56" s="193">
        <f t="shared" si="17"/>
        <v>0</v>
      </c>
      <c r="F56" s="113" t="s">
        <v>50</v>
      </c>
    </row>
    <row r="57" spans="1:6" s="111" customFormat="1" ht="39" customHeight="1" x14ac:dyDescent="0.35">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3">
        <f t="shared" ref="B57:E57" si="18">B33</f>
        <v>0</v>
      </c>
      <c r="C57" s="193">
        <f t="shared" si="18"/>
        <v>0</v>
      </c>
      <c r="D57" s="193">
        <f t="shared" si="18"/>
        <v>0</v>
      </c>
      <c r="E57" s="193">
        <f t="shared" si="18"/>
        <v>0</v>
      </c>
      <c r="F57" s="113" t="s">
        <v>50</v>
      </c>
    </row>
    <row r="58" spans="1:6" s="111" customFormat="1" ht="39" customHeight="1" x14ac:dyDescent="0.35">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2">
        <f t="shared" ref="B58:E58" si="19">B34</f>
        <v>0</v>
      </c>
      <c r="C58" s="192">
        <f t="shared" si="19"/>
        <v>0</v>
      </c>
      <c r="D58" s="192">
        <f t="shared" si="19"/>
        <v>0</v>
      </c>
      <c r="E58" s="192">
        <f t="shared" si="19"/>
        <v>0</v>
      </c>
      <c r="F58" s="113" t="s">
        <v>50</v>
      </c>
    </row>
  </sheetData>
  <protectedRanges>
    <protectedRange sqref="A16:A52 C20:D38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4.5" x14ac:dyDescent="0.35"/>
  <cols>
    <col min="1" max="1" width="14.1796875" customWidth="1"/>
    <col min="2" max="2" width="14" customWidth="1"/>
    <col min="3" max="3" width="11.54296875" customWidth="1"/>
    <col min="4" max="4" width="12.453125" customWidth="1"/>
    <col min="5" max="5" width="17.26953125" customWidth="1"/>
    <col min="7" max="7" width="19.54296875" customWidth="1"/>
    <col min="9" max="9" width="15.7265625" customWidth="1"/>
  </cols>
  <sheetData>
    <row r="1" spans="1:9" x14ac:dyDescent="0.35">
      <c r="A1" t="s">
        <v>107</v>
      </c>
      <c r="B1" t="s">
        <v>108</v>
      </c>
      <c r="C1" t="s">
        <v>109</v>
      </c>
      <c r="D1" t="s">
        <v>110</v>
      </c>
      <c r="E1" t="s">
        <v>111</v>
      </c>
      <c r="F1" t="s">
        <v>112</v>
      </c>
      <c r="G1" t="s">
        <v>113</v>
      </c>
      <c r="H1" t="s">
        <v>117</v>
      </c>
      <c r="I1" t="s">
        <v>118</v>
      </c>
    </row>
    <row r="2" spans="1:9" x14ac:dyDescent="0.35">
      <c r="A2" t="s">
        <v>152</v>
      </c>
      <c r="B2" t="s">
        <v>163</v>
      </c>
      <c r="C2" t="s">
        <v>143</v>
      </c>
      <c r="D2" t="s">
        <v>146</v>
      </c>
      <c r="E2" t="s">
        <v>147</v>
      </c>
      <c r="F2" t="s">
        <v>112</v>
      </c>
      <c r="G2">
        <v>360268</v>
      </c>
    </row>
    <row r="3" spans="1:9" x14ac:dyDescent="0.35">
      <c r="A3" t="s">
        <v>152</v>
      </c>
      <c r="B3" t="s">
        <v>163</v>
      </c>
      <c r="C3" t="s">
        <v>144</v>
      </c>
      <c r="D3" t="s">
        <v>148</v>
      </c>
      <c r="E3" t="s">
        <v>149</v>
      </c>
      <c r="F3" t="s">
        <v>112</v>
      </c>
      <c r="G3">
        <v>372315</v>
      </c>
    </row>
    <row r="4" spans="1:9" x14ac:dyDescent="0.35">
      <c r="A4" t="s">
        <v>152</v>
      </c>
      <c r="B4" t="s">
        <v>163</v>
      </c>
      <c r="C4" t="s">
        <v>145</v>
      </c>
      <c r="D4" t="s">
        <v>150</v>
      </c>
      <c r="E4" t="s">
        <v>151</v>
      </c>
      <c r="F4" t="s">
        <v>112</v>
      </c>
      <c r="G4">
        <v>237626</v>
      </c>
    </row>
    <row r="5" spans="1:9" x14ac:dyDescent="0.35">
      <c r="A5" t="s">
        <v>152</v>
      </c>
      <c r="B5" t="s">
        <v>163</v>
      </c>
      <c r="C5" t="s">
        <v>160</v>
      </c>
      <c r="D5" t="s">
        <v>161</v>
      </c>
      <c r="E5" t="s">
        <v>162</v>
      </c>
      <c r="F5" t="s">
        <v>112</v>
      </c>
      <c r="G5">
        <v>1439015</v>
      </c>
    </row>
    <row r="6" spans="1:9" x14ac:dyDescent="0.35">
      <c r="A6" t="s">
        <v>152</v>
      </c>
      <c r="B6" t="s">
        <v>163</v>
      </c>
      <c r="C6" t="s">
        <v>157</v>
      </c>
      <c r="D6" t="s">
        <v>158</v>
      </c>
      <c r="E6" t="s">
        <v>159</v>
      </c>
      <c r="F6" t="s">
        <v>112</v>
      </c>
      <c r="G6">
        <v>1433586</v>
      </c>
    </row>
    <row r="7" spans="1:9" x14ac:dyDescent="0.35">
      <c r="A7" t="s">
        <v>152</v>
      </c>
      <c r="B7" t="s">
        <v>163</v>
      </c>
      <c r="C7" t="s">
        <v>154</v>
      </c>
      <c r="D7" t="s">
        <v>155</v>
      </c>
      <c r="E7" t="s">
        <v>156</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A1536" zoomScale="70" zoomScaleNormal="70" workbookViewId="0">
      <selection activeCell="A2" sqref="A2:A1557"/>
    </sheetView>
  </sheetViews>
  <sheetFormatPr baseColWidth="10" defaultColWidth="11.453125" defaultRowHeight="14.5" x14ac:dyDescent="0.35"/>
  <cols>
    <col min="1" max="1" width="15" style="1" customWidth="1"/>
    <col min="2" max="2" width="26.54296875" style="1" customWidth="1"/>
    <col min="3" max="3" width="87.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5.453125" style="1" customWidth="1"/>
    <col min="12" max="12" width="15.453125" style="1" customWidth="1"/>
    <col min="13" max="14" width="12.81640625" style="1" customWidth="1"/>
    <col min="15" max="20" width="12.26953125" style="1" customWidth="1"/>
    <col min="21" max="21" width="17.453125" style="1" customWidth="1"/>
    <col min="22" max="25" width="12.26953125" style="1" customWidth="1"/>
    <col min="26" max="27" width="15.54296875" style="1" customWidth="1"/>
    <col min="28" max="28" width="14.26953125" style="1" customWidth="1"/>
    <col min="29" max="16384" width="11.453125" style="1"/>
  </cols>
  <sheetData>
    <row r="1" spans="1:144" x14ac:dyDescent="0.35">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
      </c>
      <c r="B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
      </c>
      <c r="B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
      </c>
      <c r="B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
      </c>
      <c r="B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
      </c>
      <c r="B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
      </c>
      <c r="B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
      </c>
      <c r="B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
      </c>
      <c r="B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
      </c>
      <c r="B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 spans="1:144" x14ac:dyDescent="0.35">
      <c r="A12" s="1" t="str">
        <f t="shared" si="0"/>
        <v/>
      </c>
      <c r="B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 spans="1:144" x14ac:dyDescent="0.35">
      <c r="A13" s="1" t="str">
        <f t="shared" si="0"/>
        <v/>
      </c>
      <c r="B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 spans="1:144" x14ac:dyDescent="0.35">
      <c r="A14" s="1" t="str">
        <f t="shared" si="0"/>
        <v/>
      </c>
      <c r="B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 spans="1:144" x14ac:dyDescent="0.35">
      <c r="A15" s="1" t="str">
        <f t="shared" si="0"/>
        <v/>
      </c>
      <c r="B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 spans="1:144" x14ac:dyDescent="0.35">
      <c r="A16" s="1" t="str">
        <f t="shared" si="0"/>
        <v/>
      </c>
      <c r="B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6"/>
      <c r="N16"/>
      <c r="O16"/>
      <c r="P16"/>
      <c r="Q16"/>
      <c r="R16"/>
      <c r="S16"/>
      <c r="T16"/>
      <c r="U16"/>
      <c r="V16"/>
      <c r="W16"/>
      <c r="X16"/>
      <c r="Y16"/>
      <c r="Z16"/>
      <c r="AA16"/>
      <c r="AB16"/>
      <c r="AC16"/>
      <c r="AD16"/>
      <c r="AE16"/>
      <c r="AF16"/>
      <c r="AG16"/>
      <c r="AH16"/>
    </row>
    <row r="17" spans="1:34" x14ac:dyDescent="0.35">
      <c r="A17" s="1" t="str">
        <f t="shared" si="0"/>
        <v/>
      </c>
      <c r="B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7"/>
      <c r="N17"/>
      <c r="O17"/>
      <c r="P17"/>
      <c r="Q17"/>
      <c r="R17"/>
      <c r="S17"/>
      <c r="T17"/>
      <c r="U17"/>
      <c r="V17"/>
      <c r="W17"/>
      <c r="X17"/>
      <c r="Y17"/>
      <c r="Z17"/>
      <c r="AA17"/>
      <c r="AB17"/>
      <c r="AC17"/>
      <c r="AD17"/>
      <c r="AE17"/>
      <c r="AF17"/>
      <c r="AG17"/>
      <c r="AH17"/>
    </row>
    <row r="18" spans="1:34" x14ac:dyDescent="0.35">
      <c r="A18" s="1" t="str">
        <f t="shared" si="0"/>
        <v/>
      </c>
      <c r="B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8"/>
      <c r="N18"/>
      <c r="O18"/>
      <c r="P18"/>
      <c r="Q18"/>
      <c r="R18"/>
      <c r="S18"/>
      <c r="T18"/>
      <c r="U18"/>
      <c r="V18"/>
      <c r="W18"/>
      <c r="X18"/>
      <c r="Y18"/>
      <c r="Z18"/>
      <c r="AA18"/>
      <c r="AB18"/>
      <c r="AC18"/>
      <c r="AD18"/>
      <c r="AE18"/>
      <c r="AF18"/>
      <c r="AG18"/>
      <c r="AH18"/>
    </row>
    <row r="19" spans="1:34" x14ac:dyDescent="0.35">
      <c r="A19" s="1" t="str">
        <f t="shared" si="0"/>
        <v/>
      </c>
      <c r="B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9"/>
      <c r="L19"/>
      <c r="M19"/>
      <c r="N19"/>
      <c r="O19"/>
      <c r="P19"/>
      <c r="Q19"/>
      <c r="R19"/>
      <c r="S19"/>
      <c r="T19"/>
      <c r="U19"/>
      <c r="V19"/>
      <c r="W19"/>
      <c r="X19"/>
      <c r="Y19"/>
      <c r="Z19"/>
      <c r="AA19"/>
      <c r="AB19"/>
      <c r="AC19"/>
      <c r="AD19"/>
      <c r="AE19"/>
      <c r="AF19"/>
      <c r="AG19"/>
      <c r="AH19"/>
    </row>
    <row r="20" spans="1:34" x14ac:dyDescent="0.35">
      <c r="A20" s="1" t="str">
        <f t="shared" si="0"/>
        <v/>
      </c>
      <c r="B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0"/>
      <c r="L20"/>
      <c r="M20"/>
      <c r="N20"/>
      <c r="O20"/>
      <c r="P20"/>
      <c r="Q20"/>
      <c r="R20"/>
      <c r="S20"/>
      <c r="T20"/>
      <c r="U20"/>
      <c r="V20"/>
      <c r="W20"/>
      <c r="X20"/>
      <c r="Y20"/>
      <c r="Z20"/>
      <c r="AA20"/>
      <c r="AB20"/>
      <c r="AC20"/>
      <c r="AD20"/>
      <c r="AE20"/>
      <c r="AF20"/>
      <c r="AG20"/>
      <c r="AH20"/>
    </row>
    <row r="21" spans="1:34" x14ac:dyDescent="0.35">
      <c r="A21" s="1" t="str">
        <f t="shared" si="0"/>
        <v/>
      </c>
      <c r="B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1"/>
      <c r="L21"/>
      <c r="M21"/>
      <c r="N21"/>
      <c r="O21"/>
      <c r="P21"/>
      <c r="Q21"/>
      <c r="R21"/>
      <c r="S21"/>
      <c r="T21"/>
      <c r="U21"/>
      <c r="V21"/>
      <c r="W21"/>
      <c r="X21"/>
      <c r="Y21"/>
      <c r="Z21"/>
      <c r="AA21"/>
      <c r="AB21"/>
      <c r="AC21"/>
      <c r="AD21"/>
      <c r="AE21"/>
      <c r="AF21"/>
      <c r="AG21"/>
      <c r="AH21"/>
    </row>
    <row r="22" spans="1:34" x14ac:dyDescent="0.35">
      <c r="A22" s="1" t="str">
        <f t="shared" si="0"/>
        <v/>
      </c>
      <c r="B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2"/>
      <c r="L22"/>
      <c r="M22"/>
      <c r="N22"/>
      <c r="O22"/>
      <c r="P22"/>
      <c r="Q22"/>
      <c r="R22"/>
      <c r="S22"/>
      <c r="T22"/>
      <c r="U22"/>
      <c r="V22"/>
      <c r="W22"/>
      <c r="X22"/>
      <c r="Y22"/>
      <c r="Z22"/>
      <c r="AA22"/>
      <c r="AB22"/>
      <c r="AC22"/>
      <c r="AD22"/>
      <c r="AE22"/>
      <c r="AF22"/>
      <c r="AG22"/>
      <c r="AH22"/>
    </row>
    <row r="23" spans="1:34" x14ac:dyDescent="0.35">
      <c r="A23" s="1" t="str">
        <f t="shared" si="0"/>
        <v/>
      </c>
      <c r="B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3"/>
      <c r="L23"/>
      <c r="M23"/>
      <c r="N23"/>
      <c r="O23"/>
      <c r="P23"/>
      <c r="Q23"/>
      <c r="R23"/>
      <c r="S23"/>
      <c r="T23"/>
      <c r="U23"/>
      <c r="V23"/>
      <c r="W23"/>
      <c r="X23"/>
      <c r="Y23"/>
      <c r="Z23"/>
      <c r="AA23"/>
      <c r="AB23"/>
      <c r="AC23"/>
      <c r="AD23"/>
      <c r="AE23"/>
      <c r="AF23"/>
      <c r="AG23"/>
      <c r="AH23"/>
    </row>
    <row r="24" spans="1:34" x14ac:dyDescent="0.35">
      <c r="A24" s="1" t="str">
        <f t="shared" si="0"/>
        <v/>
      </c>
      <c r="B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4"/>
      <c r="L24"/>
      <c r="M24"/>
      <c r="N24"/>
      <c r="O24"/>
      <c r="P24"/>
      <c r="Q24"/>
      <c r="R24"/>
      <c r="S24"/>
      <c r="T24"/>
      <c r="U24"/>
      <c r="V24"/>
      <c r="W24"/>
      <c r="X24"/>
      <c r="Y24"/>
      <c r="Z24"/>
      <c r="AA24"/>
      <c r="AB24"/>
      <c r="AC24"/>
      <c r="AD24"/>
      <c r="AE24"/>
      <c r="AF24"/>
      <c r="AG24"/>
      <c r="AH24"/>
    </row>
    <row r="25" spans="1:34" x14ac:dyDescent="0.35">
      <c r="A25" s="1" t="str">
        <f t="shared" si="0"/>
        <v/>
      </c>
      <c r="B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5"/>
      <c r="L25"/>
      <c r="M25"/>
      <c r="N25"/>
      <c r="O25"/>
      <c r="P25"/>
      <c r="Q25"/>
      <c r="R25"/>
      <c r="S25"/>
      <c r="T25"/>
      <c r="U25"/>
      <c r="V25"/>
      <c r="W25"/>
      <c r="X25"/>
      <c r="Y25"/>
      <c r="Z25"/>
      <c r="AA25"/>
      <c r="AB25"/>
      <c r="AC25"/>
      <c r="AD25"/>
      <c r="AE25"/>
      <c r="AF25"/>
      <c r="AG25"/>
      <c r="AH25"/>
    </row>
    <row r="26" spans="1:34" x14ac:dyDescent="0.3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6"/>
      <c r="L26"/>
      <c r="M26"/>
      <c r="N26"/>
      <c r="O26"/>
      <c r="P26"/>
      <c r="Q26"/>
      <c r="R26"/>
      <c r="S26"/>
      <c r="T26"/>
      <c r="U26"/>
      <c r="V26"/>
      <c r="W26"/>
      <c r="X26"/>
      <c r="Y26"/>
      <c r="Z26"/>
      <c r="AA26"/>
      <c r="AB26"/>
      <c r="AC26"/>
      <c r="AD26"/>
      <c r="AE26"/>
      <c r="AF26"/>
      <c r="AG26"/>
      <c r="AH26"/>
    </row>
    <row r="27" spans="1:34" x14ac:dyDescent="0.3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7"/>
      <c r="L27"/>
      <c r="M27"/>
      <c r="N27"/>
      <c r="O27"/>
      <c r="P27"/>
      <c r="Q27"/>
      <c r="R27"/>
      <c r="S27"/>
      <c r="T27"/>
      <c r="U27"/>
      <c r="V27"/>
      <c r="W27"/>
      <c r="X27"/>
      <c r="Y27"/>
      <c r="Z27"/>
      <c r="AA27"/>
      <c r="AB27"/>
      <c r="AC27"/>
      <c r="AD27"/>
      <c r="AE27"/>
      <c r="AF27"/>
      <c r="AG27"/>
      <c r="AH27"/>
    </row>
    <row r="28" spans="1:34" x14ac:dyDescent="0.35">
      <c r="A28" s="1" t="str">
        <f t="shared" si="0"/>
        <v/>
      </c>
      <c r="B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8"/>
      <c r="L28"/>
      <c r="M28"/>
      <c r="N28"/>
      <c r="O28"/>
      <c r="P28"/>
      <c r="Q28"/>
      <c r="R28"/>
      <c r="S28"/>
      <c r="T28"/>
      <c r="U28"/>
      <c r="V28"/>
      <c r="W28"/>
      <c r="X28"/>
      <c r="Y28"/>
      <c r="Z28"/>
      <c r="AA28"/>
      <c r="AB28"/>
      <c r="AC28"/>
      <c r="AD28"/>
      <c r="AE28"/>
      <c r="AF28"/>
      <c r="AG28"/>
      <c r="AH28"/>
    </row>
    <row r="29" spans="1:34" x14ac:dyDescent="0.3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9"/>
      <c r="L29"/>
      <c r="M29"/>
      <c r="N29"/>
      <c r="O29"/>
      <c r="P29"/>
      <c r="Q29"/>
      <c r="R29"/>
      <c r="S29"/>
      <c r="T29"/>
      <c r="U29"/>
      <c r="V29"/>
      <c r="W29"/>
      <c r="X29"/>
      <c r="Y29"/>
      <c r="Z29"/>
      <c r="AA29"/>
      <c r="AB29"/>
      <c r="AC29"/>
      <c r="AD29"/>
      <c r="AE29"/>
      <c r="AF29"/>
      <c r="AG29"/>
      <c r="AH29"/>
    </row>
    <row r="30" spans="1:34" x14ac:dyDescent="0.3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0"/>
      <c r="L30"/>
      <c r="M30"/>
      <c r="N30"/>
      <c r="O30"/>
      <c r="P30"/>
      <c r="Q30"/>
      <c r="R30"/>
      <c r="S30"/>
      <c r="T30"/>
      <c r="U30"/>
      <c r="V30"/>
      <c r="W30"/>
      <c r="X30"/>
      <c r="Y30"/>
      <c r="Z30"/>
      <c r="AA30"/>
      <c r="AB30"/>
      <c r="AC30"/>
      <c r="AD30"/>
      <c r="AE30"/>
      <c r="AF30"/>
      <c r="AG30"/>
      <c r="AH30"/>
    </row>
    <row r="31" spans="1:34" x14ac:dyDescent="0.3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1"/>
      <c r="L31"/>
      <c r="M31"/>
      <c r="N31"/>
      <c r="O31"/>
      <c r="P31"/>
      <c r="Q31"/>
      <c r="R31"/>
      <c r="S31"/>
      <c r="T31"/>
      <c r="U31"/>
      <c r="V31"/>
      <c r="W31"/>
      <c r="X31"/>
      <c r="Y31"/>
      <c r="Z31"/>
      <c r="AA31"/>
      <c r="AB31"/>
      <c r="AC31"/>
      <c r="AD31"/>
      <c r="AE31"/>
      <c r="AF31"/>
      <c r="AG31"/>
      <c r="AH31"/>
    </row>
    <row r="32" spans="1:34" x14ac:dyDescent="0.3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2"/>
      <c r="L32"/>
      <c r="M32"/>
      <c r="N32"/>
      <c r="O32"/>
      <c r="P32"/>
      <c r="Q32"/>
      <c r="R32"/>
      <c r="S32"/>
      <c r="T32"/>
      <c r="U32"/>
      <c r="V32"/>
      <c r="W32"/>
      <c r="X32"/>
      <c r="Y32"/>
      <c r="Z32"/>
      <c r="AA32"/>
      <c r="AB32"/>
      <c r="AC32"/>
      <c r="AD32"/>
      <c r="AE32"/>
      <c r="AF32"/>
      <c r="AG32"/>
      <c r="AH32"/>
    </row>
    <row r="33" spans="1:34" x14ac:dyDescent="0.3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3"/>
      <c r="L33"/>
      <c r="M33"/>
      <c r="N33"/>
      <c r="O33"/>
      <c r="P33"/>
      <c r="Q33"/>
      <c r="R33"/>
      <c r="S33"/>
      <c r="T33"/>
      <c r="U33"/>
      <c r="V33"/>
      <c r="W33"/>
      <c r="X33"/>
      <c r="Y33"/>
      <c r="Z33"/>
      <c r="AA33"/>
      <c r="AB33"/>
      <c r="AC33"/>
      <c r="AD33"/>
      <c r="AE33"/>
      <c r="AF33"/>
      <c r="AG33"/>
      <c r="AH33"/>
    </row>
    <row r="34" spans="1:34" x14ac:dyDescent="0.3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4"/>
      <c r="L34"/>
      <c r="M34"/>
      <c r="N34"/>
      <c r="O34"/>
      <c r="P34"/>
      <c r="Q34"/>
      <c r="R34"/>
      <c r="S34"/>
      <c r="T34"/>
      <c r="U34"/>
      <c r="V34"/>
      <c r="W34"/>
      <c r="X34"/>
      <c r="Y34"/>
      <c r="Z34"/>
      <c r="AA34"/>
      <c r="AB34"/>
      <c r="AC34"/>
      <c r="AD34"/>
      <c r="AE34"/>
      <c r="AF34"/>
      <c r="AG34"/>
      <c r="AH34"/>
    </row>
    <row r="35" spans="1:34" x14ac:dyDescent="0.35">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5"/>
      <c r="L35"/>
      <c r="M35"/>
      <c r="N35"/>
      <c r="O35"/>
      <c r="P35"/>
      <c r="Q35"/>
      <c r="R35"/>
      <c r="S35"/>
      <c r="T35"/>
      <c r="U35"/>
      <c r="V35"/>
      <c r="W35"/>
      <c r="X35"/>
      <c r="Y35"/>
      <c r="Z35"/>
      <c r="AA35"/>
      <c r="AB35"/>
      <c r="AC35"/>
      <c r="AD35"/>
      <c r="AE35"/>
      <c r="AF35"/>
      <c r="AG35"/>
      <c r="AH35"/>
    </row>
    <row r="36" spans="1:34" x14ac:dyDescent="0.35">
      <c r="A36" s="1" t="str">
        <f t="shared" si="0"/>
        <v/>
      </c>
      <c r="B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6"/>
      <c r="L36"/>
      <c r="M36"/>
      <c r="N36"/>
      <c r="O36"/>
      <c r="P36"/>
      <c r="Q36"/>
      <c r="R36"/>
      <c r="S36"/>
      <c r="T36"/>
      <c r="U36"/>
      <c r="V36"/>
      <c r="W36"/>
      <c r="X36"/>
      <c r="Y36"/>
      <c r="Z36"/>
      <c r="AA36"/>
      <c r="AB36"/>
      <c r="AC36"/>
      <c r="AD36"/>
      <c r="AE36"/>
      <c r="AF36"/>
      <c r="AG36"/>
      <c r="AH36"/>
    </row>
    <row r="37" spans="1:34" x14ac:dyDescent="0.35">
      <c r="A37" s="1" t="str">
        <f t="shared" si="0"/>
        <v/>
      </c>
      <c r="B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7"/>
      <c r="L37"/>
      <c r="M37"/>
      <c r="N37"/>
      <c r="O37"/>
      <c r="P37"/>
      <c r="Q37"/>
      <c r="R37"/>
      <c r="S37"/>
      <c r="T37"/>
      <c r="U37"/>
      <c r="V37"/>
      <c r="W37"/>
      <c r="X37"/>
      <c r="Y37"/>
      <c r="Z37"/>
      <c r="AA37"/>
      <c r="AB37"/>
      <c r="AC37"/>
      <c r="AD37"/>
      <c r="AE37"/>
      <c r="AF37"/>
      <c r="AG37"/>
      <c r="AH37"/>
    </row>
    <row r="38" spans="1:34" x14ac:dyDescent="0.35">
      <c r="A38" s="1" t="str">
        <f t="shared" si="0"/>
        <v/>
      </c>
      <c r="B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8"/>
      <c r="L38"/>
      <c r="M38"/>
      <c r="N38"/>
      <c r="O38"/>
      <c r="P38"/>
      <c r="Q38"/>
      <c r="R38"/>
      <c r="S38"/>
      <c r="T38"/>
      <c r="U38"/>
      <c r="V38"/>
      <c r="W38"/>
      <c r="X38"/>
      <c r="Y38"/>
      <c r="Z38"/>
      <c r="AA38"/>
      <c r="AB38"/>
      <c r="AC38"/>
      <c r="AD38"/>
      <c r="AE38"/>
      <c r="AF38"/>
      <c r="AG38"/>
      <c r="AH38"/>
    </row>
    <row r="39" spans="1:34" x14ac:dyDescent="0.35">
      <c r="A39" s="1" t="str">
        <f t="shared" si="0"/>
        <v/>
      </c>
      <c r="B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 spans="1:34" x14ac:dyDescent="0.35">
      <c r="A40" s="1" t="str">
        <f t="shared" si="0"/>
        <v/>
      </c>
      <c r="B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 spans="1:34" x14ac:dyDescent="0.35">
      <c r="A41" s="1" t="str">
        <f t="shared" si="0"/>
        <v/>
      </c>
      <c r="B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 spans="1:34" x14ac:dyDescent="0.35">
      <c r="A42" s="1" t="str">
        <f t="shared" si="0"/>
        <v/>
      </c>
      <c r="B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 spans="1:34" x14ac:dyDescent="0.35">
      <c r="A43" s="1" t="str">
        <f t="shared" si="0"/>
        <v/>
      </c>
      <c r="B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 spans="1:34" x14ac:dyDescent="0.35">
      <c r="A44" s="1" t="str">
        <f t="shared" si="0"/>
        <v/>
      </c>
      <c r="B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 spans="1:34" x14ac:dyDescent="0.35">
      <c r="A45" s="1" t="str">
        <f t="shared" si="0"/>
        <v/>
      </c>
      <c r="B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 spans="1:34" x14ac:dyDescent="0.35">
      <c r="A46" s="1" t="str">
        <f t="shared" si="0"/>
        <v/>
      </c>
      <c r="B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 spans="1:34" x14ac:dyDescent="0.35">
      <c r="A47" s="1" t="str">
        <f t="shared" si="0"/>
        <v/>
      </c>
      <c r="B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 spans="1:34" x14ac:dyDescent="0.35">
      <c r="A48" s="1" t="str">
        <f t="shared" si="0"/>
        <v/>
      </c>
      <c r="B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 spans="1:2" x14ac:dyDescent="0.35">
      <c r="A49" s="1" t="str">
        <f t="shared" si="0"/>
        <v/>
      </c>
      <c r="B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 spans="1:2" x14ac:dyDescent="0.35">
      <c r="A50" s="1" t="str">
        <f t="shared" si="0"/>
        <v/>
      </c>
      <c r="B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 spans="1:2" x14ac:dyDescent="0.35">
      <c r="A51" s="1" t="str">
        <f t="shared" si="0"/>
        <v/>
      </c>
      <c r="B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 spans="1:2" x14ac:dyDescent="0.35">
      <c r="A52" s="1" t="str">
        <f t="shared" si="0"/>
        <v/>
      </c>
      <c r="B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 spans="1:2" x14ac:dyDescent="0.35">
      <c r="A53" s="1" t="str">
        <f t="shared" si="0"/>
        <v/>
      </c>
      <c r="B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 spans="1:2" x14ac:dyDescent="0.35">
      <c r="A54" s="1" t="str">
        <f t="shared" si="0"/>
        <v/>
      </c>
      <c r="B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 spans="1:2" x14ac:dyDescent="0.35">
      <c r="A55" s="1" t="str">
        <f t="shared" si="0"/>
        <v/>
      </c>
      <c r="B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 spans="1:2" x14ac:dyDescent="0.35">
      <c r="A56" s="1" t="str">
        <f t="shared" si="0"/>
        <v/>
      </c>
      <c r="B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 spans="1:2" x14ac:dyDescent="0.35">
      <c r="A57" s="1" t="str">
        <f t="shared" si="0"/>
        <v/>
      </c>
      <c r="B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 spans="1:2" x14ac:dyDescent="0.35">
      <c r="A58" s="1" t="str">
        <f t="shared" si="0"/>
        <v/>
      </c>
      <c r="B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 spans="1:2" x14ac:dyDescent="0.3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 spans="1:2" x14ac:dyDescent="0.3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 spans="1:2" x14ac:dyDescent="0.35">
      <c r="A61" s="1" t="str">
        <f t="shared" si="0"/>
        <v/>
      </c>
      <c r="B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 spans="1:2" x14ac:dyDescent="0.3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 spans="1:2" x14ac:dyDescent="0.3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 spans="1:2" x14ac:dyDescent="0.3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 spans="1:2" x14ac:dyDescent="0.3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 spans="1:2" x14ac:dyDescent="0.3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 spans="1:2" x14ac:dyDescent="0.3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 spans="1:2" x14ac:dyDescent="0.35">
      <c r="A68" s="1" t="str">
        <f t="shared" si="1"/>
        <v/>
      </c>
      <c r="B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 spans="1:2" x14ac:dyDescent="0.35">
      <c r="A69" s="1" t="str">
        <f t="shared" si="1"/>
        <v/>
      </c>
      <c r="B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 spans="1:2" x14ac:dyDescent="0.35">
      <c r="A70" s="1" t="str">
        <f t="shared" si="1"/>
        <v/>
      </c>
      <c r="B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 spans="1:2" x14ac:dyDescent="0.35">
      <c r="A71" s="1" t="str">
        <f t="shared" si="1"/>
        <v/>
      </c>
      <c r="B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 spans="1:2" x14ac:dyDescent="0.35">
      <c r="A72" s="1" t="str">
        <f t="shared" si="1"/>
        <v/>
      </c>
      <c r="B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 spans="1:2" x14ac:dyDescent="0.35">
      <c r="A73" s="1" t="str">
        <f t="shared" si="1"/>
        <v/>
      </c>
      <c r="B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 spans="1:2" x14ac:dyDescent="0.35">
      <c r="A74" s="1" t="str">
        <f t="shared" si="1"/>
        <v/>
      </c>
      <c r="B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 spans="1:2" x14ac:dyDescent="0.35">
      <c r="A75" s="1" t="str">
        <f t="shared" si="1"/>
        <v/>
      </c>
      <c r="B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 spans="1:2" x14ac:dyDescent="0.35">
      <c r="A76" s="1" t="str">
        <f t="shared" si="1"/>
        <v/>
      </c>
      <c r="B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 spans="1:2" x14ac:dyDescent="0.35">
      <c r="A77" s="1" t="str">
        <f t="shared" si="1"/>
        <v/>
      </c>
      <c r="B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 spans="1:2" x14ac:dyDescent="0.35">
      <c r="A78" s="1" t="str">
        <f t="shared" si="1"/>
        <v/>
      </c>
      <c r="B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 spans="1:2" x14ac:dyDescent="0.35">
      <c r="A79" s="1" t="str">
        <f t="shared" si="1"/>
        <v/>
      </c>
      <c r="B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 spans="1:2" x14ac:dyDescent="0.35">
      <c r="A80" s="1" t="str">
        <f t="shared" si="1"/>
        <v/>
      </c>
      <c r="B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 spans="1:2" x14ac:dyDescent="0.35">
      <c r="A81" s="1" t="str">
        <f t="shared" si="1"/>
        <v/>
      </c>
      <c r="B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 spans="1:2" x14ac:dyDescent="0.35">
      <c r="A82" s="1" t="str">
        <f t="shared" si="1"/>
        <v/>
      </c>
      <c r="B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 spans="1:2" x14ac:dyDescent="0.35">
      <c r="A83" s="1" t="str">
        <f t="shared" si="1"/>
        <v/>
      </c>
      <c r="B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 spans="1:2" x14ac:dyDescent="0.35">
      <c r="A84" s="1" t="str">
        <f t="shared" si="1"/>
        <v/>
      </c>
      <c r="B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 spans="1:2" x14ac:dyDescent="0.35">
      <c r="A85" s="1" t="str">
        <f t="shared" si="1"/>
        <v/>
      </c>
      <c r="B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 spans="1:2" x14ac:dyDescent="0.35">
      <c r="A86" s="1" t="str">
        <f t="shared" si="1"/>
        <v/>
      </c>
      <c r="B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 spans="1:2" x14ac:dyDescent="0.35">
      <c r="A87" s="1" t="str">
        <f t="shared" si="1"/>
        <v/>
      </c>
      <c r="B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 spans="1:2" x14ac:dyDescent="0.35">
      <c r="A88" s="1" t="str">
        <f t="shared" si="1"/>
        <v/>
      </c>
      <c r="B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 spans="1:2" x14ac:dyDescent="0.35">
      <c r="A89" s="1" t="str">
        <f t="shared" si="1"/>
        <v/>
      </c>
      <c r="B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 spans="1:2" x14ac:dyDescent="0.35">
      <c r="A90" s="1" t="str">
        <f t="shared" si="1"/>
        <v/>
      </c>
      <c r="B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 spans="1:2" x14ac:dyDescent="0.35">
      <c r="A91" s="1" t="str">
        <f t="shared" si="1"/>
        <v/>
      </c>
      <c r="B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 spans="1:2" x14ac:dyDescent="0.3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 spans="1:2" x14ac:dyDescent="0.3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 spans="1:2" x14ac:dyDescent="0.35">
      <c r="A94" s="1" t="str">
        <f t="shared" si="1"/>
        <v/>
      </c>
      <c r="B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 spans="1:2" x14ac:dyDescent="0.3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 spans="1:2" x14ac:dyDescent="0.3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 spans="1:2" x14ac:dyDescent="0.3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 spans="1:2" x14ac:dyDescent="0.3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 spans="1:2" x14ac:dyDescent="0.3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 spans="1:2" x14ac:dyDescent="0.3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 spans="1:2" x14ac:dyDescent="0.35">
      <c r="A101" s="1" t="str">
        <f t="shared" si="1"/>
        <v/>
      </c>
      <c r="B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 spans="1:2" x14ac:dyDescent="0.35">
      <c r="A102" s="1" t="str">
        <f t="shared" si="1"/>
        <v/>
      </c>
      <c r="B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 spans="1:2" x14ac:dyDescent="0.35">
      <c r="A103" s="1" t="str">
        <f t="shared" si="1"/>
        <v/>
      </c>
      <c r="B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 spans="1:2" x14ac:dyDescent="0.35">
      <c r="A104" s="1" t="str">
        <f t="shared" si="1"/>
        <v/>
      </c>
      <c r="B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 spans="1:2" x14ac:dyDescent="0.35">
      <c r="A105" s="1" t="str">
        <f t="shared" si="1"/>
        <v/>
      </c>
      <c r="B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 spans="1:2" x14ac:dyDescent="0.35">
      <c r="A106" s="1" t="str">
        <f t="shared" si="1"/>
        <v/>
      </c>
      <c r="B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 spans="1:2" x14ac:dyDescent="0.35">
      <c r="A107" s="1" t="str">
        <f t="shared" si="1"/>
        <v/>
      </c>
      <c r="B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 spans="1:2" x14ac:dyDescent="0.35">
      <c r="A108" s="1" t="str">
        <f t="shared" si="1"/>
        <v/>
      </c>
      <c r="B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 spans="1:2" x14ac:dyDescent="0.35">
      <c r="A109" s="1" t="str">
        <f t="shared" si="1"/>
        <v/>
      </c>
      <c r="B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 spans="1:2" x14ac:dyDescent="0.35">
      <c r="A110" s="1" t="str">
        <f t="shared" si="1"/>
        <v/>
      </c>
      <c r="B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 spans="1:2" x14ac:dyDescent="0.35">
      <c r="A111" s="1" t="str">
        <f t="shared" si="1"/>
        <v/>
      </c>
      <c r="B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 spans="1:2" x14ac:dyDescent="0.35">
      <c r="A112" s="1" t="str">
        <f t="shared" si="1"/>
        <v/>
      </c>
      <c r="B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 spans="1:2" x14ac:dyDescent="0.35">
      <c r="A113" s="1" t="str">
        <f t="shared" si="1"/>
        <v/>
      </c>
      <c r="B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 spans="1:2" x14ac:dyDescent="0.35">
      <c r="A114" s="1" t="str">
        <f t="shared" si="1"/>
        <v/>
      </c>
      <c r="B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 spans="1:2" x14ac:dyDescent="0.35">
      <c r="A115" s="1" t="str">
        <f t="shared" si="1"/>
        <v/>
      </c>
      <c r="B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 spans="1:2" x14ac:dyDescent="0.35">
      <c r="A116" s="1" t="str">
        <f t="shared" si="1"/>
        <v/>
      </c>
      <c r="B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 spans="1:2" x14ac:dyDescent="0.35">
      <c r="A117" s="1" t="str">
        <f t="shared" si="1"/>
        <v/>
      </c>
      <c r="B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 spans="1:2" x14ac:dyDescent="0.35">
      <c r="A118" s="1" t="str">
        <f t="shared" si="1"/>
        <v/>
      </c>
      <c r="B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 spans="1:2" x14ac:dyDescent="0.35">
      <c r="A119" s="1" t="str">
        <f t="shared" si="1"/>
        <v/>
      </c>
      <c r="B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 spans="1:2" x14ac:dyDescent="0.35">
      <c r="A120" s="1" t="str">
        <f t="shared" si="1"/>
        <v/>
      </c>
      <c r="B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 spans="1:2" x14ac:dyDescent="0.35">
      <c r="A121" s="1" t="str">
        <f t="shared" si="1"/>
        <v/>
      </c>
      <c r="B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 spans="1:2" x14ac:dyDescent="0.35">
      <c r="A122" s="1" t="str">
        <f t="shared" si="1"/>
        <v/>
      </c>
      <c r="B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 spans="1:2" x14ac:dyDescent="0.35">
      <c r="A123" s="1" t="str">
        <f t="shared" si="1"/>
        <v/>
      </c>
      <c r="B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 spans="1:2" x14ac:dyDescent="0.35">
      <c r="A124" s="1" t="str">
        <f t="shared" si="1"/>
        <v/>
      </c>
      <c r="B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 spans="1:2" x14ac:dyDescent="0.3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 spans="1:2" x14ac:dyDescent="0.3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 spans="1:2" x14ac:dyDescent="0.35">
      <c r="A127" s="1" t="str">
        <f t="shared" si="1"/>
        <v/>
      </c>
      <c r="B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 spans="1:2" x14ac:dyDescent="0.3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 spans="1:2" x14ac:dyDescent="0.3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 spans="1:2" x14ac:dyDescent="0.3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 spans="1:2" x14ac:dyDescent="0.3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 spans="1:2" x14ac:dyDescent="0.3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 spans="1:2" x14ac:dyDescent="0.3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 spans="1:2" x14ac:dyDescent="0.35">
      <c r="A134" s="1" t="str">
        <f t="shared" si="2"/>
        <v/>
      </c>
      <c r="B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 spans="1:2" x14ac:dyDescent="0.35">
      <c r="A135" s="1" t="str">
        <f t="shared" si="2"/>
        <v/>
      </c>
      <c r="B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 spans="1:2" x14ac:dyDescent="0.35">
      <c r="A136" s="1" t="str">
        <f t="shared" si="2"/>
        <v/>
      </c>
      <c r="B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 spans="1:2" x14ac:dyDescent="0.35">
      <c r="A137" s="1" t="str">
        <f t="shared" si="2"/>
        <v/>
      </c>
      <c r="B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 spans="1:2" x14ac:dyDescent="0.35">
      <c r="A138" s="1" t="str">
        <f t="shared" si="2"/>
        <v/>
      </c>
      <c r="B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 spans="1:2" x14ac:dyDescent="0.35">
      <c r="A139" s="1" t="str">
        <f t="shared" si="2"/>
        <v/>
      </c>
      <c r="B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 spans="1:2" x14ac:dyDescent="0.35">
      <c r="A140" s="1" t="str">
        <f t="shared" si="2"/>
        <v/>
      </c>
      <c r="B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 spans="1:2" x14ac:dyDescent="0.35">
      <c r="A141" s="1" t="str">
        <f t="shared" si="2"/>
        <v/>
      </c>
      <c r="B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 spans="1:2" x14ac:dyDescent="0.35">
      <c r="A142" s="1" t="str">
        <f t="shared" si="2"/>
        <v/>
      </c>
      <c r="B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 spans="1:2" x14ac:dyDescent="0.35">
      <c r="A143" s="1" t="str">
        <f t="shared" si="2"/>
        <v/>
      </c>
      <c r="B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 spans="1:2" x14ac:dyDescent="0.35">
      <c r="A144" s="1" t="str">
        <f t="shared" si="2"/>
        <v/>
      </c>
      <c r="B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 spans="1:2" x14ac:dyDescent="0.35">
      <c r="A145" s="1" t="str">
        <f t="shared" si="2"/>
        <v/>
      </c>
      <c r="B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 spans="1:2" x14ac:dyDescent="0.35">
      <c r="A146" s="1" t="str">
        <f t="shared" si="2"/>
        <v/>
      </c>
      <c r="B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 spans="1:2" x14ac:dyDescent="0.35">
      <c r="A147" s="1" t="str">
        <f t="shared" si="2"/>
        <v/>
      </c>
      <c r="B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 spans="1:2" x14ac:dyDescent="0.35">
      <c r="A148" s="1" t="str">
        <f t="shared" si="2"/>
        <v/>
      </c>
      <c r="B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 spans="1:2" x14ac:dyDescent="0.35">
      <c r="A149" s="1" t="str">
        <f t="shared" si="2"/>
        <v/>
      </c>
      <c r="B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 spans="1:2" x14ac:dyDescent="0.35">
      <c r="A150" s="1" t="str">
        <f t="shared" si="2"/>
        <v/>
      </c>
      <c r="B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 spans="1:2" x14ac:dyDescent="0.35">
      <c r="A151" s="1" t="str">
        <f t="shared" si="2"/>
        <v/>
      </c>
      <c r="B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 spans="1:2" x14ac:dyDescent="0.35">
      <c r="A152" s="1" t="str">
        <f t="shared" si="2"/>
        <v/>
      </c>
      <c r="B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 spans="1:2" x14ac:dyDescent="0.35">
      <c r="A153" s="1" t="str">
        <f t="shared" si="2"/>
        <v/>
      </c>
      <c r="B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 spans="1:2" x14ac:dyDescent="0.35">
      <c r="A154" s="1" t="str">
        <f t="shared" si="2"/>
        <v/>
      </c>
      <c r="B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 spans="1:2" x14ac:dyDescent="0.35">
      <c r="A155" s="1" t="str">
        <f t="shared" si="2"/>
        <v/>
      </c>
      <c r="B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6" spans="1:2" x14ac:dyDescent="0.35">
      <c r="A156" s="1" t="str">
        <f t="shared" si="2"/>
        <v/>
      </c>
      <c r="B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7" spans="1:2" x14ac:dyDescent="0.35">
      <c r="A157" s="1" t="str">
        <f t="shared" si="2"/>
        <v/>
      </c>
      <c r="B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8" spans="1:2" x14ac:dyDescent="0.3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9" spans="1:2" x14ac:dyDescent="0.3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0" spans="1:2" x14ac:dyDescent="0.35">
      <c r="A160" s="1" t="str">
        <f t="shared" si="2"/>
        <v/>
      </c>
      <c r="B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1" spans="1:2" x14ac:dyDescent="0.3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2" spans="1:2" x14ac:dyDescent="0.3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3" spans="1:2" x14ac:dyDescent="0.3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4" spans="1:2" x14ac:dyDescent="0.3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5" spans="1:2" x14ac:dyDescent="0.3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6" spans="1:2" x14ac:dyDescent="0.3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7" spans="1:2" x14ac:dyDescent="0.35">
      <c r="A167" s="1" t="str">
        <f t="shared" si="2"/>
        <v/>
      </c>
      <c r="B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8" spans="1:2" x14ac:dyDescent="0.35">
      <c r="A168" s="1" t="str">
        <f t="shared" si="2"/>
        <v/>
      </c>
      <c r="B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9" spans="1:2" x14ac:dyDescent="0.35">
      <c r="A169" s="1" t="str">
        <f t="shared" si="2"/>
        <v/>
      </c>
      <c r="B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0" spans="1:2" x14ac:dyDescent="0.35">
      <c r="A170" s="1" t="str">
        <f t="shared" si="2"/>
        <v/>
      </c>
      <c r="B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1" spans="1:2" x14ac:dyDescent="0.35">
      <c r="A171" s="1" t="str">
        <f t="shared" si="2"/>
        <v/>
      </c>
      <c r="B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2" spans="1:2" x14ac:dyDescent="0.35">
      <c r="A172" s="1" t="str">
        <f t="shared" si="2"/>
        <v/>
      </c>
      <c r="B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3" spans="1:2" x14ac:dyDescent="0.35">
      <c r="A173" s="1" t="str">
        <f t="shared" si="2"/>
        <v/>
      </c>
      <c r="B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4" spans="1:2" x14ac:dyDescent="0.35">
      <c r="A174" s="1" t="str">
        <f t="shared" si="2"/>
        <v/>
      </c>
      <c r="B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5" spans="1:2" x14ac:dyDescent="0.35">
      <c r="A175" s="1" t="str">
        <f t="shared" si="2"/>
        <v/>
      </c>
      <c r="B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6" spans="1:2" x14ac:dyDescent="0.35">
      <c r="A176" s="1" t="str">
        <f t="shared" si="2"/>
        <v/>
      </c>
      <c r="B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7" spans="1:2" x14ac:dyDescent="0.35">
      <c r="A177" s="1" t="str">
        <f t="shared" si="2"/>
        <v/>
      </c>
      <c r="B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8" spans="1:2" x14ac:dyDescent="0.35">
      <c r="A178" s="1" t="str">
        <f t="shared" si="2"/>
        <v/>
      </c>
      <c r="B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9" spans="1:2" x14ac:dyDescent="0.35">
      <c r="A179" s="1" t="str">
        <f t="shared" si="2"/>
        <v/>
      </c>
      <c r="B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0" spans="1:2" x14ac:dyDescent="0.35">
      <c r="A180" s="1" t="str">
        <f t="shared" si="2"/>
        <v/>
      </c>
      <c r="B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1" spans="1:2" x14ac:dyDescent="0.35">
      <c r="A181" s="1" t="str">
        <f t="shared" si="2"/>
        <v/>
      </c>
      <c r="B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2" spans="1:2" x14ac:dyDescent="0.35">
      <c r="A182" s="1" t="str">
        <f t="shared" si="2"/>
        <v/>
      </c>
      <c r="B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3" spans="1:2" x14ac:dyDescent="0.35">
      <c r="A183" s="1" t="str">
        <f t="shared" si="2"/>
        <v/>
      </c>
      <c r="B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4" spans="1:2" x14ac:dyDescent="0.35">
      <c r="A184" s="1" t="str">
        <f t="shared" si="2"/>
        <v/>
      </c>
      <c r="B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5" spans="1:2" x14ac:dyDescent="0.35">
      <c r="A185" s="1" t="str">
        <f t="shared" si="2"/>
        <v/>
      </c>
      <c r="B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6" spans="1:2" x14ac:dyDescent="0.35">
      <c r="A186" s="1" t="str">
        <f t="shared" si="2"/>
        <v/>
      </c>
      <c r="B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7" spans="1:2" x14ac:dyDescent="0.35">
      <c r="A187" s="1" t="str">
        <f t="shared" si="2"/>
        <v/>
      </c>
      <c r="B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8" spans="1:2" x14ac:dyDescent="0.35">
      <c r="A188" s="1" t="str">
        <f t="shared" si="2"/>
        <v/>
      </c>
      <c r="B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9" spans="1:2" x14ac:dyDescent="0.35">
      <c r="A189" s="1" t="str">
        <f t="shared" si="2"/>
        <v/>
      </c>
      <c r="B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0" spans="1:2" x14ac:dyDescent="0.35">
      <c r="A190" s="1" t="str">
        <f t="shared" si="2"/>
        <v/>
      </c>
      <c r="B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1" spans="1:2" x14ac:dyDescent="0.3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2" spans="1:2" x14ac:dyDescent="0.3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3" spans="1:2" x14ac:dyDescent="0.35">
      <c r="A193" s="1" t="str">
        <f t="shared" si="2"/>
        <v/>
      </c>
      <c r="B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4" spans="1:2" x14ac:dyDescent="0.3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5" spans="1:2" x14ac:dyDescent="0.3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6" spans="1:2" x14ac:dyDescent="0.3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7" spans="1:2" x14ac:dyDescent="0.3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8" spans="1:2" x14ac:dyDescent="0.3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9" spans="1:2" x14ac:dyDescent="0.3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0" spans="1:2" x14ac:dyDescent="0.35">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1" spans="1:2" x14ac:dyDescent="0.35">
      <c r="A201" s="1" t="str">
        <f t="shared" si="3"/>
        <v/>
      </c>
      <c r="B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2" spans="1:2" x14ac:dyDescent="0.35">
      <c r="A202" s="1" t="str">
        <f t="shared" si="3"/>
        <v/>
      </c>
      <c r="B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3" spans="1:2" x14ac:dyDescent="0.35">
      <c r="A203" s="1" t="str">
        <f t="shared" si="3"/>
        <v/>
      </c>
      <c r="B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4" spans="1:2" x14ac:dyDescent="0.35">
      <c r="A204" s="1" t="str">
        <f t="shared" si="3"/>
        <v/>
      </c>
      <c r="B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5" spans="1:2" x14ac:dyDescent="0.35">
      <c r="A205" s="1" t="str">
        <f t="shared" si="3"/>
        <v/>
      </c>
      <c r="B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6" spans="1:2" x14ac:dyDescent="0.35">
      <c r="A206" s="1" t="str">
        <f t="shared" si="3"/>
        <v/>
      </c>
      <c r="B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7" spans="1:2" x14ac:dyDescent="0.35">
      <c r="A207" s="1" t="str">
        <f t="shared" si="3"/>
        <v/>
      </c>
      <c r="B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8" spans="1:2" x14ac:dyDescent="0.35">
      <c r="A208" s="1" t="str">
        <f t="shared" si="3"/>
        <v/>
      </c>
      <c r="B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9" spans="1:2" x14ac:dyDescent="0.35">
      <c r="A209" s="1" t="str">
        <f t="shared" si="3"/>
        <v/>
      </c>
      <c r="B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0" spans="1:2" x14ac:dyDescent="0.35">
      <c r="A210" s="1" t="str">
        <f t="shared" si="3"/>
        <v/>
      </c>
      <c r="B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1" spans="1:2" x14ac:dyDescent="0.35">
      <c r="A211" s="1" t="str">
        <f t="shared" si="3"/>
        <v/>
      </c>
      <c r="B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2" spans="1:2" x14ac:dyDescent="0.35">
      <c r="A212" s="1" t="str">
        <f t="shared" si="3"/>
        <v/>
      </c>
      <c r="B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3" spans="1:2" x14ac:dyDescent="0.35">
      <c r="A213" s="1" t="str">
        <f t="shared" si="3"/>
        <v/>
      </c>
      <c r="B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4" spans="1:2" x14ac:dyDescent="0.35">
      <c r="A214" s="1" t="str">
        <f t="shared" si="3"/>
        <v/>
      </c>
      <c r="B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5" spans="1:2" x14ac:dyDescent="0.35">
      <c r="A215" s="1" t="str">
        <f t="shared" si="3"/>
        <v/>
      </c>
      <c r="B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6" spans="1:2" x14ac:dyDescent="0.35">
      <c r="A216" s="1" t="str">
        <f t="shared" si="3"/>
        <v/>
      </c>
      <c r="B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7" spans="1:2" x14ac:dyDescent="0.35">
      <c r="A217" s="1" t="str">
        <f t="shared" si="3"/>
        <v/>
      </c>
      <c r="B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8" spans="1:2" x14ac:dyDescent="0.35">
      <c r="A218" s="1" t="str">
        <f t="shared" si="3"/>
        <v/>
      </c>
      <c r="B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9" spans="1:2" x14ac:dyDescent="0.35">
      <c r="A219" s="1" t="str">
        <f t="shared" si="3"/>
        <v/>
      </c>
      <c r="B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0" spans="1:2" x14ac:dyDescent="0.35">
      <c r="A220" s="1" t="str">
        <f t="shared" si="3"/>
        <v/>
      </c>
      <c r="B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1" spans="1:2" x14ac:dyDescent="0.35">
      <c r="A221" s="1" t="str">
        <f t="shared" si="3"/>
        <v/>
      </c>
      <c r="B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2" spans="1:2" x14ac:dyDescent="0.35">
      <c r="A222" s="1" t="str">
        <f t="shared" si="3"/>
        <v/>
      </c>
      <c r="B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3" spans="1:2" x14ac:dyDescent="0.35">
      <c r="A223" s="1" t="str">
        <f t="shared" si="3"/>
        <v/>
      </c>
      <c r="B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4" spans="1:2" x14ac:dyDescent="0.3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5" spans="1:2" x14ac:dyDescent="0.3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6" spans="1:2" x14ac:dyDescent="0.35">
      <c r="A226" s="1" t="str">
        <f t="shared" si="3"/>
        <v/>
      </c>
      <c r="B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7" spans="1:2" x14ac:dyDescent="0.3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8" spans="1:2" x14ac:dyDescent="0.3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9" spans="1:2" x14ac:dyDescent="0.3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0" spans="1:2" x14ac:dyDescent="0.3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1" spans="1:2" x14ac:dyDescent="0.3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2" spans="1:2" x14ac:dyDescent="0.3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3" spans="1:2" x14ac:dyDescent="0.35">
      <c r="A233" s="1" t="str">
        <f t="shared" si="3"/>
        <v/>
      </c>
      <c r="B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4" spans="1:2" x14ac:dyDescent="0.35">
      <c r="A234" s="1" t="str">
        <f t="shared" si="3"/>
        <v/>
      </c>
      <c r="B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5" spans="1:2" x14ac:dyDescent="0.35">
      <c r="A235" s="1" t="str">
        <f t="shared" si="3"/>
        <v/>
      </c>
      <c r="B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6" spans="1:2" x14ac:dyDescent="0.35">
      <c r="A236" s="1" t="str">
        <f t="shared" si="3"/>
        <v/>
      </c>
      <c r="B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7" spans="1:2" x14ac:dyDescent="0.35">
      <c r="A237" s="1" t="str">
        <f t="shared" si="3"/>
        <v/>
      </c>
      <c r="B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8" spans="1:2" x14ac:dyDescent="0.35">
      <c r="A238" s="1" t="str">
        <f t="shared" si="3"/>
        <v/>
      </c>
      <c r="B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9" spans="1:2" x14ac:dyDescent="0.35">
      <c r="A239" s="1" t="str">
        <f t="shared" si="3"/>
        <v/>
      </c>
      <c r="B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0" spans="1:2" x14ac:dyDescent="0.35">
      <c r="A240" s="1" t="str">
        <f t="shared" si="3"/>
        <v/>
      </c>
      <c r="B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1" spans="1:2" x14ac:dyDescent="0.35">
      <c r="A241" s="1" t="str">
        <f t="shared" si="3"/>
        <v/>
      </c>
      <c r="B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2" spans="1:2" x14ac:dyDescent="0.35">
      <c r="A242" s="1" t="str">
        <f t="shared" si="3"/>
        <v/>
      </c>
      <c r="B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3" spans="1:2" x14ac:dyDescent="0.35">
      <c r="A243" s="1" t="str">
        <f t="shared" si="3"/>
        <v/>
      </c>
      <c r="B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4" spans="1:2" x14ac:dyDescent="0.35">
      <c r="A244" s="1" t="str">
        <f t="shared" si="3"/>
        <v/>
      </c>
      <c r="B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5" spans="1:2" x14ac:dyDescent="0.35">
      <c r="A245" s="1" t="str">
        <f t="shared" si="3"/>
        <v/>
      </c>
      <c r="B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6" spans="1:2" x14ac:dyDescent="0.35">
      <c r="A246" s="1" t="str">
        <f t="shared" si="3"/>
        <v/>
      </c>
      <c r="B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7" spans="1:2" x14ac:dyDescent="0.35">
      <c r="A247" s="1" t="str">
        <f t="shared" si="3"/>
        <v/>
      </c>
      <c r="B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8" spans="1:2" x14ac:dyDescent="0.35">
      <c r="A248" s="1" t="str">
        <f t="shared" si="3"/>
        <v/>
      </c>
      <c r="B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9" spans="1:2" x14ac:dyDescent="0.35">
      <c r="A249" s="1" t="str">
        <f t="shared" si="3"/>
        <v/>
      </c>
      <c r="B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0" spans="1:2" x14ac:dyDescent="0.35">
      <c r="A250" s="1" t="str">
        <f t="shared" si="3"/>
        <v/>
      </c>
      <c r="B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1" spans="1:2" x14ac:dyDescent="0.35">
      <c r="A251" s="1" t="str">
        <f t="shared" si="3"/>
        <v/>
      </c>
      <c r="B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2" spans="1:2" x14ac:dyDescent="0.35">
      <c r="A252" s="1" t="str">
        <f t="shared" si="3"/>
        <v/>
      </c>
      <c r="B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3" spans="1:2" x14ac:dyDescent="0.35">
      <c r="A253" s="1" t="str">
        <f t="shared" si="3"/>
        <v/>
      </c>
      <c r="B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4" spans="1:2" x14ac:dyDescent="0.35">
      <c r="A254" s="1" t="str">
        <f t="shared" si="3"/>
        <v/>
      </c>
      <c r="B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5" spans="1:2" x14ac:dyDescent="0.35">
      <c r="A255" s="1" t="str">
        <f t="shared" si="3"/>
        <v/>
      </c>
      <c r="B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6" spans="1:2" x14ac:dyDescent="0.35">
      <c r="A256" s="1" t="str">
        <f t="shared" si="3"/>
        <v/>
      </c>
      <c r="B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7" spans="1:2" x14ac:dyDescent="0.3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8" spans="1:2" x14ac:dyDescent="0.3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9" spans="1:2" x14ac:dyDescent="0.35">
      <c r="A259" s="1" t="str">
        <f t="shared" si="4"/>
        <v/>
      </c>
      <c r="B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0" spans="1:2" x14ac:dyDescent="0.3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1" spans="1:2" x14ac:dyDescent="0.3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2" spans="1:2" x14ac:dyDescent="0.3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3" spans="1:2" x14ac:dyDescent="0.3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4" spans="1:2" x14ac:dyDescent="0.3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5" spans="1:2" x14ac:dyDescent="0.3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6" spans="1:2" x14ac:dyDescent="0.35">
      <c r="A266" s="1" t="str">
        <f t="shared" si="4"/>
        <v/>
      </c>
      <c r="B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7" spans="1:2" x14ac:dyDescent="0.35">
      <c r="A267" s="1" t="str">
        <f t="shared" si="4"/>
        <v/>
      </c>
      <c r="B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8" spans="1:2" x14ac:dyDescent="0.35">
      <c r="A268" s="1" t="str">
        <f t="shared" si="4"/>
        <v/>
      </c>
      <c r="B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9" spans="1:2" x14ac:dyDescent="0.35">
      <c r="A269" s="1" t="str">
        <f t="shared" si="4"/>
        <v/>
      </c>
      <c r="B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0" spans="1:2" x14ac:dyDescent="0.35">
      <c r="A270" s="1" t="str">
        <f t="shared" si="4"/>
        <v/>
      </c>
      <c r="B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1" spans="1:2" x14ac:dyDescent="0.35">
      <c r="A271" s="1" t="str">
        <f t="shared" si="4"/>
        <v/>
      </c>
      <c r="B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2" spans="1:2" x14ac:dyDescent="0.35">
      <c r="A272" s="1" t="str">
        <f t="shared" si="4"/>
        <v/>
      </c>
      <c r="B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3" spans="1:2" x14ac:dyDescent="0.35">
      <c r="A273" s="1" t="str">
        <f t="shared" si="4"/>
        <v/>
      </c>
      <c r="B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4" spans="1:2" x14ac:dyDescent="0.35">
      <c r="A274" s="1" t="str">
        <f t="shared" si="4"/>
        <v/>
      </c>
      <c r="B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5" spans="1:2" x14ac:dyDescent="0.35">
      <c r="A275" s="1" t="str">
        <f t="shared" si="4"/>
        <v/>
      </c>
      <c r="B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6" spans="1:2" x14ac:dyDescent="0.35">
      <c r="A276" s="1" t="str">
        <f t="shared" si="4"/>
        <v/>
      </c>
      <c r="B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7" spans="1:2" x14ac:dyDescent="0.35">
      <c r="A277" s="1" t="str">
        <f t="shared" si="4"/>
        <v/>
      </c>
      <c r="B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8" spans="1:2" x14ac:dyDescent="0.35">
      <c r="A278" s="1" t="str">
        <f t="shared" si="4"/>
        <v/>
      </c>
      <c r="B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9" spans="1:2" x14ac:dyDescent="0.35">
      <c r="A279" s="1" t="str">
        <f t="shared" si="4"/>
        <v/>
      </c>
      <c r="B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0" spans="1:2" x14ac:dyDescent="0.35">
      <c r="A280" s="1" t="str">
        <f t="shared" si="4"/>
        <v/>
      </c>
      <c r="B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1" spans="1:2" x14ac:dyDescent="0.35">
      <c r="A281" s="1" t="str">
        <f t="shared" si="4"/>
        <v/>
      </c>
      <c r="B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2" spans="1:2" x14ac:dyDescent="0.35">
      <c r="A282" s="1" t="str">
        <f t="shared" si="4"/>
        <v/>
      </c>
      <c r="B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3" spans="1:2" x14ac:dyDescent="0.35">
      <c r="A283" s="1" t="str">
        <f t="shared" si="4"/>
        <v/>
      </c>
      <c r="B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4" spans="1:2" x14ac:dyDescent="0.35">
      <c r="A284" s="1" t="str">
        <f t="shared" si="4"/>
        <v/>
      </c>
      <c r="B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5" spans="1:2" x14ac:dyDescent="0.35">
      <c r="A285" s="1" t="str">
        <f t="shared" si="4"/>
        <v/>
      </c>
      <c r="B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6" spans="1:2" x14ac:dyDescent="0.35">
      <c r="A286" s="1" t="str">
        <f t="shared" si="4"/>
        <v/>
      </c>
      <c r="B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7" spans="1:2" x14ac:dyDescent="0.35">
      <c r="A287" s="1" t="str">
        <f t="shared" si="4"/>
        <v/>
      </c>
      <c r="B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8" spans="1:2" x14ac:dyDescent="0.35">
      <c r="A288" s="1" t="str">
        <f t="shared" si="4"/>
        <v/>
      </c>
      <c r="B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9" spans="1:2" x14ac:dyDescent="0.35">
      <c r="A289" s="1" t="str">
        <f t="shared" si="4"/>
        <v/>
      </c>
      <c r="B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0" spans="1:2" x14ac:dyDescent="0.3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1" spans="1:2" x14ac:dyDescent="0.3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2" spans="1:2" x14ac:dyDescent="0.35">
      <c r="A292" s="1" t="str">
        <f t="shared" si="4"/>
        <v/>
      </c>
      <c r="B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3" spans="1:2" x14ac:dyDescent="0.3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4" spans="1:2" x14ac:dyDescent="0.3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5" spans="1:2" x14ac:dyDescent="0.3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6" spans="1:2" x14ac:dyDescent="0.3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7" spans="1:2" x14ac:dyDescent="0.3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8" spans="1:2" x14ac:dyDescent="0.3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9" spans="1:2" x14ac:dyDescent="0.35">
      <c r="A299" s="1" t="str">
        <f t="shared" si="4"/>
        <v/>
      </c>
      <c r="B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0" spans="1:2" x14ac:dyDescent="0.35">
      <c r="A300" s="1" t="str">
        <f t="shared" si="4"/>
        <v/>
      </c>
      <c r="B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1" spans="1:2" x14ac:dyDescent="0.35">
      <c r="A301" s="1" t="str">
        <f t="shared" si="4"/>
        <v/>
      </c>
      <c r="B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2" spans="1:2" x14ac:dyDescent="0.35">
      <c r="A302" s="1" t="str">
        <f t="shared" si="4"/>
        <v/>
      </c>
      <c r="B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3" spans="1:2" x14ac:dyDescent="0.35">
      <c r="A303" s="1" t="str">
        <f t="shared" si="4"/>
        <v/>
      </c>
      <c r="B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4" spans="1:2" x14ac:dyDescent="0.35">
      <c r="A304" s="1" t="str">
        <f t="shared" si="4"/>
        <v/>
      </c>
      <c r="B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5" spans="1:2" x14ac:dyDescent="0.35">
      <c r="A305" s="1" t="str">
        <f t="shared" si="4"/>
        <v/>
      </c>
      <c r="B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6" spans="1:2" x14ac:dyDescent="0.35">
      <c r="A306" s="1" t="str">
        <f t="shared" si="4"/>
        <v/>
      </c>
      <c r="B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7" spans="1:2" x14ac:dyDescent="0.35">
      <c r="A307" s="1" t="str">
        <f t="shared" si="4"/>
        <v/>
      </c>
      <c r="B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8" spans="1:2" x14ac:dyDescent="0.35">
      <c r="A308" s="1" t="str">
        <f t="shared" si="4"/>
        <v/>
      </c>
      <c r="B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9" spans="1:2" x14ac:dyDescent="0.35">
      <c r="A309" s="1" t="str">
        <f t="shared" si="4"/>
        <v/>
      </c>
      <c r="B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0" spans="1:2" x14ac:dyDescent="0.35">
      <c r="A310" s="1" t="str">
        <f t="shared" si="4"/>
        <v/>
      </c>
      <c r="B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1" spans="1:2" x14ac:dyDescent="0.35">
      <c r="A311" s="1" t="str">
        <f t="shared" si="4"/>
        <v/>
      </c>
      <c r="B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2" spans="1:2" x14ac:dyDescent="0.35">
      <c r="A312" s="1" t="str">
        <f t="shared" si="4"/>
        <v/>
      </c>
      <c r="B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3" spans="1:2" x14ac:dyDescent="0.35">
      <c r="A313" s="1" t="str">
        <f t="shared" si="4"/>
        <v/>
      </c>
      <c r="B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4" spans="1:2" x14ac:dyDescent="0.35">
      <c r="A314" s="1" t="str">
        <f t="shared" si="4"/>
        <v/>
      </c>
      <c r="B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5" spans="1:2" x14ac:dyDescent="0.35">
      <c r="A315" s="1" t="str">
        <f t="shared" si="4"/>
        <v/>
      </c>
      <c r="B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6" spans="1:2" x14ac:dyDescent="0.35">
      <c r="A316" s="1" t="str">
        <f t="shared" si="4"/>
        <v/>
      </c>
      <c r="B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7" spans="1:2" x14ac:dyDescent="0.35">
      <c r="A317" s="1" t="str">
        <f t="shared" si="4"/>
        <v/>
      </c>
      <c r="B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8" spans="1:2" x14ac:dyDescent="0.35">
      <c r="A318" s="1" t="str">
        <f t="shared" si="4"/>
        <v/>
      </c>
      <c r="B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9" spans="1:2" x14ac:dyDescent="0.35">
      <c r="A319" s="1" t="str">
        <f t="shared" si="4"/>
        <v/>
      </c>
      <c r="B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0" spans="1:2" x14ac:dyDescent="0.35">
      <c r="A320" s="1" t="str">
        <f t="shared" si="4"/>
        <v/>
      </c>
      <c r="B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1" spans="1:2" x14ac:dyDescent="0.35">
      <c r="A321" s="1" t="str">
        <f t="shared" si="4"/>
        <v/>
      </c>
      <c r="B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2" spans="1:2" x14ac:dyDescent="0.35">
      <c r="A322" s="1" t="str">
        <f t="shared" ref="A322:A385" si="5">IFERROR(LEFT(RIGHT(C322,LEN(C322)-SEARCH("@",C322)),SEARCH("/",RIGHT(C322,LEN(C322)-SEARCH("@",C322)-1))),"")</f>
        <v/>
      </c>
      <c r="B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3" spans="1:2" x14ac:dyDescent="0.3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4" spans="1:2" x14ac:dyDescent="0.3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5" spans="1:2" x14ac:dyDescent="0.35">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6" spans="1:2" x14ac:dyDescent="0.3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7" spans="1:2" x14ac:dyDescent="0.3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8" spans="1:2" x14ac:dyDescent="0.3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9" spans="1:2" x14ac:dyDescent="0.3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0" spans="1:2" x14ac:dyDescent="0.3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1" spans="1:2" x14ac:dyDescent="0.3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2" spans="1:2" x14ac:dyDescent="0.35">
      <c r="A332" s="1" t="str">
        <f t="shared" si="5"/>
        <v/>
      </c>
      <c r="B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3" spans="1:2" x14ac:dyDescent="0.35">
      <c r="A333" s="1" t="str">
        <f t="shared" si="5"/>
        <v/>
      </c>
      <c r="B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4" spans="1:2" x14ac:dyDescent="0.35">
      <c r="A334" s="1" t="str">
        <f t="shared" si="5"/>
        <v/>
      </c>
      <c r="B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5" spans="1:2" x14ac:dyDescent="0.35">
      <c r="A335" s="1" t="str">
        <f t="shared" si="5"/>
        <v/>
      </c>
      <c r="B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6" spans="1:2" x14ac:dyDescent="0.35">
      <c r="A336" s="1" t="str">
        <f t="shared" si="5"/>
        <v/>
      </c>
      <c r="B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7" spans="1:2" x14ac:dyDescent="0.35">
      <c r="A337" s="1" t="str">
        <f t="shared" si="5"/>
        <v/>
      </c>
      <c r="B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8" spans="1:2" x14ac:dyDescent="0.35">
      <c r="A338" s="1" t="str">
        <f t="shared" si="5"/>
        <v/>
      </c>
      <c r="B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9" spans="1:2" x14ac:dyDescent="0.35">
      <c r="A339" s="1" t="str">
        <f t="shared" si="5"/>
        <v/>
      </c>
      <c r="B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0" spans="1:2" x14ac:dyDescent="0.35">
      <c r="A340" s="1" t="str">
        <f t="shared" si="5"/>
        <v/>
      </c>
      <c r="B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1" spans="1:2" x14ac:dyDescent="0.35">
      <c r="A341" s="1" t="str">
        <f t="shared" si="5"/>
        <v/>
      </c>
      <c r="B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2" spans="1:2" x14ac:dyDescent="0.35">
      <c r="A342" s="1" t="str">
        <f t="shared" si="5"/>
        <v/>
      </c>
      <c r="B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3" spans="1:2" x14ac:dyDescent="0.35">
      <c r="A343" s="1" t="str">
        <f t="shared" si="5"/>
        <v/>
      </c>
      <c r="B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4" spans="1:2" x14ac:dyDescent="0.35">
      <c r="A344" s="1" t="str">
        <f t="shared" si="5"/>
        <v/>
      </c>
      <c r="B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5" spans="1:2" x14ac:dyDescent="0.35">
      <c r="A345" s="1" t="str">
        <f t="shared" si="5"/>
        <v/>
      </c>
      <c r="B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6" spans="1:2" x14ac:dyDescent="0.35">
      <c r="A346" s="1" t="str">
        <f t="shared" si="5"/>
        <v/>
      </c>
      <c r="B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7" spans="1:2" x14ac:dyDescent="0.35">
      <c r="A347" s="1" t="str">
        <f t="shared" si="5"/>
        <v/>
      </c>
      <c r="B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8" spans="1:2" x14ac:dyDescent="0.35">
      <c r="A348" s="1" t="str">
        <f t="shared" si="5"/>
        <v/>
      </c>
      <c r="B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9" spans="1:2" x14ac:dyDescent="0.35">
      <c r="A349" s="1" t="str">
        <f t="shared" si="5"/>
        <v/>
      </c>
      <c r="B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0" spans="1:2" x14ac:dyDescent="0.35">
      <c r="A350" s="1" t="str">
        <f t="shared" si="5"/>
        <v/>
      </c>
      <c r="B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1" spans="1:2" x14ac:dyDescent="0.35">
      <c r="A351" s="1" t="str">
        <f t="shared" si="5"/>
        <v/>
      </c>
      <c r="B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2" spans="1:2" x14ac:dyDescent="0.35">
      <c r="A352" s="1" t="str">
        <f t="shared" si="5"/>
        <v/>
      </c>
      <c r="B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3" spans="1:2" x14ac:dyDescent="0.35">
      <c r="A353" s="1" t="str">
        <f t="shared" si="5"/>
        <v/>
      </c>
      <c r="B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4" spans="1:2" x14ac:dyDescent="0.35">
      <c r="A354" s="1" t="str">
        <f t="shared" si="5"/>
        <v/>
      </c>
      <c r="B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5" spans="1:2" x14ac:dyDescent="0.35">
      <c r="A355" s="1" t="str">
        <f t="shared" si="5"/>
        <v/>
      </c>
      <c r="B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6" spans="1:2" x14ac:dyDescent="0.3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7" spans="1:2" x14ac:dyDescent="0.3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8" spans="1:2" x14ac:dyDescent="0.35">
      <c r="A358" s="1" t="str">
        <f t="shared" si="5"/>
        <v/>
      </c>
      <c r="B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9" spans="1:2" x14ac:dyDescent="0.3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0" spans="1:2" x14ac:dyDescent="0.3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1" spans="1:2" x14ac:dyDescent="0.3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2" spans="1:2" x14ac:dyDescent="0.3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3" spans="1:2" x14ac:dyDescent="0.3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4" spans="1:2" x14ac:dyDescent="0.3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5" spans="1:2" x14ac:dyDescent="0.35">
      <c r="A365" s="1" t="str">
        <f t="shared" si="5"/>
        <v/>
      </c>
      <c r="B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6" spans="1:2" x14ac:dyDescent="0.35">
      <c r="A366" s="1" t="str">
        <f t="shared" si="5"/>
        <v/>
      </c>
      <c r="B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7" spans="1:2" x14ac:dyDescent="0.35">
      <c r="A367" s="1" t="str">
        <f t="shared" si="5"/>
        <v/>
      </c>
      <c r="B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8" spans="1:2" x14ac:dyDescent="0.35">
      <c r="A368" s="1" t="str">
        <f t="shared" si="5"/>
        <v/>
      </c>
      <c r="B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9" spans="1:2" x14ac:dyDescent="0.35">
      <c r="A369" s="1" t="str">
        <f t="shared" si="5"/>
        <v/>
      </c>
      <c r="B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0" spans="1:2" x14ac:dyDescent="0.35">
      <c r="A370" s="1" t="str">
        <f t="shared" si="5"/>
        <v/>
      </c>
      <c r="B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1" spans="1:2" x14ac:dyDescent="0.35">
      <c r="A371" s="1" t="str">
        <f t="shared" si="5"/>
        <v/>
      </c>
      <c r="B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2" spans="1:2" x14ac:dyDescent="0.35">
      <c r="A372" s="1" t="str">
        <f t="shared" si="5"/>
        <v/>
      </c>
      <c r="B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3" spans="1:2" x14ac:dyDescent="0.35">
      <c r="A373" s="1" t="str">
        <f t="shared" si="5"/>
        <v/>
      </c>
      <c r="B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4" spans="1:2" x14ac:dyDescent="0.35">
      <c r="A374" s="1" t="str">
        <f t="shared" si="5"/>
        <v/>
      </c>
      <c r="B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5" spans="1:2" x14ac:dyDescent="0.35">
      <c r="A375" s="1" t="str">
        <f t="shared" si="5"/>
        <v/>
      </c>
      <c r="B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6" spans="1:2" x14ac:dyDescent="0.35">
      <c r="A376" s="1" t="str">
        <f t="shared" si="5"/>
        <v/>
      </c>
      <c r="B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7" spans="1:2" x14ac:dyDescent="0.35">
      <c r="A377" s="1" t="str">
        <f t="shared" si="5"/>
        <v/>
      </c>
      <c r="B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8" spans="1:2" x14ac:dyDescent="0.35">
      <c r="A378" s="1" t="str">
        <f t="shared" si="5"/>
        <v/>
      </c>
      <c r="B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9" spans="1:2" x14ac:dyDescent="0.35">
      <c r="A379" s="1" t="str">
        <f t="shared" si="5"/>
        <v/>
      </c>
      <c r="B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0" spans="1:2" x14ac:dyDescent="0.35">
      <c r="A380" s="1" t="str">
        <f t="shared" si="5"/>
        <v/>
      </c>
      <c r="B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1" spans="1:2" x14ac:dyDescent="0.35">
      <c r="A381" s="1" t="str">
        <f t="shared" si="5"/>
        <v/>
      </c>
      <c r="B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2" spans="1:2" x14ac:dyDescent="0.35">
      <c r="A382" s="1" t="str">
        <f t="shared" si="5"/>
        <v/>
      </c>
      <c r="B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3" spans="1:2" x14ac:dyDescent="0.35">
      <c r="A383" s="1" t="str">
        <f t="shared" si="5"/>
        <v/>
      </c>
      <c r="B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4" spans="1:2" x14ac:dyDescent="0.35">
      <c r="A384" s="1" t="str">
        <f t="shared" si="5"/>
        <v/>
      </c>
      <c r="B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5" spans="1:2" x14ac:dyDescent="0.35">
      <c r="A385" s="1" t="str">
        <f t="shared" si="5"/>
        <v/>
      </c>
      <c r="B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6" spans="1:2" x14ac:dyDescent="0.35">
      <c r="A386" s="1" t="str">
        <f t="shared" ref="A386:A449" si="6">IFERROR(LEFT(RIGHT(C386,LEN(C386)-SEARCH("@",C386)),SEARCH("/",RIGHT(C386,LEN(C386)-SEARCH("@",C386)-1))),"")</f>
        <v/>
      </c>
      <c r="B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7" spans="1:2" x14ac:dyDescent="0.35">
      <c r="A387" s="1" t="str">
        <f t="shared" si="6"/>
        <v/>
      </c>
      <c r="B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8" spans="1:2" x14ac:dyDescent="0.35">
      <c r="A388" s="1" t="str">
        <f t="shared" si="6"/>
        <v/>
      </c>
      <c r="B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9" spans="1:2" x14ac:dyDescent="0.3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0" spans="1:2" x14ac:dyDescent="0.3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1" spans="1:2" x14ac:dyDescent="0.35">
      <c r="A391" s="1" t="str">
        <f t="shared" si="6"/>
        <v/>
      </c>
      <c r="B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2" spans="1:2" x14ac:dyDescent="0.3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3" spans="1:2" x14ac:dyDescent="0.3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4" spans="1:2" x14ac:dyDescent="0.3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5" spans="1:2" x14ac:dyDescent="0.3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6" spans="1:2" x14ac:dyDescent="0.3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7" spans="1:2" x14ac:dyDescent="0.3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8" spans="1:2" x14ac:dyDescent="0.35">
      <c r="A398" s="1" t="str">
        <f t="shared" si="6"/>
        <v/>
      </c>
      <c r="B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9" spans="1:2" x14ac:dyDescent="0.35">
      <c r="A399" s="1" t="str">
        <f t="shared" si="6"/>
        <v/>
      </c>
      <c r="B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0" spans="1:2" x14ac:dyDescent="0.35">
      <c r="A400" s="1" t="str">
        <f t="shared" si="6"/>
        <v/>
      </c>
      <c r="B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1" spans="1:2" x14ac:dyDescent="0.35">
      <c r="A401" s="1" t="str">
        <f t="shared" si="6"/>
        <v/>
      </c>
      <c r="B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2" spans="1:2" x14ac:dyDescent="0.35">
      <c r="A402" s="1" t="str">
        <f t="shared" si="6"/>
        <v/>
      </c>
      <c r="B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3" spans="1:2" x14ac:dyDescent="0.35">
      <c r="A403" s="1" t="str">
        <f t="shared" si="6"/>
        <v/>
      </c>
      <c r="B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4" spans="1:2" x14ac:dyDescent="0.35">
      <c r="A404" s="1" t="str">
        <f t="shared" si="6"/>
        <v/>
      </c>
      <c r="B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5" spans="1:2" x14ac:dyDescent="0.35">
      <c r="A405" s="1" t="str">
        <f t="shared" si="6"/>
        <v/>
      </c>
      <c r="B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6" spans="1:2" x14ac:dyDescent="0.35">
      <c r="A406" s="1" t="str">
        <f t="shared" si="6"/>
        <v/>
      </c>
      <c r="B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7" spans="1:2" x14ac:dyDescent="0.35">
      <c r="A407" s="1" t="str">
        <f t="shared" si="6"/>
        <v/>
      </c>
      <c r="B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8" spans="1:2" x14ac:dyDescent="0.35">
      <c r="A408" s="1" t="str">
        <f t="shared" si="6"/>
        <v/>
      </c>
      <c r="B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9" spans="1:2" x14ac:dyDescent="0.35">
      <c r="A409" s="1" t="str">
        <f t="shared" si="6"/>
        <v/>
      </c>
      <c r="B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0" spans="1:2" x14ac:dyDescent="0.35">
      <c r="A410" s="1" t="str">
        <f t="shared" si="6"/>
        <v/>
      </c>
      <c r="B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1" spans="1:2" x14ac:dyDescent="0.35">
      <c r="A411" s="1" t="str">
        <f t="shared" si="6"/>
        <v/>
      </c>
      <c r="B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2" spans="1:2" x14ac:dyDescent="0.35">
      <c r="A412" s="1" t="str">
        <f t="shared" si="6"/>
        <v/>
      </c>
      <c r="B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3" spans="1:2" x14ac:dyDescent="0.35">
      <c r="A413" s="1" t="str">
        <f t="shared" si="6"/>
        <v/>
      </c>
      <c r="B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4" spans="1:2" x14ac:dyDescent="0.35">
      <c r="A414" s="1" t="str">
        <f t="shared" si="6"/>
        <v/>
      </c>
      <c r="B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5" spans="1:2" x14ac:dyDescent="0.35">
      <c r="A415" s="1" t="str">
        <f t="shared" si="6"/>
        <v/>
      </c>
      <c r="B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6" spans="1:2" x14ac:dyDescent="0.35">
      <c r="A416" s="1" t="str">
        <f t="shared" si="6"/>
        <v/>
      </c>
      <c r="B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7" spans="1:2" x14ac:dyDescent="0.35">
      <c r="A417" s="1" t="str">
        <f t="shared" si="6"/>
        <v/>
      </c>
      <c r="B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8" spans="1:2" x14ac:dyDescent="0.35">
      <c r="A418" s="1" t="str">
        <f t="shared" si="6"/>
        <v/>
      </c>
      <c r="B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9" spans="1:2" x14ac:dyDescent="0.35">
      <c r="A419" s="1" t="str">
        <f t="shared" si="6"/>
        <v/>
      </c>
      <c r="B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0" spans="1:2" x14ac:dyDescent="0.35">
      <c r="A420" s="1" t="str">
        <f t="shared" si="6"/>
        <v/>
      </c>
      <c r="B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1" spans="1:2" x14ac:dyDescent="0.35">
      <c r="A421" s="1" t="str">
        <f t="shared" si="6"/>
        <v/>
      </c>
      <c r="B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2" spans="1:2" x14ac:dyDescent="0.3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3" spans="1:2" x14ac:dyDescent="0.3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4" spans="1:2" x14ac:dyDescent="0.35">
      <c r="A424" s="1" t="str">
        <f t="shared" si="6"/>
        <v/>
      </c>
      <c r="B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5" spans="1:2" x14ac:dyDescent="0.3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6" spans="1:2" x14ac:dyDescent="0.3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7" spans="1:2" x14ac:dyDescent="0.3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8" spans="1:2" x14ac:dyDescent="0.3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9" spans="1:2" x14ac:dyDescent="0.3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0" spans="1:2" x14ac:dyDescent="0.3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1" spans="1:2" x14ac:dyDescent="0.35">
      <c r="A431" s="1" t="str">
        <f t="shared" si="6"/>
        <v/>
      </c>
      <c r="B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2" spans="1:2" x14ac:dyDescent="0.35">
      <c r="A432" s="1" t="str">
        <f t="shared" si="6"/>
        <v/>
      </c>
      <c r="B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3" spans="1:2" x14ac:dyDescent="0.35">
      <c r="A433" s="1" t="str">
        <f t="shared" si="6"/>
        <v/>
      </c>
      <c r="B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4" spans="1:2" x14ac:dyDescent="0.35">
      <c r="A434" s="1" t="str">
        <f t="shared" si="6"/>
        <v/>
      </c>
      <c r="B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5" spans="1:2" x14ac:dyDescent="0.35">
      <c r="A435" s="1" t="str">
        <f t="shared" si="6"/>
        <v/>
      </c>
      <c r="B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6" spans="1:2" x14ac:dyDescent="0.35">
      <c r="A436" s="1" t="str">
        <f t="shared" si="6"/>
        <v/>
      </c>
      <c r="B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7" spans="1:2" x14ac:dyDescent="0.35">
      <c r="A437" s="1" t="str">
        <f t="shared" si="6"/>
        <v/>
      </c>
      <c r="B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8" spans="1:2" x14ac:dyDescent="0.35">
      <c r="A438" s="1" t="str">
        <f t="shared" si="6"/>
        <v/>
      </c>
      <c r="B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9" spans="1:2" x14ac:dyDescent="0.35">
      <c r="A439" s="1" t="str">
        <f t="shared" si="6"/>
        <v/>
      </c>
      <c r="B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0" spans="1:2" x14ac:dyDescent="0.35">
      <c r="A440" s="1" t="str">
        <f t="shared" si="6"/>
        <v/>
      </c>
      <c r="B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1" spans="1:2" x14ac:dyDescent="0.35">
      <c r="A441" s="1" t="str">
        <f t="shared" si="6"/>
        <v/>
      </c>
      <c r="B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2" spans="1:2" x14ac:dyDescent="0.35">
      <c r="A442" s="1" t="str">
        <f t="shared" si="6"/>
        <v/>
      </c>
      <c r="B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3" spans="1:2" x14ac:dyDescent="0.35">
      <c r="A443" s="1" t="str">
        <f t="shared" si="6"/>
        <v/>
      </c>
      <c r="B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4" spans="1:2" x14ac:dyDescent="0.35">
      <c r="A444" s="1" t="str">
        <f t="shared" si="6"/>
        <v/>
      </c>
      <c r="B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5" spans="1:2" x14ac:dyDescent="0.35">
      <c r="A445" s="1" t="str">
        <f t="shared" si="6"/>
        <v/>
      </c>
      <c r="B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6" spans="1:2" x14ac:dyDescent="0.35">
      <c r="A446" s="1" t="str">
        <f t="shared" si="6"/>
        <v/>
      </c>
      <c r="B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7" spans="1:2" x14ac:dyDescent="0.35">
      <c r="A447" s="1" t="str">
        <f t="shared" si="6"/>
        <v/>
      </c>
      <c r="B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8" spans="1:2" x14ac:dyDescent="0.35">
      <c r="A448" s="1" t="str">
        <f t="shared" si="6"/>
        <v/>
      </c>
      <c r="B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9" spans="1:2" x14ac:dyDescent="0.35">
      <c r="A449" s="1" t="str">
        <f t="shared" si="6"/>
        <v/>
      </c>
      <c r="B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0" spans="1:2" x14ac:dyDescent="0.35">
      <c r="A450" s="1" t="str">
        <f t="shared" ref="A450:A513" si="7">IFERROR(LEFT(RIGHT(C450,LEN(C450)-SEARCH("@",C450)),SEARCH("/",RIGHT(C450,LEN(C450)-SEARCH("@",C450)-1))),"")</f>
        <v/>
      </c>
      <c r="B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1" spans="1:2" x14ac:dyDescent="0.35">
      <c r="A451" s="1" t="str">
        <f t="shared" si="7"/>
        <v/>
      </c>
      <c r="B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2" spans="1:2" x14ac:dyDescent="0.35">
      <c r="A452" s="1" t="str">
        <f t="shared" si="7"/>
        <v/>
      </c>
      <c r="B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3" spans="1:2" x14ac:dyDescent="0.35">
      <c r="A453" s="1" t="str">
        <f t="shared" si="7"/>
        <v/>
      </c>
      <c r="B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4" spans="1:2" x14ac:dyDescent="0.35">
      <c r="A454" s="1" t="str">
        <f t="shared" si="7"/>
        <v/>
      </c>
      <c r="B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5" spans="1:2" x14ac:dyDescent="0.3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6" spans="1:2" x14ac:dyDescent="0.3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7" spans="1:2" x14ac:dyDescent="0.35">
      <c r="A457" s="1" t="str">
        <f t="shared" si="7"/>
        <v/>
      </c>
      <c r="B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8" spans="1:2" x14ac:dyDescent="0.3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9" spans="1:2" x14ac:dyDescent="0.3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0" spans="1:2" x14ac:dyDescent="0.3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1" spans="1:2" x14ac:dyDescent="0.3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2" spans="1:2" x14ac:dyDescent="0.3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3" spans="1:2" x14ac:dyDescent="0.3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4" spans="1:2" x14ac:dyDescent="0.35">
      <c r="A464" s="1" t="str">
        <f t="shared" si="7"/>
        <v/>
      </c>
      <c r="B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5" spans="1:2" x14ac:dyDescent="0.35">
      <c r="A465" s="1" t="str">
        <f t="shared" si="7"/>
        <v/>
      </c>
      <c r="B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6" spans="1:2" x14ac:dyDescent="0.35">
      <c r="A466" s="1" t="str">
        <f t="shared" si="7"/>
        <v/>
      </c>
      <c r="B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7" spans="1:2" x14ac:dyDescent="0.35">
      <c r="A467" s="1" t="str">
        <f t="shared" si="7"/>
        <v/>
      </c>
      <c r="B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8" spans="1:2" x14ac:dyDescent="0.35">
      <c r="A468" s="1" t="str">
        <f t="shared" si="7"/>
        <v/>
      </c>
      <c r="B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9" spans="1:2" x14ac:dyDescent="0.35">
      <c r="A469" s="1" t="str">
        <f t="shared" si="7"/>
        <v/>
      </c>
      <c r="B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0" spans="1:2" x14ac:dyDescent="0.35">
      <c r="A470" s="1" t="str">
        <f t="shared" si="7"/>
        <v/>
      </c>
      <c r="B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1" spans="1:2" x14ac:dyDescent="0.35">
      <c r="A471" s="1" t="str">
        <f t="shared" si="7"/>
        <v/>
      </c>
      <c r="B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2" spans="1:2" x14ac:dyDescent="0.35">
      <c r="A472" s="1" t="str">
        <f t="shared" si="7"/>
        <v/>
      </c>
      <c r="B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3" spans="1:2" x14ac:dyDescent="0.35">
      <c r="A473" s="1" t="str">
        <f t="shared" si="7"/>
        <v/>
      </c>
      <c r="B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4" spans="1:2" x14ac:dyDescent="0.35">
      <c r="A474" s="1" t="str">
        <f t="shared" si="7"/>
        <v/>
      </c>
      <c r="B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5" spans="1:2" x14ac:dyDescent="0.35">
      <c r="A475" s="1" t="str">
        <f t="shared" si="7"/>
        <v/>
      </c>
      <c r="B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6" spans="1:2" x14ac:dyDescent="0.35">
      <c r="A476" s="1" t="str">
        <f t="shared" si="7"/>
        <v/>
      </c>
      <c r="B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7" spans="1:2" x14ac:dyDescent="0.35">
      <c r="A477" s="1" t="str">
        <f t="shared" si="7"/>
        <v/>
      </c>
      <c r="B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8" spans="1:2" x14ac:dyDescent="0.35">
      <c r="A478" s="1" t="str">
        <f t="shared" si="7"/>
        <v/>
      </c>
      <c r="B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9" spans="1:2" x14ac:dyDescent="0.35">
      <c r="A479" s="1" t="str">
        <f t="shared" si="7"/>
        <v/>
      </c>
      <c r="B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0" spans="1:2" x14ac:dyDescent="0.35">
      <c r="A480" s="1" t="str">
        <f t="shared" si="7"/>
        <v/>
      </c>
      <c r="B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1" spans="1:2" x14ac:dyDescent="0.35">
      <c r="A481" s="1" t="str">
        <f t="shared" si="7"/>
        <v/>
      </c>
      <c r="B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2" spans="1:2" x14ac:dyDescent="0.35">
      <c r="A482" s="1" t="str">
        <f t="shared" si="7"/>
        <v/>
      </c>
      <c r="B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3" spans="1:2" x14ac:dyDescent="0.35">
      <c r="A483" s="1" t="str">
        <f t="shared" si="7"/>
        <v/>
      </c>
      <c r="B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4" spans="1:2" x14ac:dyDescent="0.35">
      <c r="A484" s="1" t="str">
        <f t="shared" si="7"/>
        <v/>
      </c>
      <c r="B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5" spans="1:2" x14ac:dyDescent="0.35">
      <c r="A485" s="1" t="str">
        <f t="shared" si="7"/>
        <v/>
      </c>
      <c r="B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6" spans="1:2" x14ac:dyDescent="0.35">
      <c r="A486" s="1" t="str">
        <f t="shared" si="7"/>
        <v/>
      </c>
      <c r="B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7" spans="1:2" x14ac:dyDescent="0.35">
      <c r="A487" s="1" t="str">
        <f t="shared" si="7"/>
        <v/>
      </c>
      <c r="B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8" spans="1:2" x14ac:dyDescent="0.3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9" spans="1:2" x14ac:dyDescent="0.3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0" spans="1:2" x14ac:dyDescent="0.35">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1" spans="1:2" x14ac:dyDescent="0.3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2" spans="1:2" x14ac:dyDescent="0.3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3" spans="1:2" x14ac:dyDescent="0.3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4" spans="1:2" x14ac:dyDescent="0.3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5" spans="1:2" x14ac:dyDescent="0.3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6" spans="1:2" x14ac:dyDescent="0.3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7" spans="1:2" x14ac:dyDescent="0.35">
      <c r="A497" s="1" t="str">
        <f t="shared" si="7"/>
        <v/>
      </c>
      <c r="B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8" spans="1:2" x14ac:dyDescent="0.35">
      <c r="A498" s="1" t="str">
        <f t="shared" si="7"/>
        <v/>
      </c>
      <c r="B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9" spans="1:2" x14ac:dyDescent="0.35">
      <c r="A499" s="1" t="str">
        <f t="shared" si="7"/>
        <v/>
      </c>
      <c r="B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0" spans="1:2" x14ac:dyDescent="0.35">
      <c r="A500" s="1" t="str">
        <f t="shared" si="7"/>
        <v/>
      </c>
      <c r="B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1" spans="1:2" x14ac:dyDescent="0.35">
      <c r="A501" s="1" t="str">
        <f t="shared" si="7"/>
        <v/>
      </c>
      <c r="B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2" spans="1:2" x14ac:dyDescent="0.35">
      <c r="A502" s="1" t="str">
        <f t="shared" si="7"/>
        <v/>
      </c>
      <c r="B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3" spans="1:2" x14ac:dyDescent="0.35">
      <c r="A503" s="1" t="str">
        <f t="shared" si="7"/>
        <v/>
      </c>
      <c r="B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4" spans="1:2" x14ac:dyDescent="0.35">
      <c r="A504" s="1" t="str">
        <f t="shared" si="7"/>
        <v/>
      </c>
      <c r="B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5" spans="1:2" x14ac:dyDescent="0.35">
      <c r="A505" s="1" t="str">
        <f t="shared" si="7"/>
        <v/>
      </c>
      <c r="B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6" spans="1:2" x14ac:dyDescent="0.35">
      <c r="A506" s="1" t="str">
        <f t="shared" si="7"/>
        <v/>
      </c>
      <c r="B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7" spans="1:2" x14ac:dyDescent="0.35">
      <c r="A507" s="1" t="str">
        <f t="shared" si="7"/>
        <v/>
      </c>
      <c r="B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8" spans="1:2" x14ac:dyDescent="0.35">
      <c r="A508" s="1" t="str">
        <f t="shared" si="7"/>
        <v/>
      </c>
      <c r="B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9" spans="1:2" x14ac:dyDescent="0.35">
      <c r="A509" s="1" t="str">
        <f t="shared" si="7"/>
        <v/>
      </c>
      <c r="B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0" spans="1:2" x14ac:dyDescent="0.35">
      <c r="A510" s="1" t="str">
        <f t="shared" si="7"/>
        <v/>
      </c>
      <c r="B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1" spans="1:2" x14ac:dyDescent="0.35">
      <c r="A511" s="1" t="str">
        <f t="shared" si="7"/>
        <v/>
      </c>
      <c r="B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2" spans="1:2" x14ac:dyDescent="0.35">
      <c r="A512" s="1" t="str">
        <f t="shared" si="7"/>
        <v/>
      </c>
      <c r="B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3" spans="1:2" x14ac:dyDescent="0.35">
      <c r="A513" s="1" t="str">
        <f t="shared" si="7"/>
        <v/>
      </c>
      <c r="B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4" spans="1:2" x14ac:dyDescent="0.35">
      <c r="A514" s="1" t="str">
        <f t="shared" ref="A514:A577" si="8">IFERROR(LEFT(RIGHT(C514,LEN(C514)-SEARCH("@",C514)),SEARCH("/",RIGHT(C514,LEN(C514)-SEARCH("@",C514)-1))),"")</f>
        <v/>
      </c>
      <c r="B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5" spans="1:2" x14ac:dyDescent="0.35">
      <c r="A515" s="1" t="str">
        <f t="shared" si="8"/>
        <v/>
      </c>
      <c r="B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6" spans="1:2" x14ac:dyDescent="0.35">
      <c r="A516" s="1" t="str">
        <f t="shared" si="8"/>
        <v/>
      </c>
      <c r="B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7" spans="1:2" x14ac:dyDescent="0.35">
      <c r="A517" s="1" t="str">
        <f t="shared" si="8"/>
        <v/>
      </c>
      <c r="B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8" spans="1:2" x14ac:dyDescent="0.35">
      <c r="A518" s="1" t="str">
        <f t="shared" si="8"/>
        <v/>
      </c>
      <c r="B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9" spans="1:2" x14ac:dyDescent="0.35">
      <c r="A519" s="1" t="str">
        <f t="shared" si="8"/>
        <v/>
      </c>
      <c r="B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0" spans="1:2" x14ac:dyDescent="0.35">
      <c r="A520" s="1" t="str">
        <f t="shared" si="8"/>
        <v/>
      </c>
      <c r="B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1" spans="1:2" x14ac:dyDescent="0.3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2" spans="1:2" x14ac:dyDescent="0.3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3" spans="1:2" x14ac:dyDescent="0.35">
      <c r="A523" s="1" t="str">
        <f t="shared" si="8"/>
        <v/>
      </c>
      <c r="B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4" spans="1:2" x14ac:dyDescent="0.3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5" spans="1:2" x14ac:dyDescent="0.3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6" spans="1:2" x14ac:dyDescent="0.3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7" spans="1:2" x14ac:dyDescent="0.3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8" spans="1:2" x14ac:dyDescent="0.3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9" spans="1:2" x14ac:dyDescent="0.3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0" spans="1:2" x14ac:dyDescent="0.35">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1" spans="1:2" x14ac:dyDescent="0.35">
      <c r="A531" s="1" t="str">
        <f t="shared" si="8"/>
        <v/>
      </c>
      <c r="B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2" spans="1:2" x14ac:dyDescent="0.35">
      <c r="A532" s="1" t="str">
        <f t="shared" si="8"/>
        <v/>
      </c>
      <c r="B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3" spans="1:2" x14ac:dyDescent="0.35">
      <c r="A533" s="1" t="str">
        <f t="shared" si="8"/>
        <v/>
      </c>
      <c r="B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4" spans="1:2" x14ac:dyDescent="0.35">
      <c r="A534" s="1" t="str">
        <f t="shared" si="8"/>
        <v/>
      </c>
      <c r="B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5" spans="1:2" x14ac:dyDescent="0.35">
      <c r="A535" s="1" t="str">
        <f t="shared" si="8"/>
        <v/>
      </c>
      <c r="B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6" spans="1:2" x14ac:dyDescent="0.35">
      <c r="A536" s="1" t="str">
        <f t="shared" si="8"/>
        <v/>
      </c>
      <c r="B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7" spans="1:2" x14ac:dyDescent="0.35">
      <c r="A537" s="1" t="str">
        <f t="shared" si="8"/>
        <v/>
      </c>
      <c r="B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8" spans="1:2" x14ac:dyDescent="0.35">
      <c r="A538" s="1" t="str">
        <f t="shared" si="8"/>
        <v/>
      </c>
      <c r="B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9" spans="1:2" x14ac:dyDescent="0.35">
      <c r="A539" s="1" t="str">
        <f t="shared" si="8"/>
        <v/>
      </c>
      <c r="B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0" spans="1:2" x14ac:dyDescent="0.35">
      <c r="A540" s="1" t="str">
        <f t="shared" si="8"/>
        <v/>
      </c>
      <c r="B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1" spans="1:2" x14ac:dyDescent="0.35">
      <c r="A541" s="1" t="str">
        <f t="shared" si="8"/>
        <v/>
      </c>
      <c r="B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2" spans="1:2" x14ac:dyDescent="0.35">
      <c r="A542" s="1" t="str">
        <f t="shared" si="8"/>
        <v/>
      </c>
      <c r="B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3" spans="1:2" x14ac:dyDescent="0.35">
      <c r="A543" s="1" t="str">
        <f t="shared" si="8"/>
        <v/>
      </c>
      <c r="B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4" spans="1:2" x14ac:dyDescent="0.35">
      <c r="A544" s="1" t="str">
        <f t="shared" si="8"/>
        <v/>
      </c>
      <c r="B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5" spans="1:2" x14ac:dyDescent="0.35">
      <c r="A545" s="1" t="str">
        <f t="shared" si="8"/>
        <v/>
      </c>
      <c r="B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6" spans="1:2" x14ac:dyDescent="0.35">
      <c r="A546" s="1" t="str">
        <f t="shared" si="8"/>
        <v/>
      </c>
      <c r="B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7" spans="1:2" x14ac:dyDescent="0.35">
      <c r="A547" s="1" t="str">
        <f t="shared" si="8"/>
        <v/>
      </c>
      <c r="B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8" spans="1:2" x14ac:dyDescent="0.35">
      <c r="A548" s="1" t="str">
        <f t="shared" si="8"/>
        <v/>
      </c>
      <c r="B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9" spans="1:2" x14ac:dyDescent="0.35">
      <c r="A549" s="1" t="str">
        <f t="shared" si="8"/>
        <v/>
      </c>
      <c r="B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0" spans="1:2" x14ac:dyDescent="0.35">
      <c r="A550" s="1" t="str">
        <f t="shared" si="8"/>
        <v/>
      </c>
      <c r="B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1" spans="1:2" x14ac:dyDescent="0.35">
      <c r="A551" s="1" t="str">
        <f t="shared" si="8"/>
        <v/>
      </c>
      <c r="B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2" spans="1:2" x14ac:dyDescent="0.35">
      <c r="A552" s="1" t="str">
        <f t="shared" si="8"/>
        <v/>
      </c>
      <c r="B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3" spans="1:2" x14ac:dyDescent="0.35">
      <c r="A553" s="1" t="str">
        <f t="shared" si="8"/>
        <v/>
      </c>
      <c r="B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4" spans="1:2" x14ac:dyDescent="0.3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5" spans="1:2" x14ac:dyDescent="0.3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6" spans="1:2" x14ac:dyDescent="0.35">
      <c r="A556" s="1" t="str">
        <f t="shared" si="8"/>
        <v/>
      </c>
      <c r="B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7" spans="1:2" x14ac:dyDescent="0.3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8" spans="1:2" x14ac:dyDescent="0.3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9" spans="1:2" x14ac:dyDescent="0.3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0" spans="1:2" x14ac:dyDescent="0.3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1" spans="1:2" x14ac:dyDescent="0.3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2" spans="1:2" x14ac:dyDescent="0.3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3" spans="1:2" x14ac:dyDescent="0.35">
      <c r="A563" s="1" t="str">
        <f t="shared" si="8"/>
        <v/>
      </c>
      <c r="B5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4" spans="1:2" x14ac:dyDescent="0.35">
      <c r="A564" s="1" t="str">
        <f t="shared" si="8"/>
        <v/>
      </c>
      <c r="B5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5" spans="1:2" x14ac:dyDescent="0.35">
      <c r="A565" s="1" t="str">
        <f t="shared" si="8"/>
        <v/>
      </c>
      <c r="B5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6" spans="1:2" x14ac:dyDescent="0.35">
      <c r="A566" s="1" t="str">
        <f t="shared" si="8"/>
        <v/>
      </c>
      <c r="B5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7" spans="1:2" x14ac:dyDescent="0.35">
      <c r="A567" s="1" t="str">
        <f t="shared" si="8"/>
        <v/>
      </c>
      <c r="B5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8" spans="1:2" x14ac:dyDescent="0.35">
      <c r="A568" s="1" t="str">
        <f t="shared" si="8"/>
        <v/>
      </c>
      <c r="B5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9" spans="1:2" x14ac:dyDescent="0.35">
      <c r="A569" s="1" t="str">
        <f t="shared" si="8"/>
        <v/>
      </c>
      <c r="B5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0" spans="1:2" x14ac:dyDescent="0.35">
      <c r="A570" s="1" t="str">
        <f t="shared" si="8"/>
        <v/>
      </c>
      <c r="B5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1" spans="1:2" x14ac:dyDescent="0.35">
      <c r="A571" s="1" t="str">
        <f t="shared" si="8"/>
        <v/>
      </c>
      <c r="B5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2" spans="1:2" x14ac:dyDescent="0.35">
      <c r="A572" s="1" t="str">
        <f t="shared" si="8"/>
        <v/>
      </c>
      <c r="B5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3" spans="1:2" x14ac:dyDescent="0.35">
      <c r="A573" s="1" t="str">
        <f t="shared" si="8"/>
        <v/>
      </c>
      <c r="B5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4" spans="1:2" x14ac:dyDescent="0.35">
      <c r="A574" s="1" t="str">
        <f t="shared" si="8"/>
        <v/>
      </c>
      <c r="B5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5" spans="1:2" x14ac:dyDescent="0.35">
      <c r="A575" s="1" t="str">
        <f t="shared" si="8"/>
        <v/>
      </c>
      <c r="B5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6" spans="1:2" x14ac:dyDescent="0.35">
      <c r="A576" s="1" t="str">
        <f t="shared" si="8"/>
        <v/>
      </c>
      <c r="B5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7" spans="1:2" x14ac:dyDescent="0.35">
      <c r="A577" s="1" t="str">
        <f t="shared" si="8"/>
        <v/>
      </c>
      <c r="B5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8" spans="1:2" x14ac:dyDescent="0.35">
      <c r="A578" s="1" t="str">
        <f t="shared" ref="A578:A641" si="9">IFERROR(LEFT(RIGHT(C578,LEN(C578)-SEARCH("@",C578)),SEARCH("/",RIGHT(C578,LEN(C578)-SEARCH("@",C578)-1))),"")</f>
        <v/>
      </c>
      <c r="B5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9" spans="1:2" x14ac:dyDescent="0.35">
      <c r="A579" s="1" t="str">
        <f t="shared" si="9"/>
        <v/>
      </c>
      <c r="B5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0" spans="1:2" x14ac:dyDescent="0.35">
      <c r="A580" s="1" t="str">
        <f t="shared" si="9"/>
        <v/>
      </c>
      <c r="B5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1" spans="1:2" x14ac:dyDescent="0.35">
      <c r="A581" s="1" t="str">
        <f t="shared" si="9"/>
        <v/>
      </c>
      <c r="B5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2" spans="1:2" x14ac:dyDescent="0.35">
      <c r="A582" s="1" t="str">
        <f t="shared" si="9"/>
        <v/>
      </c>
      <c r="B5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3" spans="1:2" x14ac:dyDescent="0.35">
      <c r="A583" s="1" t="str">
        <f t="shared" si="9"/>
        <v/>
      </c>
      <c r="B5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4" spans="1:2" x14ac:dyDescent="0.35">
      <c r="A584" s="1" t="str">
        <f t="shared" si="9"/>
        <v/>
      </c>
      <c r="B5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5" spans="1:2" x14ac:dyDescent="0.35">
      <c r="A585" s="1" t="str">
        <f t="shared" si="9"/>
        <v/>
      </c>
      <c r="B5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6" spans="1:2" x14ac:dyDescent="0.35">
      <c r="A586" s="1" t="str">
        <f t="shared" si="9"/>
        <v/>
      </c>
      <c r="B5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7" spans="1:2" x14ac:dyDescent="0.3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8" spans="1:2" x14ac:dyDescent="0.3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9" spans="1:2" x14ac:dyDescent="0.35">
      <c r="A589" s="1" t="str">
        <f t="shared" si="9"/>
        <v/>
      </c>
      <c r="B5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0" spans="1:2" x14ac:dyDescent="0.3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1" spans="1:2" x14ac:dyDescent="0.3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2" spans="1:2" x14ac:dyDescent="0.3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3" spans="1:2" x14ac:dyDescent="0.3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4" spans="1:2" x14ac:dyDescent="0.3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5" spans="1:2" x14ac:dyDescent="0.3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6" spans="1:2" x14ac:dyDescent="0.35">
      <c r="A596" s="1" t="str">
        <f t="shared" si="9"/>
        <v/>
      </c>
      <c r="B5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7" spans="1:2" x14ac:dyDescent="0.35">
      <c r="A597" s="1" t="str">
        <f t="shared" si="9"/>
        <v/>
      </c>
      <c r="B5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8" spans="1:2" x14ac:dyDescent="0.35">
      <c r="A598" s="1" t="str">
        <f t="shared" si="9"/>
        <v/>
      </c>
      <c r="B5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9" spans="1:2" x14ac:dyDescent="0.35">
      <c r="A599" s="1" t="str">
        <f t="shared" si="9"/>
        <v/>
      </c>
      <c r="B5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0" spans="1:2" x14ac:dyDescent="0.35">
      <c r="A600" s="1" t="str">
        <f t="shared" si="9"/>
        <v/>
      </c>
      <c r="B6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1" spans="1:2" x14ac:dyDescent="0.35">
      <c r="A601" s="1" t="str">
        <f t="shared" si="9"/>
        <v/>
      </c>
      <c r="B6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2" spans="1:2" x14ac:dyDescent="0.35">
      <c r="A602" s="1" t="str">
        <f t="shared" si="9"/>
        <v/>
      </c>
      <c r="B6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3" spans="1:2" x14ac:dyDescent="0.35">
      <c r="A603" s="1" t="str">
        <f t="shared" si="9"/>
        <v/>
      </c>
      <c r="B6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4" spans="1:2" x14ac:dyDescent="0.35">
      <c r="A604" s="1" t="str">
        <f t="shared" si="9"/>
        <v/>
      </c>
      <c r="B6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5" spans="1:2" x14ac:dyDescent="0.35">
      <c r="A605" s="1" t="str">
        <f t="shared" si="9"/>
        <v/>
      </c>
      <c r="B6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6" spans="1:2" x14ac:dyDescent="0.35">
      <c r="A606" s="1" t="str">
        <f t="shared" si="9"/>
        <v/>
      </c>
      <c r="B6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7" spans="1:2" x14ac:dyDescent="0.35">
      <c r="A607" s="1" t="str">
        <f t="shared" si="9"/>
        <v/>
      </c>
      <c r="B6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8" spans="1:2" x14ac:dyDescent="0.35">
      <c r="A608" s="1" t="str">
        <f t="shared" si="9"/>
        <v/>
      </c>
      <c r="B6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9" spans="1:2" x14ac:dyDescent="0.35">
      <c r="A609" s="1" t="str">
        <f t="shared" si="9"/>
        <v/>
      </c>
      <c r="B6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0" spans="1:2" x14ac:dyDescent="0.35">
      <c r="A610" s="1" t="str">
        <f t="shared" si="9"/>
        <v/>
      </c>
      <c r="B6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1" spans="1:2" x14ac:dyDescent="0.35">
      <c r="A611" s="1" t="str">
        <f t="shared" si="9"/>
        <v/>
      </c>
      <c r="B6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2" spans="1:2" x14ac:dyDescent="0.35">
      <c r="A612" s="1" t="str">
        <f t="shared" si="9"/>
        <v/>
      </c>
      <c r="B6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3" spans="1:2" x14ac:dyDescent="0.35">
      <c r="A613" s="1" t="str">
        <f t="shared" si="9"/>
        <v/>
      </c>
      <c r="B6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4" spans="1:2" x14ac:dyDescent="0.35">
      <c r="A614" s="1" t="str">
        <f t="shared" si="9"/>
        <v/>
      </c>
      <c r="B6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5" spans="1:2" x14ac:dyDescent="0.35">
      <c r="A615" s="1" t="str">
        <f t="shared" si="9"/>
        <v/>
      </c>
      <c r="B6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6" spans="1:2" x14ac:dyDescent="0.35">
      <c r="A616" s="1" t="str">
        <f t="shared" si="9"/>
        <v/>
      </c>
      <c r="B6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7" spans="1:2" x14ac:dyDescent="0.35">
      <c r="A617" s="1" t="str">
        <f t="shared" si="9"/>
        <v/>
      </c>
      <c r="B6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8" spans="1:2" x14ac:dyDescent="0.35">
      <c r="A618" s="1" t="str">
        <f t="shared" si="9"/>
        <v/>
      </c>
      <c r="B6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9" spans="1:2" x14ac:dyDescent="0.35">
      <c r="A619" s="1" t="str">
        <f t="shared" si="9"/>
        <v/>
      </c>
      <c r="B6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0" spans="1:2" x14ac:dyDescent="0.3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1" spans="1:2" x14ac:dyDescent="0.3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2" spans="1:2" x14ac:dyDescent="0.35">
      <c r="A622" s="1" t="str">
        <f t="shared" si="9"/>
        <v/>
      </c>
      <c r="B6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3" spans="1:2" x14ac:dyDescent="0.3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4" spans="1:2" x14ac:dyDescent="0.3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5" spans="1:2" x14ac:dyDescent="0.3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6" spans="1:2" x14ac:dyDescent="0.3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7" spans="1:2" x14ac:dyDescent="0.3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8" spans="1:2" x14ac:dyDescent="0.3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9" spans="1:2" x14ac:dyDescent="0.35">
      <c r="A629" s="1" t="str">
        <f t="shared" si="9"/>
        <v/>
      </c>
      <c r="B6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0" spans="1:2" x14ac:dyDescent="0.35">
      <c r="A630" s="1" t="str">
        <f t="shared" si="9"/>
        <v/>
      </c>
      <c r="B6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1" spans="1:2" x14ac:dyDescent="0.35">
      <c r="A631" s="1" t="str">
        <f t="shared" si="9"/>
        <v/>
      </c>
      <c r="B6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2" spans="1:2" x14ac:dyDescent="0.35">
      <c r="A632" s="1" t="str">
        <f t="shared" si="9"/>
        <v/>
      </c>
      <c r="B6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3" spans="1:2" x14ac:dyDescent="0.35">
      <c r="A633" s="1" t="str">
        <f t="shared" si="9"/>
        <v/>
      </c>
      <c r="B6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4" spans="1:2" x14ac:dyDescent="0.35">
      <c r="A634" s="1" t="str">
        <f t="shared" si="9"/>
        <v/>
      </c>
      <c r="B6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5" spans="1:2" x14ac:dyDescent="0.35">
      <c r="A635" s="1" t="str">
        <f t="shared" si="9"/>
        <v/>
      </c>
      <c r="B6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6" spans="1:2" x14ac:dyDescent="0.35">
      <c r="A636" s="1" t="str">
        <f t="shared" si="9"/>
        <v/>
      </c>
      <c r="B6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7" spans="1:2" x14ac:dyDescent="0.35">
      <c r="A637" s="1" t="str">
        <f t="shared" si="9"/>
        <v/>
      </c>
      <c r="B6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8" spans="1:2" x14ac:dyDescent="0.35">
      <c r="A638" s="1" t="str">
        <f t="shared" si="9"/>
        <v/>
      </c>
      <c r="B6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9" spans="1:2" x14ac:dyDescent="0.35">
      <c r="A639" s="1" t="str">
        <f t="shared" si="9"/>
        <v/>
      </c>
      <c r="B6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0" spans="1:2" x14ac:dyDescent="0.35">
      <c r="A640" s="1" t="str">
        <f t="shared" si="9"/>
        <v/>
      </c>
      <c r="B6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1" spans="1:2" x14ac:dyDescent="0.35">
      <c r="A641" s="1" t="str">
        <f t="shared" si="9"/>
        <v/>
      </c>
      <c r="B6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2" spans="1:2" x14ac:dyDescent="0.35">
      <c r="A642" s="1" t="str">
        <f t="shared" ref="A642:A705" si="10">IFERROR(LEFT(RIGHT(C642,LEN(C642)-SEARCH("@",C642)),SEARCH("/",RIGHT(C642,LEN(C642)-SEARCH("@",C642)-1))),"")</f>
        <v/>
      </c>
      <c r="B6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3" spans="1:2" x14ac:dyDescent="0.35">
      <c r="A643" s="1" t="str">
        <f t="shared" si="10"/>
        <v/>
      </c>
      <c r="B6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4" spans="1:2" x14ac:dyDescent="0.35">
      <c r="A644" s="1" t="str">
        <f t="shared" si="10"/>
        <v/>
      </c>
      <c r="B6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5" spans="1:2" x14ac:dyDescent="0.35">
      <c r="A645" s="1" t="str">
        <f t="shared" si="10"/>
        <v/>
      </c>
      <c r="B6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6" spans="1:2" x14ac:dyDescent="0.35">
      <c r="A646" s="1" t="str">
        <f t="shared" si="10"/>
        <v/>
      </c>
      <c r="B6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7" spans="1:2" x14ac:dyDescent="0.35">
      <c r="A647" s="1" t="str">
        <f t="shared" si="10"/>
        <v/>
      </c>
      <c r="B6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8" spans="1:2" x14ac:dyDescent="0.35">
      <c r="A648" s="1" t="str">
        <f t="shared" si="10"/>
        <v/>
      </c>
      <c r="B6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9" spans="1:2" x14ac:dyDescent="0.35">
      <c r="A649" s="1" t="str">
        <f t="shared" si="10"/>
        <v/>
      </c>
      <c r="B6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0" spans="1:2" x14ac:dyDescent="0.35">
      <c r="A650" s="1" t="str">
        <f t="shared" si="10"/>
        <v/>
      </c>
      <c r="B6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1" spans="1:2" x14ac:dyDescent="0.35">
      <c r="A651" s="1" t="str">
        <f t="shared" si="10"/>
        <v/>
      </c>
      <c r="B6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2" spans="1:2" x14ac:dyDescent="0.35">
      <c r="A652" s="1" t="str">
        <f t="shared" si="10"/>
        <v/>
      </c>
      <c r="B6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3" spans="1:2" x14ac:dyDescent="0.3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4" spans="1:2" x14ac:dyDescent="0.3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5" spans="1:2" x14ac:dyDescent="0.35">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6" spans="1:2" x14ac:dyDescent="0.3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7" spans="1:2" x14ac:dyDescent="0.3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8" spans="1:2" x14ac:dyDescent="0.3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9" spans="1:2" x14ac:dyDescent="0.3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0" spans="1:2" x14ac:dyDescent="0.3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1" spans="1:2" x14ac:dyDescent="0.3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2" spans="1:2" x14ac:dyDescent="0.35">
      <c r="A662" s="1" t="str">
        <f t="shared" si="10"/>
        <v/>
      </c>
      <c r="B6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3" spans="1:2" x14ac:dyDescent="0.35">
      <c r="A663" s="1" t="str">
        <f t="shared" si="10"/>
        <v/>
      </c>
      <c r="B6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4" spans="1:2" x14ac:dyDescent="0.35">
      <c r="A664" s="1" t="str">
        <f t="shared" si="10"/>
        <v/>
      </c>
      <c r="B6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5" spans="1:2" x14ac:dyDescent="0.35">
      <c r="A665" s="1" t="str">
        <f t="shared" si="10"/>
        <v/>
      </c>
      <c r="B6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6" spans="1:2" x14ac:dyDescent="0.35">
      <c r="A666" s="1" t="str">
        <f t="shared" si="10"/>
        <v/>
      </c>
      <c r="B6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7" spans="1:2" x14ac:dyDescent="0.35">
      <c r="A667" s="1" t="str">
        <f t="shared" si="10"/>
        <v/>
      </c>
      <c r="B6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8" spans="1:2" x14ac:dyDescent="0.35">
      <c r="A668" s="1" t="str">
        <f t="shared" si="10"/>
        <v/>
      </c>
      <c r="B6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9" spans="1:2" x14ac:dyDescent="0.35">
      <c r="A669" s="1" t="str">
        <f t="shared" si="10"/>
        <v/>
      </c>
      <c r="B6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0" spans="1:2" x14ac:dyDescent="0.35">
      <c r="A670" s="1" t="str">
        <f t="shared" si="10"/>
        <v/>
      </c>
      <c r="B6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1" spans="1:2" x14ac:dyDescent="0.35">
      <c r="A671" s="1" t="str">
        <f t="shared" si="10"/>
        <v/>
      </c>
      <c r="B6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2" spans="1:2" x14ac:dyDescent="0.35">
      <c r="A672" s="1" t="str">
        <f t="shared" si="10"/>
        <v/>
      </c>
      <c r="B6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3" spans="1:2" x14ac:dyDescent="0.35">
      <c r="A673" s="1" t="str">
        <f t="shared" si="10"/>
        <v/>
      </c>
      <c r="B6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4" spans="1:2" x14ac:dyDescent="0.35">
      <c r="A674" s="1" t="str">
        <f t="shared" si="10"/>
        <v/>
      </c>
      <c r="B6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5" spans="1:2" x14ac:dyDescent="0.35">
      <c r="A675" s="1" t="str">
        <f t="shared" si="10"/>
        <v/>
      </c>
      <c r="B6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6" spans="1:2" x14ac:dyDescent="0.35">
      <c r="A676" s="1" t="str">
        <f t="shared" si="10"/>
        <v/>
      </c>
      <c r="B6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7" spans="1:2" x14ac:dyDescent="0.35">
      <c r="A677" s="1" t="str">
        <f t="shared" si="10"/>
        <v/>
      </c>
      <c r="B6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8" spans="1:2" x14ac:dyDescent="0.35">
      <c r="A678" s="1" t="str">
        <f t="shared" si="10"/>
        <v/>
      </c>
      <c r="B6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9" spans="1:2" x14ac:dyDescent="0.35">
      <c r="A679" s="1" t="str">
        <f t="shared" si="10"/>
        <v/>
      </c>
      <c r="B6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0" spans="1:2" x14ac:dyDescent="0.35">
      <c r="A680" s="1" t="str">
        <f t="shared" si="10"/>
        <v/>
      </c>
      <c r="B6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1" spans="1:2" x14ac:dyDescent="0.35">
      <c r="A681" s="1" t="str">
        <f t="shared" si="10"/>
        <v/>
      </c>
      <c r="B6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2" spans="1:2" x14ac:dyDescent="0.35">
      <c r="A682" s="1" t="str">
        <f t="shared" si="10"/>
        <v/>
      </c>
      <c r="B6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3" spans="1:2" x14ac:dyDescent="0.35">
      <c r="A683" s="1" t="str">
        <f t="shared" si="10"/>
        <v/>
      </c>
      <c r="B6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4" spans="1:2" x14ac:dyDescent="0.35">
      <c r="A684" s="1" t="str">
        <f t="shared" si="10"/>
        <v/>
      </c>
      <c r="B6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5" spans="1:2" x14ac:dyDescent="0.35">
      <c r="A685" s="1" t="str">
        <f t="shared" si="10"/>
        <v/>
      </c>
      <c r="B6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6" spans="1:2" x14ac:dyDescent="0.3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7" spans="1:2" x14ac:dyDescent="0.3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8" spans="1:2" x14ac:dyDescent="0.35">
      <c r="A688" s="1" t="str">
        <f t="shared" si="10"/>
        <v/>
      </c>
      <c r="B6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9" spans="1:2" x14ac:dyDescent="0.3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0" spans="1:2" x14ac:dyDescent="0.3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2" x14ac:dyDescent="0.3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2" x14ac:dyDescent="0.3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2" x14ac:dyDescent="0.3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2" x14ac:dyDescent="0.3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2" x14ac:dyDescent="0.3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2" x14ac:dyDescent="0.3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2" x14ac:dyDescent="0.3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2" x14ac:dyDescent="0.3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2" x14ac:dyDescent="0.3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2" x14ac:dyDescent="0.3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2" x14ac:dyDescent="0.3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2" x14ac:dyDescent="0.3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2" x14ac:dyDescent="0.3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2" x14ac:dyDescent="0.3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M11:XFD11 A1:J2 A1558:XFD1048576 AI18:XFD38 C39:XFD1557 C11:K11 C3:J10 EO1:XFD10 C19:K38 K5 C12:XFD13 C14:J18 M14:XFD17 K1:L4 A3:B1557">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Q1" activePane="topRight" state="frozen"/>
      <selection pane="topRight" activeCell="V5" sqref="V5:V12"/>
    </sheetView>
  </sheetViews>
  <sheetFormatPr baseColWidth="10" defaultColWidth="9.1796875" defaultRowHeight="14.5" x14ac:dyDescent="0.35"/>
  <cols>
    <col min="1" max="1" width="29.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8.26953125" bestFit="1" customWidth="1"/>
    <col min="15" max="15" width="14.81640625" customWidth="1"/>
    <col min="16" max="16" width="17.7265625" customWidth="1"/>
    <col min="17" max="18" width="25.81640625" bestFit="1" customWidth="1"/>
    <col min="19" max="22" width="25.81640625" style="1" customWidth="1"/>
  </cols>
  <sheetData>
    <row r="1" spans="1:22" s="1" customFormat="1" ht="26.5" thickBot="1" x14ac:dyDescent="0.65">
      <c r="A1" s="213" t="s">
        <v>40</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4">
      <c r="A2"/>
      <c r="B2"/>
      <c r="C2"/>
      <c r="D2"/>
      <c r="E2"/>
      <c r="F2"/>
      <c r="G2"/>
      <c r="H2"/>
      <c r="I2"/>
      <c r="J2"/>
      <c r="K2"/>
      <c r="L2"/>
      <c r="M2"/>
      <c r="S2"/>
      <c r="T2"/>
      <c r="U2"/>
      <c r="V2"/>
    </row>
    <row r="3" spans="1:22" ht="15" thickBot="1" x14ac:dyDescent="0.4">
      <c r="A3" s="51" t="s">
        <v>17</v>
      </c>
      <c r="B3" s="221" t="s">
        <v>6</v>
      </c>
      <c r="C3" s="222"/>
      <c r="D3" s="222"/>
      <c r="E3" s="222"/>
      <c r="F3" s="222"/>
      <c r="G3" s="222"/>
      <c r="H3" s="222"/>
      <c r="I3" s="222"/>
      <c r="J3" s="222"/>
      <c r="K3" s="222"/>
      <c r="L3" s="222"/>
      <c r="M3" s="222"/>
      <c r="O3" s="221" t="s">
        <v>3</v>
      </c>
      <c r="P3" s="222"/>
      <c r="Q3" s="222"/>
      <c r="R3" s="222"/>
      <c r="S3" s="222"/>
      <c r="T3" s="222"/>
      <c r="U3" s="222"/>
      <c r="V3" s="222"/>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Saccharin-0,01mg/L</v>
      </c>
      <c r="J4" s="35" t="str">
        <f>'Page de garde'!A16</f>
        <v>Saccharin-0,1mg/L</v>
      </c>
      <c r="K4" s="35" t="str">
        <f>'Page de garde'!A17</f>
        <v>Saccharin-1mg/L</v>
      </c>
      <c r="L4" s="35" t="str">
        <f>'Page de garde'!A18</f>
        <v>Saccharin-10mg/L</v>
      </c>
      <c r="M4" s="35" t="str">
        <f>'Page de garde'!A19</f>
        <v>Saccharin-100mg/L</v>
      </c>
      <c r="N4" s="3"/>
      <c r="O4" s="36" t="str">
        <f>'Page de garde'!A36</f>
        <v>Testo -30µg/L</v>
      </c>
      <c r="P4" s="36" t="str">
        <f>'Page de garde'!A37</f>
        <v>Testo 30µg/L + EE2 -64ng/L</v>
      </c>
      <c r="Q4" s="36" t="str">
        <f>'Page de garde'!A38</f>
        <v>Testo 30µg/L + FAD-10µg/L</v>
      </c>
      <c r="R4" s="36" t="str">
        <f>'Page de garde'!A39</f>
        <v>Saccharin-0,01mg/L + Testostérone</v>
      </c>
      <c r="S4" s="36" t="str">
        <f>'Page de garde'!A40</f>
        <v>Saccharin-0,1mg/L + Testostérone</v>
      </c>
      <c r="T4" s="36" t="str">
        <f>'Page de garde'!A41</f>
        <v>Saccharin-1mg/L + Testostérone</v>
      </c>
      <c r="U4" s="36" t="str">
        <f>'Page de garde'!A42</f>
        <v>Saccharin-10mg/L + Testostérone</v>
      </c>
      <c r="V4" s="36" t="str">
        <f>'Page de garde'!A43</f>
        <v>Saccharin-100mg/L + Testostérone</v>
      </c>
    </row>
    <row r="5" spans="1:22" x14ac:dyDescent="0.35">
      <c r="A5" s="217" t="s">
        <v>33</v>
      </c>
      <c r="B5" s="1">
        <v>24693</v>
      </c>
      <c r="C5" s="1">
        <v>116631</v>
      </c>
      <c r="D5" s="1">
        <v>40351</v>
      </c>
      <c r="E5" s="1">
        <v>2173571</v>
      </c>
      <c r="F5" s="1">
        <v>5773683</v>
      </c>
      <c r="G5" s="1">
        <v>9969756</v>
      </c>
      <c r="H5" s="1">
        <v>14360563</v>
      </c>
      <c r="I5" s="1">
        <v>77166</v>
      </c>
      <c r="J5" s="1">
        <v>38289</v>
      </c>
      <c r="K5" s="1">
        <v>149516</v>
      </c>
      <c r="L5" s="1">
        <v>275666</v>
      </c>
      <c r="M5" s="1">
        <v>61434</v>
      </c>
      <c r="N5" s="3"/>
      <c r="O5" s="1">
        <v>3283059</v>
      </c>
      <c r="P5" s="1">
        <v>13938898</v>
      </c>
      <c r="Q5" s="1">
        <v>24221</v>
      </c>
      <c r="R5" s="1">
        <v>3059371</v>
      </c>
      <c r="S5" s="1">
        <v>65574</v>
      </c>
      <c r="T5" s="1">
        <v>1363690</v>
      </c>
      <c r="U5" s="1">
        <v>1980274</v>
      </c>
      <c r="V5" s="1">
        <v>784137</v>
      </c>
    </row>
    <row r="6" spans="1:22" x14ac:dyDescent="0.35">
      <c r="A6" s="218"/>
      <c r="B6" s="1">
        <v>35819</v>
      </c>
      <c r="C6" s="1">
        <v>338260</v>
      </c>
      <c r="D6" s="1">
        <v>42007</v>
      </c>
      <c r="E6" s="1">
        <v>591343</v>
      </c>
      <c r="F6" s="1">
        <v>4556224</v>
      </c>
      <c r="G6" s="1">
        <v>6338049</v>
      </c>
      <c r="H6" s="1">
        <v>11766197</v>
      </c>
      <c r="I6" s="1">
        <v>221259</v>
      </c>
      <c r="J6" s="1">
        <v>24393</v>
      </c>
      <c r="K6" s="1">
        <v>404792</v>
      </c>
      <c r="L6" s="1">
        <v>105727</v>
      </c>
      <c r="M6" s="1">
        <v>402606</v>
      </c>
      <c r="N6" s="3"/>
      <c r="O6" s="1">
        <v>1112390</v>
      </c>
      <c r="P6" s="1">
        <v>7755252</v>
      </c>
      <c r="Q6" s="1">
        <v>7548</v>
      </c>
      <c r="R6" s="1">
        <v>1264399</v>
      </c>
      <c r="S6" s="1">
        <v>135967</v>
      </c>
      <c r="T6" s="1">
        <v>2409237</v>
      </c>
      <c r="U6" s="1">
        <v>401758</v>
      </c>
      <c r="V6" s="1">
        <v>2795509</v>
      </c>
    </row>
    <row r="7" spans="1:22" x14ac:dyDescent="0.35">
      <c r="A7" s="218"/>
      <c r="B7" s="1">
        <v>60413</v>
      </c>
      <c r="C7" s="1">
        <v>92534</v>
      </c>
      <c r="D7" s="1">
        <v>46660</v>
      </c>
      <c r="E7" s="1">
        <v>663710</v>
      </c>
      <c r="F7" s="1">
        <v>3878404</v>
      </c>
      <c r="G7" s="1">
        <v>6657449</v>
      </c>
      <c r="H7" s="1">
        <v>17083547</v>
      </c>
      <c r="I7" s="1">
        <v>165773</v>
      </c>
      <c r="J7" s="1">
        <v>21865</v>
      </c>
      <c r="K7" s="1">
        <v>217315</v>
      </c>
      <c r="L7" s="1">
        <v>300526</v>
      </c>
      <c r="M7" s="1">
        <v>25792</v>
      </c>
      <c r="N7" s="3"/>
      <c r="O7" s="1">
        <v>1822832</v>
      </c>
      <c r="P7" s="1">
        <v>7206832</v>
      </c>
      <c r="Q7" s="1">
        <v>321074</v>
      </c>
      <c r="R7" s="1">
        <v>597926</v>
      </c>
      <c r="S7" s="1">
        <v>3936131</v>
      </c>
      <c r="T7" s="1">
        <v>2913634</v>
      </c>
      <c r="U7" s="1">
        <v>4633224</v>
      </c>
      <c r="V7" s="1">
        <v>5119378</v>
      </c>
    </row>
    <row r="8" spans="1:22" x14ac:dyDescent="0.35">
      <c r="A8" s="218"/>
      <c r="B8" s="1">
        <v>75101</v>
      </c>
      <c r="C8" s="1">
        <v>37258</v>
      </c>
      <c r="D8" s="1">
        <v>1540</v>
      </c>
      <c r="E8" s="1">
        <v>687119</v>
      </c>
      <c r="F8" s="1">
        <v>6020937</v>
      </c>
      <c r="G8" s="1">
        <v>9084710</v>
      </c>
      <c r="H8" s="1">
        <v>9628939</v>
      </c>
      <c r="I8" s="1">
        <v>287562</v>
      </c>
      <c r="J8" s="1">
        <v>326045</v>
      </c>
      <c r="K8" s="1">
        <v>14381</v>
      </c>
      <c r="L8" s="1">
        <v>99309</v>
      </c>
      <c r="M8" s="1">
        <v>703688</v>
      </c>
      <c r="N8" s="3"/>
      <c r="O8" s="1">
        <v>4152247</v>
      </c>
      <c r="P8" s="1">
        <v>409585</v>
      </c>
      <c r="Q8" s="1">
        <v>169977</v>
      </c>
      <c r="R8" s="1">
        <v>1735775</v>
      </c>
      <c r="S8" s="1">
        <v>777129</v>
      </c>
      <c r="T8" s="1">
        <v>1262051</v>
      </c>
      <c r="U8" s="1">
        <v>74515</v>
      </c>
      <c r="V8" s="1">
        <v>1974353</v>
      </c>
    </row>
    <row r="9" spans="1:22" x14ac:dyDescent="0.35">
      <c r="A9" s="218"/>
      <c r="B9" s="1">
        <v>194558</v>
      </c>
      <c r="C9" s="1">
        <v>88212</v>
      </c>
      <c r="D9" s="1">
        <v>64452</v>
      </c>
      <c r="E9" s="1">
        <v>1555857</v>
      </c>
      <c r="F9" s="1">
        <v>5438713</v>
      </c>
      <c r="G9" s="1">
        <v>3609329</v>
      </c>
      <c r="H9" s="1">
        <v>15100179</v>
      </c>
      <c r="I9" s="1">
        <v>204755</v>
      </c>
      <c r="J9" s="1">
        <v>90060</v>
      </c>
      <c r="K9" s="1">
        <v>90612</v>
      </c>
      <c r="L9" s="1">
        <v>383869</v>
      </c>
      <c r="M9" s="1">
        <v>71673</v>
      </c>
      <c r="N9" s="3"/>
      <c r="O9" s="1">
        <v>3771626</v>
      </c>
      <c r="P9" s="1">
        <v>1532699</v>
      </c>
      <c r="Q9" s="1">
        <v>303321</v>
      </c>
      <c r="R9" s="1">
        <v>963339</v>
      </c>
      <c r="S9" s="1">
        <v>1704517</v>
      </c>
      <c r="T9" s="1">
        <v>1513191</v>
      </c>
      <c r="U9" s="1">
        <v>223764</v>
      </c>
      <c r="V9" s="1">
        <v>2266624</v>
      </c>
    </row>
    <row r="10" spans="1:22" x14ac:dyDescent="0.35">
      <c r="A10" s="218"/>
      <c r="B10" s="1">
        <v>184363</v>
      </c>
      <c r="C10" s="1">
        <v>44312</v>
      </c>
      <c r="D10" s="1">
        <v>2752834</v>
      </c>
      <c r="E10" s="1">
        <v>2490043</v>
      </c>
      <c r="F10" s="1">
        <v>10547962</v>
      </c>
      <c r="G10" s="1">
        <v>9338043</v>
      </c>
      <c r="H10" s="1">
        <v>14731004</v>
      </c>
      <c r="I10" s="1">
        <v>7115</v>
      </c>
      <c r="J10" s="1">
        <v>274241</v>
      </c>
      <c r="K10" s="1">
        <v>112249</v>
      </c>
      <c r="L10" s="1">
        <v>76522</v>
      </c>
      <c r="M10" s="1">
        <v>39121</v>
      </c>
      <c r="N10" s="3"/>
      <c r="O10" s="1">
        <v>2633548</v>
      </c>
      <c r="P10" s="1">
        <v>6363345</v>
      </c>
      <c r="Q10" s="1">
        <v>11691</v>
      </c>
      <c r="R10" s="1">
        <v>4527098</v>
      </c>
      <c r="S10" s="1">
        <v>3403142</v>
      </c>
      <c r="T10" s="1">
        <v>2054732</v>
      </c>
      <c r="U10" s="1">
        <v>925360</v>
      </c>
      <c r="V10" s="1">
        <v>7870390</v>
      </c>
    </row>
    <row r="11" spans="1:22" x14ac:dyDescent="0.35">
      <c r="A11" s="218"/>
      <c r="B11" s="1">
        <v>162790</v>
      </c>
      <c r="C11" s="1">
        <v>18219</v>
      </c>
      <c r="D11" s="1">
        <v>3066792</v>
      </c>
      <c r="E11" s="1">
        <v>2519731</v>
      </c>
      <c r="F11" s="1">
        <v>3028437</v>
      </c>
      <c r="G11" s="1">
        <v>13315563</v>
      </c>
      <c r="H11" s="1">
        <v>14854633</v>
      </c>
      <c r="I11" s="1">
        <v>53781</v>
      </c>
      <c r="J11" s="1">
        <v>194425</v>
      </c>
      <c r="K11" s="1">
        <v>72343</v>
      </c>
      <c r="L11" s="1">
        <v>204005</v>
      </c>
      <c r="M11" s="1">
        <v>136213</v>
      </c>
      <c r="N11" s="3"/>
      <c r="O11" s="1">
        <v>3223107</v>
      </c>
      <c r="P11" s="1">
        <v>10524082</v>
      </c>
      <c r="Q11" s="1">
        <v>11421</v>
      </c>
      <c r="R11" s="1">
        <v>3440213</v>
      </c>
      <c r="S11" s="1">
        <v>2209246</v>
      </c>
      <c r="T11" s="1">
        <v>1274670</v>
      </c>
      <c r="U11" s="1">
        <v>39641</v>
      </c>
      <c r="V11" s="1">
        <v>181239</v>
      </c>
    </row>
    <row r="12" spans="1:22" x14ac:dyDescent="0.35">
      <c r="A12" s="218"/>
      <c r="B12" s="1">
        <v>30263</v>
      </c>
      <c r="C12" s="1">
        <v>17516</v>
      </c>
      <c r="D12" s="1">
        <v>2568111</v>
      </c>
      <c r="E12" s="1">
        <v>798731</v>
      </c>
      <c r="F12" s="1">
        <v>5495301</v>
      </c>
      <c r="G12" s="32">
        <v>7337818</v>
      </c>
      <c r="H12" s="1">
        <v>15672946</v>
      </c>
      <c r="I12" s="32">
        <v>907</v>
      </c>
      <c r="J12" s="1">
        <v>197946</v>
      </c>
      <c r="K12" s="1">
        <v>61914</v>
      </c>
      <c r="L12" s="1">
        <v>110824</v>
      </c>
      <c r="M12" s="1">
        <v>115369</v>
      </c>
      <c r="N12" s="3"/>
      <c r="O12" s="1">
        <v>1207448</v>
      </c>
      <c r="P12" s="1">
        <v>5209986</v>
      </c>
      <c r="Q12" s="1">
        <v>181898</v>
      </c>
      <c r="R12" s="1">
        <v>518107</v>
      </c>
      <c r="S12" s="1">
        <v>5137489</v>
      </c>
      <c r="T12" s="1">
        <v>3685430</v>
      </c>
      <c r="U12" s="1">
        <v>636705</v>
      </c>
      <c r="V12" s="32">
        <v>1037342</v>
      </c>
    </row>
    <row r="13" spans="1:22" ht="16.5" x14ac:dyDescent="0.35">
      <c r="A13" s="218"/>
      <c r="B13" s="14"/>
      <c r="C13" s="13"/>
      <c r="D13" s="16"/>
      <c r="E13" s="16"/>
      <c r="F13" s="16"/>
      <c r="G13" s="16"/>
      <c r="H13" s="16"/>
      <c r="I13" s="32"/>
      <c r="J13" s="16"/>
      <c r="K13" s="13"/>
      <c r="L13" s="13"/>
      <c r="M13" s="13"/>
      <c r="N13" s="3"/>
      <c r="O13" s="1">
        <v>1511945</v>
      </c>
      <c r="P13" s="13"/>
      <c r="Q13" s="13"/>
      <c r="R13" s="4"/>
      <c r="S13" s="32"/>
      <c r="T13" s="32"/>
      <c r="U13" s="32"/>
      <c r="V13" s="32"/>
    </row>
    <row r="14" spans="1:22" ht="16.5" x14ac:dyDescent="0.35">
      <c r="A14" s="218"/>
      <c r="B14" s="14"/>
      <c r="C14" s="16"/>
      <c r="D14" s="16"/>
      <c r="E14" s="16"/>
      <c r="F14" s="16"/>
      <c r="G14" s="16"/>
      <c r="H14" s="16"/>
      <c r="I14" s="32"/>
      <c r="J14" s="16"/>
      <c r="K14" s="13"/>
      <c r="L14" s="13"/>
      <c r="M14" s="13"/>
      <c r="N14" s="3"/>
      <c r="O14" s="1">
        <v>5936558</v>
      </c>
      <c r="P14" s="13"/>
      <c r="Q14" s="13"/>
      <c r="R14" s="4"/>
      <c r="S14" s="32"/>
      <c r="T14" s="32"/>
      <c r="U14" s="32"/>
      <c r="V14" s="32"/>
    </row>
    <row r="15" spans="1:22" ht="16.5" x14ac:dyDescent="0.35">
      <c r="A15" s="218"/>
      <c r="B15" s="14"/>
      <c r="C15" s="16"/>
      <c r="D15" s="16"/>
      <c r="E15" s="16"/>
      <c r="F15" s="16"/>
      <c r="G15" s="16"/>
      <c r="H15" s="16"/>
      <c r="I15" s="32"/>
      <c r="J15" s="16"/>
      <c r="K15" s="13"/>
      <c r="L15" s="13"/>
      <c r="M15" s="13"/>
      <c r="N15" s="3"/>
      <c r="O15" s="1">
        <v>743882</v>
      </c>
      <c r="P15" s="13"/>
      <c r="Q15" s="13"/>
      <c r="R15" s="4"/>
      <c r="S15" s="32"/>
      <c r="T15" s="32"/>
      <c r="U15" s="32"/>
      <c r="V15" s="32"/>
    </row>
    <row r="16" spans="1:22" ht="16.5" x14ac:dyDescent="0.35">
      <c r="A16" s="218"/>
      <c r="B16" s="14"/>
      <c r="C16" s="16"/>
      <c r="D16" s="16"/>
      <c r="E16" s="16"/>
      <c r="F16" s="16"/>
      <c r="G16" s="16"/>
      <c r="H16" s="16"/>
      <c r="I16" s="32"/>
      <c r="J16" s="16"/>
      <c r="K16" s="13"/>
      <c r="L16" s="13"/>
      <c r="M16" s="13"/>
      <c r="N16" s="3"/>
      <c r="O16" s="1">
        <v>2315589</v>
      </c>
      <c r="P16" s="13"/>
      <c r="Q16" s="13"/>
      <c r="R16" s="4"/>
      <c r="S16" s="32"/>
      <c r="T16" s="32"/>
      <c r="U16" s="32"/>
      <c r="V16" s="32"/>
    </row>
    <row r="17" spans="1:22" s="1" customFormat="1" ht="16.5" x14ac:dyDescent="0.35">
      <c r="A17" s="218"/>
      <c r="B17" s="14"/>
      <c r="C17" s="32"/>
      <c r="D17" s="32"/>
      <c r="E17" s="32"/>
      <c r="F17" s="32"/>
      <c r="G17" s="32"/>
      <c r="H17" s="32"/>
      <c r="I17" s="32"/>
      <c r="J17" s="32"/>
      <c r="K17" s="13"/>
      <c r="L17" s="13"/>
      <c r="M17" s="13"/>
      <c r="N17" s="3"/>
      <c r="O17" s="1">
        <v>2032225</v>
      </c>
      <c r="P17" s="13"/>
      <c r="Q17" s="13"/>
      <c r="R17" s="32"/>
      <c r="S17" s="32"/>
      <c r="T17" s="32"/>
      <c r="U17" s="32"/>
      <c r="V17" s="32"/>
    </row>
    <row r="18" spans="1:22" s="1" customFormat="1" ht="16.5" x14ac:dyDescent="0.35">
      <c r="A18" s="218"/>
      <c r="B18" s="14"/>
      <c r="C18" s="32"/>
      <c r="D18" s="32"/>
      <c r="E18" s="32"/>
      <c r="F18" s="32"/>
      <c r="G18" s="32"/>
      <c r="H18" s="32"/>
      <c r="I18" s="32"/>
      <c r="J18" s="32"/>
      <c r="K18" s="13"/>
      <c r="L18" s="13"/>
      <c r="M18" s="13"/>
      <c r="N18" s="3"/>
      <c r="O18" s="1">
        <v>437048</v>
      </c>
      <c r="P18" s="13"/>
      <c r="Q18" s="13"/>
      <c r="R18" s="32"/>
      <c r="S18" s="32"/>
      <c r="T18" s="32"/>
      <c r="U18" s="32"/>
      <c r="V18" s="32"/>
    </row>
    <row r="19" spans="1:22" s="1" customFormat="1" ht="16.5" x14ac:dyDescent="0.35">
      <c r="A19" s="218"/>
      <c r="B19" s="14"/>
      <c r="C19" s="32"/>
      <c r="D19" s="32"/>
      <c r="E19" s="32"/>
      <c r="F19" s="32"/>
      <c r="G19" s="32"/>
      <c r="H19" s="32"/>
      <c r="I19" s="32"/>
      <c r="J19" s="32"/>
      <c r="K19" s="13"/>
      <c r="L19" s="13"/>
      <c r="M19" s="13"/>
      <c r="N19" s="3"/>
      <c r="O19" s="1">
        <v>68150</v>
      </c>
      <c r="P19" s="13"/>
      <c r="Q19" s="13"/>
      <c r="R19" s="32"/>
      <c r="S19" s="32"/>
      <c r="T19" s="32"/>
      <c r="U19" s="32"/>
      <c r="V19" s="32"/>
    </row>
    <row r="20" spans="1:22" ht="16.5" x14ac:dyDescent="0.35">
      <c r="A20" s="218"/>
      <c r="B20" s="14"/>
      <c r="C20" s="16"/>
      <c r="D20" s="16"/>
      <c r="E20" s="16"/>
      <c r="F20" s="16"/>
      <c r="G20" s="16"/>
      <c r="H20" s="16"/>
      <c r="I20" s="32"/>
      <c r="J20" s="16"/>
      <c r="K20" s="13"/>
      <c r="L20" s="13"/>
      <c r="M20" s="13"/>
      <c r="N20" s="3"/>
      <c r="O20" s="1"/>
      <c r="P20" s="13"/>
      <c r="Q20" s="13"/>
      <c r="R20" s="4"/>
      <c r="S20" s="32"/>
      <c r="T20" s="32"/>
      <c r="U20" s="32"/>
      <c r="V20" s="32"/>
    </row>
    <row r="21" spans="1:22" s="1" customFormat="1" ht="16.5" x14ac:dyDescent="0.3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Saccharin-0,01mg/L</v>
      </c>
      <c r="J22" s="68" t="str">
        <f t="shared" si="0"/>
        <v>Saccharin-0,1mg/L</v>
      </c>
      <c r="K22" s="68" t="str">
        <f t="shared" si="0"/>
        <v>Saccharin-1mg/L</v>
      </c>
      <c r="L22" s="68" t="str">
        <f t="shared" si="0"/>
        <v>Saccharin-10mg/L</v>
      </c>
      <c r="M22" s="68" t="str">
        <f t="shared" si="0"/>
        <v>Saccharin-100mg/L</v>
      </c>
      <c r="N22" s="68" t="s">
        <v>47</v>
      </c>
      <c r="O22" s="68" t="str">
        <f t="shared" ref="O22:V22" si="1">O4</f>
        <v>Testo -30µg/L</v>
      </c>
      <c r="P22" s="68" t="str">
        <f t="shared" si="1"/>
        <v>Testo 30µg/L + EE2 -64ng/L</v>
      </c>
      <c r="Q22" s="68" t="str">
        <f t="shared" si="1"/>
        <v>Testo 30µg/L + FAD-10µg/L</v>
      </c>
      <c r="R22" s="68" t="str">
        <f t="shared" si="1"/>
        <v>Saccharin-0,01mg/L + Testostérone</v>
      </c>
      <c r="S22" s="68" t="str">
        <f t="shared" si="1"/>
        <v>Saccharin-0,1mg/L + Testostérone</v>
      </c>
      <c r="T22" s="68" t="str">
        <f t="shared" si="1"/>
        <v>Saccharin-1mg/L + Testostérone</v>
      </c>
      <c r="U22" s="68" t="str">
        <f t="shared" si="1"/>
        <v>Saccharin-10mg/L + Testostérone</v>
      </c>
      <c r="V22" s="68" t="str">
        <f t="shared" si="1"/>
        <v>Saccharin-100mg/L + Testostérone</v>
      </c>
    </row>
    <row r="23" spans="1:22" x14ac:dyDescent="0.35">
      <c r="A23" s="5" t="s">
        <v>0</v>
      </c>
      <c r="B23" s="5">
        <f t="shared" ref="B23:M23" si="2">AVERAGE(B5:B20)</f>
        <v>96000</v>
      </c>
      <c r="C23" s="5">
        <f t="shared" si="2"/>
        <v>94117.75</v>
      </c>
      <c r="D23" s="5">
        <f t="shared" si="2"/>
        <v>1072843.375</v>
      </c>
      <c r="E23" s="5">
        <f t="shared" si="2"/>
        <v>1435013.125</v>
      </c>
      <c r="F23" s="5">
        <f t="shared" si="2"/>
        <v>5592457.625</v>
      </c>
      <c r="G23" s="5">
        <f t="shared" si="2"/>
        <v>8206339.625</v>
      </c>
      <c r="H23" s="5">
        <f t="shared" si="2"/>
        <v>14149751</v>
      </c>
      <c r="I23" s="5">
        <f t="shared" si="2"/>
        <v>127289.75</v>
      </c>
      <c r="J23" s="5">
        <f t="shared" si="2"/>
        <v>145908</v>
      </c>
      <c r="K23" s="5">
        <f t="shared" si="2"/>
        <v>140390.25</v>
      </c>
      <c r="L23" s="5">
        <f t="shared" si="2"/>
        <v>194556</v>
      </c>
      <c r="M23" s="5">
        <f t="shared" si="2"/>
        <v>194487</v>
      </c>
      <c r="N23" s="5" t="s">
        <v>0</v>
      </c>
      <c r="O23" s="5">
        <f t="shared" ref="O23:V23" si="3">AVERAGE(O5:O20)</f>
        <v>2283443.6</v>
      </c>
      <c r="P23" s="5">
        <f t="shared" si="3"/>
        <v>6617584.875</v>
      </c>
      <c r="Q23" s="5">
        <f t="shared" si="3"/>
        <v>128893.875</v>
      </c>
      <c r="R23" s="5">
        <f t="shared" si="3"/>
        <v>2013278.5</v>
      </c>
      <c r="S23" s="5">
        <f t="shared" si="3"/>
        <v>2171149.375</v>
      </c>
      <c r="T23" s="5">
        <f t="shared" si="3"/>
        <v>2059579.375</v>
      </c>
      <c r="U23" s="5">
        <f t="shared" si="3"/>
        <v>1114405.125</v>
      </c>
      <c r="V23" s="5">
        <f t="shared" si="3"/>
        <v>2753621.5</v>
      </c>
    </row>
    <row r="24" spans="1:22" x14ac:dyDescent="0.35">
      <c r="A24" s="3" t="s">
        <v>1</v>
      </c>
      <c r="B24" s="3">
        <f t="shared" ref="B24:M24" si="4">STDEV(B5:B20)</f>
        <v>72420.991611548656</v>
      </c>
      <c r="C24" s="3">
        <f t="shared" si="4"/>
        <v>105215.26441776402</v>
      </c>
      <c r="D24" s="3">
        <f t="shared" si="4"/>
        <v>1433292.1859254097</v>
      </c>
      <c r="E24" s="3">
        <f t="shared" si="4"/>
        <v>855291.11481687706</v>
      </c>
      <c r="F24" s="3">
        <f t="shared" si="4"/>
        <v>2248570.9544974775</v>
      </c>
      <c r="G24" s="3">
        <f t="shared" si="4"/>
        <v>2904245.57154964</v>
      </c>
      <c r="H24" s="3">
        <f t="shared" si="4"/>
        <v>2355201.5853777784</v>
      </c>
      <c r="I24" s="3">
        <f t="shared" si="4"/>
        <v>107124.58449961094</v>
      </c>
      <c r="J24" s="3">
        <f t="shared" si="4"/>
        <v>118823.97529238666</v>
      </c>
      <c r="K24" s="3">
        <f t="shared" si="4"/>
        <v>122966.9334969481</v>
      </c>
      <c r="L24" s="3">
        <f t="shared" si="4"/>
        <v>114419.54366028808</v>
      </c>
      <c r="M24" s="3">
        <f t="shared" si="4"/>
        <v>238338.7954596206</v>
      </c>
      <c r="N24" s="3" t="s">
        <v>1</v>
      </c>
      <c r="O24" s="3">
        <f t="shared" ref="O24:V24" si="5">STDEV(O5:O20)</f>
        <v>1584404.6165695265</v>
      </c>
      <c r="P24" s="3">
        <f t="shared" si="5"/>
        <v>4423074.9426852819</v>
      </c>
      <c r="Q24" s="3">
        <f t="shared" si="5"/>
        <v>133669.58475332</v>
      </c>
      <c r="R24" s="3">
        <f t="shared" si="5"/>
        <v>1484621.2710793091</v>
      </c>
      <c r="S24" s="3">
        <f t="shared" si="5"/>
        <v>1858188.1200688048</v>
      </c>
      <c r="T24" s="3">
        <f t="shared" si="5"/>
        <v>888821.05088931264</v>
      </c>
      <c r="U24" s="3">
        <f t="shared" si="5"/>
        <v>1555329.4362671152</v>
      </c>
      <c r="V24" s="3">
        <f t="shared" si="5"/>
        <v>2565316.4791337429</v>
      </c>
    </row>
    <row r="25" spans="1:22" ht="15" thickBot="1" x14ac:dyDescent="0.4"/>
    <row r="26" spans="1:22" ht="15" thickBot="1" x14ac:dyDescent="0.4">
      <c r="B26" s="221" t="s">
        <v>6</v>
      </c>
      <c r="C26" s="222"/>
      <c r="D26" s="222"/>
      <c r="E26" s="222"/>
      <c r="F26" s="222"/>
      <c r="G26" s="222"/>
      <c r="H26" s="222"/>
      <c r="I26" s="222"/>
      <c r="J26" s="222"/>
      <c r="K26" s="222"/>
      <c r="L26" s="222"/>
      <c r="M26" s="222"/>
      <c r="N26" s="1"/>
      <c r="O26" s="221" t="s">
        <v>3</v>
      </c>
      <c r="P26" s="222"/>
      <c r="Q26" s="222"/>
      <c r="R26" s="222"/>
      <c r="S26" s="222"/>
      <c r="T26" s="222"/>
      <c r="U26" s="222"/>
      <c r="V26" s="222"/>
    </row>
    <row r="27" spans="1:22" s="1" customFormat="1" x14ac:dyDescent="0.3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Saccharin-0,01mg/L</v>
      </c>
      <c r="J27" s="35" t="str">
        <f t="shared" si="6"/>
        <v>Saccharin-0,1mg/L</v>
      </c>
      <c r="K27" s="35" t="str">
        <f t="shared" si="6"/>
        <v>Saccharin-1mg/L</v>
      </c>
      <c r="L27" s="35" t="str">
        <f t="shared" si="6"/>
        <v>Saccharin-10mg/L</v>
      </c>
      <c r="M27" s="35" t="str">
        <f t="shared" si="6"/>
        <v>Saccharin-100mg/L</v>
      </c>
      <c r="N27" s="3"/>
      <c r="O27" s="36" t="str">
        <f t="shared" ref="O27:V27" si="7">O4</f>
        <v>Testo -30µg/L</v>
      </c>
      <c r="P27" s="36" t="str">
        <f t="shared" si="7"/>
        <v>Testo 30µg/L + EE2 -64ng/L</v>
      </c>
      <c r="Q27" s="36" t="str">
        <f t="shared" si="7"/>
        <v>Testo 30µg/L + FAD-10µg/L</v>
      </c>
      <c r="R27" s="36" t="str">
        <f t="shared" si="7"/>
        <v>Saccharin-0,01mg/L + Testostérone</v>
      </c>
      <c r="S27" s="36" t="str">
        <f t="shared" si="7"/>
        <v>Saccharin-0,1mg/L + Testostérone</v>
      </c>
      <c r="T27" s="36" t="str">
        <f t="shared" si="7"/>
        <v>Saccharin-1mg/L + Testostérone</v>
      </c>
      <c r="U27" s="36" t="str">
        <f t="shared" si="7"/>
        <v>Saccharin-10mg/L + Testostérone</v>
      </c>
      <c r="V27" s="36" t="str">
        <f t="shared" si="7"/>
        <v>Saccharin-100mg/L + Testostérone</v>
      </c>
    </row>
    <row r="28" spans="1:22" x14ac:dyDescent="0.35">
      <c r="A28" s="219" t="s">
        <v>34</v>
      </c>
      <c r="B28" s="11">
        <f t="shared" ref="B28:M28" si="8">IF(B5="","",(B5/$O$23))</f>
        <v>1.0813930328736825E-2</v>
      </c>
      <c r="C28" s="11">
        <f t="shared" si="8"/>
        <v>5.1076803473490653E-2</v>
      </c>
      <c r="D28" s="11">
        <f t="shared" si="8"/>
        <v>1.7671117429832732E-2</v>
      </c>
      <c r="E28" s="11">
        <f t="shared" si="8"/>
        <v>0.95188293680649694</v>
      </c>
      <c r="F28" s="11">
        <f t="shared" si="8"/>
        <v>2.5284981858102382</v>
      </c>
      <c r="G28" s="11">
        <f t="shared" si="8"/>
        <v>4.366105648503865</v>
      </c>
      <c r="H28" s="11">
        <f t="shared" si="8"/>
        <v>6.2889939563210584</v>
      </c>
      <c r="I28" s="11">
        <f t="shared" si="8"/>
        <v>3.3793696502948438E-2</v>
      </c>
      <c r="J28" s="11">
        <f t="shared" si="8"/>
        <v>1.6768095345118222E-2</v>
      </c>
      <c r="K28" s="11">
        <f t="shared" si="8"/>
        <v>6.5478297777970082E-2</v>
      </c>
      <c r="L28" s="11">
        <f t="shared" si="8"/>
        <v>0.12072380504602785</v>
      </c>
      <c r="M28" s="11">
        <f t="shared" si="8"/>
        <v>2.690410220773572E-2</v>
      </c>
      <c r="N28" s="6"/>
      <c r="O28" s="11">
        <f t="shared" ref="O28:V28" si="9">IF(O5="","",(O5/$O$23))</f>
        <v>1.4377666258102455</v>
      </c>
      <c r="P28" s="11">
        <f t="shared" si="9"/>
        <v>6.10433207108772</v>
      </c>
      <c r="Q28" s="11">
        <f t="shared" si="9"/>
        <v>1.0607224982478219E-2</v>
      </c>
      <c r="R28" s="11">
        <f t="shared" si="9"/>
        <v>1.3398058090858911</v>
      </c>
      <c r="S28" s="11">
        <f t="shared" si="9"/>
        <v>2.8717153338054857E-2</v>
      </c>
      <c r="T28" s="11">
        <f t="shared" si="9"/>
        <v>0.59720765601567738</v>
      </c>
      <c r="U28" s="11">
        <f t="shared" si="9"/>
        <v>0.86723140435787416</v>
      </c>
      <c r="V28" s="11">
        <f t="shared" si="9"/>
        <v>0.34340108071861286</v>
      </c>
    </row>
    <row r="29" spans="1:22" x14ac:dyDescent="0.35">
      <c r="A29" s="220"/>
      <c r="B29" s="11">
        <f t="shared" ref="B29:M29" si="10">IF(B6="","",(B6/$O$23))</f>
        <v>1.5686395757705598E-2</v>
      </c>
      <c r="C29" s="11">
        <f t="shared" si="10"/>
        <v>0.14813591191829742</v>
      </c>
      <c r="D29" s="11">
        <f t="shared" si="10"/>
        <v>1.8396337881960385E-2</v>
      </c>
      <c r="E29" s="11">
        <f t="shared" si="10"/>
        <v>0.25896982960297332</v>
      </c>
      <c r="F29" s="11">
        <f t="shared" si="10"/>
        <v>1.9953302109147779</v>
      </c>
      <c r="G29" s="11">
        <f t="shared" si="10"/>
        <v>2.7756538414174101</v>
      </c>
      <c r="H29" s="11">
        <f t="shared" si="10"/>
        <v>5.152830137779624</v>
      </c>
      <c r="I29" s="11">
        <f t="shared" si="10"/>
        <v>9.6897072474222704E-2</v>
      </c>
      <c r="J29" s="11">
        <f t="shared" si="10"/>
        <v>1.0682549812047032E-2</v>
      </c>
      <c r="K29" s="11">
        <f t="shared" si="10"/>
        <v>0.17727260703964837</v>
      </c>
      <c r="L29" s="11">
        <f t="shared" si="10"/>
        <v>4.6301559626872324E-2</v>
      </c>
      <c r="M29" s="11">
        <f t="shared" si="10"/>
        <v>0.1763152810080354</v>
      </c>
      <c r="N29" s="6"/>
      <c r="O29" s="11">
        <f t="shared" ref="O29:V29" si="11">IF(O6="","",(O6/$O$23))</f>
        <v>0.48715457653519445</v>
      </c>
      <c r="P29" s="11">
        <f t="shared" si="11"/>
        <v>3.3962967160651569</v>
      </c>
      <c r="Q29" s="11">
        <f t="shared" si="11"/>
        <v>3.3055337999151808E-3</v>
      </c>
      <c r="R29" s="11">
        <f t="shared" si="11"/>
        <v>0.5537246464068567</v>
      </c>
      <c r="S29" s="11">
        <f t="shared" si="11"/>
        <v>5.9544715709203416E-2</v>
      </c>
      <c r="T29" s="11">
        <f t="shared" si="11"/>
        <v>1.0550893396272192</v>
      </c>
      <c r="U29" s="11">
        <f t="shared" si="11"/>
        <v>0.17594391208085891</v>
      </c>
      <c r="V29" s="11">
        <f t="shared" si="11"/>
        <v>1.224251389436551</v>
      </c>
    </row>
    <row r="30" spans="1:22" x14ac:dyDescent="0.35">
      <c r="A30" s="220"/>
      <c r="B30" s="11">
        <f t="shared" ref="B30:M30" si="12">IF(B7="","",(B7/$O$23))</f>
        <v>2.6456970515934791E-2</v>
      </c>
      <c r="C30" s="11">
        <f t="shared" si="12"/>
        <v>4.0523882437910878E-2</v>
      </c>
      <c r="D30" s="11">
        <f t="shared" si="12"/>
        <v>2.0434049695819068E-2</v>
      </c>
      <c r="E30" s="11">
        <f t="shared" si="12"/>
        <v>0.2906618757739407</v>
      </c>
      <c r="F30" s="11">
        <f t="shared" si="12"/>
        <v>1.6984890715058607</v>
      </c>
      <c r="G30" s="11">
        <f t="shared" si="12"/>
        <v>2.9155302981864759</v>
      </c>
      <c r="H30" s="11">
        <f t="shared" si="12"/>
        <v>7.4814841058478514</v>
      </c>
      <c r="I30" s="11">
        <f t="shared" si="12"/>
        <v>7.2597807977389933E-2</v>
      </c>
      <c r="J30" s="11">
        <f t="shared" si="12"/>
        <v>9.5754499914077144E-3</v>
      </c>
      <c r="K30" s="11">
        <f t="shared" si="12"/>
        <v>9.5169856614807563E-2</v>
      </c>
      <c r="L30" s="11">
        <f t="shared" si="12"/>
        <v>0.13161087052905532</v>
      </c>
      <c r="M30" s="11">
        <f t="shared" si="12"/>
        <v>1.1295220954877099E-2</v>
      </c>
      <c r="N30" s="6"/>
      <c r="O30" s="11">
        <f t="shared" ref="O30:V30" si="13">IF(O7="","",(O7/$O$23))</f>
        <v>0.79828203332895975</v>
      </c>
      <c r="P30" s="11">
        <f t="shared" si="13"/>
        <v>3.1561243728551034</v>
      </c>
      <c r="Q30" s="11">
        <f t="shared" si="13"/>
        <v>0.14060956005219485</v>
      </c>
      <c r="R30" s="11">
        <f t="shared" si="13"/>
        <v>0.261852756074203</v>
      </c>
      <c r="S30" s="11">
        <f t="shared" si="13"/>
        <v>1.7237697484623662</v>
      </c>
      <c r="T30" s="11">
        <f t="shared" si="13"/>
        <v>1.2759824678831568</v>
      </c>
      <c r="U30" s="11">
        <f t="shared" si="13"/>
        <v>2.0290512101984914</v>
      </c>
      <c r="V30" s="11">
        <f t="shared" si="13"/>
        <v>2.2419550892345228</v>
      </c>
    </row>
    <row r="31" spans="1:22" x14ac:dyDescent="0.35">
      <c r="A31" s="220"/>
      <c r="B31" s="11">
        <f t="shared" ref="B31:M31" si="14">IF(B8="","",(B8/$O$23))</f>
        <v>3.2889360613067034E-2</v>
      </c>
      <c r="C31" s="11">
        <f t="shared" si="14"/>
        <v>1.6316584302760971E-2</v>
      </c>
      <c r="D31" s="11">
        <f t="shared" si="14"/>
        <v>6.7441998567426844E-4</v>
      </c>
      <c r="E31" s="11">
        <f t="shared" si="14"/>
        <v>0.30091349749124524</v>
      </c>
      <c r="F31" s="11">
        <f t="shared" si="14"/>
        <v>2.6367793800556316</v>
      </c>
      <c r="G31" s="11">
        <f t="shared" si="14"/>
        <v>3.9785129792564176</v>
      </c>
      <c r="H31" s="11">
        <f t="shared" si="14"/>
        <v>4.2168499366483143</v>
      </c>
      <c r="I31" s="11">
        <f t="shared" si="14"/>
        <v>0.12593348046783376</v>
      </c>
      <c r="J31" s="11">
        <f t="shared" si="14"/>
        <v>0.14278653521374471</v>
      </c>
      <c r="K31" s="11">
        <f t="shared" si="14"/>
        <v>6.2979440350530219E-3</v>
      </c>
      <c r="L31" s="11">
        <f t="shared" si="14"/>
        <v>4.3490892439822029E-2</v>
      </c>
      <c r="M31" s="11">
        <f t="shared" si="14"/>
        <v>0.30816964342802244</v>
      </c>
      <c r="N31" s="6"/>
      <c r="O31" s="11">
        <f t="shared" ref="O31:V31" si="15">IF(O8="","",(O8/$O$23))</f>
        <v>1.8184145209454701</v>
      </c>
      <c r="P31" s="11">
        <f t="shared" si="15"/>
        <v>0.17937162976129561</v>
      </c>
      <c r="Q31" s="11">
        <f t="shared" si="15"/>
        <v>7.4438886951269559E-2</v>
      </c>
      <c r="R31" s="11">
        <f t="shared" si="15"/>
        <v>0.76015672119074884</v>
      </c>
      <c r="S31" s="11">
        <f t="shared" si="15"/>
        <v>0.34033203184873934</v>
      </c>
      <c r="T31" s="11">
        <f t="shared" si="15"/>
        <v>0.55269637489623125</v>
      </c>
      <c r="U31" s="11">
        <f t="shared" si="15"/>
        <v>3.2632730670466306E-2</v>
      </c>
      <c r="V31" s="11">
        <f t="shared" si="15"/>
        <v>0.86463839089347327</v>
      </c>
    </row>
    <row r="32" spans="1:22" x14ac:dyDescent="0.35">
      <c r="A32" s="220"/>
      <c r="B32" s="11">
        <f t="shared" ref="B32:M32" si="16">IF(B9="","",(B9/$O$23))</f>
        <v>8.5203768553775525E-2</v>
      </c>
      <c r="C32" s="11">
        <f t="shared" si="16"/>
        <v>3.8631127127466601E-2</v>
      </c>
      <c r="D32" s="11">
        <f t="shared" si="16"/>
        <v>2.822579020563503E-2</v>
      </c>
      <c r="E32" s="11">
        <f t="shared" si="16"/>
        <v>0.68136432185143525</v>
      </c>
      <c r="F32" s="11">
        <f t="shared" si="16"/>
        <v>2.3818030802249726</v>
      </c>
      <c r="G32" s="11">
        <f t="shared" si="16"/>
        <v>1.5806516964115076</v>
      </c>
      <c r="H32" s="11">
        <f t="shared" si="16"/>
        <v>6.61289773042785</v>
      </c>
      <c r="I32" s="11">
        <f t="shared" si="16"/>
        <v>8.966939231606158E-2</v>
      </c>
      <c r="J32" s="11">
        <f t="shared" si="16"/>
        <v>3.9440431110275724E-2</v>
      </c>
      <c r="K32" s="11">
        <f t="shared" si="16"/>
        <v>3.9682171260984944E-2</v>
      </c>
      <c r="L32" s="11">
        <f t="shared" si="16"/>
        <v>0.16810969187064659</v>
      </c>
      <c r="M32" s="11">
        <f t="shared" si="16"/>
        <v>3.1388119242358341E-2</v>
      </c>
      <c r="N32" s="6"/>
      <c r="O32" s="11">
        <f t="shared" ref="O32:V32" si="17">IF(O9="","",(O9/$O$23))</f>
        <v>1.6517272421355185</v>
      </c>
      <c r="P32" s="11">
        <f t="shared" si="17"/>
        <v>0.67122262183309456</v>
      </c>
      <c r="Q32" s="11">
        <f t="shared" si="17"/>
        <v>0.13283489900954856</v>
      </c>
      <c r="R32" s="11">
        <f t="shared" si="17"/>
        <v>0.42187991855809354</v>
      </c>
      <c r="S32" s="11">
        <f t="shared" si="17"/>
        <v>0.74646774722178377</v>
      </c>
      <c r="T32" s="11">
        <f t="shared" si="17"/>
        <v>0.66267938476781296</v>
      </c>
      <c r="U32" s="11">
        <f t="shared" si="17"/>
        <v>9.7994099788582464E-2</v>
      </c>
      <c r="V32" s="11">
        <f t="shared" si="17"/>
        <v>0.99263410753828119</v>
      </c>
    </row>
    <row r="33" spans="1:22" x14ac:dyDescent="0.35">
      <c r="A33" s="220"/>
      <c r="B33" s="11">
        <f t="shared" ref="B33:M33" si="18">IF(B10="","",(B10/$O$23))</f>
        <v>8.0739020661600741E-2</v>
      </c>
      <c r="C33" s="11">
        <f t="shared" si="18"/>
        <v>1.9405778185193626E-2</v>
      </c>
      <c r="D33" s="11">
        <f t="shared" si="18"/>
        <v>1.2055625109374279</v>
      </c>
      <c r="E33" s="11">
        <f t="shared" si="18"/>
        <v>1.0904771197326704</v>
      </c>
      <c r="F33" s="11">
        <f t="shared" si="18"/>
        <v>4.6193223252809918</v>
      </c>
      <c r="G33" s="11">
        <f t="shared" si="18"/>
        <v>4.0894563807050019</v>
      </c>
      <c r="H33" s="11">
        <f t="shared" si="18"/>
        <v>6.4512230562646691</v>
      </c>
      <c r="I33" s="11">
        <f t="shared" si="18"/>
        <v>3.1159079208262466E-3</v>
      </c>
      <c r="J33" s="11">
        <f t="shared" si="18"/>
        <v>0.12009974759175134</v>
      </c>
      <c r="K33" s="11">
        <f t="shared" si="18"/>
        <v>4.9157772059708414E-2</v>
      </c>
      <c r="L33" s="11">
        <f t="shared" si="18"/>
        <v>3.351166632712102E-2</v>
      </c>
      <c r="M33" s="11">
        <f t="shared" si="18"/>
        <v>1.7132457311404583E-2</v>
      </c>
      <c r="N33" s="6"/>
      <c r="O33" s="11">
        <f t="shared" ref="O33:V33" si="19">IF(O10="","",(O10/$O$23))</f>
        <v>1.1533229898912327</v>
      </c>
      <c r="P33" s="11">
        <f t="shared" si="19"/>
        <v>2.7867318465846931</v>
      </c>
      <c r="Q33" s="11">
        <f t="shared" si="19"/>
        <v>5.1198987354012159E-3</v>
      </c>
      <c r="R33" s="11">
        <f t="shared" si="19"/>
        <v>1.9825749144844216</v>
      </c>
      <c r="S33" s="11">
        <f t="shared" si="19"/>
        <v>1.49035518109578</v>
      </c>
      <c r="T33" s="11">
        <f t="shared" si="19"/>
        <v>0.89983917273016945</v>
      </c>
      <c r="U33" s="11">
        <f t="shared" si="19"/>
        <v>0.40524758308022146</v>
      </c>
      <c r="V33" s="11">
        <f t="shared" si="19"/>
        <v>3.4467196825005879</v>
      </c>
    </row>
    <row r="34" spans="1:22" x14ac:dyDescent="0.35">
      <c r="A34" s="220"/>
      <c r="B34" s="11">
        <f t="shared" ref="B34:M34" si="20">IF(B11="","",(B11/$O$23))</f>
        <v>7.1291447706437763E-2</v>
      </c>
      <c r="C34" s="11">
        <f t="shared" si="20"/>
        <v>7.9787387785711025E-3</v>
      </c>
      <c r="D34" s="11">
        <f t="shared" si="20"/>
        <v>1.3430557251337409</v>
      </c>
      <c r="E34" s="11">
        <f t="shared" si="20"/>
        <v>1.1034785356642922</v>
      </c>
      <c r="F34" s="11">
        <f t="shared" si="20"/>
        <v>1.326258726074951</v>
      </c>
      <c r="G34" s="11">
        <f t="shared" si="20"/>
        <v>5.8313518231849475</v>
      </c>
      <c r="H34" s="11">
        <f t="shared" si="20"/>
        <v>6.5053645292574771</v>
      </c>
      <c r="I34" s="11">
        <f t="shared" si="20"/>
        <v>2.355258522697911E-2</v>
      </c>
      <c r="J34" s="11">
        <f t="shared" si="20"/>
        <v>8.5145523191376388E-2</v>
      </c>
      <c r="K34" s="11">
        <f t="shared" si="20"/>
        <v>3.1681535729632206E-2</v>
      </c>
      <c r="L34" s="11">
        <f t="shared" si="20"/>
        <v>8.9340941024337095E-2</v>
      </c>
      <c r="M34" s="11">
        <f t="shared" si="20"/>
        <v>5.9652447732889045E-2</v>
      </c>
      <c r="N34" s="6"/>
      <c r="O34" s="11">
        <f t="shared" ref="O34:V34" si="21">IF(O11="","",(O11/$O$23))</f>
        <v>1.4115115433549574</v>
      </c>
      <c r="P34" s="11">
        <f t="shared" si="21"/>
        <v>4.6088644361524844</v>
      </c>
      <c r="Q34" s="11">
        <f t="shared" si="21"/>
        <v>5.0016562703804023E-3</v>
      </c>
      <c r="R34" s="11">
        <f t="shared" si="21"/>
        <v>1.5065898715431376</v>
      </c>
      <c r="S34" s="11">
        <f t="shared" si="21"/>
        <v>0.96750626991619149</v>
      </c>
      <c r="T34" s="11">
        <f t="shared" si="21"/>
        <v>0.55822267736325959</v>
      </c>
      <c r="U34" s="11">
        <f t="shared" si="21"/>
        <v>1.7360183540333553E-2</v>
      </c>
      <c r="V34" s="11">
        <f t="shared" si="21"/>
        <v>7.9370911547804374E-2</v>
      </c>
    </row>
    <row r="35" spans="1:22" x14ac:dyDescent="0.35">
      <c r="A35" s="220"/>
      <c r="B35" s="11">
        <f t="shared" ref="B35:M35" si="22">IF(B12="","",(B12/$O$23))</f>
        <v>1.325322858861064E-2</v>
      </c>
      <c r="C35" s="11">
        <f t="shared" si="22"/>
        <v>7.6708704344613547E-3</v>
      </c>
      <c r="D35" s="11">
        <f t="shared" si="22"/>
        <v>1.1246658336557995</v>
      </c>
      <c r="E35" s="11">
        <f t="shared" si="22"/>
        <v>0.34979230492051566</v>
      </c>
      <c r="F35" s="11">
        <f t="shared" si="22"/>
        <v>2.4065849491531122</v>
      </c>
      <c r="G35" s="11">
        <f t="shared" si="22"/>
        <v>3.2134877340522006</v>
      </c>
      <c r="H35" s="11">
        <f t="shared" si="22"/>
        <v>6.8637324784373916</v>
      </c>
      <c r="I35" s="11">
        <f t="shared" si="22"/>
        <v>3.9720709545880612E-4</v>
      </c>
      <c r="J35" s="11">
        <f t="shared" si="22"/>
        <v>8.6687492522258922E-2</v>
      </c>
      <c r="K35" s="11">
        <f t="shared" si="22"/>
        <v>2.7114311034439387E-2</v>
      </c>
      <c r="L35" s="11">
        <f t="shared" si="22"/>
        <v>4.8533714605431898E-2</v>
      </c>
      <c r="M35" s="11">
        <f t="shared" si="22"/>
        <v>5.0524129433282258E-2</v>
      </c>
      <c r="N35" s="6"/>
      <c r="O35" s="11">
        <f t="shared" ref="O35:V35" si="23">IF(O12="","",(O12/$O$23))</f>
        <v>0.52878380705352213</v>
      </c>
      <c r="P35" s="11">
        <f t="shared" si="23"/>
        <v>2.2816355087552851</v>
      </c>
      <c r="Q35" s="11">
        <f t="shared" si="23"/>
        <v>7.9659510749466284E-2</v>
      </c>
      <c r="R35" s="11">
        <f t="shared" si="23"/>
        <v>0.22689721786866116</v>
      </c>
      <c r="S35" s="11">
        <f t="shared" si="23"/>
        <v>2.2498865310270855</v>
      </c>
      <c r="T35" s="11">
        <f t="shared" si="23"/>
        <v>1.6139789920802072</v>
      </c>
      <c r="U35" s="11">
        <f t="shared" si="23"/>
        <v>0.27883543959658125</v>
      </c>
      <c r="V35" s="11">
        <f t="shared" si="23"/>
        <v>0.45428842648007595</v>
      </c>
    </row>
    <row r="36" spans="1:22" s="1" customFormat="1" x14ac:dyDescent="0.35">
      <c r="A36" s="220"/>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0.66213371768849472</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5">
      <c r="A37" s="220"/>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2.5998268579964048</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5">
      <c r="A38" s="220"/>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0.32577200505412085</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5">
      <c r="A39" s="220"/>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1.0140775975373335</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5">
      <c r="A40" s="220"/>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0.88998256843304557</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5">
      <c r="A41" s="220"/>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0.19139864019413486</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5">
      <c r="A42" s="220"/>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2.9845274041364542E-2</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5">
      <c r="A43" s="220"/>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t="str">
        <f t="shared" ref="O43:R43" si="44">IF(O20="","",(O20/$O$23))</f>
        <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5">
      <c r="A44" s="7"/>
      <c r="B44" s="3"/>
      <c r="C44" s="3"/>
      <c r="D44" s="3"/>
      <c r="E44" s="3"/>
      <c r="F44" s="3"/>
      <c r="G44" s="3"/>
      <c r="H44" s="3"/>
      <c r="I44" s="3"/>
      <c r="J44" s="3"/>
      <c r="N44" s="7"/>
      <c r="O44" s="3"/>
      <c r="P44" s="3"/>
      <c r="Q44" s="3"/>
      <c r="R44" s="3"/>
      <c r="S44" s="3"/>
      <c r="T44" s="3"/>
      <c r="U44" s="3"/>
      <c r="V44" s="3"/>
    </row>
    <row r="45" spans="1:22" s="69" customFormat="1" x14ac:dyDescent="0.3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Saccharin-0,01mg/L</v>
      </c>
      <c r="J45" s="70" t="str">
        <f t="shared" si="46"/>
        <v>Saccharin-0,1mg/L</v>
      </c>
      <c r="K45" s="70" t="str">
        <f t="shared" si="46"/>
        <v>Saccharin-1mg/L</v>
      </c>
      <c r="L45" s="70" t="str">
        <f t="shared" si="46"/>
        <v>Saccharin-10mg/L</v>
      </c>
      <c r="M45" s="70" t="str">
        <f t="shared" si="46"/>
        <v>Saccharin-100mg/L</v>
      </c>
      <c r="N45" s="70" t="str">
        <f>N22</f>
        <v>Nom des groupes</v>
      </c>
      <c r="O45" s="70" t="str">
        <f t="shared" ref="O45:V45" si="47">O4</f>
        <v>Testo -30µg/L</v>
      </c>
      <c r="P45" s="70" t="str">
        <f t="shared" si="47"/>
        <v>Testo 30µg/L + EE2 -64ng/L</v>
      </c>
      <c r="Q45" s="70" t="str">
        <f t="shared" si="47"/>
        <v>Testo 30µg/L + FAD-10µg/L</v>
      </c>
      <c r="R45" s="70" t="str">
        <f t="shared" si="47"/>
        <v>Saccharin-0,01mg/L + Testostérone</v>
      </c>
      <c r="S45" s="70" t="str">
        <f t="shared" si="47"/>
        <v>Saccharin-0,1mg/L + Testostérone</v>
      </c>
      <c r="T45" s="70" t="str">
        <f t="shared" si="47"/>
        <v>Saccharin-1mg/L + Testostérone</v>
      </c>
      <c r="U45" s="70" t="str">
        <f t="shared" si="47"/>
        <v>Saccharin-10mg/L + Testostérone</v>
      </c>
      <c r="V45" s="70" t="str">
        <f t="shared" si="47"/>
        <v>Saccharin-100mg/L + Testostérone</v>
      </c>
    </row>
    <row r="46" spans="1:22" x14ac:dyDescent="0.35">
      <c r="A46" s="8" t="s">
        <v>0</v>
      </c>
      <c r="B46" s="10">
        <f t="shared" ref="B46:H46" si="48">AVERAGE(B28:B43)</f>
        <v>4.2041765340733617E-2</v>
      </c>
      <c r="C46" s="10">
        <f t="shared" si="48"/>
        <v>4.121746208226907E-2</v>
      </c>
      <c r="D46" s="10">
        <f t="shared" si="48"/>
        <v>0.46983572311573629</v>
      </c>
      <c r="E46" s="10">
        <f t="shared" si="48"/>
        <v>0.62844255273044614</v>
      </c>
      <c r="F46" s="10">
        <f t="shared" si="48"/>
        <v>2.4491332411275675</v>
      </c>
      <c r="G46" s="10">
        <f t="shared" si="48"/>
        <v>3.5938438002147288</v>
      </c>
      <c r="H46" s="10">
        <f t="shared" si="48"/>
        <v>6.1966719913730293</v>
      </c>
      <c r="I46" s="10">
        <f>AVERAGE(I28:I43)</f>
        <v>5.5744643747715074E-2</v>
      </c>
      <c r="J46" s="9">
        <f>AVERAGE(J28:J43)</f>
        <v>6.3898228097247503E-2</v>
      </c>
      <c r="K46" s="9">
        <f>AVERAGE(K28:K43)</f>
        <v>6.1481811944030497E-2</v>
      </c>
      <c r="L46" s="9">
        <f t="shared" ref="L46:M46" si="49">AVERAGE(L28:L43)</f>
        <v>8.5202892683664253E-2</v>
      </c>
      <c r="M46" s="9">
        <f t="shared" si="49"/>
        <v>8.5172675164825587E-2</v>
      </c>
      <c r="N46" s="8" t="s">
        <v>0</v>
      </c>
      <c r="O46" s="10">
        <f>AVERAGE(O28:O43)</f>
        <v>0.99999999999999989</v>
      </c>
      <c r="P46" s="10">
        <f>AVERAGE(P28:P43)</f>
        <v>2.8980724003868543</v>
      </c>
      <c r="Q46" s="10">
        <f>AVERAGE(Q28:Q43)</f>
        <v>5.6447146318831784E-2</v>
      </c>
      <c r="R46" s="10">
        <f>AVERAGE(R28:R43)</f>
        <v>0.88168523190150161</v>
      </c>
      <c r="S46" s="10">
        <f t="shared" ref="S46:V46" si="50">AVERAGE(S28:S43)</f>
        <v>0.95082242232740066</v>
      </c>
      <c r="T46" s="10">
        <f t="shared" si="50"/>
        <v>0.90196200817046668</v>
      </c>
      <c r="U46" s="10">
        <f t="shared" si="50"/>
        <v>0.48803707041417627</v>
      </c>
      <c r="V46" s="10">
        <f t="shared" si="50"/>
        <v>1.2059073847937387</v>
      </c>
    </row>
    <row r="47" spans="1:22" x14ac:dyDescent="0.35">
      <c r="A47" s="8" t="s">
        <v>1</v>
      </c>
      <c r="B47" s="8">
        <f t="shared" ref="B47:K47" si="51">STDEV(B28:B43)</f>
        <v>3.1715690990374648E-2</v>
      </c>
      <c r="C47" s="8">
        <f t="shared" si="51"/>
        <v>4.6077452676196611E-2</v>
      </c>
      <c r="D47" s="8">
        <f t="shared" si="51"/>
        <v>0.62768889318107512</v>
      </c>
      <c r="E47" s="8">
        <f t="shared" si="51"/>
        <v>0.37456196194943353</v>
      </c>
      <c r="F47" s="8">
        <f t="shared" si="51"/>
        <v>0.98472804605179443</v>
      </c>
      <c r="G47" s="8">
        <f t="shared" si="51"/>
        <v>1.2718709459474433</v>
      </c>
      <c r="H47" s="8">
        <f t="shared" si="51"/>
        <v>1.0314253373185038</v>
      </c>
      <c r="I47" s="8">
        <f>STDEV(I28:I43)</f>
        <v>4.6913610872460765E-2</v>
      </c>
      <c r="J47" s="8">
        <f t="shared" si="51"/>
        <v>5.2037184230163014E-2</v>
      </c>
      <c r="K47" s="8">
        <f t="shared" si="51"/>
        <v>5.3851530861961337E-2</v>
      </c>
      <c r="L47" s="8">
        <f t="shared" ref="L47:M47" si="52">STDEV(L28:L43)</f>
        <v>5.0108329218329771E-2</v>
      </c>
      <c r="M47" s="8">
        <f t="shared" si="52"/>
        <v>0.10437691364902578</v>
      </c>
      <c r="N47" s="8" t="s">
        <v>1</v>
      </c>
      <c r="O47" s="8">
        <f>STDEV(O28:O43)</f>
        <v>0.69386632390199021</v>
      </c>
      <c r="P47" s="8">
        <f>STDEV(P28:P43)</f>
        <v>1.9370195710922229</v>
      </c>
      <c r="Q47" s="8">
        <f>STDEV(Q28:Q43)</f>
        <v>5.8538597035337335E-2</v>
      </c>
      <c r="R47" s="8">
        <f>STDEV(R28:R43)</f>
        <v>0.65016769894352067</v>
      </c>
      <c r="S47" s="8">
        <f t="shared" ref="S47:V47" si="53">STDEV(S28:S43)</f>
        <v>0.81376571773824602</v>
      </c>
      <c r="T47" s="8">
        <f t="shared" si="53"/>
        <v>0.38924589636867463</v>
      </c>
      <c r="U47" s="8">
        <f t="shared" si="53"/>
        <v>0.68113328319872457</v>
      </c>
      <c r="V47" s="8">
        <f t="shared" si="53"/>
        <v>1.1234420150047681</v>
      </c>
    </row>
    <row r="48" spans="1:22" x14ac:dyDescent="0.35">
      <c r="A48" s="8" t="s">
        <v>2</v>
      </c>
      <c r="B48" s="8">
        <f t="shared" ref="B48:K48" si="54" xml:space="preserve"> B47/SQRT(COUNT(B28:B43))</f>
        <v>1.1213190084655501E-2</v>
      </c>
      <c r="C48" s="8">
        <f t="shared" si="54"/>
        <v>1.6290839623570426E-2</v>
      </c>
      <c r="D48" s="8">
        <f t="shared" si="54"/>
        <v>0.22192153642190832</v>
      </c>
      <c r="E48" s="8">
        <f t="shared" si="54"/>
        <v>0.13242765163449099</v>
      </c>
      <c r="F48" s="8">
        <f t="shared" si="54"/>
        <v>0.34815393949390133</v>
      </c>
      <c r="G48" s="8">
        <f t="shared" si="54"/>
        <v>0.44967428533679299</v>
      </c>
      <c r="H48" s="8">
        <f t="shared" si="54"/>
        <v>0.36466392515276813</v>
      </c>
      <c r="I48" s="8">
        <f xml:space="preserve"> I47/SQRT(COUNT(I28:I43))</f>
        <v>1.6586466188931975E-2</v>
      </c>
      <c r="J48" s="8">
        <f t="shared" si="54"/>
        <v>1.839792292150097E-2</v>
      </c>
      <c r="K48" s="8">
        <f t="shared" si="54"/>
        <v>1.903939132488475E-2</v>
      </c>
      <c r="L48" s="8">
        <f t="shared" ref="L48:M48" si="55" xml:space="preserve"> L47/SQRT(COUNT(L28:L43))</f>
        <v>1.7715969692104497E-2</v>
      </c>
      <c r="M48" s="8">
        <f t="shared" si="55"/>
        <v>3.6902811720274417E-2</v>
      </c>
      <c r="N48" s="8" t="s">
        <v>2</v>
      </c>
      <c r="O48" s="8">
        <f xml:space="preserve"> O47/SQRT(COUNT(O28:O43))</f>
        <v>0.17915551446443795</v>
      </c>
      <c r="P48" s="8">
        <f xml:space="preserve"> P47/SQRT(COUNT(P28:P43))</f>
        <v>0.68483983700518425</v>
      </c>
      <c r="Q48" s="8">
        <f xml:space="preserve"> Q47/SQRT(COUNT(Q28:Q43))</f>
        <v>2.0696519462416876E-2</v>
      </c>
      <c r="R48" s="8">
        <f xml:space="preserve"> R47/SQRT(COUNT(R28:R43))</f>
        <v>0.22986899441570857</v>
      </c>
      <c r="S48" s="8">
        <f t="shared" ref="S48:V48" si="56" xml:space="preserve"> S47/SQRT(COUNT(S28:S43))</f>
        <v>0.28770962865492583</v>
      </c>
      <c r="T48" s="8">
        <f t="shared" si="56"/>
        <v>0.13761920643566297</v>
      </c>
      <c r="U48" s="8">
        <f t="shared" si="56"/>
        <v>0.2408169817208376</v>
      </c>
      <c r="V48" s="8">
        <f t="shared" si="56"/>
        <v>0.39719673353987528</v>
      </c>
    </row>
    <row r="49" spans="1:22" s="1" customFormat="1"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5" t="s">
        <v>38</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4">
      <c r="A51"/>
      <c r="B51"/>
      <c r="C51"/>
      <c r="D51"/>
      <c r="E51"/>
      <c r="F51"/>
      <c r="G51"/>
      <c r="H51"/>
      <c r="I51"/>
      <c r="J51"/>
      <c r="K51"/>
      <c r="L51"/>
      <c r="M51"/>
      <c r="S51"/>
      <c r="T51"/>
      <c r="U51"/>
      <c r="V51"/>
    </row>
    <row r="52" spans="1:22" x14ac:dyDescent="0.3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Saccharin-0,01mg/L</v>
      </c>
      <c r="J52" s="46" t="str">
        <f>J4</f>
        <v>Saccharin-0,1mg/L</v>
      </c>
      <c r="K52" s="46" t="str">
        <f>K27</f>
        <v>Saccharin-1mg/L</v>
      </c>
      <c r="L52" s="46" t="str">
        <f t="shared" ref="L52:M52" si="58">L27</f>
        <v>Saccharin-10mg/L</v>
      </c>
      <c r="M52" s="46" t="str">
        <f t="shared" si="58"/>
        <v>Saccharin-100mg/L</v>
      </c>
      <c r="N52" s="47"/>
      <c r="O52" s="46" t="str">
        <f>O27</f>
        <v>Testo -30µg/L</v>
      </c>
      <c r="P52" s="46" t="str">
        <f>P27</f>
        <v>Testo 30µg/L + EE2 -64ng/L</v>
      </c>
      <c r="Q52" s="46" t="str">
        <f>Q27</f>
        <v>Testo 30µg/L + FAD-10µg/L</v>
      </c>
      <c r="R52" s="46" t="str">
        <f>R27</f>
        <v>Saccharin-0,01mg/L + Testostérone</v>
      </c>
      <c r="S52" s="46" t="str">
        <f t="shared" ref="S52:V52" si="59">S27</f>
        <v>Saccharin-0,1mg/L + Testostérone</v>
      </c>
      <c r="T52" s="46" t="str">
        <f t="shared" si="59"/>
        <v>Saccharin-1mg/L + Testostérone</v>
      </c>
      <c r="U52" s="46" t="str">
        <f t="shared" si="59"/>
        <v>Saccharin-10mg/L + Testostérone</v>
      </c>
      <c r="V52" s="46" t="str">
        <f t="shared" si="59"/>
        <v>Saccharin-100mg/L + Testostérone</v>
      </c>
    </row>
    <row r="53" spans="1:22" s="3" customFormat="1" x14ac:dyDescent="0.35">
      <c r="A53" s="61" t="s">
        <v>32</v>
      </c>
      <c r="B53" s="141">
        <f t="shared" ref="B53:M53" si="60">B46</f>
        <v>4.2041765340733617E-2</v>
      </c>
      <c r="C53" s="141">
        <f t="shared" si="60"/>
        <v>4.121746208226907E-2</v>
      </c>
      <c r="D53" s="141">
        <f t="shared" si="60"/>
        <v>0.46983572311573629</v>
      </c>
      <c r="E53" s="141">
        <f t="shared" si="60"/>
        <v>0.62844255273044614</v>
      </c>
      <c r="F53" s="141">
        <f t="shared" si="60"/>
        <v>2.4491332411275675</v>
      </c>
      <c r="G53" s="141">
        <f t="shared" si="60"/>
        <v>3.5938438002147288</v>
      </c>
      <c r="H53" s="141">
        <f t="shared" si="60"/>
        <v>6.1966719913730293</v>
      </c>
      <c r="I53" s="141">
        <f t="shared" si="60"/>
        <v>5.5744643747715074E-2</v>
      </c>
      <c r="J53" s="141">
        <f t="shared" si="60"/>
        <v>6.3898228097247503E-2</v>
      </c>
      <c r="K53" s="141">
        <f t="shared" si="60"/>
        <v>6.1481811944030497E-2</v>
      </c>
      <c r="L53" s="141">
        <f t="shared" si="60"/>
        <v>8.5202892683664253E-2</v>
      </c>
      <c r="M53" s="141">
        <f t="shared" si="60"/>
        <v>8.5172675164825587E-2</v>
      </c>
      <c r="N53" s="141"/>
      <c r="O53" s="141">
        <f t="shared" ref="O53:V53" si="61">O46</f>
        <v>0.99999999999999989</v>
      </c>
      <c r="P53" s="141">
        <f t="shared" si="61"/>
        <v>2.8980724003868543</v>
      </c>
      <c r="Q53" s="141">
        <f t="shared" si="61"/>
        <v>5.6447146318831784E-2</v>
      </c>
      <c r="R53" s="141">
        <f t="shared" si="61"/>
        <v>0.88168523190150161</v>
      </c>
      <c r="S53" s="141">
        <f t="shared" si="61"/>
        <v>0.95082242232740066</v>
      </c>
      <c r="T53" s="141">
        <f t="shared" si="61"/>
        <v>0.90196200817046668</v>
      </c>
      <c r="U53" s="141">
        <f t="shared" si="61"/>
        <v>0.48803707041417627</v>
      </c>
      <c r="V53" s="141">
        <f t="shared" si="61"/>
        <v>1.2059073847937387</v>
      </c>
    </row>
    <row r="54" spans="1:22" s="3" customFormat="1" x14ac:dyDescent="0.35">
      <c r="A54" s="61" t="s">
        <v>2</v>
      </c>
      <c r="B54" s="141">
        <f t="shared" ref="B54:M54" si="62">B48</f>
        <v>1.1213190084655501E-2</v>
      </c>
      <c r="C54" s="141">
        <f t="shared" si="62"/>
        <v>1.6290839623570426E-2</v>
      </c>
      <c r="D54" s="141">
        <f t="shared" si="62"/>
        <v>0.22192153642190832</v>
      </c>
      <c r="E54" s="141">
        <f t="shared" si="62"/>
        <v>0.13242765163449099</v>
      </c>
      <c r="F54" s="141">
        <f t="shared" si="62"/>
        <v>0.34815393949390133</v>
      </c>
      <c r="G54" s="141">
        <f t="shared" si="62"/>
        <v>0.44967428533679299</v>
      </c>
      <c r="H54" s="141">
        <f t="shared" si="62"/>
        <v>0.36466392515276813</v>
      </c>
      <c r="I54" s="141">
        <f t="shared" si="62"/>
        <v>1.6586466188931975E-2</v>
      </c>
      <c r="J54" s="141">
        <f t="shared" si="62"/>
        <v>1.839792292150097E-2</v>
      </c>
      <c r="K54" s="141">
        <f t="shared" si="62"/>
        <v>1.903939132488475E-2</v>
      </c>
      <c r="L54" s="141">
        <f t="shared" si="62"/>
        <v>1.7715969692104497E-2</v>
      </c>
      <c r="M54" s="141">
        <f t="shared" si="62"/>
        <v>3.6902811720274417E-2</v>
      </c>
      <c r="N54" s="141"/>
      <c r="O54" s="141">
        <f t="shared" ref="O54:V54" si="63">O48</f>
        <v>0.17915551446443795</v>
      </c>
      <c r="P54" s="141">
        <f t="shared" si="63"/>
        <v>0.68483983700518425</v>
      </c>
      <c r="Q54" s="141">
        <f t="shared" si="63"/>
        <v>2.0696519462416876E-2</v>
      </c>
      <c r="R54" s="141">
        <f t="shared" si="63"/>
        <v>0.22986899441570857</v>
      </c>
      <c r="S54" s="141">
        <f t="shared" si="63"/>
        <v>0.28770962865492583</v>
      </c>
      <c r="T54" s="141">
        <f t="shared" si="63"/>
        <v>0.13761920643566297</v>
      </c>
      <c r="U54" s="141">
        <f t="shared" si="63"/>
        <v>0.2408169817208376</v>
      </c>
      <c r="V54" s="141">
        <f t="shared" si="63"/>
        <v>0.39719673353987528</v>
      </c>
    </row>
    <row r="55" spans="1:22" s="3" customFormat="1" x14ac:dyDescent="0.35">
      <c r="A55" s="61" t="s">
        <v>79</v>
      </c>
      <c r="B55" s="141">
        <f t="shared" ref="B55:M55" si="64">(B53*100/$B$53)-100</f>
        <v>0</v>
      </c>
      <c r="C55" s="141">
        <f t="shared" si="64"/>
        <v>-1.9606770833333513</v>
      </c>
      <c r="D55" s="141">
        <f t="shared" si="64"/>
        <v>1017.5451822916668</v>
      </c>
      <c r="E55" s="141">
        <f t="shared" si="64"/>
        <v>1394.8053385416665</v>
      </c>
      <c r="F55" s="141">
        <f t="shared" si="64"/>
        <v>5725.4766927083347</v>
      </c>
      <c r="G55" s="141">
        <f t="shared" si="64"/>
        <v>8448.2704427083354</v>
      </c>
      <c r="H55" s="141">
        <f t="shared" si="64"/>
        <v>14639.323958333331</v>
      </c>
      <c r="I55" s="141">
        <f t="shared" si="64"/>
        <v>32.593489583333337</v>
      </c>
      <c r="J55" s="141">
        <f t="shared" si="64"/>
        <v>51.987499999999983</v>
      </c>
      <c r="K55" s="141">
        <f t="shared" si="64"/>
        <v>46.239843750000006</v>
      </c>
      <c r="L55" s="141">
        <f t="shared" si="64"/>
        <v>102.66249999999999</v>
      </c>
      <c r="M55" s="141">
        <f t="shared" si="64"/>
        <v>102.59062499999993</v>
      </c>
      <c r="N55" s="141"/>
      <c r="O55" s="141">
        <f>(O53*100/$O$53)-100</f>
        <v>0</v>
      </c>
      <c r="P55" s="141">
        <f t="shared" ref="P55:V55" si="65">(P53*100/$O$53)-100</f>
        <v>189.80724003868551</v>
      </c>
      <c r="Q55" s="141">
        <f t="shared" si="65"/>
        <v>-94.355285368116824</v>
      </c>
      <c r="R55" s="141">
        <f t="shared" si="65"/>
        <v>-11.831476809849832</v>
      </c>
      <c r="S55" s="141">
        <f t="shared" si="65"/>
        <v>-4.9177577672599142</v>
      </c>
      <c r="T55" s="141">
        <f t="shared" si="65"/>
        <v>-9.8037991829533127</v>
      </c>
      <c r="U55" s="141">
        <f t="shared" si="65"/>
        <v>-51.196292958582369</v>
      </c>
      <c r="V55" s="141">
        <f t="shared" si="65"/>
        <v>20.590738479373883</v>
      </c>
    </row>
    <row r="56" spans="1:22" s="3" customFormat="1" x14ac:dyDescent="0.35">
      <c r="A56" s="61" t="s">
        <v>81</v>
      </c>
      <c r="B56" s="141">
        <f>[1]!SWTEST(B28:B43)</f>
        <v>5.9655766639876928E-2</v>
      </c>
      <c r="C56" s="141">
        <f>[1]!SWTEST(C28:C43)</f>
        <v>4.5351560667165058E-3</v>
      </c>
      <c r="D56" s="141">
        <f>[1]!SWTEST(D28:D43)</f>
        <v>1.8585610858625756E-3</v>
      </c>
      <c r="E56" s="141">
        <f>[1]!SWTEST(E28:E43)</f>
        <v>4.5232648985281343E-2</v>
      </c>
      <c r="F56" s="141">
        <f>[1]!SWTEST(F28:F43)</f>
        <v>7.0715939729197319E-2</v>
      </c>
      <c r="G56" s="141">
        <f>[1]!SWTEST(G28:G43)</f>
        <v>0.93806566448177964</v>
      </c>
      <c r="H56" s="141">
        <f>[1]!SWTEST(H28:H43)</f>
        <v>0.24037182192387352</v>
      </c>
      <c r="I56" s="141">
        <f>[1]!SWTEST(I28:I43)</f>
        <v>0.47352147716293658</v>
      </c>
      <c r="J56" s="141">
        <f>[1]!SWTEST(J28:J43)</f>
        <v>0.2445620969302742</v>
      </c>
      <c r="K56" s="141">
        <f>[1]!SWTEST(K28:K43)</f>
        <v>9.7349728275384684E-2</v>
      </c>
      <c r="L56" s="141">
        <f>[1]!SWTEST(L28:L43)</f>
        <v>0.20567970013046644</v>
      </c>
      <c r="M56" s="141">
        <f>[1]!SWTEST(M28:M43)</f>
        <v>5.601614456860915E-3</v>
      </c>
      <c r="N56" s="141"/>
      <c r="O56" s="141">
        <f>[1]!SWTEST(O28:O43)</f>
        <v>0.68087868933811435</v>
      </c>
      <c r="P56" s="141">
        <f>[1]!SWTEST(P28:P43)</f>
        <v>0.89524367934102878</v>
      </c>
      <c r="Q56" s="141">
        <f>[1]!SWTEST(Q28:Q43)</f>
        <v>4.5630480740225465E-2</v>
      </c>
      <c r="R56" s="141">
        <f>[1]!SWTEST(R28:R43)</f>
        <v>0.26658903320271476</v>
      </c>
      <c r="S56" s="141">
        <f>[1]!SWTEST(S28:S43)</f>
        <v>0.58277014150213746</v>
      </c>
      <c r="T56" s="141">
        <f>[1]!SWTEST(T28:T43)</f>
        <v>0.16461529676427988</v>
      </c>
      <c r="U56" s="141">
        <f>[1]!SWTEST(U28:U43)</f>
        <v>5.0262141269817873E-3</v>
      </c>
      <c r="V56" s="141">
        <f>[1]!SWTEST(V28:V43)</f>
        <v>0.16776312676889327</v>
      </c>
    </row>
    <row r="57" spans="1:22" s="3" customFormat="1" x14ac:dyDescent="0.35">
      <c r="A57" s="61" t="s">
        <v>85</v>
      </c>
      <c r="B57" s="141" t="str">
        <f t="shared" ref="B57:M57" si="66">IF(B56&gt;0.05,"Oui","Non")</f>
        <v>Oui</v>
      </c>
      <c r="C57" s="141" t="str">
        <f t="shared" si="66"/>
        <v>Non</v>
      </c>
      <c r="D57" s="141" t="str">
        <f t="shared" si="66"/>
        <v>Non</v>
      </c>
      <c r="E57" s="141" t="str">
        <f t="shared" si="66"/>
        <v>Non</v>
      </c>
      <c r="F57" s="141" t="str">
        <f t="shared" si="66"/>
        <v>Oui</v>
      </c>
      <c r="G57" s="141" t="str">
        <f t="shared" si="66"/>
        <v>Oui</v>
      </c>
      <c r="H57" s="141" t="str">
        <f t="shared" si="66"/>
        <v>Oui</v>
      </c>
      <c r="I57" s="141" t="str">
        <f t="shared" si="66"/>
        <v>Oui</v>
      </c>
      <c r="J57" s="141" t="str">
        <f t="shared" si="66"/>
        <v>Oui</v>
      </c>
      <c r="K57" s="141" t="str">
        <f t="shared" si="66"/>
        <v>Oui</v>
      </c>
      <c r="L57" s="141" t="str">
        <f t="shared" si="66"/>
        <v>Oui</v>
      </c>
      <c r="M57" s="141" t="str">
        <f t="shared" si="66"/>
        <v>Non</v>
      </c>
      <c r="N57" s="141"/>
      <c r="O57" s="141" t="str">
        <f t="shared" ref="O57:V57" si="67">IF(O56&gt;0.05,"Oui","Non")</f>
        <v>Oui</v>
      </c>
      <c r="P57" s="141" t="str">
        <f t="shared" si="67"/>
        <v>Oui</v>
      </c>
      <c r="Q57" s="141" t="str">
        <f t="shared" si="67"/>
        <v>Non</v>
      </c>
      <c r="R57" s="141" t="str">
        <f t="shared" si="67"/>
        <v>Oui</v>
      </c>
      <c r="S57" s="141" t="str">
        <f t="shared" si="67"/>
        <v>Oui</v>
      </c>
      <c r="T57" s="141" t="str">
        <f t="shared" si="67"/>
        <v>Oui</v>
      </c>
      <c r="U57" s="141" t="str">
        <f t="shared" si="67"/>
        <v>Non</v>
      </c>
      <c r="V57" s="141" t="str">
        <f t="shared" si="67"/>
        <v>Oui</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tr">
        <f t="shared" ref="C59:M59" si="68">IF($B57="Non",IF(C$57="Non","Mann Withney",IF(C$57="Oui","Mann Withney","")),IF($B$57="Oui",IF(C$57="Oui","T-Test Welch",IF(C$57="Non","Mann Withney",""))))</f>
        <v>Mann Withney</v>
      </c>
      <c r="D59" s="150" t="str">
        <f t="shared" si="68"/>
        <v>Mann Withney</v>
      </c>
      <c r="E59" s="150" t="str">
        <f t="shared" si="68"/>
        <v>Mann Withney</v>
      </c>
      <c r="F59" s="150" t="str">
        <f t="shared" si="68"/>
        <v>T-Test Welch</v>
      </c>
      <c r="G59" s="150" t="str">
        <f t="shared" si="68"/>
        <v>T-Test Welch</v>
      </c>
      <c r="H59" s="150" t="str">
        <f t="shared" si="68"/>
        <v>T-Test Welch</v>
      </c>
      <c r="I59" s="150" t="str">
        <f t="shared" si="68"/>
        <v>T-Test Welch</v>
      </c>
      <c r="J59" s="150" t="str">
        <f t="shared" si="68"/>
        <v>T-Test Welch</v>
      </c>
      <c r="K59" s="150" t="str">
        <f t="shared" si="68"/>
        <v>T-Test Welch</v>
      </c>
      <c r="L59" s="150" t="str">
        <f t="shared" si="68"/>
        <v>T-Test Welch</v>
      </c>
      <c r="M59" s="150" t="str">
        <f t="shared" si="68"/>
        <v>Mann Withney</v>
      </c>
      <c r="N59" s="150"/>
      <c r="O59" s="150" t="str">
        <f>IF($B57="Non",IF(O$57="Non","Mann Withney",IF(O$57="Oui","Mann Withney","")),IF($B$57="Oui",IF(O$57="Oui","T-Test Welch",IF(O$57="Non","Mann Withney",""))))</f>
        <v>T-Test Welch</v>
      </c>
      <c r="P59" s="150" t="str">
        <f>IF($O57="Non",IF(P$57="Non","Mann Withney",IF(P$57="Oui","Mann Withney","")),IF($O$57="Oui",IF(P$57="Oui","T-Test Welch",IF(P$57="Non","Mann Withney",""))))</f>
        <v>T-Test Welch</v>
      </c>
      <c r="Q59" s="150" t="str">
        <f t="shared" ref="Q59:V59" si="69">IF($O57="Non",IF(Q$57="Non","Mann Withney",IF(Q$57="Oui","Mann Withney","")),IF($O$57="Oui",IF(Q$57="Oui","T-Test Welch",IF(Q$57="Non","Mann Withney",""))))</f>
        <v>Mann Withney</v>
      </c>
      <c r="R59" s="150" t="str">
        <f t="shared" si="69"/>
        <v>T-Test Welch</v>
      </c>
      <c r="S59" s="150" t="str">
        <f t="shared" si="69"/>
        <v>T-Test Welch</v>
      </c>
      <c r="T59" s="150" t="str">
        <f t="shared" si="69"/>
        <v>T-Test Welch</v>
      </c>
      <c r="U59" s="150" t="str">
        <f t="shared" si="69"/>
        <v>Mann Withney</v>
      </c>
      <c r="V59" s="150" t="str">
        <f t="shared" si="69"/>
        <v>T-Test Welch</v>
      </c>
    </row>
    <row r="60" spans="1:22" s="3" customFormat="1" x14ac:dyDescent="0.35">
      <c r="A60" s="61" t="s">
        <v>83</v>
      </c>
      <c r="B60" s="151"/>
      <c r="C60" s="151">
        <f>IF(C59="Mann Withney",[1]!MTEST($B28:$B43,C28:C43,2), IF(C59="T-Test Welch",_xlfn.T.TEST($B28:$B43,C28:C43,2,3),""))</f>
        <v>0.75271380626305229</v>
      </c>
      <c r="D60" s="151">
        <f>IF(D59="Mann Withney",[1]!MTEST($B28:$B43,D28:D43,2), IF(D59="T-Test Welch",_xlfn.T.TEST($B28:$B43,D28:D43,2,3),""))</f>
        <v>0.59951017856000322</v>
      </c>
      <c r="E60" s="151">
        <f>IF(E59="Mann Withney",[1]!MTEST($B28:$B43,E28:E43,2), IF(E59="T-Test Welch",_xlfn.T.TEST($B28:$B43,E28:E43,2,3),""))</f>
        <v>7.7753044694039986E-4</v>
      </c>
      <c r="F60" s="151">
        <f>IF(F59="Mann Withney",[1]!MTEST($B28:$B43,F28:F43,2), IF(F59="T-Test Welch",_xlfn.T.TEST($B28:$B43,F28:F43,2,3),""))</f>
        <v>2.2704928596389449E-4</v>
      </c>
      <c r="G60" s="151">
        <f>IF(G59="Mann Withney",[1]!MTEST($B28:$B43,G28:G43,2), IF(G59="T-Test Welch",_xlfn.T.TEST($B28:$B43,G28:G43,2,3),""))</f>
        <v>9.8420032302059732E-5</v>
      </c>
      <c r="H60" s="151">
        <f>IF(H59="Mann Withney",[1]!MTEST($B28:$B43,H28:H43,2), IF(H59="T-Test Welch",_xlfn.T.TEST($B28:$B43,H28:H43,2,3),""))</f>
        <v>6.1790720063036659E-7</v>
      </c>
      <c r="I60" s="151">
        <f>IF(I59="Mann Withney",[1]!MTEST($B28:$B43,I28:I43,2), IF(I59="T-Test Welch",_xlfn.T.TEST($B28:$B43,I28:I43,2,3),""))</f>
        <v>0.5064087794504204</v>
      </c>
      <c r="J60" s="151">
        <f>IF(J59="Mann Withney",[1]!MTEST($B28:$B43,J28:J43,2), IF(J59="T-Test Welch",_xlfn.T.TEST($B28:$B43,J28:J43,2,3),""))</f>
        <v>0.33112628471116767</v>
      </c>
      <c r="K60" s="151">
        <f>IF(K59="Mann Withney",[1]!MTEST($B28:$B43,K28:K43,2), IF(K59="T-Test Welch",_xlfn.T.TEST($B28:$B43,K28:K43,2,3),""))</f>
        <v>0.39723842800419618</v>
      </c>
      <c r="L60" s="151">
        <f>IF(L59="Mann Withney",[1]!MTEST($B28:$B43,L28:L43,2), IF(L59="T-Test Welch",_xlfn.T.TEST($B28:$B43,L28:L43,2,3),""))</f>
        <v>6.2250793535841002E-2</v>
      </c>
      <c r="M60" s="151">
        <f>IF(M59="Mann Withney",[1]!MTEST($B28:$B43,M28:M43,2), IF(M59="T-Test Welch",_xlfn.T.TEST($B28:$B43,M28:M43,2,3),""))</f>
        <v>0.52861212525568768</v>
      </c>
      <c r="N60" s="151"/>
      <c r="O60" s="151">
        <f>IF(O59="Mann Withney",[1]!MTEST($B28:$B43,O28:O43,2), IF(O59="T-Test Welch",_xlfn.T.TEST($B28:$B43,O28:O43,2,3),""))</f>
        <v>1.0222181512772637E-4</v>
      </c>
      <c r="P60" s="151">
        <f>IF(P59="Mann Withney",[1]!MTEST($O28:$O43,P28:P43,2), IF(P59="T-Test Welch",_xlfn.T.TEST($O28:$O43,P28:P43,2,3),""))</f>
        <v>2.7955255760478956E-2</v>
      </c>
      <c r="Q60" s="151">
        <f>IF(Q59="Mann Withney",[1]!MTEST($O28:$O43,Q28:Q43,2), IF(Q59="T-Test Welch",_xlfn.T.TEST($O28:$O43,Q28:Q43,2,3),""))</f>
        <v>3.0059760744038933E-4</v>
      </c>
      <c r="R60" s="151">
        <f>IF(R59="Mann Withney",[1]!MTEST($O28:$O43,R28:R43,2), IF(R59="T-Test Welch",_xlfn.T.TEST($O28:$O43,R28:R43,2,3),""))</f>
        <v>0.69039807950459631</v>
      </c>
      <c r="S60" s="151">
        <f>IF(S59="Mann Withney",[1]!MTEST($O28:$O43,S28:S43,2), IF(S59="T-Test Welch",_xlfn.T.TEST($O28:$O43,S28:S43,2,3),""))</f>
        <v>0.88694105440347459</v>
      </c>
      <c r="T60" s="151">
        <f>IF(T59="Mann Withney",[1]!MTEST($O28:$O43,T28:T43,2), IF(T59="T-Test Welch",_xlfn.T.TEST($O28:$O43,T28:T43,2,3),""))</f>
        <v>0.66876606904169633</v>
      </c>
      <c r="U60" s="151">
        <f>IF(U59="Mann Withney",[1]!MTEST($O28:$O43,U28:U43,2), IF(U59="T-Test Welch",_xlfn.T.TEST($O28:$O43,U28:U43,2,3),""))</f>
        <v>4.5387929038794406E-2</v>
      </c>
      <c r="V60" s="151">
        <f>IF(V59="Mann Withney",[1]!MTEST($O28:$O43,V28:V43,2), IF(V59="T-Test Welch",_xlfn.T.TEST($O28:$O43,V28:V43,2,3),""))</f>
        <v>0.64674235560539683</v>
      </c>
    </row>
    <row r="61" spans="1:22" s="3" customFormat="1" ht="15" thickBot="1" x14ac:dyDescent="0.4">
      <c r="A61" s="62" t="s">
        <v>84</v>
      </c>
      <c r="B61" s="142"/>
      <c r="C61" s="142" t="str">
        <f t="shared" ref="C61:M61" si="70">IF(C60&gt;0.05,"NS",IF(C60&gt;0.01,"*",IF(C60&gt;0.001,"**","***")))</f>
        <v>NS</v>
      </c>
      <c r="D61" s="142" t="str">
        <f t="shared" si="70"/>
        <v>NS</v>
      </c>
      <c r="E61" s="142" t="str">
        <f t="shared" si="70"/>
        <v>***</v>
      </c>
      <c r="F61" s="142" t="str">
        <f t="shared" si="70"/>
        <v>***</v>
      </c>
      <c r="G61" s="142" t="str">
        <f t="shared" si="70"/>
        <v>***</v>
      </c>
      <c r="H61" s="142" t="str">
        <f t="shared" si="70"/>
        <v>***</v>
      </c>
      <c r="I61" s="142" t="str">
        <f t="shared" si="70"/>
        <v>NS</v>
      </c>
      <c r="J61" s="142" t="str">
        <f t="shared" si="70"/>
        <v>NS</v>
      </c>
      <c r="K61" s="142" t="str">
        <f t="shared" si="70"/>
        <v>NS</v>
      </c>
      <c r="L61" s="142" t="str">
        <f t="shared" si="70"/>
        <v>NS</v>
      </c>
      <c r="M61" s="142" t="str">
        <f t="shared" si="70"/>
        <v>NS</v>
      </c>
      <c r="N61" s="142"/>
      <c r="O61" s="142" t="str">
        <f>IF(O60&gt;0.05,"NS",IF(O60&gt;0.01,"*",IF(O60&gt;0.001,"**","***")))</f>
        <v>***</v>
      </c>
      <c r="P61" s="142" t="str">
        <f>IF(P60&gt;0.05,"NS",IF(P60&gt;0.01,"*",IF(P60&gt;0.001,"**","***")))</f>
        <v>*</v>
      </c>
      <c r="Q61" s="142" t="str">
        <f t="shared" ref="Q61" si="71">IF(Q60&gt;0.05,"NS",IF(Q60&gt;0.01,"*",IF(Q60&gt;0.001,"**","***")))</f>
        <v>***</v>
      </c>
      <c r="R61" s="142" t="str">
        <f t="shared" ref="R61" si="72">IF(R60&gt;0.05,"NS",IF(R60&gt;0.01,"*",IF(R60&gt;0.001,"**","***")))</f>
        <v>NS</v>
      </c>
      <c r="S61" s="142" t="str">
        <f t="shared" ref="S61" si="73">IF(S60&gt;0.05,"NS",IF(S60&gt;0.01,"*",IF(S60&gt;0.001,"**","***")))</f>
        <v>NS</v>
      </c>
      <c r="T61" s="142" t="str">
        <f t="shared" ref="T61" si="74">IF(T60&gt;0.05,"NS",IF(T60&gt;0.01,"*",IF(T60&gt;0.001,"**","***")))</f>
        <v>NS</v>
      </c>
      <c r="U61" s="142" t="str">
        <f t="shared" ref="U61" si="75">IF(U60&gt;0.05,"NS",IF(U60&gt;0.01,"*",IF(U60&gt;0.001,"**","***")))</f>
        <v>*</v>
      </c>
      <c r="V61" s="142" t="str">
        <f t="shared" ref="V61" si="76">IF(V60&gt;0.05,"NS",IF(V60&gt;0.01,"*",IF(V60&gt;0.001,"**","***")))</f>
        <v>NS</v>
      </c>
    </row>
    <row r="63" spans="1:22" x14ac:dyDescent="0.35">
      <c r="A63" s="2" t="s">
        <v>39</v>
      </c>
    </row>
    <row r="64" spans="1:22" x14ac:dyDescent="0.35">
      <c r="A64" s="1" t="s">
        <v>23</v>
      </c>
      <c r="B64" s="1">
        <f>B46+(3*B47)</f>
        <v>0.13718883831185757</v>
      </c>
    </row>
    <row r="65" spans="1:22" x14ac:dyDescent="0.35">
      <c r="A65" s="1" t="s">
        <v>24</v>
      </c>
      <c r="B65" s="1">
        <f>B46+(10*B47)</f>
        <v>0.35919867524448007</v>
      </c>
    </row>
    <row r="66" spans="1:22" ht="15" thickBot="1" x14ac:dyDescent="0.4"/>
    <row r="67" spans="1:22" s="1" customFormat="1" ht="26.5" thickBot="1" x14ac:dyDescent="0.65">
      <c r="A67" s="215" t="s">
        <v>52</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A1521" zoomScale="80" zoomScaleNormal="80" workbookViewId="0">
      <selection activeCell="A1531" sqref="A1531"/>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
      </c>
      <c r="B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
      </c>
      <c r="B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
      </c>
      <c r="B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
      </c>
      <c r="B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
      </c>
      <c r="B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
      </c>
      <c r="B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
      </c>
      <c r="B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
      </c>
      <c r="B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
      </c>
      <c r="B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 spans="1:144" x14ac:dyDescent="0.35">
      <c r="A12" s="1" t="str">
        <f t="shared" si="0"/>
        <v/>
      </c>
      <c r="B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 spans="1:144" x14ac:dyDescent="0.35">
      <c r="A13" s="1" t="str">
        <f t="shared" si="0"/>
        <v/>
      </c>
      <c r="B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 spans="1:144" x14ac:dyDescent="0.35">
      <c r="A14" s="1" t="str">
        <f t="shared" si="0"/>
        <v/>
      </c>
      <c r="B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 spans="1:144" x14ac:dyDescent="0.35">
      <c r="A15" s="1" t="str">
        <f t="shared" si="0"/>
        <v/>
      </c>
      <c r="B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 spans="1:144" x14ac:dyDescent="0.35">
      <c r="A16" s="1" t="str">
        <f t="shared" si="0"/>
        <v/>
      </c>
      <c r="B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 spans="1:2" x14ac:dyDescent="0.35">
      <c r="A17" s="1" t="str">
        <f t="shared" si="0"/>
        <v/>
      </c>
      <c r="B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 spans="1:2" x14ac:dyDescent="0.35">
      <c r="A18" s="1" t="str">
        <f t="shared" si="0"/>
        <v/>
      </c>
      <c r="B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 spans="1:2" x14ac:dyDescent="0.35">
      <c r="A19" s="1" t="str">
        <f t="shared" si="0"/>
        <v/>
      </c>
      <c r="B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 spans="1:2" x14ac:dyDescent="0.35">
      <c r="A20" s="1" t="str">
        <f t="shared" si="0"/>
        <v/>
      </c>
      <c r="B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 spans="1:2" x14ac:dyDescent="0.35">
      <c r="A21" s="1" t="str">
        <f t="shared" si="0"/>
        <v/>
      </c>
      <c r="B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 spans="1:2" x14ac:dyDescent="0.35">
      <c r="A22" s="1" t="str">
        <f t="shared" si="0"/>
        <v/>
      </c>
      <c r="B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 spans="1:2" x14ac:dyDescent="0.35">
      <c r="A23" s="1" t="str">
        <f t="shared" si="0"/>
        <v/>
      </c>
      <c r="B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 spans="1:2" x14ac:dyDescent="0.35">
      <c r="A24" s="1" t="str">
        <f t="shared" si="0"/>
        <v/>
      </c>
      <c r="B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 spans="1:2" x14ac:dyDescent="0.35">
      <c r="A25" s="1" t="str">
        <f t="shared" si="0"/>
        <v/>
      </c>
      <c r="B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 spans="1:2" x14ac:dyDescent="0.3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 spans="1:2" x14ac:dyDescent="0.3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 spans="1:2" x14ac:dyDescent="0.35">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 spans="1:2" x14ac:dyDescent="0.3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 spans="1:2" x14ac:dyDescent="0.3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 spans="1:2" x14ac:dyDescent="0.3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 spans="1:2" x14ac:dyDescent="0.3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 spans="1:2" x14ac:dyDescent="0.3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 spans="1:2" x14ac:dyDescent="0.3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 spans="1:2" x14ac:dyDescent="0.35">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 spans="1:2" x14ac:dyDescent="0.35">
      <c r="A36" s="1" t="str">
        <f t="shared" si="0"/>
        <v/>
      </c>
      <c r="B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 spans="1:2" x14ac:dyDescent="0.35">
      <c r="A37" s="1" t="str">
        <f t="shared" si="0"/>
        <v/>
      </c>
      <c r="B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 spans="1:2" x14ac:dyDescent="0.35">
      <c r="A38" s="1" t="str">
        <f t="shared" si="0"/>
        <v/>
      </c>
      <c r="B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 spans="1:2" x14ac:dyDescent="0.35">
      <c r="A39" s="1" t="str">
        <f t="shared" si="0"/>
        <v/>
      </c>
      <c r="B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 spans="1:2" x14ac:dyDescent="0.35">
      <c r="A40" s="1" t="str">
        <f t="shared" si="0"/>
        <v/>
      </c>
      <c r="B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 spans="1:2" x14ac:dyDescent="0.35">
      <c r="A41" s="1" t="str">
        <f t="shared" si="0"/>
        <v/>
      </c>
      <c r="B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 spans="1:2" x14ac:dyDescent="0.35">
      <c r="A42" s="1" t="str">
        <f t="shared" si="0"/>
        <v/>
      </c>
      <c r="B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 spans="1:2" x14ac:dyDescent="0.35">
      <c r="A43" s="1" t="str">
        <f t="shared" si="0"/>
        <v/>
      </c>
      <c r="B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 spans="1:2" x14ac:dyDescent="0.35">
      <c r="A44" s="1" t="str">
        <f t="shared" si="0"/>
        <v/>
      </c>
      <c r="B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 spans="1:2" x14ac:dyDescent="0.35">
      <c r="A45" s="1" t="str">
        <f t="shared" si="0"/>
        <v/>
      </c>
      <c r="B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 spans="1:2" x14ac:dyDescent="0.35">
      <c r="A46" s="1" t="str">
        <f t="shared" si="0"/>
        <v/>
      </c>
      <c r="B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 spans="1:2" x14ac:dyDescent="0.35">
      <c r="A47" s="1" t="str">
        <f t="shared" si="0"/>
        <v/>
      </c>
      <c r="B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 spans="1:2" x14ac:dyDescent="0.35">
      <c r="A48" s="1" t="str">
        <f t="shared" si="0"/>
        <v/>
      </c>
      <c r="B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 spans="1:2" x14ac:dyDescent="0.35">
      <c r="A49" s="1" t="str">
        <f t="shared" si="0"/>
        <v/>
      </c>
      <c r="B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 spans="1:2" x14ac:dyDescent="0.35">
      <c r="A50" s="1" t="str">
        <f t="shared" si="0"/>
        <v/>
      </c>
      <c r="B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 spans="1:2" x14ac:dyDescent="0.35">
      <c r="A51" s="1" t="str">
        <f t="shared" si="0"/>
        <v/>
      </c>
      <c r="B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 spans="1:2" x14ac:dyDescent="0.35">
      <c r="A52" s="1" t="str">
        <f t="shared" si="0"/>
        <v/>
      </c>
      <c r="B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 spans="1:2" x14ac:dyDescent="0.35">
      <c r="A53" s="1" t="str">
        <f t="shared" si="0"/>
        <v/>
      </c>
      <c r="B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 spans="1:2" x14ac:dyDescent="0.35">
      <c r="A54" s="1" t="str">
        <f t="shared" si="0"/>
        <v/>
      </c>
      <c r="B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 spans="1:2" x14ac:dyDescent="0.35">
      <c r="A55" s="1" t="str">
        <f t="shared" si="0"/>
        <v/>
      </c>
      <c r="B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 spans="1:2" x14ac:dyDescent="0.35">
      <c r="A56" s="1" t="str">
        <f t="shared" si="0"/>
        <v/>
      </c>
      <c r="B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 spans="1:2" x14ac:dyDescent="0.35">
      <c r="A57" s="1" t="str">
        <f t="shared" si="0"/>
        <v/>
      </c>
      <c r="B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 spans="1:2" x14ac:dyDescent="0.35">
      <c r="A58" s="1" t="str">
        <f t="shared" si="0"/>
        <v/>
      </c>
      <c r="B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 spans="1:2" x14ac:dyDescent="0.3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 spans="1:2" x14ac:dyDescent="0.3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 spans="1:2" x14ac:dyDescent="0.35">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 spans="1:2" x14ac:dyDescent="0.3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 spans="1:2" x14ac:dyDescent="0.3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 spans="1:2" x14ac:dyDescent="0.3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 spans="1:2" x14ac:dyDescent="0.3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 spans="1:2" x14ac:dyDescent="0.3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 spans="1:2" x14ac:dyDescent="0.3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 spans="1:2" x14ac:dyDescent="0.35">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 spans="1:2" x14ac:dyDescent="0.35">
      <c r="A69" s="1" t="str">
        <f t="shared" si="1"/>
        <v/>
      </c>
      <c r="B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 spans="1:2" x14ac:dyDescent="0.35">
      <c r="A70" s="1" t="str">
        <f t="shared" si="1"/>
        <v/>
      </c>
      <c r="B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 spans="1:2" x14ac:dyDescent="0.35">
      <c r="A71" s="1" t="str">
        <f t="shared" si="1"/>
        <v/>
      </c>
      <c r="B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 spans="1:2" x14ac:dyDescent="0.35">
      <c r="A72" s="1" t="str">
        <f t="shared" si="1"/>
        <v/>
      </c>
      <c r="B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 spans="1:2" x14ac:dyDescent="0.35">
      <c r="A73" s="1" t="str">
        <f t="shared" si="1"/>
        <v/>
      </c>
      <c r="B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 spans="1:2" x14ac:dyDescent="0.35">
      <c r="A74" s="1" t="str">
        <f t="shared" si="1"/>
        <v/>
      </c>
      <c r="B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 spans="1:2" x14ac:dyDescent="0.35">
      <c r="A75" s="1" t="str">
        <f t="shared" si="1"/>
        <v/>
      </c>
      <c r="B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 spans="1:2" x14ac:dyDescent="0.35">
      <c r="A76" s="1" t="str">
        <f t="shared" si="1"/>
        <v/>
      </c>
      <c r="B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 spans="1:2" x14ac:dyDescent="0.35">
      <c r="A77" s="1" t="str">
        <f t="shared" si="1"/>
        <v/>
      </c>
      <c r="B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 spans="1:2" x14ac:dyDescent="0.35">
      <c r="A78" s="1" t="str">
        <f t="shared" si="1"/>
        <v/>
      </c>
      <c r="B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 spans="1:2" x14ac:dyDescent="0.35">
      <c r="A79" s="1" t="str">
        <f t="shared" si="1"/>
        <v/>
      </c>
      <c r="B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 spans="1:2" x14ac:dyDescent="0.35">
      <c r="A80" s="1" t="str">
        <f t="shared" si="1"/>
        <v/>
      </c>
      <c r="B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 spans="1:2" x14ac:dyDescent="0.35">
      <c r="A81" s="1" t="str">
        <f t="shared" si="1"/>
        <v/>
      </c>
      <c r="B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 spans="1:2" x14ac:dyDescent="0.35">
      <c r="A82" s="1" t="str">
        <f t="shared" si="1"/>
        <v/>
      </c>
      <c r="B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 spans="1:2" x14ac:dyDescent="0.35">
      <c r="A83" s="1" t="str">
        <f t="shared" si="1"/>
        <v/>
      </c>
      <c r="B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 spans="1:2" x14ac:dyDescent="0.35">
      <c r="A84" s="1" t="str">
        <f t="shared" si="1"/>
        <v/>
      </c>
      <c r="B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 spans="1:2" x14ac:dyDescent="0.35">
      <c r="A85" s="1" t="str">
        <f t="shared" si="1"/>
        <v/>
      </c>
      <c r="B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 spans="1:2" x14ac:dyDescent="0.35">
      <c r="A86" s="1" t="str">
        <f t="shared" si="1"/>
        <v/>
      </c>
      <c r="B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 spans="1:2" x14ac:dyDescent="0.35">
      <c r="A87" s="1" t="str">
        <f t="shared" si="1"/>
        <v/>
      </c>
      <c r="B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 spans="1:2" x14ac:dyDescent="0.35">
      <c r="A88" s="1" t="str">
        <f t="shared" si="1"/>
        <v/>
      </c>
      <c r="B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 spans="1:2" x14ac:dyDescent="0.35">
      <c r="A89" s="1" t="str">
        <f t="shared" si="1"/>
        <v/>
      </c>
      <c r="B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 spans="1:2" x14ac:dyDescent="0.35">
      <c r="A90" s="1" t="str">
        <f t="shared" si="1"/>
        <v/>
      </c>
      <c r="B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 spans="1:2" x14ac:dyDescent="0.35">
      <c r="A91" s="1" t="str">
        <f t="shared" si="1"/>
        <v/>
      </c>
      <c r="B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 spans="1:2" x14ac:dyDescent="0.3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 spans="1:2" x14ac:dyDescent="0.3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 spans="1:2" x14ac:dyDescent="0.35">
      <c r="A94" s="1" t="str">
        <f t="shared" si="1"/>
        <v/>
      </c>
      <c r="B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 spans="1:2" x14ac:dyDescent="0.3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 spans="1:2" x14ac:dyDescent="0.3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 spans="1:2" x14ac:dyDescent="0.3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 spans="1:2" x14ac:dyDescent="0.3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 spans="1:2" x14ac:dyDescent="0.3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 spans="1:2" x14ac:dyDescent="0.3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 spans="1:2" x14ac:dyDescent="0.35">
      <c r="A101" s="1" t="str">
        <f t="shared" si="1"/>
        <v/>
      </c>
      <c r="B1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 spans="1:2" x14ac:dyDescent="0.35">
      <c r="A102" s="1" t="str">
        <f t="shared" si="1"/>
        <v/>
      </c>
      <c r="B1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 spans="1:2" x14ac:dyDescent="0.35">
      <c r="A103" s="1" t="str">
        <f t="shared" si="1"/>
        <v/>
      </c>
      <c r="B1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 spans="1:2" x14ac:dyDescent="0.35">
      <c r="A104" s="1" t="str">
        <f t="shared" si="1"/>
        <v/>
      </c>
      <c r="B1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 spans="1:2" x14ac:dyDescent="0.35">
      <c r="A105" s="1" t="str">
        <f t="shared" si="1"/>
        <v/>
      </c>
      <c r="B1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 spans="1:2" x14ac:dyDescent="0.35">
      <c r="A106" s="1" t="str">
        <f t="shared" si="1"/>
        <v/>
      </c>
      <c r="B1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 spans="1:2" x14ac:dyDescent="0.35">
      <c r="A107" s="1" t="str">
        <f t="shared" si="1"/>
        <v/>
      </c>
      <c r="B1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 spans="1:2" x14ac:dyDescent="0.35">
      <c r="A108" s="1" t="str">
        <f t="shared" si="1"/>
        <v/>
      </c>
      <c r="B1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 spans="1:2" x14ac:dyDescent="0.35">
      <c r="A109" s="1" t="str">
        <f t="shared" si="1"/>
        <v/>
      </c>
      <c r="B1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 spans="1:2" x14ac:dyDescent="0.35">
      <c r="A110" s="1" t="str">
        <f t="shared" si="1"/>
        <v/>
      </c>
      <c r="B1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 spans="1:2" x14ac:dyDescent="0.35">
      <c r="A111" s="1" t="str">
        <f t="shared" si="1"/>
        <v/>
      </c>
      <c r="B1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 spans="1:2" x14ac:dyDescent="0.35">
      <c r="A112" s="1" t="str">
        <f t="shared" si="1"/>
        <v/>
      </c>
      <c r="B1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 spans="1:2" x14ac:dyDescent="0.35">
      <c r="A113" s="1" t="str">
        <f t="shared" si="1"/>
        <v/>
      </c>
      <c r="B1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 spans="1:2" x14ac:dyDescent="0.35">
      <c r="A114" s="1" t="str">
        <f t="shared" si="1"/>
        <v/>
      </c>
      <c r="B1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 spans="1:2" x14ac:dyDescent="0.35">
      <c r="A115" s="1" t="str">
        <f t="shared" si="1"/>
        <v/>
      </c>
      <c r="B1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 spans="1:2" x14ac:dyDescent="0.35">
      <c r="A116" s="1" t="str">
        <f t="shared" si="1"/>
        <v/>
      </c>
      <c r="B1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 spans="1:2" x14ac:dyDescent="0.35">
      <c r="A117" s="1" t="str">
        <f t="shared" si="1"/>
        <v/>
      </c>
      <c r="B1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 spans="1:2" x14ac:dyDescent="0.35">
      <c r="A118" s="1" t="str">
        <f t="shared" si="1"/>
        <v/>
      </c>
      <c r="B1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 spans="1:2" x14ac:dyDescent="0.35">
      <c r="A119" s="1" t="str">
        <f t="shared" si="1"/>
        <v/>
      </c>
      <c r="B1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 spans="1:2" x14ac:dyDescent="0.35">
      <c r="A120" s="1" t="str">
        <f t="shared" si="1"/>
        <v/>
      </c>
      <c r="B1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 spans="1:2" x14ac:dyDescent="0.35">
      <c r="A121" s="1" t="str">
        <f t="shared" si="1"/>
        <v/>
      </c>
      <c r="B1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 spans="1:2" x14ac:dyDescent="0.35">
      <c r="A122" s="1" t="str">
        <f t="shared" si="1"/>
        <v/>
      </c>
      <c r="B1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 spans="1:2" x14ac:dyDescent="0.35">
      <c r="A123" s="1" t="str">
        <f t="shared" si="1"/>
        <v/>
      </c>
      <c r="B1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 spans="1:2" x14ac:dyDescent="0.35">
      <c r="A124" s="1" t="str">
        <f t="shared" si="1"/>
        <v/>
      </c>
      <c r="B1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 spans="1:2" x14ac:dyDescent="0.3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 spans="1:2" x14ac:dyDescent="0.3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 spans="1:2" x14ac:dyDescent="0.35">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 spans="1:2" x14ac:dyDescent="0.3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 spans="1:2" x14ac:dyDescent="0.3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 spans="1:2" x14ac:dyDescent="0.3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 spans="1:2" x14ac:dyDescent="0.3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 spans="1:2" x14ac:dyDescent="0.3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 spans="1:2" x14ac:dyDescent="0.3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 spans="1:2" x14ac:dyDescent="0.35">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 spans="1:2" x14ac:dyDescent="0.35">
      <c r="A135" s="1" t="str">
        <f t="shared" si="2"/>
        <v/>
      </c>
      <c r="B1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 spans="1:2" x14ac:dyDescent="0.35">
      <c r="A136" s="1" t="str">
        <f t="shared" si="2"/>
        <v/>
      </c>
      <c r="B1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 spans="1:2" x14ac:dyDescent="0.35">
      <c r="A137" s="1" t="str">
        <f t="shared" si="2"/>
        <v/>
      </c>
      <c r="B1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 spans="1:2" x14ac:dyDescent="0.35">
      <c r="A138" s="1" t="str">
        <f t="shared" si="2"/>
        <v/>
      </c>
      <c r="B1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 spans="1:2" x14ac:dyDescent="0.35">
      <c r="A139" s="1" t="str">
        <f t="shared" si="2"/>
        <v/>
      </c>
      <c r="B1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 spans="1:2" x14ac:dyDescent="0.35">
      <c r="A140" s="1" t="str">
        <f t="shared" si="2"/>
        <v/>
      </c>
      <c r="B1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 spans="1:2" x14ac:dyDescent="0.35">
      <c r="A141" s="1" t="str">
        <f t="shared" si="2"/>
        <v/>
      </c>
      <c r="B1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 spans="1:2" x14ac:dyDescent="0.35">
      <c r="A142" s="1" t="str">
        <f t="shared" si="2"/>
        <v/>
      </c>
      <c r="B1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 spans="1:2" x14ac:dyDescent="0.35">
      <c r="A143" s="1" t="str">
        <f t="shared" si="2"/>
        <v/>
      </c>
      <c r="B1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 spans="1:2" x14ac:dyDescent="0.35">
      <c r="A144" s="1" t="str">
        <f t="shared" si="2"/>
        <v/>
      </c>
      <c r="B1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 spans="1:2" x14ac:dyDescent="0.35">
      <c r="A145" s="1" t="str">
        <f t="shared" si="2"/>
        <v/>
      </c>
      <c r="B1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 spans="1:2" x14ac:dyDescent="0.35">
      <c r="A146" s="1" t="str">
        <f t="shared" si="2"/>
        <v/>
      </c>
      <c r="B1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 spans="1:2" x14ac:dyDescent="0.35">
      <c r="A147" s="1" t="str">
        <f t="shared" si="2"/>
        <v/>
      </c>
      <c r="B1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 spans="1:2" x14ac:dyDescent="0.35">
      <c r="A148" s="1" t="str">
        <f t="shared" si="2"/>
        <v/>
      </c>
      <c r="B1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 spans="1:2" x14ac:dyDescent="0.35">
      <c r="A149" s="1" t="str">
        <f t="shared" si="2"/>
        <v/>
      </c>
      <c r="B1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 spans="1:2" x14ac:dyDescent="0.35">
      <c r="A150" s="1" t="str">
        <f t="shared" si="2"/>
        <v/>
      </c>
      <c r="B1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 spans="1:2" x14ac:dyDescent="0.35">
      <c r="A151" s="1" t="str">
        <f t="shared" si="2"/>
        <v/>
      </c>
      <c r="B1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 spans="1:2" x14ac:dyDescent="0.35">
      <c r="A152" s="1" t="str">
        <f t="shared" si="2"/>
        <v/>
      </c>
      <c r="B1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 spans="1:2" x14ac:dyDescent="0.35">
      <c r="A153" s="1" t="str">
        <f t="shared" si="2"/>
        <v/>
      </c>
      <c r="B1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4" spans="1:2" x14ac:dyDescent="0.35">
      <c r="A154" s="1" t="str">
        <f t="shared" si="2"/>
        <v/>
      </c>
      <c r="B1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5" spans="1:2" x14ac:dyDescent="0.35">
      <c r="A155" s="1" t="str">
        <f t="shared" si="2"/>
        <v/>
      </c>
      <c r="B1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6" spans="1:2" x14ac:dyDescent="0.35">
      <c r="A156" s="1" t="str">
        <f t="shared" si="2"/>
        <v/>
      </c>
      <c r="B1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7" spans="1:2" x14ac:dyDescent="0.35">
      <c r="A157" s="1" t="str">
        <f t="shared" si="2"/>
        <v/>
      </c>
      <c r="B1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8" spans="1:2" x14ac:dyDescent="0.3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9" spans="1:2" x14ac:dyDescent="0.3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0" spans="1:2" x14ac:dyDescent="0.35">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1" spans="1:2" x14ac:dyDescent="0.3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2" spans="1:2" x14ac:dyDescent="0.3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3" spans="1:2" x14ac:dyDescent="0.3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4" spans="1:2" x14ac:dyDescent="0.3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5" spans="1:2" x14ac:dyDescent="0.3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6" spans="1:2" x14ac:dyDescent="0.3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7" spans="1:2" x14ac:dyDescent="0.35">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8" spans="1:2" x14ac:dyDescent="0.35">
      <c r="A168" s="1" t="str">
        <f t="shared" si="2"/>
        <v/>
      </c>
      <c r="B1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9" spans="1:2" x14ac:dyDescent="0.35">
      <c r="A169" s="1" t="str">
        <f t="shared" si="2"/>
        <v/>
      </c>
      <c r="B1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0" spans="1:2" x14ac:dyDescent="0.35">
      <c r="A170" s="1" t="str">
        <f t="shared" si="2"/>
        <v/>
      </c>
      <c r="B1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1" spans="1:2" x14ac:dyDescent="0.35">
      <c r="A171" s="1" t="str">
        <f t="shared" si="2"/>
        <v/>
      </c>
      <c r="B1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2" spans="1:2" x14ac:dyDescent="0.35">
      <c r="A172" s="1" t="str">
        <f t="shared" si="2"/>
        <v/>
      </c>
      <c r="B1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3" spans="1:2" x14ac:dyDescent="0.35">
      <c r="A173" s="1" t="str">
        <f t="shared" si="2"/>
        <v/>
      </c>
      <c r="B1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4" spans="1:2" x14ac:dyDescent="0.35">
      <c r="A174" s="1" t="str">
        <f t="shared" si="2"/>
        <v/>
      </c>
      <c r="B1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5" spans="1:2" x14ac:dyDescent="0.35">
      <c r="A175" s="1" t="str">
        <f t="shared" si="2"/>
        <v/>
      </c>
      <c r="B1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6" spans="1:2" x14ac:dyDescent="0.35">
      <c r="A176" s="1" t="str">
        <f t="shared" si="2"/>
        <v/>
      </c>
      <c r="B1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7" spans="1:2" x14ac:dyDescent="0.35">
      <c r="A177" s="1" t="str">
        <f t="shared" si="2"/>
        <v/>
      </c>
      <c r="B1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8" spans="1:2" x14ac:dyDescent="0.35">
      <c r="A178" s="1" t="str">
        <f t="shared" si="2"/>
        <v/>
      </c>
      <c r="B1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9" spans="1:2" x14ac:dyDescent="0.35">
      <c r="A179" s="1" t="str">
        <f t="shared" si="2"/>
        <v/>
      </c>
      <c r="B1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0" spans="1:2" x14ac:dyDescent="0.35">
      <c r="A180" s="1" t="str">
        <f t="shared" si="2"/>
        <v/>
      </c>
      <c r="B1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1" spans="1:2" x14ac:dyDescent="0.35">
      <c r="A181" s="1" t="str">
        <f t="shared" si="2"/>
        <v/>
      </c>
      <c r="B1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2" spans="1:2" x14ac:dyDescent="0.35">
      <c r="A182" s="1" t="str">
        <f t="shared" si="2"/>
        <v/>
      </c>
      <c r="B1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3" spans="1:2" x14ac:dyDescent="0.35">
      <c r="A183" s="1" t="str">
        <f t="shared" si="2"/>
        <v/>
      </c>
      <c r="B1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4" spans="1:2" x14ac:dyDescent="0.35">
      <c r="A184" s="1" t="str">
        <f t="shared" si="2"/>
        <v/>
      </c>
      <c r="B1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5" spans="1:2" x14ac:dyDescent="0.35">
      <c r="A185" s="1" t="str">
        <f t="shared" si="2"/>
        <v/>
      </c>
      <c r="B1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6" spans="1:2" x14ac:dyDescent="0.35">
      <c r="A186" s="1" t="str">
        <f t="shared" si="2"/>
        <v/>
      </c>
      <c r="B1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7" spans="1:2" x14ac:dyDescent="0.35">
      <c r="A187" s="1" t="str">
        <f t="shared" si="2"/>
        <v/>
      </c>
      <c r="B1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8" spans="1:2" x14ac:dyDescent="0.35">
      <c r="A188" s="1" t="str">
        <f t="shared" si="2"/>
        <v/>
      </c>
      <c r="B1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9" spans="1:2" x14ac:dyDescent="0.35">
      <c r="A189" s="1" t="str">
        <f t="shared" si="2"/>
        <v/>
      </c>
      <c r="B1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0" spans="1:2" x14ac:dyDescent="0.35">
      <c r="A190" s="1" t="str">
        <f t="shared" si="2"/>
        <v/>
      </c>
      <c r="B1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1" spans="1:2" x14ac:dyDescent="0.3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2" spans="1:2" x14ac:dyDescent="0.3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3" spans="1:2" x14ac:dyDescent="0.35">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4" spans="1:2" x14ac:dyDescent="0.3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5" spans="1:2" x14ac:dyDescent="0.3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6" spans="1:2" x14ac:dyDescent="0.3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7" spans="1:2" x14ac:dyDescent="0.3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8" spans="1:2" x14ac:dyDescent="0.3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9" spans="1:2" x14ac:dyDescent="0.3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0" spans="1:2" x14ac:dyDescent="0.35">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1" spans="1:2" x14ac:dyDescent="0.35">
      <c r="A201" s="1" t="str">
        <f t="shared" si="3"/>
        <v/>
      </c>
      <c r="B2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2" spans="1:2" x14ac:dyDescent="0.35">
      <c r="A202" s="1" t="str">
        <f t="shared" si="3"/>
        <v/>
      </c>
      <c r="B2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3" spans="1:2" x14ac:dyDescent="0.35">
      <c r="A203" s="1" t="str">
        <f t="shared" si="3"/>
        <v/>
      </c>
      <c r="B2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4" spans="1:2" x14ac:dyDescent="0.35">
      <c r="A204" s="1" t="str">
        <f t="shared" si="3"/>
        <v/>
      </c>
      <c r="B2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5" spans="1:2" x14ac:dyDescent="0.35">
      <c r="A205" s="1" t="str">
        <f t="shared" si="3"/>
        <v/>
      </c>
      <c r="B2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6" spans="1:2" x14ac:dyDescent="0.35">
      <c r="A206" s="1" t="str">
        <f t="shared" si="3"/>
        <v/>
      </c>
      <c r="B2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7" spans="1:2" x14ac:dyDescent="0.35">
      <c r="A207" s="1" t="str">
        <f t="shared" si="3"/>
        <v/>
      </c>
      <c r="B2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8" spans="1:2" x14ac:dyDescent="0.35">
      <c r="A208" s="1" t="str">
        <f t="shared" si="3"/>
        <v/>
      </c>
      <c r="B2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9" spans="1:2" x14ac:dyDescent="0.35">
      <c r="A209" s="1" t="str">
        <f t="shared" si="3"/>
        <v/>
      </c>
      <c r="B2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0" spans="1:2" x14ac:dyDescent="0.35">
      <c r="A210" s="1" t="str">
        <f t="shared" si="3"/>
        <v/>
      </c>
      <c r="B2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1" spans="1:2" x14ac:dyDescent="0.35">
      <c r="A211" s="1" t="str">
        <f t="shared" si="3"/>
        <v/>
      </c>
      <c r="B2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2" spans="1:2" x14ac:dyDescent="0.35">
      <c r="A212" s="1" t="str">
        <f t="shared" si="3"/>
        <v/>
      </c>
      <c r="B2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3" spans="1:2" x14ac:dyDescent="0.35">
      <c r="A213" s="1" t="str">
        <f t="shared" si="3"/>
        <v/>
      </c>
      <c r="B2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4" spans="1:2" x14ac:dyDescent="0.35">
      <c r="A214" s="1" t="str">
        <f t="shared" si="3"/>
        <v/>
      </c>
      <c r="B2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5" spans="1:2" x14ac:dyDescent="0.35">
      <c r="A215" s="1" t="str">
        <f t="shared" si="3"/>
        <v/>
      </c>
      <c r="B2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6" spans="1:2" x14ac:dyDescent="0.35">
      <c r="A216" s="1" t="str">
        <f t="shared" si="3"/>
        <v/>
      </c>
      <c r="B2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7" spans="1:2" x14ac:dyDescent="0.35">
      <c r="A217" s="1" t="str">
        <f t="shared" si="3"/>
        <v/>
      </c>
      <c r="B2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8" spans="1:2" x14ac:dyDescent="0.35">
      <c r="A218" s="1" t="str">
        <f t="shared" si="3"/>
        <v/>
      </c>
      <c r="B2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9" spans="1:2" x14ac:dyDescent="0.35">
      <c r="A219" s="1" t="str">
        <f t="shared" si="3"/>
        <v/>
      </c>
      <c r="B2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0" spans="1:2" x14ac:dyDescent="0.35">
      <c r="A220" s="1" t="str">
        <f t="shared" si="3"/>
        <v/>
      </c>
      <c r="B2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1" spans="1:2" x14ac:dyDescent="0.35">
      <c r="A221" s="1" t="str">
        <f t="shared" si="3"/>
        <v/>
      </c>
      <c r="B2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2" spans="1:2" x14ac:dyDescent="0.35">
      <c r="A222" s="1" t="str">
        <f t="shared" si="3"/>
        <v/>
      </c>
      <c r="B2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3" spans="1:2" x14ac:dyDescent="0.35">
      <c r="A223" s="1" t="str">
        <f t="shared" si="3"/>
        <v/>
      </c>
      <c r="B2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4" spans="1:2" x14ac:dyDescent="0.3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5" spans="1:2" x14ac:dyDescent="0.3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6" spans="1:2" x14ac:dyDescent="0.35">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7" spans="1:2" x14ac:dyDescent="0.3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8" spans="1:2" x14ac:dyDescent="0.3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9" spans="1:2" x14ac:dyDescent="0.3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0" spans="1:2" x14ac:dyDescent="0.3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1" spans="1:2" x14ac:dyDescent="0.3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2" spans="1:2" x14ac:dyDescent="0.3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3" spans="1:2" x14ac:dyDescent="0.35">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4" spans="1:2" x14ac:dyDescent="0.35">
      <c r="A234" s="1" t="str">
        <f t="shared" si="3"/>
        <v/>
      </c>
      <c r="B2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5" spans="1:2" x14ac:dyDescent="0.35">
      <c r="A235" s="1" t="str">
        <f t="shared" si="3"/>
        <v/>
      </c>
      <c r="B2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6" spans="1:2" x14ac:dyDescent="0.35">
      <c r="A236" s="1" t="str">
        <f t="shared" si="3"/>
        <v/>
      </c>
      <c r="B2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7" spans="1:2" x14ac:dyDescent="0.35">
      <c r="A237" s="1" t="str">
        <f t="shared" si="3"/>
        <v/>
      </c>
      <c r="B2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8" spans="1:2" x14ac:dyDescent="0.35">
      <c r="A238" s="1" t="str">
        <f t="shared" si="3"/>
        <v/>
      </c>
      <c r="B2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9" spans="1:2" x14ac:dyDescent="0.35">
      <c r="A239" s="1" t="str">
        <f t="shared" si="3"/>
        <v/>
      </c>
      <c r="B2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0" spans="1:2" x14ac:dyDescent="0.35">
      <c r="A240" s="1" t="str">
        <f t="shared" si="3"/>
        <v/>
      </c>
      <c r="B2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1" spans="1:2" x14ac:dyDescent="0.35">
      <c r="A241" s="1" t="str">
        <f t="shared" si="3"/>
        <v/>
      </c>
      <c r="B2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2" spans="1:2" x14ac:dyDescent="0.35">
      <c r="A242" s="1" t="str">
        <f t="shared" si="3"/>
        <v/>
      </c>
      <c r="B2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3" spans="1:2" x14ac:dyDescent="0.35">
      <c r="A243" s="1" t="str">
        <f t="shared" si="3"/>
        <v/>
      </c>
      <c r="B2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4" spans="1:2" x14ac:dyDescent="0.35">
      <c r="A244" s="1" t="str">
        <f t="shared" si="3"/>
        <v/>
      </c>
      <c r="B2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5" spans="1:2" x14ac:dyDescent="0.35">
      <c r="A245" s="1" t="str">
        <f t="shared" si="3"/>
        <v/>
      </c>
      <c r="B2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6" spans="1:2" x14ac:dyDescent="0.35">
      <c r="A246" s="1" t="str">
        <f t="shared" si="3"/>
        <v/>
      </c>
      <c r="B2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7" spans="1:2" x14ac:dyDescent="0.35">
      <c r="A247" s="1" t="str">
        <f t="shared" si="3"/>
        <v/>
      </c>
      <c r="B2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8" spans="1:2" x14ac:dyDescent="0.35">
      <c r="A248" s="1" t="str">
        <f t="shared" si="3"/>
        <v/>
      </c>
      <c r="B2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9" spans="1:2" x14ac:dyDescent="0.35">
      <c r="A249" s="1" t="str">
        <f t="shared" si="3"/>
        <v/>
      </c>
      <c r="B2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0" spans="1:2" x14ac:dyDescent="0.35">
      <c r="A250" s="1" t="str">
        <f t="shared" si="3"/>
        <v/>
      </c>
      <c r="B2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1" spans="1:2" x14ac:dyDescent="0.35">
      <c r="A251" s="1" t="str">
        <f t="shared" si="3"/>
        <v/>
      </c>
      <c r="B2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2" spans="1:2" x14ac:dyDescent="0.35">
      <c r="A252" s="1" t="str">
        <f t="shared" si="3"/>
        <v/>
      </c>
      <c r="B2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3" spans="1:2" x14ac:dyDescent="0.35">
      <c r="A253" s="1" t="str">
        <f t="shared" si="3"/>
        <v/>
      </c>
      <c r="B2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4" spans="1:2" x14ac:dyDescent="0.35">
      <c r="A254" s="1" t="str">
        <f t="shared" si="3"/>
        <v/>
      </c>
      <c r="B2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5" spans="1:2" x14ac:dyDescent="0.35">
      <c r="A255" s="1" t="str">
        <f t="shared" si="3"/>
        <v/>
      </c>
      <c r="B2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6" spans="1:2" x14ac:dyDescent="0.35">
      <c r="A256" s="1" t="str">
        <f t="shared" si="3"/>
        <v/>
      </c>
      <c r="B2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7" spans="1:2" x14ac:dyDescent="0.3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8" spans="1:2" x14ac:dyDescent="0.3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9" spans="1:2" x14ac:dyDescent="0.35">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0" spans="1:2" x14ac:dyDescent="0.3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1" spans="1:2" x14ac:dyDescent="0.3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2" spans="1:2" x14ac:dyDescent="0.3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3" spans="1:2" x14ac:dyDescent="0.3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4" spans="1:2" x14ac:dyDescent="0.3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5" spans="1:2" x14ac:dyDescent="0.3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6" spans="1:2" x14ac:dyDescent="0.35">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7" spans="1:2" x14ac:dyDescent="0.35">
      <c r="A267" s="1" t="str">
        <f t="shared" si="4"/>
        <v/>
      </c>
      <c r="B2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8" spans="1:2" x14ac:dyDescent="0.35">
      <c r="A268" s="1" t="str">
        <f t="shared" si="4"/>
        <v/>
      </c>
      <c r="B2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9" spans="1:2" x14ac:dyDescent="0.35">
      <c r="A269" s="1" t="str">
        <f t="shared" si="4"/>
        <v/>
      </c>
      <c r="B2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0" spans="1:2" x14ac:dyDescent="0.35">
      <c r="A270" s="1" t="str">
        <f t="shared" si="4"/>
        <v/>
      </c>
      <c r="B2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1" spans="1:2" x14ac:dyDescent="0.35">
      <c r="A271" s="1" t="str">
        <f t="shared" si="4"/>
        <v/>
      </c>
      <c r="B2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2" spans="1:2" x14ac:dyDescent="0.35">
      <c r="A272" s="1" t="str">
        <f t="shared" si="4"/>
        <v/>
      </c>
      <c r="B2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3" spans="1:2" x14ac:dyDescent="0.35">
      <c r="A273" s="1" t="str">
        <f t="shared" si="4"/>
        <v/>
      </c>
      <c r="B2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4" spans="1:2" x14ac:dyDescent="0.35">
      <c r="A274" s="1" t="str">
        <f t="shared" si="4"/>
        <v/>
      </c>
      <c r="B2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5" spans="1:2" x14ac:dyDescent="0.35">
      <c r="A275" s="1" t="str">
        <f t="shared" si="4"/>
        <v/>
      </c>
      <c r="B2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6" spans="1:2" x14ac:dyDescent="0.35">
      <c r="A276" s="1" t="str">
        <f t="shared" si="4"/>
        <v/>
      </c>
      <c r="B2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7" spans="1:2" x14ac:dyDescent="0.35">
      <c r="A277" s="1" t="str">
        <f t="shared" si="4"/>
        <v/>
      </c>
      <c r="B2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8" spans="1:2" x14ac:dyDescent="0.35">
      <c r="A278" s="1" t="str">
        <f t="shared" si="4"/>
        <v/>
      </c>
      <c r="B2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9" spans="1:2" x14ac:dyDescent="0.35">
      <c r="A279" s="1" t="str">
        <f t="shared" si="4"/>
        <v/>
      </c>
      <c r="B2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0" spans="1:2" x14ac:dyDescent="0.35">
      <c r="A280" s="1" t="str">
        <f t="shared" si="4"/>
        <v/>
      </c>
      <c r="B2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1" spans="1:2" x14ac:dyDescent="0.35">
      <c r="A281" s="1" t="str">
        <f t="shared" si="4"/>
        <v/>
      </c>
      <c r="B2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2" spans="1:2" x14ac:dyDescent="0.35">
      <c r="A282" s="1" t="str">
        <f t="shared" si="4"/>
        <v/>
      </c>
      <c r="B2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3" spans="1:2" x14ac:dyDescent="0.35">
      <c r="A283" s="1" t="str">
        <f t="shared" si="4"/>
        <v/>
      </c>
      <c r="B2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4" spans="1:2" x14ac:dyDescent="0.35">
      <c r="A284" s="1" t="str">
        <f t="shared" si="4"/>
        <v/>
      </c>
      <c r="B2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5" spans="1:2" x14ac:dyDescent="0.35">
      <c r="A285" s="1" t="str">
        <f t="shared" si="4"/>
        <v/>
      </c>
      <c r="B2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6" spans="1:2" x14ac:dyDescent="0.35">
      <c r="A286" s="1" t="str">
        <f t="shared" si="4"/>
        <v/>
      </c>
      <c r="B2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7" spans="1:2" x14ac:dyDescent="0.35">
      <c r="A287" s="1" t="str">
        <f t="shared" si="4"/>
        <v/>
      </c>
      <c r="B2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8" spans="1:2" x14ac:dyDescent="0.35">
      <c r="A288" s="1" t="str">
        <f t="shared" si="4"/>
        <v/>
      </c>
      <c r="B2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9" spans="1:2" x14ac:dyDescent="0.35">
      <c r="A289" s="1" t="str">
        <f t="shared" si="4"/>
        <v/>
      </c>
      <c r="B2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0" spans="1:2" x14ac:dyDescent="0.3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1" spans="1:2" x14ac:dyDescent="0.3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2" spans="1:2" x14ac:dyDescent="0.35">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3" spans="1:2" x14ac:dyDescent="0.3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4" spans="1:2" x14ac:dyDescent="0.3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5" spans="1:2" x14ac:dyDescent="0.3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6" spans="1:2" x14ac:dyDescent="0.3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7" spans="1:2" x14ac:dyDescent="0.3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8" spans="1:2" x14ac:dyDescent="0.3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9" spans="1:2" x14ac:dyDescent="0.35">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0" spans="1:2" x14ac:dyDescent="0.35">
      <c r="A300" s="1" t="str">
        <f t="shared" si="4"/>
        <v/>
      </c>
      <c r="B3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1" spans="1:2" x14ac:dyDescent="0.35">
      <c r="A301" s="1" t="str">
        <f t="shared" si="4"/>
        <v/>
      </c>
      <c r="B3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2" spans="1:2" x14ac:dyDescent="0.35">
      <c r="A302" s="1" t="str">
        <f t="shared" si="4"/>
        <v/>
      </c>
      <c r="B3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3" spans="1:2" x14ac:dyDescent="0.35">
      <c r="A303" s="1" t="str">
        <f t="shared" si="4"/>
        <v/>
      </c>
      <c r="B3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4" spans="1:2" x14ac:dyDescent="0.35">
      <c r="A304" s="1" t="str">
        <f t="shared" si="4"/>
        <v/>
      </c>
      <c r="B3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5" spans="1:2" x14ac:dyDescent="0.35">
      <c r="A305" s="1" t="str">
        <f t="shared" si="4"/>
        <v/>
      </c>
      <c r="B3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6" spans="1:2" x14ac:dyDescent="0.35">
      <c r="A306" s="1" t="str">
        <f t="shared" si="4"/>
        <v/>
      </c>
      <c r="B3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7" spans="1:2" x14ac:dyDescent="0.35">
      <c r="A307" s="1" t="str">
        <f t="shared" si="4"/>
        <v/>
      </c>
      <c r="B3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8" spans="1:2" x14ac:dyDescent="0.35">
      <c r="A308" s="1" t="str">
        <f t="shared" si="4"/>
        <v/>
      </c>
      <c r="B3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9" spans="1:2" x14ac:dyDescent="0.35">
      <c r="A309" s="1" t="str">
        <f t="shared" si="4"/>
        <v/>
      </c>
      <c r="B3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0" spans="1:2" x14ac:dyDescent="0.35">
      <c r="A310" s="1" t="str">
        <f t="shared" si="4"/>
        <v/>
      </c>
      <c r="B3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1" spans="1:2" x14ac:dyDescent="0.35">
      <c r="A311" s="1" t="str">
        <f t="shared" si="4"/>
        <v/>
      </c>
      <c r="B3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2" spans="1:2" x14ac:dyDescent="0.35">
      <c r="A312" s="1" t="str">
        <f t="shared" si="4"/>
        <v/>
      </c>
      <c r="B3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3" spans="1:2" x14ac:dyDescent="0.35">
      <c r="A313" s="1" t="str">
        <f t="shared" si="4"/>
        <v/>
      </c>
      <c r="B3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4" spans="1:2" x14ac:dyDescent="0.35">
      <c r="A314" s="1" t="str">
        <f t="shared" si="4"/>
        <v/>
      </c>
      <c r="B3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5" spans="1:2" x14ac:dyDescent="0.35">
      <c r="A315" s="1" t="str">
        <f t="shared" si="4"/>
        <v/>
      </c>
      <c r="B3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6" spans="1:2" x14ac:dyDescent="0.35">
      <c r="A316" s="1" t="str">
        <f t="shared" si="4"/>
        <v/>
      </c>
      <c r="B3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7" spans="1:2" x14ac:dyDescent="0.35">
      <c r="A317" s="1" t="str">
        <f t="shared" si="4"/>
        <v/>
      </c>
      <c r="B3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8" spans="1:2" x14ac:dyDescent="0.35">
      <c r="A318" s="1" t="str">
        <f t="shared" si="4"/>
        <v/>
      </c>
      <c r="B3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9" spans="1:2" x14ac:dyDescent="0.35">
      <c r="A319" s="1" t="str">
        <f t="shared" si="4"/>
        <v/>
      </c>
      <c r="B3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0" spans="1:2" x14ac:dyDescent="0.35">
      <c r="A320" s="1" t="str">
        <f t="shared" si="4"/>
        <v/>
      </c>
      <c r="B3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1" spans="1:2" x14ac:dyDescent="0.35">
      <c r="A321" s="1" t="str">
        <f t="shared" si="4"/>
        <v/>
      </c>
      <c r="B3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2" spans="1:2" x14ac:dyDescent="0.35">
      <c r="A322" s="1" t="str">
        <f t="shared" ref="A322:A385" si="5">IFERROR(LEFT(RIGHT(C322,LEN(C322)-SEARCH("@",C322)),SEARCH("/",RIGHT(C322,LEN(C322)-SEARCH("@",C322)-1))),"")</f>
        <v/>
      </c>
      <c r="B3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3" spans="1:2" x14ac:dyDescent="0.3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4" spans="1:2" x14ac:dyDescent="0.3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5" spans="1:2" x14ac:dyDescent="0.35">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6" spans="1:2" x14ac:dyDescent="0.3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7" spans="1:2" x14ac:dyDescent="0.3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8" spans="1:2" x14ac:dyDescent="0.3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9" spans="1:2" x14ac:dyDescent="0.3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0" spans="1:2" x14ac:dyDescent="0.3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1" spans="1:2" x14ac:dyDescent="0.3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2" spans="1:2" x14ac:dyDescent="0.35">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3" spans="1:2" x14ac:dyDescent="0.35">
      <c r="A333" s="1" t="str">
        <f t="shared" si="5"/>
        <v/>
      </c>
      <c r="B3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4" spans="1:2" x14ac:dyDescent="0.35">
      <c r="A334" s="1" t="str">
        <f t="shared" si="5"/>
        <v/>
      </c>
      <c r="B3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5" spans="1:2" x14ac:dyDescent="0.35">
      <c r="A335" s="1" t="str">
        <f t="shared" si="5"/>
        <v/>
      </c>
      <c r="B3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6" spans="1:2" x14ac:dyDescent="0.35">
      <c r="A336" s="1" t="str">
        <f t="shared" si="5"/>
        <v/>
      </c>
      <c r="B3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7" spans="1:2" x14ac:dyDescent="0.35">
      <c r="A337" s="1" t="str">
        <f t="shared" si="5"/>
        <v/>
      </c>
      <c r="B3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8" spans="1:2" x14ac:dyDescent="0.35">
      <c r="A338" s="1" t="str">
        <f t="shared" si="5"/>
        <v/>
      </c>
      <c r="B3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9" spans="1:2" x14ac:dyDescent="0.35">
      <c r="A339" s="1" t="str">
        <f t="shared" si="5"/>
        <v/>
      </c>
      <c r="B3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0" spans="1:2" x14ac:dyDescent="0.35">
      <c r="A340" s="1" t="str">
        <f t="shared" si="5"/>
        <v/>
      </c>
      <c r="B3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1" spans="1:2" x14ac:dyDescent="0.35">
      <c r="A341" s="1" t="str">
        <f t="shared" si="5"/>
        <v/>
      </c>
      <c r="B3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2" spans="1:2" x14ac:dyDescent="0.35">
      <c r="A342" s="1" t="str">
        <f t="shared" si="5"/>
        <v/>
      </c>
      <c r="B3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3" spans="1:2" x14ac:dyDescent="0.35">
      <c r="A343" s="1" t="str">
        <f t="shared" si="5"/>
        <v/>
      </c>
      <c r="B3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4" spans="1:2" x14ac:dyDescent="0.35">
      <c r="A344" s="1" t="str">
        <f t="shared" si="5"/>
        <v/>
      </c>
      <c r="B3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5" spans="1:2" x14ac:dyDescent="0.35">
      <c r="A345" s="1" t="str">
        <f t="shared" si="5"/>
        <v/>
      </c>
      <c r="B3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6" spans="1:2" x14ac:dyDescent="0.35">
      <c r="A346" s="1" t="str">
        <f t="shared" si="5"/>
        <v/>
      </c>
      <c r="B3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7" spans="1:2" x14ac:dyDescent="0.35">
      <c r="A347" s="1" t="str">
        <f t="shared" si="5"/>
        <v/>
      </c>
      <c r="B3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8" spans="1:2" x14ac:dyDescent="0.35">
      <c r="A348" s="1" t="str">
        <f t="shared" si="5"/>
        <v/>
      </c>
      <c r="B3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9" spans="1:2" x14ac:dyDescent="0.35">
      <c r="A349" s="1" t="str">
        <f t="shared" si="5"/>
        <v/>
      </c>
      <c r="B3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0" spans="1:2" x14ac:dyDescent="0.35">
      <c r="A350" s="1" t="str">
        <f t="shared" si="5"/>
        <v/>
      </c>
      <c r="B3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1" spans="1:2" x14ac:dyDescent="0.35">
      <c r="A351" s="1" t="str">
        <f t="shared" si="5"/>
        <v/>
      </c>
      <c r="B3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2" spans="1:2" x14ac:dyDescent="0.35">
      <c r="A352" s="1" t="str">
        <f t="shared" si="5"/>
        <v/>
      </c>
      <c r="B3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3" spans="1:2" x14ac:dyDescent="0.35">
      <c r="A353" s="1" t="str">
        <f t="shared" si="5"/>
        <v/>
      </c>
      <c r="B3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4" spans="1:2" x14ac:dyDescent="0.35">
      <c r="A354" s="1" t="str">
        <f t="shared" si="5"/>
        <v/>
      </c>
      <c r="B3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5" spans="1:2" x14ac:dyDescent="0.35">
      <c r="A355" s="1" t="str">
        <f t="shared" si="5"/>
        <v/>
      </c>
      <c r="B3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6" spans="1:2" x14ac:dyDescent="0.3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7" spans="1:2" x14ac:dyDescent="0.3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8" spans="1:2" x14ac:dyDescent="0.35">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9" spans="1:2" x14ac:dyDescent="0.3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0" spans="1:2" x14ac:dyDescent="0.3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1" spans="1:2" x14ac:dyDescent="0.3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2" spans="1:2" x14ac:dyDescent="0.3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3" spans="1:2" x14ac:dyDescent="0.3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4" spans="1:2" x14ac:dyDescent="0.3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5" spans="1:2" x14ac:dyDescent="0.35">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6" spans="1:2" x14ac:dyDescent="0.35">
      <c r="A366" s="1" t="str">
        <f t="shared" si="5"/>
        <v/>
      </c>
      <c r="B3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7" spans="1:2" x14ac:dyDescent="0.35">
      <c r="A367" s="1" t="str">
        <f t="shared" si="5"/>
        <v/>
      </c>
      <c r="B3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8" spans="1:2" x14ac:dyDescent="0.35">
      <c r="A368" s="1" t="str">
        <f t="shared" si="5"/>
        <v/>
      </c>
      <c r="B3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9" spans="1:2" x14ac:dyDescent="0.35">
      <c r="A369" s="1" t="str">
        <f t="shared" si="5"/>
        <v/>
      </c>
      <c r="B3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0" spans="1:2" x14ac:dyDescent="0.35">
      <c r="A370" s="1" t="str">
        <f t="shared" si="5"/>
        <v/>
      </c>
      <c r="B3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1" spans="1:2" x14ac:dyDescent="0.35">
      <c r="A371" s="1" t="str">
        <f t="shared" si="5"/>
        <v/>
      </c>
      <c r="B3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2" spans="1:2" x14ac:dyDescent="0.35">
      <c r="A372" s="1" t="str">
        <f t="shared" si="5"/>
        <v/>
      </c>
      <c r="B3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3" spans="1:2" x14ac:dyDescent="0.35">
      <c r="A373" s="1" t="str">
        <f t="shared" si="5"/>
        <v/>
      </c>
      <c r="B3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4" spans="1:2" x14ac:dyDescent="0.35">
      <c r="A374" s="1" t="str">
        <f t="shared" si="5"/>
        <v/>
      </c>
      <c r="B3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5" spans="1:2" x14ac:dyDescent="0.35">
      <c r="A375" s="1" t="str">
        <f t="shared" si="5"/>
        <v/>
      </c>
      <c r="B3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6" spans="1:2" x14ac:dyDescent="0.35">
      <c r="A376" s="1" t="str">
        <f t="shared" si="5"/>
        <v/>
      </c>
      <c r="B3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7" spans="1:2" x14ac:dyDescent="0.35">
      <c r="A377" s="1" t="str">
        <f t="shared" si="5"/>
        <v/>
      </c>
      <c r="B3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8" spans="1:2" x14ac:dyDescent="0.35">
      <c r="A378" s="1" t="str">
        <f t="shared" si="5"/>
        <v/>
      </c>
      <c r="B3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9" spans="1:2" x14ac:dyDescent="0.35">
      <c r="A379" s="1" t="str">
        <f t="shared" si="5"/>
        <v/>
      </c>
      <c r="B3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0" spans="1:2" x14ac:dyDescent="0.35">
      <c r="A380" s="1" t="str">
        <f t="shared" si="5"/>
        <v/>
      </c>
      <c r="B3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1" spans="1:2" x14ac:dyDescent="0.35">
      <c r="A381" s="1" t="str">
        <f t="shared" si="5"/>
        <v/>
      </c>
      <c r="B3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2" spans="1:2" x14ac:dyDescent="0.35">
      <c r="A382" s="1" t="str">
        <f t="shared" si="5"/>
        <v/>
      </c>
      <c r="B3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3" spans="1:2" x14ac:dyDescent="0.35">
      <c r="A383" s="1" t="str">
        <f t="shared" si="5"/>
        <v/>
      </c>
      <c r="B3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4" spans="1:2" x14ac:dyDescent="0.35">
      <c r="A384" s="1" t="str">
        <f t="shared" si="5"/>
        <v/>
      </c>
      <c r="B3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5" spans="1:2" x14ac:dyDescent="0.35">
      <c r="A385" s="1" t="str">
        <f t="shared" si="5"/>
        <v/>
      </c>
      <c r="B3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6" spans="1:2" x14ac:dyDescent="0.35">
      <c r="A386" s="1" t="str">
        <f t="shared" ref="A386:A449" si="6">IFERROR(LEFT(RIGHT(C386,LEN(C386)-SEARCH("@",C386)),SEARCH("/",RIGHT(C386,LEN(C386)-SEARCH("@",C386)-1))),"")</f>
        <v/>
      </c>
      <c r="B3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7" spans="1:2" x14ac:dyDescent="0.35">
      <c r="A387" s="1" t="str">
        <f t="shared" si="6"/>
        <v/>
      </c>
      <c r="B3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8" spans="1:2" x14ac:dyDescent="0.35">
      <c r="A388" s="1" t="str">
        <f t="shared" si="6"/>
        <v/>
      </c>
      <c r="B3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9" spans="1:2" x14ac:dyDescent="0.3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0" spans="1:2" x14ac:dyDescent="0.3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1" spans="1:2" x14ac:dyDescent="0.35">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2" spans="1:2" x14ac:dyDescent="0.3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3" spans="1:2" x14ac:dyDescent="0.3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4" spans="1:2" x14ac:dyDescent="0.3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5" spans="1:2" x14ac:dyDescent="0.3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6" spans="1:2" x14ac:dyDescent="0.3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7" spans="1:2" x14ac:dyDescent="0.3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8" spans="1:2" x14ac:dyDescent="0.35">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9" spans="1:2" x14ac:dyDescent="0.35">
      <c r="A399" s="1" t="str">
        <f t="shared" si="6"/>
        <v/>
      </c>
      <c r="B3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0" spans="1:2" x14ac:dyDescent="0.35">
      <c r="A400" s="1" t="str">
        <f t="shared" si="6"/>
        <v/>
      </c>
      <c r="B4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1" spans="1:2" x14ac:dyDescent="0.35">
      <c r="A401" s="1" t="str">
        <f t="shared" si="6"/>
        <v/>
      </c>
      <c r="B4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2" spans="1:2" x14ac:dyDescent="0.35">
      <c r="A402" s="1" t="str">
        <f t="shared" si="6"/>
        <v/>
      </c>
      <c r="B4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3" spans="1:2" x14ac:dyDescent="0.35">
      <c r="A403" s="1" t="str">
        <f t="shared" si="6"/>
        <v/>
      </c>
      <c r="B4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4" spans="1:2" x14ac:dyDescent="0.35">
      <c r="A404" s="1" t="str">
        <f t="shared" si="6"/>
        <v/>
      </c>
      <c r="B4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5" spans="1:2" x14ac:dyDescent="0.35">
      <c r="A405" s="1" t="str">
        <f t="shared" si="6"/>
        <v/>
      </c>
      <c r="B4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6" spans="1:2" x14ac:dyDescent="0.35">
      <c r="A406" s="1" t="str">
        <f t="shared" si="6"/>
        <v/>
      </c>
      <c r="B4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7" spans="1:2" x14ac:dyDescent="0.35">
      <c r="A407" s="1" t="str">
        <f t="shared" si="6"/>
        <v/>
      </c>
      <c r="B4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8" spans="1:2" x14ac:dyDescent="0.35">
      <c r="A408" s="1" t="str">
        <f t="shared" si="6"/>
        <v/>
      </c>
      <c r="B4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9" spans="1:2" x14ac:dyDescent="0.35">
      <c r="A409" s="1" t="str">
        <f t="shared" si="6"/>
        <v/>
      </c>
      <c r="B4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0" spans="1:2" x14ac:dyDescent="0.35">
      <c r="A410" s="1" t="str">
        <f t="shared" si="6"/>
        <v/>
      </c>
      <c r="B4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1" spans="1:2" x14ac:dyDescent="0.35">
      <c r="A411" s="1" t="str">
        <f t="shared" si="6"/>
        <v/>
      </c>
      <c r="B4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2" spans="1:2" x14ac:dyDescent="0.35">
      <c r="A412" s="1" t="str">
        <f t="shared" si="6"/>
        <v/>
      </c>
      <c r="B4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3" spans="1:2" x14ac:dyDescent="0.35">
      <c r="A413" s="1" t="str">
        <f t="shared" si="6"/>
        <v/>
      </c>
      <c r="B4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4" spans="1:2" x14ac:dyDescent="0.35">
      <c r="A414" s="1" t="str">
        <f t="shared" si="6"/>
        <v/>
      </c>
      <c r="B4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5" spans="1:2" x14ac:dyDescent="0.35">
      <c r="A415" s="1" t="str">
        <f t="shared" si="6"/>
        <v/>
      </c>
      <c r="B4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6" spans="1:2" x14ac:dyDescent="0.35">
      <c r="A416" s="1" t="str">
        <f t="shared" si="6"/>
        <v/>
      </c>
      <c r="B4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7" spans="1:2" x14ac:dyDescent="0.35">
      <c r="A417" s="1" t="str">
        <f t="shared" si="6"/>
        <v/>
      </c>
      <c r="B4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8" spans="1:2" x14ac:dyDescent="0.35">
      <c r="A418" s="1" t="str">
        <f t="shared" si="6"/>
        <v/>
      </c>
      <c r="B4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9" spans="1:2" x14ac:dyDescent="0.35">
      <c r="A419" s="1" t="str">
        <f t="shared" si="6"/>
        <v/>
      </c>
      <c r="B4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0" spans="1:2" x14ac:dyDescent="0.35">
      <c r="A420" s="1" t="str">
        <f t="shared" si="6"/>
        <v/>
      </c>
      <c r="B4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1" spans="1:2" x14ac:dyDescent="0.35">
      <c r="A421" s="1" t="str">
        <f t="shared" si="6"/>
        <v/>
      </c>
      <c r="B4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2" spans="1:2" x14ac:dyDescent="0.3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3" spans="1:2" x14ac:dyDescent="0.3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4" spans="1:2" x14ac:dyDescent="0.35">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5" spans="1:2" x14ac:dyDescent="0.3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6" spans="1:2" x14ac:dyDescent="0.3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7" spans="1:2" x14ac:dyDescent="0.3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8" spans="1:2" x14ac:dyDescent="0.3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9" spans="1:2" x14ac:dyDescent="0.3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0" spans="1:2" x14ac:dyDescent="0.3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1" spans="1:2" x14ac:dyDescent="0.35">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2" spans="1:2" x14ac:dyDescent="0.35">
      <c r="A432" s="1" t="str">
        <f t="shared" si="6"/>
        <v/>
      </c>
      <c r="B4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3" spans="1:2" x14ac:dyDescent="0.35">
      <c r="A433" s="1" t="str">
        <f t="shared" si="6"/>
        <v/>
      </c>
      <c r="B4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4" spans="1:2" x14ac:dyDescent="0.35">
      <c r="A434" s="1" t="str">
        <f t="shared" si="6"/>
        <v/>
      </c>
      <c r="B4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5" spans="1:2" x14ac:dyDescent="0.35">
      <c r="A435" s="1" t="str">
        <f t="shared" si="6"/>
        <v/>
      </c>
      <c r="B4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6" spans="1:2" x14ac:dyDescent="0.35">
      <c r="A436" s="1" t="str">
        <f t="shared" si="6"/>
        <v/>
      </c>
      <c r="B4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7" spans="1:2" x14ac:dyDescent="0.35">
      <c r="A437" s="1" t="str">
        <f t="shared" si="6"/>
        <v/>
      </c>
      <c r="B4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8" spans="1:2" x14ac:dyDescent="0.35">
      <c r="A438" s="1" t="str">
        <f t="shared" si="6"/>
        <v/>
      </c>
      <c r="B4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9" spans="1:2" x14ac:dyDescent="0.35">
      <c r="A439" s="1" t="str">
        <f t="shared" si="6"/>
        <v/>
      </c>
      <c r="B4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0" spans="1:2" x14ac:dyDescent="0.35">
      <c r="A440" s="1" t="str">
        <f t="shared" si="6"/>
        <v/>
      </c>
      <c r="B4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1" spans="1:2" x14ac:dyDescent="0.35">
      <c r="A441" s="1" t="str">
        <f t="shared" si="6"/>
        <v/>
      </c>
      <c r="B4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2" spans="1:2" x14ac:dyDescent="0.35">
      <c r="A442" s="1" t="str">
        <f t="shared" si="6"/>
        <v/>
      </c>
      <c r="B4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3" spans="1:2" x14ac:dyDescent="0.35">
      <c r="A443" s="1" t="str">
        <f t="shared" si="6"/>
        <v/>
      </c>
      <c r="B4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4" spans="1:2" x14ac:dyDescent="0.35">
      <c r="A444" s="1" t="str">
        <f t="shared" si="6"/>
        <v/>
      </c>
      <c r="B4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5" spans="1:2" x14ac:dyDescent="0.35">
      <c r="A445" s="1" t="str">
        <f t="shared" si="6"/>
        <v/>
      </c>
      <c r="B4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6" spans="1:2" x14ac:dyDescent="0.35">
      <c r="A446" s="1" t="str">
        <f t="shared" si="6"/>
        <v/>
      </c>
      <c r="B4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7" spans="1:2" x14ac:dyDescent="0.35">
      <c r="A447" s="1" t="str">
        <f t="shared" si="6"/>
        <v/>
      </c>
      <c r="B4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8" spans="1:2" x14ac:dyDescent="0.35">
      <c r="A448" s="1" t="str">
        <f t="shared" si="6"/>
        <v/>
      </c>
      <c r="B4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9" spans="1:2" x14ac:dyDescent="0.35">
      <c r="A449" s="1" t="str">
        <f t="shared" si="6"/>
        <v/>
      </c>
      <c r="B4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0" spans="1:2" x14ac:dyDescent="0.35">
      <c r="A450" s="1" t="str">
        <f t="shared" ref="A450:A513" si="7">IFERROR(LEFT(RIGHT(C450,LEN(C450)-SEARCH("@",C450)),SEARCH("/",RIGHT(C450,LEN(C450)-SEARCH("@",C450)-1))),"")</f>
        <v/>
      </c>
      <c r="B4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1" spans="1:2" x14ac:dyDescent="0.35">
      <c r="A451" s="1" t="str">
        <f t="shared" si="7"/>
        <v/>
      </c>
      <c r="B4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2" spans="1:2" x14ac:dyDescent="0.35">
      <c r="A452" s="1" t="str">
        <f t="shared" si="7"/>
        <v/>
      </c>
      <c r="B4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3" spans="1:2" x14ac:dyDescent="0.35">
      <c r="A453" s="1" t="str">
        <f t="shared" si="7"/>
        <v/>
      </c>
      <c r="B4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4" spans="1:2" x14ac:dyDescent="0.35">
      <c r="A454" s="1" t="str">
        <f t="shared" si="7"/>
        <v/>
      </c>
      <c r="B4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5" spans="1:2" x14ac:dyDescent="0.3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6" spans="1:2" x14ac:dyDescent="0.3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7" spans="1:2" x14ac:dyDescent="0.35">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8" spans="1:2" x14ac:dyDescent="0.3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9" spans="1:2" x14ac:dyDescent="0.3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0" spans="1:2" x14ac:dyDescent="0.3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1" spans="1:2" x14ac:dyDescent="0.3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2" spans="1:2" x14ac:dyDescent="0.3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3" spans="1:2" x14ac:dyDescent="0.3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4" spans="1:2" x14ac:dyDescent="0.35">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5" spans="1:2" x14ac:dyDescent="0.35">
      <c r="A465" s="1" t="str">
        <f t="shared" si="7"/>
        <v/>
      </c>
      <c r="B4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6" spans="1:2" x14ac:dyDescent="0.35">
      <c r="A466" s="1" t="str">
        <f t="shared" si="7"/>
        <v/>
      </c>
      <c r="B4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7" spans="1:2" x14ac:dyDescent="0.35">
      <c r="A467" s="1" t="str">
        <f t="shared" si="7"/>
        <v/>
      </c>
      <c r="B4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8" spans="1:2" x14ac:dyDescent="0.35">
      <c r="A468" s="1" t="str">
        <f t="shared" si="7"/>
        <v/>
      </c>
      <c r="B4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9" spans="1:2" x14ac:dyDescent="0.35">
      <c r="A469" s="1" t="str">
        <f t="shared" si="7"/>
        <v/>
      </c>
      <c r="B4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0" spans="1:2" x14ac:dyDescent="0.35">
      <c r="A470" s="1" t="str">
        <f t="shared" si="7"/>
        <v/>
      </c>
      <c r="B4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1" spans="1:2" x14ac:dyDescent="0.35">
      <c r="A471" s="1" t="str">
        <f t="shared" si="7"/>
        <v/>
      </c>
      <c r="B4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2" spans="1:2" x14ac:dyDescent="0.35">
      <c r="A472" s="1" t="str">
        <f t="shared" si="7"/>
        <v/>
      </c>
      <c r="B4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3" spans="1:2" x14ac:dyDescent="0.35">
      <c r="A473" s="1" t="str">
        <f t="shared" si="7"/>
        <v/>
      </c>
      <c r="B4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4" spans="1:2" x14ac:dyDescent="0.35">
      <c r="A474" s="1" t="str">
        <f t="shared" si="7"/>
        <v/>
      </c>
      <c r="B4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5" spans="1:2" x14ac:dyDescent="0.35">
      <c r="A475" s="1" t="str">
        <f t="shared" si="7"/>
        <v/>
      </c>
      <c r="B4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6" spans="1:2" x14ac:dyDescent="0.35">
      <c r="A476" s="1" t="str">
        <f t="shared" si="7"/>
        <v/>
      </c>
      <c r="B4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7" spans="1:2" x14ac:dyDescent="0.35">
      <c r="A477" s="1" t="str">
        <f t="shared" si="7"/>
        <v/>
      </c>
      <c r="B4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8" spans="1:2" x14ac:dyDescent="0.35">
      <c r="A478" s="1" t="str">
        <f t="shared" si="7"/>
        <v/>
      </c>
      <c r="B4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9" spans="1:2" x14ac:dyDescent="0.35">
      <c r="A479" s="1" t="str">
        <f t="shared" si="7"/>
        <v/>
      </c>
      <c r="B4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0" spans="1:2" x14ac:dyDescent="0.35">
      <c r="A480" s="1" t="str">
        <f t="shared" si="7"/>
        <v/>
      </c>
      <c r="B4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1" spans="1:2" x14ac:dyDescent="0.35">
      <c r="A481" s="1" t="str">
        <f t="shared" si="7"/>
        <v/>
      </c>
      <c r="B4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2" spans="1:2" x14ac:dyDescent="0.35">
      <c r="A482" s="1" t="str">
        <f t="shared" si="7"/>
        <v/>
      </c>
      <c r="B4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3" spans="1:2" x14ac:dyDescent="0.35">
      <c r="A483" s="1" t="str">
        <f t="shared" si="7"/>
        <v/>
      </c>
      <c r="B4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4" spans="1:2" x14ac:dyDescent="0.35">
      <c r="A484" s="1" t="str">
        <f t="shared" si="7"/>
        <v/>
      </c>
      <c r="B4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5" spans="1:2" x14ac:dyDescent="0.35">
      <c r="A485" s="1" t="str">
        <f t="shared" si="7"/>
        <v/>
      </c>
      <c r="B4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6" spans="1:2" x14ac:dyDescent="0.35">
      <c r="A486" s="1" t="str">
        <f t="shared" si="7"/>
        <v/>
      </c>
      <c r="B4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7" spans="1:2" x14ac:dyDescent="0.35">
      <c r="A487" s="1" t="str">
        <f t="shared" si="7"/>
        <v/>
      </c>
      <c r="B4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8" spans="1:2" x14ac:dyDescent="0.3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9" spans="1:2" x14ac:dyDescent="0.3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0" spans="1:2" x14ac:dyDescent="0.35">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1" spans="1:2" x14ac:dyDescent="0.3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2" spans="1:2" x14ac:dyDescent="0.3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3" spans="1:2" x14ac:dyDescent="0.3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4" spans="1:2" x14ac:dyDescent="0.3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5" spans="1:2" x14ac:dyDescent="0.3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6" spans="1:2" x14ac:dyDescent="0.3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7" spans="1:2" x14ac:dyDescent="0.35">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8" spans="1:2" x14ac:dyDescent="0.35">
      <c r="A498" s="1" t="str">
        <f t="shared" si="7"/>
        <v/>
      </c>
      <c r="B4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9" spans="1:2" x14ac:dyDescent="0.35">
      <c r="A499" s="1" t="str">
        <f t="shared" si="7"/>
        <v/>
      </c>
      <c r="B4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0" spans="1:2" x14ac:dyDescent="0.35">
      <c r="A500" s="1" t="str">
        <f t="shared" si="7"/>
        <v/>
      </c>
      <c r="B5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1" spans="1:2" x14ac:dyDescent="0.35">
      <c r="A501" s="1" t="str">
        <f t="shared" si="7"/>
        <v/>
      </c>
      <c r="B5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2" spans="1:2" x14ac:dyDescent="0.35">
      <c r="A502" s="1" t="str">
        <f t="shared" si="7"/>
        <v/>
      </c>
      <c r="B5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3" spans="1:2" x14ac:dyDescent="0.35">
      <c r="A503" s="1" t="str">
        <f t="shared" si="7"/>
        <v/>
      </c>
      <c r="B5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4" spans="1:2" x14ac:dyDescent="0.35">
      <c r="A504" s="1" t="str">
        <f t="shared" si="7"/>
        <v/>
      </c>
      <c r="B5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5" spans="1:2" x14ac:dyDescent="0.35">
      <c r="A505" s="1" t="str">
        <f t="shared" si="7"/>
        <v/>
      </c>
      <c r="B5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6" spans="1:2" x14ac:dyDescent="0.35">
      <c r="A506" s="1" t="str">
        <f t="shared" si="7"/>
        <v/>
      </c>
      <c r="B5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7" spans="1:2" x14ac:dyDescent="0.35">
      <c r="A507" s="1" t="str">
        <f t="shared" si="7"/>
        <v/>
      </c>
      <c r="B5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8" spans="1:2" x14ac:dyDescent="0.35">
      <c r="A508" s="1" t="str">
        <f t="shared" si="7"/>
        <v/>
      </c>
      <c r="B5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9" spans="1:2" x14ac:dyDescent="0.35">
      <c r="A509" s="1" t="str">
        <f t="shared" si="7"/>
        <v/>
      </c>
      <c r="B5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0" spans="1:2" x14ac:dyDescent="0.35">
      <c r="A510" s="1" t="str">
        <f t="shared" si="7"/>
        <v/>
      </c>
      <c r="B5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1" spans="1:2" x14ac:dyDescent="0.35">
      <c r="A511" s="1" t="str">
        <f t="shared" si="7"/>
        <v/>
      </c>
      <c r="B5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2" spans="1:2" x14ac:dyDescent="0.35">
      <c r="A512" s="1" t="str">
        <f t="shared" si="7"/>
        <v/>
      </c>
      <c r="B5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3" spans="1:2" x14ac:dyDescent="0.35">
      <c r="A513" s="1" t="str">
        <f t="shared" si="7"/>
        <v/>
      </c>
      <c r="B5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4" spans="1:2" x14ac:dyDescent="0.35">
      <c r="A514" s="1" t="str">
        <f t="shared" ref="A514:A577" si="8">IFERROR(LEFT(RIGHT(C514,LEN(C514)-SEARCH("@",C514)),SEARCH("/",RIGHT(C514,LEN(C514)-SEARCH("@",C514)-1))),"")</f>
        <v/>
      </c>
      <c r="B5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5" spans="1:2" x14ac:dyDescent="0.35">
      <c r="A515" s="1" t="str">
        <f t="shared" si="8"/>
        <v/>
      </c>
      <c r="B5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6" spans="1:2" x14ac:dyDescent="0.35">
      <c r="A516" s="1" t="str">
        <f t="shared" si="8"/>
        <v/>
      </c>
      <c r="B5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7" spans="1:2" x14ac:dyDescent="0.35">
      <c r="A517" s="1" t="str">
        <f t="shared" si="8"/>
        <v/>
      </c>
      <c r="B5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8" spans="1:2" x14ac:dyDescent="0.35">
      <c r="A518" s="1" t="str">
        <f t="shared" si="8"/>
        <v/>
      </c>
      <c r="B5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9" spans="1:2" x14ac:dyDescent="0.35">
      <c r="A519" s="1" t="str">
        <f t="shared" si="8"/>
        <v/>
      </c>
      <c r="B5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0" spans="1:2" x14ac:dyDescent="0.35">
      <c r="A520" s="1" t="str">
        <f t="shared" si="8"/>
        <v/>
      </c>
      <c r="B5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1" spans="1:2" x14ac:dyDescent="0.3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2" spans="1:2" x14ac:dyDescent="0.3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3" spans="1:2" x14ac:dyDescent="0.35">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4" spans="1:2" x14ac:dyDescent="0.3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5" spans="1:2" x14ac:dyDescent="0.3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6" spans="1:2" x14ac:dyDescent="0.3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7" spans="1:2" x14ac:dyDescent="0.3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8" spans="1:2" x14ac:dyDescent="0.3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9" spans="1:2" x14ac:dyDescent="0.3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0" spans="1:2" x14ac:dyDescent="0.35">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1" spans="1:2" x14ac:dyDescent="0.35">
      <c r="A531" s="1" t="str">
        <f t="shared" si="8"/>
        <v/>
      </c>
      <c r="B5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2" spans="1:2" x14ac:dyDescent="0.35">
      <c r="A532" s="1" t="str">
        <f t="shared" si="8"/>
        <v/>
      </c>
      <c r="B5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3" spans="1:2" x14ac:dyDescent="0.35">
      <c r="A533" s="1" t="str">
        <f t="shared" si="8"/>
        <v/>
      </c>
      <c r="B5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4" spans="1:2" x14ac:dyDescent="0.35">
      <c r="A534" s="1" t="str">
        <f t="shared" si="8"/>
        <v/>
      </c>
      <c r="B5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5" spans="1:2" x14ac:dyDescent="0.35">
      <c r="A535" s="1" t="str">
        <f t="shared" si="8"/>
        <v/>
      </c>
      <c r="B5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6" spans="1:2" x14ac:dyDescent="0.35">
      <c r="A536" s="1" t="str">
        <f t="shared" si="8"/>
        <v/>
      </c>
      <c r="B5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7" spans="1:2" x14ac:dyDescent="0.35">
      <c r="A537" s="1" t="str">
        <f t="shared" si="8"/>
        <v/>
      </c>
      <c r="B5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8" spans="1:2" x14ac:dyDescent="0.35">
      <c r="A538" s="1" t="str">
        <f t="shared" si="8"/>
        <v/>
      </c>
      <c r="B5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9" spans="1:2" x14ac:dyDescent="0.35">
      <c r="A539" s="1" t="str">
        <f t="shared" si="8"/>
        <v/>
      </c>
      <c r="B5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0" spans="1:2" x14ac:dyDescent="0.35">
      <c r="A540" s="1" t="str">
        <f t="shared" si="8"/>
        <v/>
      </c>
      <c r="B5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1" spans="1:2" x14ac:dyDescent="0.35">
      <c r="A541" s="1" t="str">
        <f t="shared" si="8"/>
        <v/>
      </c>
      <c r="B5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2" spans="1:2" x14ac:dyDescent="0.35">
      <c r="A542" s="1" t="str">
        <f t="shared" si="8"/>
        <v/>
      </c>
      <c r="B5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3" spans="1:2" x14ac:dyDescent="0.35">
      <c r="A543" s="1" t="str">
        <f t="shared" si="8"/>
        <v/>
      </c>
      <c r="B5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4" spans="1:2" x14ac:dyDescent="0.35">
      <c r="A544" s="1" t="str">
        <f t="shared" si="8"/>
        <v/>
      </c>
      <c r="B5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5" spans="1:2" x14ac:dyDescent="0.35">
      <c r="A545" s="1" t="str">
        <f t="shared" si="8"/>
        <v/>
      </c>
      <c r="B5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6" spans="1:2" x14ac:dyDescent="0.35">
      <c r="A546" s="1" t="str">
        <f t="shared" si="8"/>
        <v/>
      </c>
      <c r="B5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7" spans="1:2" x14ac:dyDescent="0.35">
      <c r="A547" s="1" t="str">
        <f t="shared" si="8"/>
        <v/>
      </c>
      <c r="B5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8" spans="1:2" x14ac:dyDescent="0.35">
      <c r="A548" s="1" t="str">
        <f t="shared" si="8"/>
        <v/>
      </c>
      <c r="B5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9" spans="1:2" x14ac:dyDescent="0.35">
      <c r="A549" s="1" t="str">
        <f t="shared" si="8"/>
        <v/>
      </c>
      <c r="B5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0" spans="1:2" x14ac:dyDescent="0.35">
      <c r="A550" s="1" t="str">
        <f t="shared" si="8"/>
        <v/>
      </c>
      <c r="B5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1" spans="1:2" x14ac:dyDescent="0.35">
      <c r="A551" s="1" t="str">
        <f t="shared" si="8"/>
        <v/>
      </c>
      <c r="B5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2" spans="1:2" x14ac:dyDescent="0.35">
      <c r="A552" s="1" t="str">
        <f t="shared" si="8"/>
        <v/>
      </c>
      <c r="B5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3" spans="1:2" x14ac:dyDescent="0.35">
      <c r="A553" s="1" t="str">
        <f t="shared" si="8"/>
        <v/>
      </c>
      <c r="B5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4" spans="1:2" x14ac:dyDescent="0.3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5" spans="1:2" x14ac:dyDescent="0.3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6" spans="1:2" x14ac:dyDescent="0.35">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7" spans="1:2" x14ac:dyDescent="0.3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8" spans="1:2" x14ac:dyDescent="0.3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9" spans="1:2" x14ac:dyDescent="0.3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0" spans="1:2" x14ac:dyDescent="0.3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1" spans="1:2" x14ac:dyDescent="0.3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2" spans="1:2" x14ac:dyDescent="0.3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3" spans="1:2" x14ac:dyDescent="0.35">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4" spans="1:2" x14ac:dyDescent="0.35">
      <c r="A564" s="1" t="str">
        <f t="shared" si="8"/>
        <v/>
      </c>
      <c r="B5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5" spans="1:2" x14ac:dyDescent="0.35">
      <c r="A565" s="1" t="str">
        <f t="shared" si="8"/>
        <v/>
      </c>
      <c r="B5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6" spans="1:2" x14ac:dyDescent="0.35">
      <c r="A566" s="1" t="str">
        <f t="shared" si="8"/>
        <v/>
      </c>
      <c r="B5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7" spans="1:2" x14ac:dyDescent="0.35">
      <c r="A567" s="1" t="str">
        <f t="shared" si="8"/>
        <v/>
      </c>
      <c r="B5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8" spans="1:2" x14ac:dyDescent="0.35">
      <c r="A568" s="1" t="str">
        <f t="shared" si="8"/>
        <v/>
      </c>
      <c r="B5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9" spans="1:2" x14ac:dyDescent="0.35">
      <c r="A569" s="1" t="str">
        <f t="shared" si="8"/>
        <v/>
      </c>
      <c r="B5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0" spans="1:2" x14ac:dyDescent="0.35">
      <c r="A570" s="1" t="str">
        <f t="shared" si="8"/>
        <v/>
      </c>
      <c r="B5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1" spans="1:2" x14ac:dyDescent="0.35">
      <c r="A571" s="1" t="str">
        <f t="shared" si="8"/>
        <v/>
      </c>
      <c r="B5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2" spans="1:2" x14ac:dyDescent="0.35">
      <c r="A572" s="1" t="str">
        <f t="shared" si="8"/>
        <v/>
      </c>
      <c r="B5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3" spans="1:2" x14ac:dyDescent="0.35">
      <c r="A573" s="1" t="str">
        <f t="shared" si="8"/>
        <v/>
      </c>
      <c r="B5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4" spans="1:2" x14ac:dyDescent="0.35">
      <c r="A574" s="1" t="str">
        <f t="shared" si="8"/>
        <v/>
      </c>
      <c r="B5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5" spans="1:2" x14ac:dyDescent="0.35">
      <c r="A575" s="1" t="str">
        <f t="shared" si="8"/>
        <v/>
      </c>
      <c r="B5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6" spans="1:2" x14ac:dyDescent="0.35">
      <c r="A576" s="1" t="str">
        <f t="shared" si="8"/>
        <v/>
      </c>
      <c r="B5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7" spans="1:2" x14ac:dyDescent="0.35">
      <c r="A577" s="1" t="str">
        <f t="shared" si="8"/>
        <v/>
      </c>
      <c r="B5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8" spans="1:2" x14ac:dyDescent="0.35">
      <c r="A578" s="1" t="str">
        <f t="shared" ref="A578:A641" si="9">IFERROR(LEFT(RIGHT(C578,LEN(C578)-SEARCH("@",C578)),SEARCH("/",RIGHT(C578,LEN(C578)-SEARCH("@",C578)-1))),"")</f>
        <v/>
      </c>
      <c r="B5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9" spans="1:2" x14ac:dyDescent="0.35">
      <c r="A579" s="1" t="str">
        <f t="shared" si="9"/>
        <v/>
      </c>
      <c r="B5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0" spans="1:2" x14ac:dyDescent="0.35">
      <c r="A580" s="1" t="str">
        <f t="shared" si="9"/>
        <v/>
      </c>
      <c r="B5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1" spans="1:2" x14ac:dyDescent="0.35">
      <c r="A581" s="1" t="str">
        <f t="shared" si="9"/>
        <v/>
      </c>
      <c r="B5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2" spans="1:2" x14ac:dyDescent="0.35">
      <c r="A582" s="1" t="str">
        <f t="shared" si="9"/>
        <v/>
      </c>
      <c r="B5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3" spans="1:2" x14ac:dyDescent="0.35">
      <c r="A583" s="1" t="str">
        <f t="shared" si="9"/>
        <v/>
      </c>
      <c r="B5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4" spans="1:2" x14ac:dyDescent="0.35">
      <c r="A584" s="1" t="str">
        <f t="shared" si="9"/>
        <v/>
      </c>
      <c r="B5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5" spans="1:2" x14ac:dyDescent="0.35">
      <c r="A585" s="1" t="str">
        <f t="shared" si="9"/>
        <v/>
      </c>
      <c r="B5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6" spans="1:2" x14ac:dyDescent="0.35">
      <c r="A586" s="1" t="str">
        <f t="shared" si="9"/>
        <v/>
      </c>
      <c r="B5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7" spans="1:2" x14ac:dyDescent="0.3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8" spans="1:2" x14ac:dyDescent="0.3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9" spans="1:2" x14ac:dyDescent="0.35">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0" spans="1:2" x14ac:dyDescent="0.3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1" spans="1:2" x14ac:dyDescent="0.3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2" spans="1:2" x14ac:dyDescent="0.3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3" spans="1:2" x14ac:dyDescent="0.3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4" spans="1:2" x14ac:dyDescent="0.3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5" spans="1:2" x14ac:dyDescent="0.3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6" spans="1:2" x14ac:dyDescent="0.35">
      <c r="A596" s="1" t="str">
        <f t="shared" si="9"/>
        <v/>
      </c>
      <c r="B5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7" spans="1:2" x14ac:dyDescent="0.35">
      <c r="A597" s="1" t="str">
        <f t="shared" si="9"/>
        <v/>
      </c>
      <c r="B5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8" spans="1:2" x14ac:dyDescent="0.35">
      <c r="A598" s="1" t="str">
        <f t="shared" si="9"/>
        <v/>
      </c>
      <c r="B5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9" spans="1:2" x14ac:dyDescent="0.35">
      <c r="A599" s="1" t="str">
        <f t="shared" si="9"/>
        <v/>
      </c>
      <c r="B5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0" spans="1:2" x14ac:dyDescent="0.35">
      <c r="A600" s="1" t="str">
        <f t="shared" si="9"/>
        <v/>
      </c>
      <c r="B6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1" spans="1:2" x14ac:dyDescent="0.35">
      <c r="A601" s="1" t="str">
        <f t="shared" si="9"/>
        <v/>
      </c>
      <c r="B6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2" spans="1:2" x14ac:dyDescent="0.35">
      <c r="A602" s="1" t="str">
        <f t="shared" si="9"/>
        <v/>
      </c>
      <c r="B6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3" spans="1:2" x14ac:dyDescent="0.35">
      <c r="A603" s="1" t="str">
        <f t="shared" si="9"/>
        <v/>
      </c>
      <c r="B6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4" spans="1:2" x14ac:dyDescent="0.35">
      <c r="A604" s="1" t="str">
        <f t="shared" si="9"/>
        <v/>
      </c>
      <c r="B6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5" spans="1:2" x14ac:dyDescent="0.35">
      <c r="A605" s="1" t="str">
        <f t="shared" si="9"/>
        <v/>
      </c>
      <c r="B6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6" spans="1:2" x14ac:dyDescent="0.35">
      <c r="A606" s="1" t="str">
        <f t="shared" si="9"/>
        <v/>
      </c>
      <c r="B6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7" spans="1:2" x14ac:dyDescent="0.35">
      <c r="A607" s="1" t="str">
        <f t="shared" si="9"/>
        <v/>
      </c>
      <c r="B6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8" spans="1:2" x14ac:dyDescent="0.35">
      <c r="A608" s="1" t="str">
        <f t="shared" si="9"/>
        <v/>
      </c>
      <c r="B6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9" spans="1:2" x14ac:dyDescent="0.35">
      <c r="A609" s="1" t="str">
        <f t="shared" si="9"/>
        <v/>
      </c>
      <c r="B6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0" spans="1:2" x14ac:dyDescent="0.35">
      <c r="A610" s="1" t="str">
        <f t="shared" si="9"/>
        <v/>
      </c>
      <c r="B6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1" spans="1:2" x14ac:dyDescent="0.35">
      <c r="A611" s="1" t="str">
        <f t="shared" si="9"/>
        <v/>
      </c>
      <c r="B6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2" spans="1:2" x14ac:dyDescent="0.35">
      <c r="A612" s="1" t="str">
        <f t="shared" si="9"/>
        <v/>
      </c>
      <c r="B6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3" spans="1:2" x14ac:dyDescent="0.35">
      <c r="A613" s="1" t="str">
        <f t="shared" si="9"/>
        <v/>
      </c>
      <c r="B6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4" spans="1:2" x14ac:dyDescent="0.35">
      <c r="A614" s="1" t="str">
        <f t="shared" si="9"/>
        <v/>
      </c>
      <c r="B6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5" spans="1:2" x14ac:dyDescent="0.35">
      <c r="A615" s="1" t="str">
        <f t="shared" si="9"/>
        <v/>
      </c>
      <c r="B6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6" spans="1:2" x14ac:dyDescent="0.35">
      <c r="A616" s="1" t="str">
        <f t="shared" si="9"/>
        <v/>
      </c>
      <c r="B6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7" spans="1:2" x14ac:dyDescent="0.35">
      <c r="A617" s="1" t="str">
        <f t="shared" si="9"/>
        <v/>
      </c>
      <c r="B6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8" spans="1:2" x14ac:dyDescent="0.35">
      <c r="A618" s="1" t="str">
        <f t="shared" si="9"/>
        <v/>
      </c>
      <c r="B6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9" spans="1:2" x14ac:dyDescent="0.35">
      <c r="A619" s="1" t="str">
        <f t="shared" si="9"/>
        <v/>
      </c>
      <c r="B6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0" spans="1:2" x14ac:dyDescent="0.3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1" spans="1:2" x14ac:dyDescent="0.3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2" spans="1:2" x14ac:dyDescent="0.35">
      <c r="A622" s="1" t="str">
        <f t="shared" si="9"/>
        <v/>
      </c>
      <c r="B6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3" spans="1:2" x14ac:dyDescent="0.3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4" spans="1:2" x14ac:dyDescent="0.3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5" spans="1:2" x14ac:dyDescent="0.3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6" spans="1:2" x14ac:dyDescent="0.3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7" spans="1:2" x14ac:dyDescent="0.3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8" spans="1:2" x14ac:dyDescent="0.3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9" spans="1:2" x14ac:dyDescent="0.35">
      <c r="A629" s="1" t="str">
        <f t="shared" si="9"/>
        <v/>
      </c>
      <c r="B6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0" spans="1:2" x14ac:dyDescent="0.35">
      <c r="A630" s="1" t="str">
        <f t="shared" si="9"/>
        <v/>
      </c>
      <c r="B6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1" spans="1:2" x14ac:dyDescent="0.35">
      <c r="A631" s="1" t="str">
        <f t="shared" si="9"/>
        <v/>
      </c>
      <c r="B6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2" spans="1:2" x14ac:dyDescent="0.35">
      <c r="A632" s="1" t="str">
        <f t="shared" si="9"/>
        <v/>
      </c>
      <c r="B6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3" spans="1:2" x14ac:dyDescent="0.35">
      <c r="A633" s="1" t="str">
        <f t="shared" si="9"/>
        <v/>
      </c>
      <c r="B6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4" spans="1:2" x14ac:dyDescent="0.35">
      <c r="A634" s="1" t="str">
        <f t="shared" si="9"/>
        <v/>
      </c>
      <c r="B6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5" spans="1:2" x14ac:dyDescent="0.35">
      <c r="A635" s="1" t="str">
        <f t="shared" si="9"/>
        <v/>
      </c>
      <c r="B6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6" spans="1:2" x14ac:dyDescent="0.35">
      <c r="A636" s="1" t="str">
        <f t="shared" si="9"/>
        <v/>
      </c>
      <c r="B6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7" spans="1:2" x14ac:dyDescent="0.35">
      <c r="A637" s="1" t="str">
        <f t="shared" si="9"/>
        <v/>
      </c>
      <c r="B6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8" spans="1:2" x14ac:dyDescent="0.35">
      <c r="A638" s="1" t="str">
        <f t="shared" si="9"/>
        <v/>
      </c>
      <c r="B6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9" spans="1:2" x14ac:dyDescent="0.35">
      <c r="A639" s="1" t="str">
        <f t="shared" si="9"/>
        <v/>
      </c>
      <c r="B6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0" spans="1:2" x14ac:dyDescent="0.35">
      <c r="A640" s="1" t="str">
        <f t="shared" si="9"/>
        <v/>
      </c>
      <c r="B6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1" spans="1:2" x14ac:dyDescent="0.35">
      <c r="A641" s="1" t="str">
        <f t="shared" si="9"/>
        <v/>
      </c>
      <c r="B6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2" spans="1:2" x14ac:dyDescent="0.35">
      <c r="A642" s="1" t="str">
        <f t="shared" ref="A642:A705" si="10">IFERROR(LEFT(RIGHT(C642,LEN(C642)-SEARCH("@",C642)),SEARCH("/",RIGHT(C642,LEN(C642)-SEARCH("@",C642)-1))),"")</f>
        <v/>
      </c>
      <c r="B6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3" spans="1:2" x14ac:dyDescent="0.35">
      <c r="A643" s="1" t="str">
        <f t="shared" si="10"/>
        <v/>
      </c>
      <c r="B6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4" spans="1:2" x14ac:dyDescent="0.35">
      <c r="A644" s="1" t="str">
        <f t="shared" si="10"/>
        <v/>
      </c>
      <c r="B6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5" spans="1:2" x14ac:dyDescent="0.35">
      <c r="A645" s="1" t="str">
        <f t="shared" si="10"/>
        <v/>
      </c>
      <c r="B6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6" spans="1:2" x14ac:dyDescent="0.35">
      <c r="A646" s="1" t="str">
        <f t="shared" si="10"/>
        <v/>
      </c>
      <c r="B6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7" spans="1:2" x14ac:dyDescent="0.35">
      <c r="A647" s="1" t="str">
        <f t="shared" si="10"/>
        <v/>
      </c>
      <c r="B6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8" spans="1:2" x14ac:dyDescent="0.35">
      <c r="A648" s="1" t="str">
        <f t="shared" si="10"/>
        <v/>
      </c>
      <c r="B6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9" spans="1:2" x14ac:dyDescent="0.35">
      <c r="A649" s="1" t="str">
        <f t="shared" si="10"/>
        <v/>
      </c>
      <c r="B6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0" spans="1:2" x14ac:dyDescent="0.35">
      <c r="A650" s="1" t="str">
        <f t="shared" si="10"/>
        <v/>
      </c>
      <c r="B6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1" spans="1:2" x14ac:dyDescent="0.35">
      <c r="A651" s="1" t="str">
        <f t="shared" si="10"/>
        <v/>
      </c>
      <c r="B6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2" spans="1:2" x14ac:dyDescent="0.35">
      <c r="A652" s="1" t="str">
        <f t="shared" si="10"/>
        <v/>
      </c>
      <c r="B6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3" spans="1:2" x14ac:dyDescent="0.3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4" spans="1:2" x14ac:dyDescent="0.3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5" spans="1:2" x14ac:dyDescent="0.35">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6" spans="1:2" x14ac:dyDescent="0.3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7" spans="1:2" x14ac:dyDescent="0.3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8" spans="1:2" x14ac:dyDescent="0.3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9" spans="1:2" x14ac:dyDescent="0.3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0" spans="1:2" x14ac:dyDescent="0.3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1" spans="1:2" x14ac:dyDescent="0.3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2" spans="1:2" x14ac:dyDescent="0.35">
      <c r="A662" s="1" t="str">
        <f t="shared" si="10"/>
        <v/>
      </c>
      <c r="B6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3" spans="1:2" x14ac:dyDescent="0.35">
      <c r="A663" s="1" t="str">
        <f t="shared" si="10"/>
        <v/>
      </c>
      <c r="B6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4" spans="1:2" x14ac:dyDescent="0.35">
      <c r="A664" s="1" t="str">
        <f t="shared" si="10"/>
        <v/>
      </c>
      <c r="B6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5" spans="1:2" x14ac:dyDescent="0.35">
      <c r="A665" s="1" t="str">
        <f t="shared" si="10"/>
        <v/>
      </c>
      <c r="B6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6" spans="1:2" x14ac:dyDescent="0.35">
      <c r="A666" s="1" t="str">
        <f t="shared" si="10"/>
        <v/>
      </c>
      <c r="B6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7" spans="1:2" x14ac:dyDescent="0.35">
      <c r="A667" s="1" t="str">
        <f t="shared" si="10"/>
        <v/>
      </c>
      <c r="B6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8" spans="1:2" x14ac:dyDescent="0.35">
      <c r="A668" s="1" t="str">
        <f t="shared" si="10"/>
        <v/>
      </c>
      <c r="B6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9" spans="1:2" x14ac:dyDescent="0.35">
      <c r="A669" s="1" t="str">
        <f t="shared" si="10"/>
        <v/>
      </c>
      <c r="B6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0" spans="1:2" x14ac:dyDescent="0.35">
      <c r="A670" s="1" t="str">
        <f t="shared" si="10"/>
        <v/>
      </c>
      <c r="B6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1" spans="1:2" x14ac:dyDescent="0.35">
      <c r="A671" s="1" t="str">
        <f t="shared" si="10"/>
        <v/>
      </c>
      <c r="B6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2" spans="1:2" x14ac:dyDescent="0.35">
      <c r="A672" s="1" t="str">
        <f t="shared" si="10"/>
        <v/>
      </c>
      <c r="B6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3" spans="1:2" x14ac:dyDescent="0.35">
      <c r="A673" s="1" t="str">
        <f t="shared" si="10"/>
        <v/>
      </c>
      <c r="B6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4" spans="1:2" x14ac:dyDescent="0.35">
      <c r="A674" s="1" t="str">
        <f t="shared" si="10"/>
        <v/>
      </c>
      <c r="B6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5" spans="1:2" x14ac:dyDescent="0.35">
      <c r="A675" s="1" t="str">
        <f t="shared" si="10"/>
        <v/>
      </c>
      <c r="B6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6" spans="1:2" x14ac:dyDescent="0.35">
      <c r="A676" s="1" t="str">
        <f t="shared" si="10"/>
        <v/>
      </c>
      <c r="B6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7" spans="1:2" x14ac:dyDescent="0.35">
      <c r="A677" s="1" t="str">
        <f t="shared" si="10"/>
        <v/>
      </c>
      <c r="B6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8" spans="1:2" x14ac:dyDescent="0.35">
      <c r="A678" s="1" t="str">
        <f t="shared" si="10"/>
        <v/>
      </c>
      <c r="B6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9" spans="1:2" x14ac:dyDescent="0.35">
      <c r="A679" s="1" t="str">
        <f t="shared" si="10"/>
        <v/>
      </c>
      <c r="B6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0" spans="1:2" x14ac:dyDescent="0.35">
      <c r="A680" s="1" t="str">
        <f t="shared" si="10"/>
        <v/>
      </c>
      <c r="B6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1" spans="1:2" x14ac:dyDescent="0.35">
      <c r="A681" s="1" t="str">
        <f t="shared" si="10"/>
        <v/>
      </c>
      <c r="B6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2" spans="1:2" x14ac:dyDescent="0.35">
      <c r="A682" s="1" t="str">
        <f t="shared" si="10"/>
        <v/>
      </c>
      <c r="B6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3" spans="1:2" x14ac:dyDescent="0.35">
      <c r="A683" s="1" t="str">
        <f t="shared" si="10"/>
        <v/>
      </c>
      <c r="B6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4" spans="1:2" x14ac:dyDescent="0.35">
      <c r="A684" s="1" t="str">
        <f t="shared" si="10"/>
        <v/>
      </c>
      <c r="B6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5" spans="1:2" x14ac:dyDescent="0.35">
      <c r="A685" s="1" t="str">
        <f t="shared" si="10"/>
        <v/>
      </c>
      <c r="B6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6" spans="1:2" x14ac:dyDescent="0.3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7" spans="1:2" x14ac:dyDescent="0.3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8" spans="1:2" x14ac:dyDescent="0.35">
      <c r="A688" s="1" t="str">
        <f t="shared" si="10"/>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9" spans="1:2" x14ac:dyDescent="0.3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0" spans="1:2" x14ac:dyDescent="0.3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2" x14ac:dyDescent="0.3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2" x14ac:dyDescent="0.3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2" x14ac:dyDescent="0.3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2" x14ac:dyDescent="0.3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2" x14ac:dyDescent="0.3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2" x14ac:dyDescent="0.3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2" x14ac:dyDescent="0.3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2" x14ac:dyDescent="0.3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2" x14ac:dyDescent="0.3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2" x14ac:dyDescent="0.3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2" x14ac:dyDescent="0.3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2" x14ac:dyDescent="0.3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2" x14ac:dyDescent="0.3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2" x14ac:dyDescent="0.3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B11:K11 M11:XFD11 A1:J2 EO1:XFD10 B12:XFD13 K1:L4 A1532:XFD1048576 M14:XFD19 K6:L6 B14:J19 K5 B3:J10 B20:XFD1531 A3:A1531">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M1" zoomScale="70" zoomScaleNormal="70" zoomScaleSheetLayoutView="40" zoomScalePageLayoutView="30" workbookViewId="0">
      <selection activeCell="V5" sqref="V5:V1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3" t="s">
        <v>43</v>
      </c>
      <c r="B1" s="214"/>
      <c r="C1" s="214"/>
      <c r="D1" s="214"/>
      <c r="E1" s="214"/>
      <c r="F1" s="214"/>
      <c r="G1" s="214"/>
      <c r="H1" s="214"/>
      <c r="I1" s="214"/>
      <c r="J1" s="214"/>
      <c r="K1" s="214"/>
      <c r="L1" s="214"/>
      <c r="M1" s="214"/>
      <c r="N1" s="214"/>
      <c r="O1" s="214"/>
      <c r="P1" s="214"/>
      <c r="Q1" s="214"/>
      <c r="R1" s="214"/>
      <c r="S1" s="214"/>
      <c r="T1" s="214"/>
      <c r="U1" s="214"/>
      <c r="V1" s="214"/>
    </row>
    <row r="2" spans="1:22" customFormat="1" ht="15" thickBot="1" x14ac:dyDescent="0.4"/>
    <row r="3" spans="1:22" ht="15" thickBot="1" x14ac:dyDescent="0.4">
      <c r="A3" s="51" t="s">
        <v>18</v>
      </c>
      <c r="B3" s="221" t="s">
        <v>6</v>
      </c>
      <c r="C3" s="222"/>
      <c r="D3" s="222"/>
      <c r="E3" s="222"/>
      <c r="F3" s="222"/>
      <c r="G3" s="222"/>
      <c r="H3" s="222"/>
      <c r="I3" s="222"/>
      <c r="J3" s="222"/>
      <c r="K3" s="222"/>
      <c r="L3" s="222"/>
      <c r="M3" s="222"/>
      <c r="O3" s="221" t="s">
        <v>3</v>
      </c>
      <c r="P3" s="222"/>
      <c r="Q3" s="222"/>
      <c r="R3" s="222"/>
      <c r="S3" s="222"/>
      <c r="T3" s="222"/>
      <c r="U3" s="222"/>
      <c r="V3" s="222"/>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Saccharin-0,01mg/L</v>
      </c>
      <c r="J4" s="35" t="str">
        <f>'Page de garde'!A16</f>
        <v>Saccharin-0,1mg/L</v>
      </c>
      <c r="K4" s="35" t="str">
        <f>'Page de garde'!A17</f>
        <v>Saccharin-1mg/L</v>
      </c>
      <c r="L4" s="35" t="str">
        <f>'Page de garde'!A18</f>
        <v>Saccharin-10mg/L</v>
      </c>
      <c r="M4" s="35" t="str">
        <f>'Page de garde'!A19</f>
        <v>Saccharin-100mg/L</v>
      </c>
      <c r="N4" s="3"/>
      <c r="O4" s="36" t="str">
        <f>'Page de garde'!A36</f>
        <v>Testo -30µg/L</v>
      </c>
      <c r="P4" s="36" t="str">
        <f>'Page de garde'!A37</f>
        <v>Testo 30µg/L + EE2 -64ng/L</v>
      </c>
      <c r="Q4" s="36" t="str">
        <f>'Page de garde'!A38</f>
        <v>Testo 30µg/L + FAD-10µg/L</v>
      </c>
      <c r="R4" s="36" t="str">
        <f>'Page de garde'!A39</f>
        <v>Saccharin-0,01mg/L + Testostérone</v>
      </c>
      <c r="S4" s="36" t="str">
        <f>'Page de garde'!A40</f>
        <v>Saccharin-0,1mg/L + Testostérone</v>
      </c>
      <c r="T4" s="36" t="str">
        <f>'Page de garde'!A41</f>
        <v>Saccharin-1mg/L + Testostérone</v>
      </c>
      <c r="U4" s="36" t="str">
        <f>'Page de garde'!A42</f>
        <v>Saccharin-10mg/L + Testostérone</v>
      </c>
      <c r="V4" s="36" t="str">
        <f>'Page de garde'!A43</f>
        <v>Saccharin-100mg/L + Testostérone</v>
      </c>
    </row>
    <row r="5" spans="1:22" x14ac:dyDescent="0.35">
      <c r="A5" s="223" t="s">
        <v>33</v>
      </c>
      <c r="B5" s="32">
        <v>197263</v>
      </c>
      <c r="C5" s="32">
        <v>359270</v>
      </c>
      <c r="D5" s="32">
        <v>1356636</v>
      </c>
      <c r="E5" s="32">
        <v>2677775</v>
      </c>
      <c r="F5" s="32">
        <v>7283677</v>
      </c>
      <c r="G5" s="32">
        <v>7902827</v>
      </c>
      <c r="H5" s="32">
        <v>15739889</v>
      </c>
      <c r="I5" s="32">
        <v>63648</v>
      </c>
      <c r="J5" s="32">
        <v>80050</v>
      </c>
      <c r="K5" s="13">
        <v>82839</v>
      </c>
      <c r="L5" s="13">
        <v>5078</v>
      </c>
      <c r="M5" s="13">
        <v>170942</v>
      </c>
      <c r="N5" s="3"/>
      <c r="O5" s="32">
        <v>77626</v>
      </c>
      <c r="P5" s="13">
        <v>5651886</v>
      </c>
      <c r="Q5" s="13">
        <v>143051</v>
      </c>
      <c r="R5" s="32">
        <v>191043</v>
      </c>
      <c r="S5" s="32">
        <v>453373</v>
      </c>
      <c r="T5" s="32">
        <v>2299015</v>
      </c>
      <c r="U5" s="32">
        <v>3101315</v>
      </c>
      <c r="V5" s="32">
        <v>1845615</v>
      </c>
    </row>
    <row r="6" spans="1:22" ht="16.5" x14ac:dyDescent="0.35">
      <c r="A6" s="223"/>
      <c r="B6" s="14">
        <v>11154</v>
      </c>
      <c r="C6" s="13">
        <v>510788</v>
      </c>
      <c r="D6" s="32">
        <v>1764593</v>
      </c>
      <c r="E6" s="32">
        <v>1931624</v>
      </c>
      <c r="F6" s="32">
        <v>5431740</v>
      </c>
      <c r="G6" s="32">
        <v>4140330</v>
      </c>
      <c r="H6" s="32">
        <v>14942882</v>
      </c>
      <c r="I6" s="32">
        <v>27351</v>
      </c>
      <c r="J6" s="32">
        <v>18942</v>
      </c>
      <c r="K6" s="13">
        <v>129264</v>
      </c>
      <c r="L6" s="13">
        <v>145721</v>
      </c>
      <c r="M6" s="13">
        <v>62186</v>
      </c>
      <c r="N6" s="3"/>
      <c r="O6" s="32">
        <v>1141487</v>
      </c>
      <c r="P6" s="13">
        <v>4975141</v>
      </c>
      <c r="Q6" s="13">
        <v>51191</v>
      </c>
      <c r="R6" s="32">
        <v>1330899</v>
      </c>
      <c r="S6" s="32">
        <v>114901</v>
      </c>
      <c r="T6" s="32">
        <v>735543</v>
      </c>
      <c r="U6" s="32">
        <v>1662038</v>
      </c>
      <c r="V6" s="32">
        <v>6188381</v>
      </c>
    </row>
    <row r="7" spans="1:22" ht="16.5" x14ac:dyDescent="0.35">
      <c r="A7" s="223"/>
      <c r="B7" s="14">
        <v>150819</v>
      </c>
      <c r="C7" s="13">
        <v>14713</v>
      </c>
      <c r="D7" s="32">
        <v>144547</v>
      </c>
      <c r="E7" s="32">
        <v>1907914</v>
      </c>
      <c r="F7" s="32">
        <v>8199516</v>
      </c>
      <c r="G7" s="32">
        <v>6946051</v>
      </c>
      <c r="H7" s="32">
        <v>13074216</v>
      </c>
      <c r="I7" s="32">
        <v>207253</v>
      </c>
      <c r="J7" s="32">
        <v>30625</v>
      </c>
      <c r="K7" s="13">
        <v>115823</v>
      </c>
      <c r="L7" s="13">
        <v>16913</v>
      </c>
      <c r="M7" s="13">
        <v>1368</v>
      </c>
      <c r="N7" s="3"/>
      <c r="O7" s="32">
        <v>3386593</v>
      </c>
      <c r="P7" s="13">
        <v>7333729</v>
      </c>
      <c r="Q7" s="13">
        <v>128910</v>
      </c>
      <c r="R7" s="32">
        <v>146434</v>
      </c>
      <c r="S7" s="32">
        <v>980143</v>
      </c>
      <c r="T7" s="32">
        <v>1668239</v>
      </c>
      <c r="U7" s="32">
        <v>6290002</v>
      </c>
      <c r="V7" s="32">
        <v>56598</v>
      </c>
    </row>
    <row r="8" spans="1:22" ht="16.5" x14ac:dyDescent="0.35">
      <c r="A8" s="223"/>
      <c r="B8" s="14">
        <v>328085</v>
      </c>
      <c r="C8" s="13">
        <v>306110</v>
      </c>
      <c r="D8" s="32">
        <v>157885</v>
      </c>
      <c r="E8" s="32">
        <v>1425292</v>
      </c>
      <c r="F8" s="32">
        <v>6024330</v>
      </c>
      <c r="G8" s="32">
        <v>8514348</v>
      </c>
      <c r="H8" s="32">
        <v>16213193</v>
      </c>
      <c r="I8" s="32">
        <v>90487</v>
      </c>
      <c r="J8" s="32">
        <v>341064</v>
      </c>
      <c r="K8" s="13">
        <v>82002</v>
      </c>
      <c r="L8" s="13">
        <v>74477</v>
      </c>
      <c r="M8" s="13">
        <v>6341</v>
      </c>
      <c r="N8" s="3"/>
      <c r="O8" s="32">
        <v>1388323</v>
      </c>
      <c r="P8" s="13">
        <v>4035217</v>
      </c>
      <c r="Q8" s="13">
        <v>133620</v>
      </c>
      <c r="R8" s="32">
        <v>131635</v>
      </c>
      <c r="S8" s="32">
        <v>2596843</v>
      </c>
      <c r="T8" s="32">
        <v>871796</v>
      </c>
      <c r="U8" s="32">
        <v>1840353</v>
      </c>
      <c r="V8" s="32">
        <v>1067661</v>
      </c>
    </row>
    <row r="9" spans="1:22" ht="16.5" x14ac:dyDescent="0.35">
      <c r="A9" s="223"/>
      <c r="B9" s="14">
        <v>252280</v>
      </c>
      <c r="C9" s="13">
        <v>1434249</v>
      </c>
      <c r="D9" s="32">
        <v>793998</v>
      </c>
      <c r="E9" s="32">
        <v>5177099</v>
      </c>
      <c r="F9" s="32">
        <v>5886788</v>
      </c>
      <c r="G9" s="32">
        <v>7395971</v>
      </c>
      <c r="H9" s="32">
        <v>18748694</v>
      </c>
      <c r="I9" s="32">
        <v>153313</v>
      </c>
      <c r="J9" s="32">
        <v>175251</v>
      </c>
      <c r="K9" s="13">
        <v>1332</v>
      </c>
      <c r="L9" s="13">
        <v>41500</v>
      </c>
      <c r="M9" s="13">
        <v>4162</v>
      </c>
      <c r="N9" s="3"/>
      <c r="O9" s="32">
        <v>725192</v>
      </c>
      <c r="P9" s="13">
        <v>6103898</v>
      </c>
      <c r="Q9" s="13">
        <v>134219</v>
      </c>
      <c r="R9" s="32">
        <v>361799</v>
      </c>
      <c r="S9" s="32">
        <v>1461736</v>
      </c>
      <c r="T9" s="32">
        <v>134783</v>
      </c>
      <c r="U9" s="32">
        <v>1688144</v>
      </c>
      <c r="V9" s="32">
        <v>2179005</v>
      </c>
    </row>
    <row r="10" spans="1:22" ht="16.5" x14ac:dyDescent="0.35">
      <c r="A10" s="223"/>
      <c r="B10" s="14">
        <v>174975</v>
      </c>
      <c r="C10" s="13">
        <v>75018</v>
      </c>
      <c r="D10" s="32">
        <v>958797</v>
      </c>
      <c r="E10" s="32">
        <v>1047938</v>
      </c>
      <c r="F10" s="32">
        <v>3831932</v>
      </c>
      <c r="G10" s="32">
        <v>7299954</v>
      </c>
      <c r="H10" s="32">
        <v>3559802</v>
      </c>
      <c r="I10" s="32">
        <v>289081</v>
      </c>
      <c r="J10" s="32">
        <v>25530</v>
      </c>
      <c r="K10" s="13">
        <v>35872</v>
      </c>
      <c r="L10" s="13">
        <v>4132</v>
      </c>
      <c r="M10" s="13">
        <v>490659</v>
      </c>
      <c r="N10" s="3"/>
      <c r="O10" s="32">
        <v>392054</v>
      </c>
      <c r="P10" s="13">
        <v>3625899</v>
      </c>
      <c r="Q10" s="13">
        <v>275523</v>
      </c>
      <c r="R10" s="32">
        <v>2404632</v>
      </c>
      <c r="S10" s="32">
        <v>493523</v>
      </c>
      <c r="T10" s="32">
        <v>681514</v>
      </c>
      <c r="U10" s="32">
        <v>1558067</v>
      </c>
      <c r="V10" s="32">
        <v>1943588</v>
      </c>
    </row>
    <row r="11" spans="1:22" ht="16.5" x14ac:dyDescent="0.35">
      <c r="A11" s="223"/>
      <c r="B11" s="14">
        <v>68854</v>
      </c>
      <c r="C11" s="13">
        <v>123209</v>
      </c>
      <c r="D11" s="32">
        <v>1659874</v>
      </c>
      <c r="E11" s="32">
        <v>1458659</v>
      </c>
      <c r="F11" s="32">
        <v>5578465</v>
      </c>
      <c r="G11" s="32">
        <v>7331489</v>
      </c>
      <c r="H11" s="32">
        <v>10822325</v>
      </c>
      <c r="I11" s="32">
        <v>251605</v>
      </c>
      <c r="J11" s="32">
        <v>51197</v>
      </c>
      <c r="K11" s="13">
        <v>178263</v>
      </c>
      <c r="L11" s="13">
        <v>99180</v>
      </c>
      <c r="M11" s="13">
        <v>215398</v>
      </c>
      <c r="N11" s="3"/>
      <c r="O11" s="32">
        <v>3589320</v>
      </c>
      <c r="P11" s="13">
        <v>8850208</v>
      </c>
      <c r="Q11" s="13">
        <v>48577</v>
      </c>
      <c r="R11" s="32">
        <v>892472</v>
      </c>
      <c r="S11" s="32">
        <v>3607760</v>
      </c>
      <c r="T11" s="32">
        <v>911069</v>
      </c>
      <c r="U11" s="32">
        <v>334293</v>
      </c>
      <c r="V11" s="32">
        <v>22800</v>
      </c>
    </row>
    <row r="12" spans="1:22" ht="16.5" x14ac:dyDescent="0.35">
      <c r="A12" s="223"/>
      <c r="B12" s="14">
        <v>95881</v>
      </c>
      <c r="C12" s="13">
        <v>22051</v>
      </c>
      <c r="D12" s="32">
        <v>577939</v>
      </c>
      <c r="E12" s="32">
        <v>1958967</v>
      </c>
      <c r="F12" s="32">
        <v>1548882</v>
      </c>
      <c r="G12" s="32">
        <v>4543111</v>
      </c>
      <c r="H12" s="32">
        <v>13357214</v>
      </c>
      <c r="I12" s="32">
        <v>22564</v>
      </c>
      <c r="J12" s="32">
        <v>53520</v>
      </c>
      <c r="K12" s="13">
        <v>16122</v>
      </c>
      <c r="L12" s="13">
        <v>135501</v>
      </c>
      <c r="M12" s="13"/>
      <c r="N12" s="3"/>
      <c r="O12" s="32">
        <v>2924285</v>
      </c>
      <c r="P12" s="13">
        <v>8430611</v>
      </c>
      <c r="Q12" s="13">
        <v>382843</v>
      </c>
      <c r="R12" s="32">
        <v>262918</v>
      </c>
      <c r="S12" s="32">
        <v>60546</v>
      </c>
      <c r="T12" s="32">
        <v>3139021</v>
      </c>
      <c r="U12" s="32">
        <v>242126</v>
      </c>
      <c r="V12" s="32">
        <v>2285425</v>
      </c>
    </row>
    <row r="13" spans="1:22" ht="16.5" x14ac:dyDescent="0.35">
      <c r="A13" s="223"/>
      <c r="B13" s="14"/>
      <c r="C13" s="13"/>
      <c r="D13" s="32"/>
      <c r="E13" s="32"/>
      <c r="F13" s="32"/>
      <c r="G13" s="32"/>
      <c r="H13" s="32"/>
      <c r="I13" s="32"/>
      <c r="J13" s="32"/>
      <c r="K13" s="13"/>
      <c r="L13" s="13"/>
      <c r="M13" s="13"/>
      <c r="N13" s="3"/>
      <c r="O13" s="32">
        <v>2964722</v>
      </c>
      <c r="P13" s="13"/>
      <c r="Q13" s="13"/>
      <c r="R13" s="32"/>
      <c r="S13" s="32"/>
      <c r="T13" s="32">
        <v>2299015</v>
      </c>
      <c r="U13" s="32"/>
      <c r="V13" s="32"/>
    </row>
    <row r="14" spans="1:22" ht="16.5" x14ac:dyDescent="0.35">
      <c r="A14" s="223"/>
      <c r="B14" s="14"/>
      <c r="C14" s="32"/>
      <c r="D14" s="32"/>
      <c r="E14" s="32"/>
      <c r="F14" s="32"/>
      <c r="G14" s="32"/>
      <c r="H14" s="32"/>
      <c r="I14" s="32"/>
      <c r="J14" s="32"/>
      <c r="K14" s="13"/>
      <c r="L14" s="13"/>
      <c r="M14" s="13"/>
      <c r="N14" s="3"/>
      <c r="O14" s="32">
        <v>4105458</v>
      </c>
      <c r="P14" s="13"/>
      <c r="Q14" s="13"/>
      <c r="R14" s="32"/>
      <c r="S14" s="32"/>
      <c r="T14" s="32"/>
      <c r="U14" s="32"/>
      <c r="V14" s="32"/>
    </row>
    <row r="15" spans="1:22" ht="16.5" x14ac:dyDescent="0.35">
      <c r="A15" s="223"/>
      <c r="B15" s="14"/>
      <c r="C15" s="32"/>
      <c r="D15" s="32"/>
      <c r="E15" s="32"/>
      <c r="F15" s="32"/>
      <c r="G15" s="32"/>
      <c r="H15" s="32"/>
      <c r="I15" s="32"/>
      <c r="J15" s="32"/>
      <c r="K15" s="13"/>
      <c r="L15" s="13"/>
      <c r="M15" s="13"/>
      <c r="N15" s="3"/>
      <c r="O15" s="32">
        <v>602790</v>
      </c>
      <c r="P15" s="13"/>
      <c r="Q15" s="13"/>
      <c r="R15" s="32"/>
      <c r="S15" s="32"/>
      <c r="T15" s="32"/>
      <c r="U15" s="32"/>
      <c r="V15" s="32"/>
    </row>
    <row r="16" spans="1:22" ht="16.5" x14ac:dyDescent="0.35">
      <c r="A16" s="223"/>
      <c r="B16" s="14"/>
      <c r="C16" s="32"/>
      <c r="D16" s="32"/>
      <c r="E16" s="32"/>
      <c r="F16" s="32"/>
      <c r="G16" s="32"/>
      <c r="H16" s="32"/>
      <c r="I16" s="32"/>
      <c r="J16" s="32"/>
      <c r="K16" s="13"/>
      <c r="L16" s="13"/>
      <c r="M16" s="13"/>
      <c r="N16" s="3"/>
      <c r="O16" s="32">
        <v>1688669</v>
      </c>
      <c r="P16" s="13"/>
      <c r="Q16" s="13"/>
      <c r="R16" s="32"/>
      <c r="S16" s="32"/>
      <c r="T16" s="32"/>
      <c r="U16" s="32"/>
      <c r="V16" s="32"/>
    </row>
    <row r="17" spans="1:22" ht="16.5" x14ac:dyDescent="0.35">
      <c r="A17" s="223"/>
      <c r="B17" s="14"/>
      <c r="C17" s="32"/>
      <c r="D17" s="32"/>
      <c r="E17" s="32"/>
      <c r="F17" s="32"/>
      <c r="G17" s="32"/>
      <c r="H17" s="32"/>
      <c r="I17" s="32"/>
      <c r="J17" s="32"/>
      <c r="K17" s="13"/>
      <c r="L17" s="13"/>
      <c r="M17" s="13"/>
      <c r="N17" s="3"/>
      <c r="O17" s="32">
        <v>650645</v>
      </c>
      <c r="P17" s="13"/>
      <c r="Q17" s="13"/>
      <c r="R17" s="32"/>
      <c r="S17" s="32"/>
      <c r="T17" s="32"/>
      <c r="U17" s="32"/>
      <c r="V17" s="32"/>
    </row>
    <row r="18" spans="1:22" ht="16.5" x14ac:dyDescent="0.35">
      <c r="A18" s="223"/>
      <c r="B18" s="14"/>
      <c r="C18" s="32"/>
      <c r="D18" s="32"/>
      <c r="E18" s="32"/>
      <c r="F18" s="32"/>
      <c r="G18" s="32"/>
      <c r="H18" s="32"/>
      <c r="I18" s="32"/>
      <c r="J18" s="32"/>
      <c r="K18" s="13"/>
      <c r="L18" s="13"/>
      <c r="M18" s="13"/>
      <c r="N18" s="3"/>
      <c r="O18" s="32">
        <v>2350954</v>
      </c>
      <c r="P18" s="13"/>
      <c r="Q18" s="13"/>
      <c r="R18" s="32"/>
      <c r="S18" s="32"/>
      <c r="T18" s="32"/>
      <c r="U18" s="32"/>
      <c r="V18" s="32"/>
    </row>
    <row r="19" spans="1:22" ht="16.5" x14ac:dyDescent="0.35">
      <c r="A19" s="223"/>
      <c r="B19" s="14"/>
      <c r="C19" s="32"/>
      <c r="D19" s="32"/>
      <c r="E19" s="32"/>
      <c r="F19" s="32"/>
      <c r="G19" s="32"/>
      <c r="H19" s="32"/>
      <c r="I19" s="32"/>
      <c r="J19" s="32"/>
      <c r="K19" s="13"/>
      <c r="L19" s="13"/>
      <c r="M19" s="13"/>
      <c r="N19" s="3"/>
      <c r="O19" s="32">
        <v>2661744</v>
      </c>
      <c r="P19" s="13"/>
      <c r="Q19" s="13"/>
      <c r="R19" s="32"/>
      <c r="S19" s="32"/>
      <c r="T19" s="32"/>
      <c r="U19" s="32"/>
      <c r="V19" s="32"/>
    </row>
    <row r="20" spans="1:22" ht="16.5" x14ac:dyDescent="0.35">
      <c r="A20" s="223"/>
      <c r="B20" s="14"/>
      <c r="C20" s="32"/>
      <c r="D20" s="32"/>
      <c r="E20" s="32"/>
      <c r="F20" s="32"/>
      <c r="G20" s="32"/>
      <c r="H20" s="32"/>
      <c r="I20" s="32"/>
      <c r="J20" s="32"/>
      <c r="K20" s="13"/>
      <c r="L20" s="13"/>
      <c r="M20" s="13"/>
      <c r="N20" s="3"/>
      <c r="O20" s="32"/>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Saccharin-0,01mg/L</v>
      </c>
      <c r="J22" s="3" t="str">
        <f t="shared" si="0"/>
        <v>Saccharin-0,1mg/L</v>
      </c>
      <c r="K22" s="3" t="str">
        <f t="shared" si="0"/>
        <v>Saccharin-1mg/L</v>
      </c>
      <c r="L22" s="3" t="str">
        <f t="shared" si="0"/>
        <v>Saccharin-10mg/L</v>
      </c>
      <c r="M22" s="3" t="str">
        <f t="shared" si="0"/>
        <v>Saccharin-100mg/L</v>
      </c>
      <c r="N22" s="3" t="s">
        <v>41</v>
      </c>
      <c r="O22" s="3" t="str">
        <f t="shared" si="0"/>
        <v>Testo -30µg/L</v>
      </c>
      <c r="P22" s="3" t="str">
        <f t="shared" si="0"/>
        <v>Testo 30µg/L + EE2 -64ng/L</v>
      </c>
      <c r="Q22" s="3" t="str">
        <f t="shared" si="0"/>
        <v>Testo 30µg/L + FAD-10µg/L</v>
      </c>
      <c r="R22" s="3" t="str">
        <f t="shared" si="0"/>
        <v>Saccharin-0,01mg/L + Testostérone</v>
      </c>
      <c r="S22" s="3" t="str">
        <f t="shared" si="0"/>
        <v>Saccharin-0,1mg/L + Testostérone</v>
      </c>
      <c r="T22" s="3" t="str">
        <f t="shared" si="0"/>
        <v>Saccharin-1mg/L + Testostérone</v>
      </c>
      <c r="U22" s="3" t="str">
        <f t="shared" si="0"/>
        <v>Saccharin-10mg/L + Testostérone</v>
      </c>
      <c r="V22" s="3" t="str">
        <f t="shared" si="0"/>
        <v>Saccharin-100mg/L + Testostérone</v>
      </c>
    </row>
    <row r="23" spans="1:22" x14ac:dyDescent="0.35">
      <c r="A23" s="5" t="s">
        <v>0</v>
      </c>
      <c r="B23" s="5">
        <f t="shared" ref="B23:J23" si="1">AVERAGE(B5:B20)</f>
        <v>159913.875</v>
      </c>
      <c r="C23" s="5">
        <f t="shared" si="1"/>
        <v>355676</v>
      </c>
      <c r="D23" s="5">
        <f t="shared" si="1"/>
        <v>926783.625</v>
      </c>
      <c r="E23" s="5">
        <f t="shared" si="1"/>
        <v>2198158.5</v>
      </c>
      <c r="F23" s="5">
        <f t="shared" si="1"/>
        <v>5473166.25</v>
      </c>
      <c r="G23" s="5">
        <f t="shared" si="1"/>
        <v>6759260.125</v>
      </c>
      <c r="H23" s="5">
        <f t="shared" si="1"/>
        <v>13307276.875</v>
      </c>
      <c r="I23" s="5">
        <f t="shared" si="1"/>
        <v>138162.75</v>
      </c>
      <c r="J23" s="5">
        <f t="shared" si="1"/>
        <v>97022.375</v>
      </c>
      <c r="K23" s="5"/>
      <c r="L23" s="5">
        <f>AVERAGE(L5:L20)</f>
        <v>65312.75</v>
      </c>
      <c r="M23" s="5"/>
      <c r="N23" s="5" t="s">
        <v>0</v>
      </c>
      <c r="O23" s="5">
        <f>AVERAGE(O5:O20)</f>
        <v>1909990.8</v>
      </c>
      <c r="P23" s="5">
        <f>AVERAGE(P5:P20)</f>
        <v>6125823.625</v>
      </c>
      <c r="Q23" s="5">
        <f>AVERAGE(Q5:Q20)</f>
        <v>162241.75</v>
      </c>
      <c r="R23" s="5">
        <f>AVERAGE(R5:R20)</f>
        <v>715229</v>
      </c>
      <c r="S23" s="5">
        <f>AVERAGE(S5:S20)</f>
        <v>1221103.125</v>
      </c>
      <c r="T23" s="5">
        <f t="shared" ref="T23:V23" si="2">AVERAGE(T5:T20)</f>
        <v>1415555</v>
      </c>
      <c r="U23" s="5">
        <f t="shared" si="2"/>
        <v>2089542.25</v>
      </c>
      <c r="V23" s="5">
        <f t="shared" si="2"/>
        <v>1948634.125</v>
      </c>
    </row>
    <row r="24" spans="1:22" x14ac:dyDescent="0.35">
      <c r="A24" s="3" t="s">
        <v>1</v>
      </c>
      <c r="B24" s="3">
        <f t="shared" ref="B24:J24" si="3">STDEV(B5:B20)</f>
        <v>102147.75714821504</v>
      </c>
      <c r="C24" s="3">
        <f t="shared" si="3"/>
        <v>470595.42543948663</v>
      </c>
      <c r="D24" s="3">
        <f t="shared" si="3"/>
        <v>628782.0193316912</v>
      </c>
      <c r="E24" s="3">
        <f t="shared" si="3"/>
        <v>1297459.2153621961</v>
      </c>
      <c r="F24" s="3">
        <f t="shared" si="3"/>
        <v>2045631.4870505845</v>
      </c>
      <c r="G24" s="3">
        <f t="shared" si="3"/>
        <v>1568360.2862140026</v>
      </c>
      <c r="H24" s="3">
        <f t="shared" si="3"/>
        <v>4596446.4236304024</v>
      </c>
      <c r="I24" s="3">
        <f t="shared" si="3"/>
        <v>102898.14314130538</v>
      </c>
      <c r="J24" s="3">
        <f t="shared" si="3"/>
        <v>110565.32115184542</v>
      </c>
      <c r="K24" s="3"/>
      <c r="L24" s="3">
        <f>STDEV(L5:L20)</f>
        <v>57201.078096108846</v>
      </c>
      <c r="M24" s="3"/>
      <c r="N24" s="3" t="s">
        <v>1</v>
      </c>
      <c r="O24" s="3">
        <f>STDEV(O5:O20)</f>
        <v>1309124.4204632237</v>
      </c>
      <c r="P24" s="3">
        <f>STDEV(P5:P20)</f>
        <v>1940647.0850772532</v>
      </c>
      <c r="Q24" s="3">
        <f>STDEV(Q5:Q20)</f>
        <v>113284.26136147194</v>
      </c>
      <c r="R24" s="3">
        <f>STDEV(R5:R20)</f>
        <v>804711.64342408127</v>
      </c>
      <c r="S24" s="3">
        <f>STDEV(S5:S20)</f>
        <v>1275825.5349767446</v>
      </c>
      <c r="T24" s="3">
        <f t="shared" ref="T24:V24" si="4">STDEV(T5:T20)</f>
        <v>986596.21935077873</v>
      </c>
      <c r="U24" s="3">
        <f t="shared" si="4"/>
        <v>1921674.6640793546</v>
      </c>
      <c r="V24" s="3">
        <f t="shared" si="4"/>
        <v>1935286.6979704243</v>
      </c>
    </row>
    <row r="25" spans="1:22" ht="15" thickBot="1" x14ac:dyDescent="0.4"/>
    <row r="26" spans="1:22" ht="15" thickBot="1" x14ac:dyDescent="0.4">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Saccharin-0,01mg/L</v>
      </c>
      <c r="J27" s="35" t="str">
        <f t="shared" si="5"/>
        <v>Saccharin-0,1mg/L</v>
      </c>
      <c r="K27" s="35" t="str">
        <f t="shared" si="5"/>
        <v>Saccharin-1mg/L</v>
      </c>
      <c r="L27" s="35" t="str">
        <f t="shared" si="5"/>
        <v>Saccharin-10mg/L</v>
      </c>
      <c r="M27" s="35" t="str">
        <f t="shared" si="5"/>
        <v>Saccharin-100mg/L</v>
      </c>
      <c r="N27" s="3"/>
      <c r="O27" s="36" t="str">
        <f>O4</f>
        <v>Testo -30µg/L</v>
      </c>
      <c r="P27" s="36" t="str">
        <f t="shared" ref="P27:R27" si="6">P4</f>
        <v>Testo 30µg/L + EE2 -64ng/L</v>
      </c>
      <c r="Q27" s="36" t="str">
        <f t="shared" si="6"/>
        <v>Testo 30µg/L + FAD-10µg/L</v>
      </c>
      <c r="R27" s="36" t="str">
        <f t="shared" si="6"/>
        <v>Saccharin-0,01mg/L + Testostérone</v>
      </c>
      <c r="S27" s="36" t="str">
        <f t="shared" ref="S27:V27" si="7">S4</f>
        <v>Saccharin-0,1mg/L + Testostérone</v>
      </c>
      <c r="T27" s="36" t="str">
        <f t="shared" si="7"/>
        <v>Saccharin-1mg/L + Testostérone</v>
      </c>
      <c r="U27" s="36" t="str">
        <f t="shared" si="7"/>
        <v>Saccharin-10mg/L + Testostérone</v>
      </c>
      <c r="V27" s="36" t="str">
        <f t="shared" si="7"/>
        <v>Saccharin-100mg/L + Testostérone</v>
      </c>
    </row>
    <row r="28" spans="1:22" x14ac:dyDescent="0.35">
      <c r="A28" s="224" t="s">
        <v>34</v>
      </c>
      <c r="B28" s="11">
        <f t="shared" ref="B28:M28" si="8">IF(B5="","",(B5/$O$23))</f>
        <v>0.10327955506382544</v>
      </c>
      <c r="C28" s="11">
        <f t="shared" si="8"/>
        <v>0.18810038247304647</v>
      </c>
      <c r="D28" s="11">
        <f t="shared" si="8"/>
        <v>0.71028404953573598</v>
      </c>
      <c r="E28" s="11">
        <f t="shared" si="8"/>
        <v>1.401983192798625</v>
      </c>
      <c r="F28" s="11">
        <f t="shared" si="8"/>
        <v>3.8134618240045972</v>
      </c>
      <c r="G28" s="11">
        <f t="shared" si="8"/>
        <v>4.1376256890870886</v>
      </c>
      <c r="H28" s="11">
        <f t="shared" si="8"/>
        <v>8.2408192751504359</v>
      </c>
      <c r="I28" s="11">
        <f t="shared" si="8"/>
        <v>3.3323720721586722E-2</v>
      </c>
      <c r="J28" s="11">
        <f t="shared" si="8"/>
        <v>4.1911196640318893E-2</v>
      </c>
      <c r="K28" s="11">
        <f t="shared" si="8"/>
        <v>4.3371413097906021E-2</v>
      </c>
      <c r="L28" s="11">
        <f t="shared" si="8"/>
        <v>2.6586515495257883E-3</v>
      </c>
      <c r="M28" s="11">
        <f t="shared" si="8"/>
        <v>8.9498860413359055E-2</v>
      </c>
      <c r="N28" s="6"/>
      <c r="O28" s="11">
        <f t="shared" ref="O28:S37" si="9">IF(O5="","",(O5/$O$23))</f>
        <v>4.0642080579655147E-2</v>
      </c>
      <c r="P28" s="11">
        <f t="shared" si="9"/>
        <v>2.9591168711388556</v>
      </c>
      <c r="Q28" s="11">
        <f t="shared" si="9"/>
        <v>7.4896172274756506E-2</v>
      </c>
      <c r="R28" s="11">
        <f t="shared" si="9"/>
        <v>0.10002299487515856</v>
      </c>
      <c r="S28" s="11">
        <f t="shared" si="9"/>
        <v>0.23736920617628104</v>
      </c>
      <c r="T28" s="11">
        <f t="shared" ref="T28:V43" si="10">IF(T5="","",(T5/$O$23))</f>
        <v>1.2036785726926014</v>
      </c>
      <c r="U28" s="11">
        <f t="shared" si="10"/>
        <v>1.6237329520121249</v>
      </c>
      <c r="V28" s="11">
        <f t="shared" si="10"/>
        <v>0.96629523032257536</v>
      </c>
    </row>
    <row r="29" spans="1:22" x14ac:dyDescent="0.35">
      <c r="A29" s="224"/>
      <c r="B29" s="11">
        <f t="shared" ref="B29:M29" si="11">IF(B6="","",(B6/$O$23))</f>
        <v>5.8398187048859084E-3</v>
      </c>
      <c r="C29" s="11">
        <f t="shared" si="11"/>
        <v>0.26742956039369403</v>
      </c>
      <c r="D29" s="11">
        <f t="shared" si="11"/>
        <v>0.92387513070743588</v>
      </c>
      <c r="E29" s="11">
        <f t="shared" si="11"/>
        <v>1.0113263372786927</v>
      </c>
      <c r="F29" s="11">
        <f t="shared" si="11"/>
        <v>2.8438566300947627</v>
      </c>
      <c r="G29" s="11">
        <f t="shared" si="11"/>
        <v>2.1677224832705999</v>
      </c>
      <c r="H29" s="11">
        <f t="shared" si="11"/>
        <v>7.8235361133676662</v>
      </c>
      <c r="I29" s="11">
        <f t="shared" si="11"/>
        <v>1.4319964263702212E-2</v>
      </c>
      <c r="J29" s="11">
        <f t="shared" si="11"/>
        <v>9.9173252562263642E-3</v>
      </c>
      <c r="K29" s="11">
        <f t="shared" si="11"/>
        <v>6.7677812898365788E-2</v>
      </c>
      <c r="L29" s="11">
        <f t="shared" si="11"/>
        <v>7.629408476731929E-2</v>
      </c>
      <c r="M29" s="11">
        <f t="shared" si="11"/>
        <v>3.2558272008430617E-2</v>
      </c>
      <c r="N29" s="6"/>
      <c r="O29" s="11">
        <f t="shared" si="9"/>
        <v>0.59764005145993371</v>
      </c>
      <c r="P29" s="11">
        <f t="shared" si="9"/>
        <v>2.6047984105473176</v>
      </c>
      <c r="Q29" s="11">
        <f t="shared" si="9"/>
        <v>2.6801699777820917E-2</v>
      </c>
      <c r="R29" s="11">
        <f t="shared" si="9"/>
        <v>0.69680911552034697</v>
      </c>
      <c r="S29" s="11">
        <f t="shared" si="9"/>
        <v>6.0157881388748051E-2</v>
      </c>
      <c r="T29" s="11">
        <f t="shared" si="10"/>
        <v>0.38510290206633457</v>
      </c>
      <c r="U29" s="11">
        <f t="shared" si="10"/>
        <v>0.8701811547992796</v>
      </c>
      <c r="V29" s="11">
        <f t="shared" si="10"/>
        <v>3.240005658666</v>
      </c>
    </row>
    <row r="30" spans="1:22" x14ac:dyDescent="0.35">
      <c r="A30" s="224"/>
      <c r="B30" s="11">
        <f t="shared" ref="B30:M30" si="12">IF(B7="","",(B7/$O$23))</f>
        <v>7.8963207571471017E-2</v>
      </c>
      <c r="C30" s="11">
        <f t="shared" si="12"/>
        <v>7.7031784655716661E-3</v>
      </c>
      <c r="D30" s="11">
        <f t="shared" si="12"/>
        <v>7.5679422120776704E-2</v>
      </c>
      <c r="E30" s="11">
        <f t="shared" si="12"/>
        <v>0.99891266491964248</v>
      </c>
      <c r="F30" s="11">
        <f t="shared" si="12"/>
        <v>4.2929609922728424</v>
      </c>
      <c r="G30" s="11">
        <f t="shared" si="12"/>
        <v>3.6366934332877414</v>
      </c>
      <c r="H30" s="11">
        <f t="shared" si="12"/>
        <v>6.8451722385259659</v>
      </c>
      <c r="I30" s="11">
        <f t="shared" si="12"/>
        <v>0.10850994674948172</v>
      </c>
      <c r="J30" s="11">
        <f t="shared" si="12"/>
        <v>1.6034108645968347E-2</v>
      </c>
      <c r="K30" s="11">
        <f t="shared" si="12"/>
        <v>6.0640606227003811E-2</v>
      </c>
      <c r="L30" s="11">
        <f t="shared" si="12"/>
        <v>8.8550164744249024E-3</v>
      </c>
      <c r="M30" s="11">
        <f t="shared" si="12"/>
        <v>7.1623381641419421E-4</v>
      </c>
      <c r="N30" s="6"/>
      <c r="O30" s="11">
        <f t="shared" si="9"/>
        <v>1.7730938808710492</v>
      </c>
      <c r="P30" s="11">
        <f t="shared" si="9"/>
        <v>3.839667185831471</v>
      </c>
      <c r="Q30" s="11">
        <f t="shared" si="9"/>
        <v>6.7492471691486686E-2</v>
      </c>
      <c r="R30" s="11">
        <f t="shared" si="9"/>
        <v>7.6667384994734009E-2</v>
      </c>
      <c r="S30" s="11">
        <f t="shared" si="9"/>
        <v>0.51316634614156253</v>
      </c>
      <c r="T30" s="11">
        <f t="shared" si="10"/>
        <v>0.87342776729605187</v>
      </c>
      <c r="U30" s="11">
        <f t="shared" si="10"/>
        <v>3.2932106269831247</v>
      </c>
      <c r="V30" s="11">
        <f t="shared" si="10"/>
        <v>2.9632603465943395E-2</v>
      </c>
    </row>
    <row r="31" spans="1:22" x14ac:dyDescent="0.35">
      <c r="A31" s="224"/>
      <c r="B31" s="11">
        <f t="shared" ref="B31:M31" si="13">IF(B8="","",(B8/$O$23))</f>
        <v>0.17177307869755185</v>
      </c>
      <c r="C31" s="11">
        <f t="shared" si="13"/>
        <v>0.1602677876773019</v>
      </c>
      <c r="D31" s="11">
        <f t="shared" si="13"/>
        <v>8.2662701830815102E-2</v>
      </c>
      <c r="E31" s="11">
        <f t="shared" si="13"/>
        <v>0.74622977241565769</v>
      </c>
      <c r="F31" s="11">
        <f t="shared" si="13"/>
        <v>3.1541146690340081</v>
      </c>
      <c r="G31" s="11">
        <f t="shared" si="13"/>
        <v>4.4577952940925156</v>
      </c>
      <c r="H31" s="11">
        <f t="shared" si="13"/>
        <v>8.4886236101241952</v>
      </c>
      <c r="I31" s="11">
        <f t="shared" si="13"/>
        <v>4.7375620866864906E-2</v>
      </c>
      <c r="J31" s="11">
        <f t="shared" si="13"/>
        <v>0.17856839938705463</v>
      </c>
      <c r="K31" s="11">
        <f t="shared" si="13"/>
        <v>4.2933191091810492E-2</v>
      </c>
      <c r="L31" s="11">
        <f t="shared" si="13"/>
        <v>3.8993381538801129E-2</v>
      </c>
      <c r="M31" s="11">
        <f t="shared" si="13"/>
        <v>3.3199112791538051E-3</v>
      </c>
      <c r="N31" s="6"/>
      <c r="O31" s="11">
        <f t="shared" si="9"/>
        <v>0.72687418180234165</v>
      </c>
      <c r="P31" s="11">
        <f t="shared" si="9"/>
        <v>2.1126892338957863</v>
      </c>
      <c r="Q31" s="11">
        <f t="shared" si="9"/>
        <v>6.9958452155895204E-2</v>
      </c>
      <c r="R31" s="11">
        <f t="shared" si="9"/>
        <v>6.8919180134270799E-2</v>
      </c>
      <c r="S31" s="11">
        <f t="shared" si="9"/>
        <v>1.3596102138293022</v>
      </c>
      <c r="T31" s="11">
        <f t="shared" si="10"/>
        <v>0.45643989489373454</v>
      </c>
      <c r="U31" s="11">
        <f t="shared" si="10"/>
        <v>0.96354024323049092</v>
      </c>
      <c r="V31" s="11">
        <f t="shared" si="10"/>
        <v>0.55898750925920693</v>
      </c>
    </row>
    <row r="32" spans="1:22" x14ac:dyDescent="0.35">
      <c r="A32" s="224"/>
      <c r="B32" s="11">
        <f t="shared" ref="B32:M32" si="14">IF(B9="","",(B9/$O$23))</f>
        <v>0.1320844058515884</v>
      </c>
      <c r="C32" s="11">
        <f t="shared" si="14"/>
        <v>0.75091932379988424</v>
      </c>
      <c r="D32" s="11">
        <f t="shared" si="14"/>
        <v>0.41570776152429634</v>
      </c>
      <c r="E32" s="11">
        <f t="shared" si="14"/>
        <v>2.7105360926345821</v>
      </c>
      <c r="F32" s="11">
        <f t="shared" si="14"/>
        <v>3.0821028038459661</v>
      </c>
      <c r="G32" s="11">
        <f t="shared" si="14"/>
        <v>3.8722547773528539</v>
      </c>
      <c r="H32" s="11">
        <f t="shared" si="14"/>
        <v>9.8161174388902808</v>
      </c>
      <c r="I32" s="11">
        <f t="shared" si="14"/>
        <v>8.0268973023325557E-2</v>
      </c>
      <c r="J32" s="11">
        <f t="shared" si="14"/>
        <v>9.1754892222517509E-2</v>
      </c>
      <c r="K32" s="11">
        <f t="shared" si="14"/>
        <v>6.9738555808750494E-4</v>
      </c>
      <c r="L32" s="11">
        <f t="shared" si="14"/>
        <v>2.1727853348822414E-2</v>
      </c>
      <c r="M32" s="11">
        <f t="shared" si="14"/>
        <v>2.1790680876578043E-3</v>
      </c>
      <c r="N32" s="6"/>
      <c r="O32" s="11">
        <f t="shared" si="9"/>
        <v>0.37968350423468006</v>
      </c>
      <c r="P32" s="11">
        <f t="shared" si="9"/>
        <v>3.1957735084378416</v>
      </c>
      <c r="Q32" s="11">
        <f t="shared" si="9"/>
        <v>7.0272066231942057E-2</v>
      </c>
      <c r="R32" s="11">
        <f t="shared" si="9"/>
        <v>0.18942447262049639</v>
      </c>
      <c r="S32" s="11">
        <f t="shared" si="9"/>
        <v>0.7653104925950428</v>
      </c>
      <c r="T32" s="11">
        <f t="shared" si="10"/>
        <v>7.0567355612393523E-2</v>
      </c>
      <c r="U32" s="11">
        <f t="shared" si="10"/>
        <v>0.88384928346251723</v>
      </c>
      <c r="V32" s="11">
        <f t="shared" si="10"/>
        <v>1.1408458093096574</v>
      </c>
    </row>
    <row r="33" spans="1:22" x14ac:dyDescent="0.35">
      <c r="A33" s="224"/>
      <c r="B33" s="11">
        <f t="shared" ref="B33:M33" si="15">IF(B10="","",(B10/$O$23))</f>
        <v>9.1610388908679563E-2</v>
      </c>
      <c r="C33" s="11">
        <f t="shared" si="15"/>
        <v>3.9276628976432762E-2</v>
      </c>
      <c r="D33" s="11">
        <f t="shared" si="15"/>
        <v>0.50199037607929842</v>
      </c>
      <c r="E33" s="11">
        <f t="shared" si="15"/>
        <v>0.54866128150983762</v>
      </c>
      <c r="F33" s="11">
        <f t="shared" si="15"/>
        <v>2.0062567840640906</v>
      </c>
      <c r="G33" s="11">
        <f t="shared" si="15"/>
        <v>3.8219838545819171</v>
      </c>
      <c r="H33" s="11">
        <f t="shared" si="15"/>
        <v>1.8637796579962584</v>
      </c>
      <c r="I33" s="11">
        <f t="shared" si="15"/>
        <v>0.15135203792604654</v>
      </c>
      <c r="J33" s="11">
        <f t="shared" si="15"/>
        <v>1.3366556530010511E-2</v>
      </c>
      <c r="K33" s="11">
        <f t="shared" si="15"/>
        <v>1.8781242297083316E-2</v>
      </c>
      <c r="L33" s="11">
        <f t="shared" si="15"/>
        <v>2.1633612057188967E-3</v>
      </c>
      <c r="M33" s="11">
        <f t="shared" si="15"/>
        <v>0.25689076617541823</v>
      </c>
      <c r="N33" s="6"/>
      <c r="O33" s="11">
        <f t="shared" si="9"/>
        <v>0.20526486305588487</v>
      </c>
      <c r="P33" s="11">
        <f t="shared" si="9"/>
        <v>1.8983855838467913</v>
      </c>
      <c r="Q33" s="11">
        <f t="shared" si="9"/>
        <v>0.14425357441512282</v>
      </c>
      <c r="R33" s="11">
        <f t="shared" si="9"/>
        <v>1.2589756976839888</v>
      </c>
      <c r="S33" s="11">
        <f t="shared" si="9"/>
        <v>0.25839024983785264</v>
      </c>
      <c r="T33" s="11">
        <f t="shared" si="10"/>
        <v>0.35681533125709297</v>
      </c>
      <c r="U33" s="11">
        <f t="shared" si="10"/>
        <v>0.81574581406360702</v>
      </c>
      <c r="V33" s="11">
        <f t="shared" si="10"/>
        <v>1.0175902417959291</v>
      </c>
    </row>
    <row r="34" spans="1:22" x14ac:dyDescent="0.35">
      <c r="A34" s="224"/>
      <c r="B34" s="11">
        <f t="shared" ref="B34:M34" si="16">IF(B11="","",(B11/$O$23))</f>
        <v>3.6049388300718514E-2</v>
      </c>
      <c r="C34" s="11">
        <f t="shared" si="16"/>
        <v>6.4507640560362914E-2</v>
      </c>
      <c r="D34" s="11">
        <f t="shared" si="16"/>
        <v>0.86904816504875304</v>
      </c>
      <c r="E34" s="11">
        <f t="shared" si="16"/>
        <v>0.76369949007084226</v>
      </c>
      <c r="F34" s="11">
        <f t="shared" si="16"/>
        <v>2.9206763718443041</v>
      </c>
      <c r="G34" s="11">
        <f t="shared" si="16"/>
        <v>3.8384944053133658</v>
      </c>
      <c r="H34" s="11">
        <f t="shared" si="16"/>
        <v>5.6661660359830002</v>
      </c>
      <c r="I34" s="11">
        <f t="shared" si="16"/>
        <v>0.13173100100796298</v>
      </c>
      <c r="J34" s="11">
        <f t="shared" si="16"/>
        <v>2.6804841154208701E-2</v>
      </c>
      <c r="K34" s="11">
        <f t="shared" si="16"/>
        <v>9.3331863169183849E-2</v>
      </c>
      <c r="L34" s="11">
        <f t="shared" si="16"/>
        <v>5.1926951690029081E-2</v>
      </c>
      <c r="M34" s="11">
        <f t="shared" si="16"/>
        <v>0.11277436519589518</v>
      </c>
      <c r="N34" s="6"/>
      <c r="O34" s="11">
        <f t="shared" si="9"/>
        <v>1.8792341826986809</v>
      </c>
      <c r="P34" s="11">
        <f t="shared" si="9"/>
        <v>4.6336390730259014</v>
      </c>
      <c r="Q34" s="11">
        <f t="shared" si="9"/>
        <v>2.5433106798210755E-2</v>
      </c>
      <c r="R34" s="11">
        <f t="shared" si="9"/>
        <v>0.46726507792602978</v>
      </c>
      <c r="S34" s="11">
        <f t="shared" si="9"/>
        <v>1.8888886794637962</v>
      </c>
      <c r="T34" s="11">
        <f t="shared" si="10"/>
        <v>0.47700177403995869</v>
      </c>
      <c r="U34" s="11">
        <f t="shared" si="10"/>
        <v>0.17502335613344316</v>
      </c>
      <c r="V34" s="11">
        <f t="shared" si="10"/>
        <v>1.1937230273569905E-2</v>
      </c>
    </row>
    <row r="35" spans="1:22" x14ac:dyDescent="0.35">
      <c r="A35" s="224"/>
      <c r="B35" s="11">
        <f t="shared" ref="B35:M35" si="17">IF(B12="","",(B12/$O$23))</f>
        <v>5.0199718239480523E-2</v>
      </c>
      <c r="C35" s="11">
        <f t="shared" si="17"/>
        <v>1.1545081787828506E-2</v>
      </c>
      <c r="D35" s="11">
        <f t="shared" si="17"/>
        <v>0.30258732136301386</v>
      </c>
      <c r="E35" s="11">
        <f t="shared" si="17"/>
        <v>1.0256421130405444</v>
      </c>
      <c r="F35" s="11">
        <f t="shared" si="17"/>
        <v>0.81093689037664474</v>
      </c>
      <c r="G35" s="11">
        <f t="shared" si="17"/>
        <v>2.3786036037451068</v>
      </c>
      <c r="H35" s="11">
        <f t="shared" si="17"/>
        <v>6.9933394443575327</v>
      </c>
      <c r="I35" s="11">
        <f t="shared" si="17"/>
        <v>1.181366946898383E-2</v>
      </c>
      <c r="J35" s="11">
        <f t="shared" si="17"/>
        <v>2.802107737901146E-2</v>
      </c>
      <c r="K35" s="11">
        <f t="shared" si="17"/>
        <v>8.4408783539690353E-3</v>
      </c>
      <c r="L35" s="11">
        <f t="shared" si="17"/>
        <v>7.0943273653464714E-2</v>
      </c>
      <c r="M35" s="11" t="str">
        <f t="shared" si="17"/>
        <v/>
      </c>
      <c r="N35" s="6"/>
      <c r="O35" s="11">
        <f t="shared" si="9"/>
        <v>1.5310466416906301</v>
      </c>
      <c r="P35" s="11">
        <f t="shared" si="9"/>
        <v>4.4139537216619056</v>
      </c>
      <c r="Q35" s="11">
        <f t="shared" si="9"/>
        <v>0.20044232673790888</v>
      </c>
      <c r="R35" s="11">
        <f t="shared" si="9"/>
        <v>0.13765406618712508</v>
      </c>
      <c r="S35" s="11">
        <f t="shared" si="9"/>
        <v>3.1699629129103658E-2</v>
      </c>
      <c r="T35" s="11">
        <f t="shared" si="10"/>
        <v>1.6434744083584067</v>
      </c>
      <c r="U35" s="11">
        <f t="shared" si="10"/>
        <v>0.12676814987799942</v>
      </c>
      <c r="V35" s="11">
        <f t="shared" si="10"/>
        <v>1.1965633551742763</v>
      </c>
    </row>
    <row r="36" spans="1:22" x14ac:dyDescent="0.35">
      <c r="A36" s="224"/>
      <c r="B36" s="11" t="str">
        <f t="shared" ref="B36:M36" si="18">IF(B13="","",(B13/$O$23))</f>
        <v/>
      </c>
      <c r="C36" s="11" t="str">
        <f t="shared" si="18"/>
        <v/>
      </c>
      <c r="D36" s="11" t="str">
        <f t="shared" si="18"/>
        <v/>
      </c>
      <c r="E36" s="11" t="str">
        <f t="shared" si="18"/>
        <v/>
      </c>
      <c r="F36" s="11" t="str">
        <f t="shared" si="18"/>
        <v/>
      </c>
      <c r="G36" s="11" t="str">
        <f t="shared" si="18"/>
        <v/>
      </c>
      <c r="H36" s="11" t="str">
        <f t="shared" si="18"/>
        <v/>
      </c>
      <c r="I36" s="11" t="str">
        <f t="shared" si="18"/>
        <v/>
      </c>
      <c r="J36" s="11" t="str">
        <f t="shared" si="18"/>
        <v/>
      </c>
      <c r="K36" s="11" t="str">
        <f t="shared" si="18"/>
        <v/>
      </c>
      <c r="L36" s="11" t="str">
        <f t="shared" si="18"/>
        <v/>
      </c>
      <c r="M36" s="11" t="str">
        <f t="shared" si="18"/>
        <v/>
      </c>
      <c r="N36" s="6"/>
      <c r="O36" s="11">
        <f t="shared" si="9"/>
        <v>1.5522179478560838</v>
      </c>
      <c r="P36" s="11" t="str">
        <f t="shared" si="9"/>
        <v/>
      </c>
      <c r="Q36" s="11" t="str">
        <f t="shared" si="9"/>
        <v/>
      </c>
      <c r="R36" s="11" t="str">
        <f t="shared" si="9"/>
        <v/>
      </c>
      <c r="S36" s="11" t="str">
        <f t="shared" si="9"/>
        <v/>
      </c>
      <c r="T36" s="11">
        <f t="shared" si="10"/>
        <v>1.2036785726926014</v>
      </c>
      <c r="U36" s="11" t="str">
        <f t="shared" si="10"/>
        <v/>
      </c>
      <c r="V36" s="11" t="str">
        <f t="shared" si="10"/>
        <v/>
      </c>
    </row>
    <row r="37" spans="1:22" x14ac:dyDescent="0.35">
      <c r="A37" s="224"/>
      <c r="B37" s="11" t="str">
        <f t="shared" ref="B37:M37" si="19">IF(B14="","",(B14/$O$23))</f>
        <v/>
      </c>
      <c r="C37" s="11" t="str">
        <f t="shared" si="19"/>
        <v/>
      </c>
      <c r="D37" s="11" t="str">
        <f t="shared" si="19"/>
        <v/>
      </c>
      <c r="E37" s="11" t="str">
        <f t="shared" si="19"/>
        <v/>
      </c>
      <c r="F37" s="11" t="str">
        <f t="shared" si="19"/>
        <v/>
      </c>
      <c r="G37" s="11" t="str">
        <f t="shared" si="19"/>
        <v/>
      </c>
      <c r="H37" s="11" t="str">
        <f t="shared" si="19"/>
        <v/>
      </c>
      <c r="I37" s="11" t="str">
        <f t="shared" si="19"/>
        <v/>
      </c>
      <c r="J37" s="11" t="str">
        <f t="shared" si="19"/>
        <v/>
      </c>
      <c r="K37" s="11" t="str">
        <f t="shared" si="19"/>
        <v/>
      </c>
      <c r="L37" s="11" t="str">
        <f t="shared" si="19"/>
        <v/>
      </c>
      <c r="M37" s="11" t="str">
        <f t="shared" si="19"/>
        <v/>
      </c>
      <c r="N37" s="6"/>
      <c r="O37" s="11">
        <f t="shared" si="9"/>
        <v>2.1494648037048134</v>
      </c>
      <c r="P37" s="11" t="str">
        <f t="shared" si="9"/>
        <v/>
      </c>
      <c r="Q37" s="11" t="str">
        <f t="shared" si="9"/>
        <v/>
      </c>
      <c r="R37" s="11" t="str">
        <f t="shared" si="9"/>
        <v/>
      </c>
      <c r="S37" s="11" t="str">
        <f t="shared" si="9"/>
        <v/>
      </c>
      <c r="T37" s="11" t="str">
        <f t="shared" si="10"/>
        <v/>
      </c>
      <c r="U37" s="11" t="str">
        <f t="shared" si="10"/>
        <v/>
      </c>
      <c r="V37" s="11" t="str">
        <f t="shared" si="10"/>
        <v/>
      </c>
    </row>
    <row r="38" spans="1:22" x14ac:dyDescent="0.35">
      <c r="A38" s="224"/>
      <c r="B38" s="11" t="str">
        <f t="shared" ref="B38:M38" si="20">IF(B15="","",(B15/$O$23))</f>
        <v/>
      </c>
      <c r="C38" s="11" t="str">
        <f t="shared" si="20"/>
        <v/>
      </c>
      <c r="D38" s="11" t="str">
        <f t="shared" si="20"/>
        <v/>
      </c>
      <c r="E38" s="11" t="str">
        <f t="shared" si="20"/>
        <v/>
      </c>
      <c r="F38" s="11" t="str">
        <f t="shared" si="20"/>
        <v/>
      </c>
      <c r="G38" s="11" t="str">
        <f t="shared" si="20"/>
        <v/>
      </c>
      <c r="H38" s="11" t="str">
        <f t="shared" si="20"/>
        <v/>
      </c>
      <c r="I38" s="11" t="str">
        <f t="shared" si="20"/>
        <v/>
      </c>
      <c r="J38" s="11" t="str">
        <f t="shared" si="20"/>
        <v/>
      </c>
      <c r="K38" s="11" t="str">
        <f t="shared" si="20"/>
        <v/>
      </c>
      <c r="L38" s="11" t="str">
        <f t="shared" si="20"/>
        <v/>
      </c>
      <c r="M38" s="11" t="str">
        <f t="shared" si="20"/>
        <v/>
      </c>
      <c r="N38" s="6"/>
      <c r="O38" s="11">
        <f t="shared" ref="O38:S43" si="21">IF(O15="","",(O15/$O$23))</f>
        <v>0.3155983787984738</v>
      </c>
      <c r="P38" s="11" t="str">
        <f t="shared" si="21"/>
        <v/>
      </c>
      <c r="Q38" s="11" t="str">
        <f t="shared" si="21"/>
        <v/>
      </c>
      <c r="R38" s="11" t="str">
        <f t="shared" si="21"/>
        <v/>
      </c>
      <c r="S38" s="11" t="str">
        <f t="shared" si="21"/>
        <v/>
      </c>
      <c r="T38" s="11" t="str">
        <f t="shared" si="10"/>
        <v/>
      </c>
      <c r="U38" s="11" t="str">
        <f t="shared" si="10"/>
        <v/>
      </c>
      <c r="V38" s="11" t="str">
        <f t="shared" si="10"/>
        <v/>
      </c>
    </row>
    <row r="39" spans="1:22" x14ac:dyDescent="0.35">
      <c r="A39" s="224"/>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si="21"/>
        <v>0.88412415389644805</v>
      </c>
      <c r="P39" s="11" t="str">
        <f t="shared" si="21"/>
        <v/>
      </c>
      <c r="Q39" s="11" t="str">
        <f t="shared" si="21"/>
        <v/>
      </c>
      <c r="R39" s="11" t="str">
        <f t="shared" si="21"/>
        <v/>
      </c>
      <c r="S39" s="11" t="str">
        <f t="shared" si="21"/>
        <v/>
      </c>
      <c r="T39" s="11" t="str">
        <f t="shared" si="10"/>
        <v/>
      </c>
      <c r="U39" s="11" t="str">
        <f t="shared" si="10"/>
        <v/>
      </c>
      <c r="V39" s="11" t="str">
        <f t="shared" si="10"/>
        <v/>
      </c>
    </row>
    <row r="40" spans="1:22" x14ac:dyDescent="0.35">
      <c r="A40" s="224"/>
      <c r="B40" s="11" t="str">
        <f t="shared" ref="B40:M40" si="23">IF(B17="","",(B17/$O$23))</f>
        <v/>
      </c>
      <c r="C40" s="11" t="str">
        <f t="shared" si="23"/>
        <v/>
      </c>
      <c r="D40" s="11" t="str">
        <f t="shared" si="23"/>
        <v/>
      </c>
      <c r="E40" s="11" t="str">
        <f t="shared" si="23"/>
        <v/>
      </c>
      <c r="F40" s="11" t="str">
        <f t="shared" si="23"/>
        <v/>
      </c>
      <c r="G40" s="11" t="str">
        <f t="shared" si="23"/>
        <v/>
      </c>
      <c r="H40" s="11" t="str">
        <f t="shared" si="23"/>
        <v/>
      </c>
      <c r="I40" s="11" t="str">
        <f t="shared" si="23"/>
        <v/>
      </c>
      <c r="J40" s="11" t="str">
        <f t="shared" si="23"/>
        <v/>
      </c>
      <c r="K40" s="11" t="str">
        <f t="shared" si="23"/>
        <v/>
      </c>
      <c r="L40" s="11" t="str">
        <f t="shared" si="23"/>
        <v/>
      </c>
      <c r="M40" s="11" t="str">
        <f t="shared" si="23"/>
        <v/>
      </c>
      <c r="N40" s="6"/>
      <c r="O40" s="11">
        <f t="shared" si="21"/>
        <v>0.34065347330468815</v>
      </c>
      <c r="P40" s="11" t="str">
        <f t="shared" si="21"/>
        <v/>
      </c>
      <c r="Q40" s="11" t="str">
        <f t="shared" si="21"/>
        <v/>
      </c>
      <c r="R40" s="11" t="str">
        <f t="shared" si="21"/>
        <v/>
      </c>
      <c r="S40" s="11" t="str">
        <f t="shared" si="21"/>
        <v/>
      </c>
      <c r="T40" s="11" t="str">
        <f t="shared" si="10"/>
        <v/>
      </c>
      <c r="U40" s="11" t="str">
        <f t="shared" si="10"/>
        <v/>
      </c>
      <c r="V40" s="11" t="str">
        <f t="shared" si="10"/>
        <v/>
      </c>
    </row>
    <row r="41" spans="1:22" x14ac:dyDescent="0.35">
      <c r="A41" s="224"/>
      <c r="B41" s="11" t="str">
        <f t="shared" ref="B41:M41" si="24">IF(B18="","",(B18/$O$23))</f>
        <v/>
      </c>
      <c r="C41" s="11" t="str">
        <f t="shared" si="24"/>
        <v/>
      </c>
      <c r="D41" s="11" t="str">
        <f t="shared" si="24"/>
        <v/>
      </c>
      <c r="E41" s="11" t="str">
        <f t="shared" si="24"/>
        <v/>
      </c>
      <c r="F41" s="11" t="str">
        <f t="shared" si="24"/>
        <v/>
      </c>
      <c r="G41" s="11" t="str">
        <f t="shared" si="24"/>
        <v/>
      </c>
      <c r="H41" s="11" t="str">
        <f t="shared" si="24"/>
        <v/>
      </c>
      <c r="I41" s="11" t="str">
        <f t="shared" si="24"/>
        <v/>
      </c>
      <c r="J41" s="11" t="str">
        <f t="shared" si="24"/>
        <v/>
      </c>
      <c r="K41" s="11" t="str">
        <f t="shared" si="24"/>
        <v/>
      </c>
      <c r="L41" s="11" t="str">
        <f t="shared" si="24"/>
        <v/>
      </c>
      <c r="M41" s="11" t="str">
        <f t="shared" si="24"/>
        <v/>
      </c>
      <c r="N41" s="6"/>
      <c r="O41" s="11">
        <f t="shared" si="21"/>
        <v>1.2308718973934325</v>
      </c>
      <c r="P41" s="11" t="str">
        <f t="shared" si="21"/>
        <v/>
      </c>
      <c r="Q41" s="11" t="str">
        <f t="shared" si="21"/>
        <v/>
      </c>
      <c r="R41" s="11" t="str">
        <f t="shared" si="21"/>
        <v/>
      </c>
      <c r="S41" s="11" t="str">
        <f t="shared" si="21"/>
        <v/>
      </c>
      <c r="T41" s="11" t="str">
        <f t="shared" si="10"/>
        <v/>
      </c>
      <c r="U41" s="11" t="str">
        <f t="shared" si="10"/>
        <v/>
      </c>
      <c r="V41" s="11" t="str">
        <f t="shared" si="10"/>
        <v/>
      </c>
    </row>
    <row r="42" spans="1:22" x14ac:dyDescent="0.35">
      <c r="A42" s="224"/>
      <c r="B42" s="11" t="str">
        <f t="shared" ref="B42:M42" si="25">IF(B19="","",(B19/$O$23))</f>
        <v/>
      </c>
      <c r="C42" s="11" t="str">
        <f t="shared" si="25"/>
        <v/>
      </c>
      <c r="D42" s="11" t="str">
        <f t="shared" si="25"/>
        <v/>
      </c>
      <c r="E42" s="11" t="str">
        <f t="shared" si="25"/>
        <v/>
      </c>
      <c r="F42" s="11" t="str">
        <f t="shared" si="25"/>
        <v/>
      </c>
      <c r="G42" s="11" t="str">
        <f t="shared" si="25"/>
        <v/>
      </c>
      <c r="H42" s="11" t="str">
        <f t="shared" si="25"/>
        <v/>
      </c>
      <c r="I42" s="11" t="str">
        <f t="shared" si="25"/>
        <v/>
      </c>
      <c r="J42" s="11" t="str">
        <f t="shared" si="25"/>
        <v/>
      </c>
      <c r="K42" s="11" t="str">
        <f t="shared" si="25"/>
        <v/>
      </c>
      <c r="L42" s="11" t="str">
        <f t="shared" si="25"/>
        <v/>
      </c>
      <c r="M42" s="11" t="str">
        <f t="shared" si="25"/>
        <v/>
      </c>
      <c r="N42" s="6"/>
      <c r="O42" s="11">
        <f t="shared" si="21"/>
        <v>1.3935899586532039</v>
      </c>
      <c r="P42" s="11" t="str">
        <f t="shared" si="21"/>
        <v/>
      </c>
      <c r="Q42" s="11" t="str">
        <f t="shared" si="21"/>
        <v/>
      </c>
      <c r="R42" s="11" t="str">
        <f t="shared" si="21"/>
        <v/>
      </c>
      <c r="S42" s="11" t="str">
        <f t="shared" si="21"/>
        <v/>
      </c>
      <c r="T42" s="11" t="str">
        <f t="shared" si="10"/>
        <v/>
      </c>
      <c r="U42" s="11" t="str">
        <f t="shared" si="10"/>
        <v/>
      </c>
      <c r="V42" s="11" t="str">
        <f t="shared" si="10"/>
        <v/>
      </c>
    </row>
    <row r="43" spans="1:22" x14ac:dyDescent="0.35">
      <c r="A43" s="224"/>
      <c r="B43" s="11" t="str">
        <f t="shared" ref="B43:M43" si="26">IF(B20="","",(B20/$O$23))</f>
        <v/>
      </c>
      <c r="C43" s="11" t="str">
        <f t="shared" si="26"/>
        <v/>
      </c>
      <c r="D43" s="11" t="str">
        <f t="shared" si="26"/>
        <v/>
      </c>
      <c r="E43" s="11" t="str">
        <f t="shared" si="26"/>
        <v/>
      </c>
      <c r="F43" s="11" t="str">
        <f t="shared" si="26"/>
        <v/>
      </c>
      <c r="G43" s="11" t="str">
        <f t="shared" si="26"/>
        <v/>
      </c>
      <c r="H43" s="11" t="str">
        <f t="shared" si="26"/>
        <v/>
      </c>
      <c r="I43" s="11" t="str">
        <f t="shared" si="26"/>
        <v/>
      </c>
      <c r="J43" s="11" t="str">
        <f t="shared" si="26"/>
        <v/>
      </c>
      <c r="K43" s="11" t="str">
        <f t="shared" si="26"/>
        <v/>
      </c>
      <c r="L43" s="11" t="str">
        <f t="shared" si="26"/>
        <v/>
      </c>
      <c r="M43" s="11" t="str">
        <f t="shared" si="26"/>
        <v/>
      </c>
      <c r="N43" s="6"/>
      <c r="O43" s="11" t="str">
        <f t="shared" si="21"/>
        <v/>
      </c>
      <c r="P43" s="11" t="str">
        <f t="shared" si="21"/>
        <v/>
      </c>
      <c r="Q43" s="11" t="str">
        <f t="shared" si="21"/>
        <v/>
      </c>
      <c r="R43" s="11" t="str">
        <f t="shared" si="21"/>
        <v/>
      </c>
      <c r="S43" s="11" t="str">
        <f t="shared" si="21"/>
        <v/>
      </c>
      <c r="T43" s="11" t="str">
        <f t="shared" si="10"/>
        <v/>
      </c>
      <c r="U43" s="11" t="str">
        <f t="shared" si="10"/>
        <v/>
      </c>
      <c r="V43" s="11" t="str">
        <f t="shared" si="10"/>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R45" si="27">B4</f>
        <v>Témoin solvant</v>
      </c>
      <c r="C45" s="7" t="str">
        <f t="shared" si="27"/>
        <v>EE2-33,8ng/L</v>
      </c>
      <c r="D45" s="7" t="str">
        <f t="shared" si="27"/>
        <v>EE2-50,6ng/L</v>
      </c>
      <c r="E45" s="7" t="str">
        <f t="shared" si="27"/>
        <v>EE2-76ng/L</v>
      </c>
      <c r="F45" s="7" t="str">
        <f t="shared" si="27"/>
        <v>EE2-114ng/L</v>
      </c>
      <c r="G45" s="7" t="str">
        <f t="shared" si="27"/>
        <v>EE2-170,9ng/L</v>
      </c>
      <c r="H45" s="7" t="str">
        <f t="shared" si="27"/>
        <v>EE2-488ng/L</v>
      </c>
      <c r="I45" s="7" t="str">
        <f t="shared" si="27"/>
        <v>Saccharin-0,01mg/L</v>
      </c>
      <c r="J45" s="7" t="str">
        <f t="shared" si="27"/>
        <v>Saccharin-0,1mg/L</v>
      </c>
      <c r="K45" s="7" t="str">
        <f t="shared" ref="K45:M45" si="28">K4</f>
        <v>Saccharin-1mg/L</v>
      </c>
      <c r="L45" s="7" t="str">
        <f t="shared" si="28"/>
        <v>Saccharin-10mg/L</v>
      </c>
      <c r="M45" s="7" t="str">
        <f t="shared" si="28"/>
        <v>Saccharin-100mg/L</v>
      </c>
      <c r="N45" s="7"/>
      <c r="O45" s="7" t="str">
        <f t="shared" si="27"/>
        <v>Testo -30µg/L</v>
      </c>
      <c r="P45" s="7" t="str">
        <f t="shared" si="27"/>
        <v>Testo 30µg/L + EE2 -64ng/L</v>
      </c>
      <c r="Q45" s="7" t="str">
        <f t="shared" si="27"/>
        <v>Testo 30µg/L + FAD-10µg/L</v>
      </c>
      <c r="R45" s="7" t="str">
        <f t="shared" si="27"/>
        <v>Saccharin-0,01mg/L + Testostérone</v>
      </c>
      <c r="S45" s="7" t="str">
        <f t="shared" ref="S45:V45" si="29">S4</f>
        <v>Saccharin-0,1mg/L + Testostérone</v>
      </c>
      <c r="T45" s="7" t="str">
        <f t="shared" si="29"/>
        <v>Saccharin-1mg/L + Testostérone</v>
      </c>
      <c r="U45" s="7" t="str">
        <f t="shared" si="29"/>
        <v>Saccharin-10mg/L + Testostérone</v>
      </c>
      <c r="V45" s="7" t="str">
        <f t="shared" si="29"/>
        <v>Saccharin-100mg/L + Testostérone</v>
      </c>
    </row>
    <row r="46" spans="1:22" x14ac:dyDescent="0.35">
      <c r="A46" s="8" t="s">
        <v>0</v>
      </c>
      <c r="B46" s="10">
        <f t="shared" ref="B46:H46" si="30">AVERAGE(B28:B43)</f>
        <v>8.3724945167275147E-2</v>
      </c>
      <c r="C46" s="10">
        <f t="shared" si="30"/>
        <v>0.1862186980167653</v>
      </c>
      <c r="D46" s="10">
        <f t="shared" si="30"/>
        <v>0.48522936602626565</v>
      </c>
      <c r="E46" s="10">
        <f t="shared" si="30"/>
        <v>1.1508738680835533</v>
      </c>
      <c r="F46" s="10">
        <f t="shared" si="30"/>
        <v>2.8655458706921526</v>
      </c>
      <c r="G46" s="10">
        <f t="shared" si="30"/>
        <v>3.5388966925913983</v>
      </c>
      <c r="H46" s="10">
        <f t="shared" si="30"/>
        <v>6.9671942267994176</v>
      </c>
      <c r="I46" s="10">
        <f>AVERAGE(I28:I43)</f>
        <v>7.2336866753494322E-2</v>
      </c>
      <c r="J46" s="9">
        <f>AVERAGE(J28:J43)</f>
        <v>5.0797299651914554E-2</v>
      </c>
      <c r="K46" s="9">
        <f t="shared" ref="K46:M46" si="31">AVERAGE(K28:K43)</f>
        <v>4.1984299086676231E-2</v>
      </c>
      <c r="L46" s="9">
        <f t="shared" si="31"/>
        <v>3.4195321778513275E-2</v>
      </c>
      <c r="M46" s="9">
        <f t="shared" si="31"/>
        <v>7.11339252823327E-2</v>
      </c>
      <c r="N46" s="8" t="s">
        <v>0</v>
      </c>
      <c r="O46" s="10">
        <f t="shared" ref="O46:R46" si="32">AVERAGE(O28:O43)</f>
        <v>0.99999999999999978</v>
      </c>
      <c r="P46" s="10">
        <f t="shared" si="32"/>
        <v>3.2072529485482337</v>
      </c>
      <c r="Q46" s="10">
        <f t="shared" si="32"/>
        <v>8.4943733760392978E-2</v>
      </c>
      <c r="R46" s="10">
        <f t="shared" si="32"/>
        <v>0.37446724874276882</v>
      </c>
      <c r="S46" s="10">
        <f t="shared" ref="S46:V46" si="33">AVERAGE(S28:S43)</f>
        <v>0.63932408732021118</v>
      </c>
      <c r="T46" s="10">
        <f t="shared" si="33"/>
        <v>0.74113184210101957</v>
      </c>
      <c r="U46" s="10">
        <f t="shared" si="33"/>
        <v>1.0940064475703235</v>
      </c>
      <c r="V46" s="10">
        <f t="shared" si="33"/>
        <v>1.0202322047833949</v>
      </c>
    </row>
    <row r="47" spans="1:22" x14ac:dyDescent="0.35">
      <c r="A47" s="8" t="s">
        <v>1</v>
      </c>
      <c r="B47" s="8">
        <f t="shared" ref="B47:J47" si="34">STDEV(B28:B43)</f>
        <v>5.3480758728374551E-2</v>
      </c>
      <c r="C47" s="8">
        <f t="shared" si="34"/>
        <v>0.24638622627893633</v>
      </c>
      <c r="D47" s="8">
        <f t="shared" si="34"/>
        <v>0.32920683143169649</v>
      </c>
      <c r="E47" s="8">
        <f t="shared" si="34"/>
        <v>0.67930129054139698</v>
      </c>
      <c r="F47" s="8">
        <f t="shared" si="34"/>
        <v>1.0710164085871929</v>
      </c>
      <c r="G47" s="8">
        <f t="shared" si="34"/>
        <v>0.82113499510783272</v>
      </c>
      <c r="H47" s="8">
        <f t="shared" si="34"/>
        <v>2.4065280438159178</v>
      </c>
      <c r="I47" s="8">
        <f t="shared" si="34"/>
        <v>5.3873632868443835E-2</v>
      </c>
      <c r="J47" s="8">
        <f t="shared" si="34"/>
        <v>5.7887881528981923E-2</v>
      </c>
      <c r="K47" s="8">
        <f t="shared" ref="K47:M47" si="35">STDEV(K28:K43)</f>
        <v>3.1658362502053859E-2</v>
      </c>
      <c r="L47" s="8">
        <f t="shared" si="35"/>
        <v>2.9948352681127492E-2</v>
      </c>
      <c r="M47" s="8">
        <f t="shared" si="35"/>
        <v>9.3431834456998528E-2</v>
      </c>
      <c r="N47" s="8" t="s">
        <v>1</v>
      </c>
      <c r="O47" s="8">
        <f t="shared" ref="O47:R47" si="36">STDEV(O28:O43)</f>
        <v>0.68540875718523053</v>
      </c>
      <c r="P47" s="8">
        <f t="shared" si="36"/>
        <v>1.0160504883464634</v>
      </c>
      <c r="Q47" s="8">
        <f t="shared" si="36"/>
        <v>5.9311417291367026E-2</v>
      </c>
      <c r="R47" s="8">
        <f t="shared" si="36"/>
        <v>0.42131702593754961</v>
      </c>
      <c r="S47" s="8">
        <f t="shared" ref="S47:V47" si="37">STDEV(S28:S43)</f>
        <v>0.66797470175078566</v>
      </c>
      <c r="T47" s="8">
        <f t="shared" si="37"/>
        <v>0.51654501129051444</v>
      </c>
      <c r="U47" s="8">
        <f t="shared" si="37"/>
        <v>1.0061172357894888</v>
      </c>
      <c r="V47" s="8">
        <f t="shared" si="37"/>
        <v>1.0132439894320036</v>
      </c>
    </row>
    <row r="48" spans="1:22" x14ac:dyDescent="0.35">
      <c r="A48" s="8" t="s">
        <v>2</v>
      </c>
      <c r="B48" s="8">
        <f t="shared" ref="B48:J48" si="38" xml:space="preserve"> B47/SQRT(COUNT(B28:B43))</f>
        <v>1.8908303579917643E-2</v>
      </c>
      <c r="C48" s="8">
        <f t="shared" si="38"/>
        <v>8.7110685696399501E-2</v>
      </c>
      <c r="D48" s="8">
        <f t="shared" si="38"/>
        <v>0.11639219145914462</v>
      </c>
      <c r="E48" s="8">
        <f t="shared" si="38"/>
        <v>0.24016927450529746</v>
      </c>
      <c r="F48" s="8">
        <f t="shared" si="38"/>
        <v>0.37866148263703309</v>
      </c>
      <c r="G48" s="8">
        <f t="shared" si="38"/>
        <v>0.29031506165516552</v>
      </c>
      <c r="H48" s="8">
        <f t="shared" si="38"/>
        <v>0.85083614944891617</v>
      </c>
      <c r="I48" s="8">
        <f t="shared" si="38"/>
        <v>1.9047205564215554E-2</v>
      </c>
      <c r="J48" s="8">
        <f t="shared" si="38"/>
        <v>2.0466456788833302E-2</v>
      </c>
      <c r="K48" s="8">
        <f t="shared" ref="K48:M48" si="39" xml:space="preserve"> K47/SQRT(COUNT(K28:K43))</f>
        <v>1.1192921403232099E-2</v>
      </c>
      <c r="L48" s="8">
        <f t="shared" si="39"/>
        <v>1.0588341633095785E-2</v>
      </c>
      <c r="M48" s="8">
        <f t="shared" si="39"/>
        <v>3.5313914072824804E-2</v>
      </c>
      <c r="N48" s="8" t="s">
        <v>2</v>
      </c>
      <c r="O48" s="8">
        <f t="shared" ref="O48:R48" si="40" xml:space="preserve"> O47/SQRT(COUNT(O28:O43))</f>
        <v>0.17697178012820805</v>
      </c>
      <c r="P48" s="8">
        <f t="shared" si="40"/>
        <v>0.35922809516884369</v>
      </c>
      <c r="Q48" s="8">
        <f t="shared" si="40"/>
        <v>2.0969752684255338E-2</v>
      </c>
      <c r="R48" s="8">
        <f t="shared" si="40"/>
        <v>0.14895806303489492</v>
      </c>
      <c r="S48" s="8">
        <f t="shared" ref="S48:V48" si="41" xml:space="preserve"> S47/SQRT(COUNT(S28:S43))</f>
        <v>0.23616472063452104</v>
      </c>
      <c r="T48" s="8">
        <f t="shared" si="41"/>
        <v>0.17218167043017149</v>
      </c>
      <c r="U48" s="8">
        <f t="shared" si="41"/>
        <v>0.35571616004770601</v>
      </c>
      <c r="V48" s="8">
        <f t="shared" si="41"/>
        <v>0.35823584796194008</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customFormat="1" ht="15" thickBot="1" x14ac:dyDescent="0.4"/>
    <row r="52" spans="1:22" x14ac:dyDescent="0.35">
      <c r="A52" s="45" t="str">
        <f t="shared" ref="A52:H52" si="42">A27</f>
        <v>Noms des groupes</v>
      </c>
      <c r="B52" s="46" t="str">
        <f t="shared" si="42"/>
        <v>Témoin solvant</v>
      </c>
      <c r="C52" s="46" t="str">
        <f t="shared" si="42"/>
        <v>EE2-33,8ng/L</v>
      </c>
      <c r="D52" s="46" t="str">
        <f t="shared" si="42"/>
        <v>EE2-50,6ng/L</v>
      </c>
      <c r="E52" s="46" t="str">
        <f t="shared" si="42"/>
        <v>EE2-76ng/L</v>
      </c>
      <c r="F52" s="46" t="str">
        <f t="shared" si="42"/>
        <v>EE2-114ng/L</v>
      </c>
      <c r="G52" s="46" t="str">
        <f t="shared" si="42"/>
        <v>EE2-170,9ng/L</v>
      </c>
      <c r="H52" s="46" t="str">
        <f t="shared" si="42"/>
        <v>EE2-488ng/L</v>
      </c>
      <c r="I52" s="46" t="str">
        <f>I4</f>
        <v>Saccharin-0,01mg/L</v>
      </c>
      <c r="J52" s="46" t="str">
        <f>J4</f>
        <v>Saccharin-0,1mg/L</v>
      </c>
      <c r="K52" s="46" t="str">
        <f t="shared" ref="K52:M52" si="43">K4</f>
        <v>Saccharin-1mg/L</v>
      </c>
      <c r="L52" s="46" t="str">
        <f t="shared" si="43"/>
        <v>Saccharin-10mg/L</v>
      </c>
      <c r="M52" s="46" t="str">
        <f t="shared" si="43"/>
        <v>Saccharin-100mg/L</v>
      </c>
      <c r="N52" s="47"/>
      <c r="O52" s="46" t="str">
        <f>O27</f>
        <v>Testo -30µg/L</v>
      </c>
      <c r="P52" s="46" t="str">
        <f>P27</f>
        <v>Testo 30µg/L + EE2 -64ng/L</v>
      </c>
      <c r="Q52" s="46" t="str">
        <f>Q27</f>
        <v>Testo 30µg/L + FAD-10µg/L</v>
      </c>
      <c r="R52" s="46" t="str">
        <f>R27</f>
        <v>Saccharin-0,01mg/L + Testostérone</v>
      </c>
      <c r="S52" s="46" t="str">
        <f t="shared" ref="S52:V52" si="44">S27</f>
        <v>Saccharin-0,1mg/L + Testostérone</v>
      </c>
      <c r="T52" s="46" t="str">
        <f t="shared" si="44"/>
        <v>Saccharin-1mg/L + Testostérone</v>
      </c>
      <c r="U52" s="46" t="str">
        <f t="shared" si="44"/>
        <v>Saccharin-10mg/L + Testostérone</v>
      </c>
      <c r="V52" s="46" t="str">
        <f t="shared" si="44"/>
        <v>Saccharin-100mg/L + Testostérone</v>
      </c>
    </row>
    <row r="53" spans="1:22" s="3" customFormat="1" x14ac:dyDescent="0.35">
      <c r="A53" s="61" t="s">
        <v>32</v>
      </c>
      <c r="B53" s="141">
        <f t="shared" ref="B53" si="45">B46</f>
        <v>8.3724945167275147E-2</v>
      </c>
      <c r="C53" s="141">
        <f t="shared" ref="C53:V53" si="46">C46</f>
        <v>0.1862186980167653</v>
      </c>
      <c r="D53" s="141">
        <f t="shared" si="46"/>
        <v>0.48522936602626565</v>
      </c>
      <c r="E53" s="141">
        <f t="shared" si="46"/>
        <v>1.1508738680835533</v>
      </c>
      <c r="F53" s="141">
        <f t="shared" si="46"/>
        <v>2.8655458706921526</v>
      </c>
      <c r="G53" s="141">
        <f t="shared" si="46"/>
        <v>3.5388966925913983</v>
      </c>
      <c r="H53" s="141">
        <f t="shared" si="46"/>
        <v>6.9671942267994176</v>
      </c>
      <c r="I53" s="141">
        <f t="shared" si="46"/>
        <v>7.2336866753494322E-2</v>
      </c>
      <c r="J53" s="141">
        <f t="shared" si="46"/>
        <v>5.0797299651914554E-2</v>
      </c>
      <c r="K53" s="141">
        <f t="shared" si="46"/>
        <v>4.1984299086676231E-2</v>
      </c>
      <c r="L53" s="141">
        <f t="shared" si="46"/>
        <v>3.4195321778513275E-2</v>
      </c>
      <c r="M53" s="141">
        <f t="shared" si="46"/>
        <v>7.11339252823327E-2</v>
      </c>
      <c r="N53" s="141"/>
      <c r="O53" s="141">
        <f t="shared" si="46"/>
        <v>0.99999999999999978</v>
      </c>
      <c r="P53" s="141">
        <f t="shared" si="46"/>
        <v>3.2072529485482337</v>
      </c>
      <c r="Q53" s="141">
        <f t="shared" si="46"/>
        <v>8.4943733760392978E-2</v>
      </c>
      <c r="R53" s="141">
        <f t="shared" si="46"/>
        <v>0.37446724874276882</v>
      </c>
      <c r="S53" s="141">
        <f t="shared" si="46"/>
        <v>0.63932408732021118</v>
      </c>
      <c r="T53" s="141">
        <f t="shared" si="46"/>
        <v>0.74113184210101957</v>
      </c>
      <c r="U53" s="141">
        <f t="shared" si="46"/>
        <v>1.0940064475703235</v>
      </c>
      <c r="V53" s="141">
        <f t="shared" si="46"/>
        <v>1.0202322047833949</v>
      </c>
    </row>
    <row r="54" spans="1:22" s="3" customFormat="1" x14ac:dyDescent="0.35">
      <c r="A54" s="61" t="s">
        <v>2</v>
      </c>
      <c r="B54" s="141">
        <f t="shared" ref="B54" si="47">B48</f>
        <v>1.8908303579917643E-2</v>
      </c>
      <c r="C54" s="141">
        <f t="shared" ref="C54:V54" si="48">C48</f>
        <v>8.7110685696399501E-2</v>
      </c>
      <c r="D54" s="141">
        <f t="shared" si="48"/>
        <v>0.11639219145914462</v>
      </c>
      <c r="E54" s="141">
        <f t="shared" si="48"/>
        <v>0.24016927450529746</v>
      </c>
      <c r="F54" s="141">
        <f t="shared" si="48"/>
        <v>0.37866148263703309</v>
      </c>
      <c r="G54" s="141">
        <f t="shared" si="48"/>
        <v>0.29031506165516552</v>
      </c>
      <c r="H54" s="141">
        <f t="shared" si="48"/>
        <v>0.85083614944891617</v>
      </c>
      <c r="I54" s="141">
        <f t="shared" si="48"/>
        <v>1.9047205564215554E-2</v>
      </c>
      <c r="J54" s="141">
        <f t="shared" si="48"/>
        <v>2.0466456788833302E-2</v>
      </c>
      <c r="K54" s="141">
        <f t="shared" si="48"/>
        <v>1.1192921403232099E-2</v>
      </c>
      <c r="L54" s="141">
        <f t="shared" si="48"/>
        <v>1.0588341633095785E-2</v>
      </c>
      <c r="M54" s="141">
        <f t="shared" si="48"/>
        <v>3.5313914072824804E-2</v>
      </c>
      <c r="N54" s="141"/>
      <c r="O54" s="141">
        <f t="shared" si="48"/>
        <v>0.17697178012820805</v>
      </c>
      <c r="P54" s="141">
        <f t="shared" si="48"/>
        <v>0.35922809516884369</v>
      </c>
      <c r="Q54" s="141">
        <f t="shared" si="48"/>
        <v>2.0969752684255338E-2</v>
      </c>
      <c r="R54" s="141">
        <f t="shared" si="48"/>
        <v>0.14895806303489492</v>
      </c>
      <c r="S54" s="141">
        <f t="shared" si="48"/>
        <v>0.23616472063452104</v>
      </c>
      <c r="T54" s="141">
        <f t="shared" si="48"/>
        <v>0.17218167043017149</v>
      </c>
      <c r="U54" s="141">
        <f t="shared" si="48"/>
        <v>0.35571616004770601</v>
      </c>
      <c r="V54" s="141">
        <f t="shared" si="48"/>
        <v>0.35823584796194008</v>
      </c>
    </row>
    <row r="55" spans="1:22" s="3" customFormat="1" x14ac:dyDescent="0.35">
      <c r="A55" s="61" t="s">
        <v>79</v>
      </c>
      <c r="B55" s="141">
        <f>(B53*100/$B53)-100</f>
        <v>0</v>
      </c>
      <c r="C55" s="141">
        <f t="shared" ref="C55:M55" si="49">(C53*100/$B53)-100</f>
        <v>122.4172230208292</v>
      </c>
      <c r="D55" s="141">
        <f t="shared" si="49"/>
        <v>479.55172745329321</v>
      </c>
      <c r="E55" s="141">
        <f t="shared" si="49"/>
        <v>1274.5889779733</v>
      </c>
      <c r="F55" s="141">
        <f t="shared" si="49"/>
        <v>3322.5712121602965</v>
      </c>
      <c r="G55" s="141">
        <f t="shared" si="49"/>
        <v>4126.8127921983005</v>
      </c>
      <c r="H55" s="141">
        <f t="shared" si="49"/>
        <v>8221.5273690291106</v>
      </c>
      <c r="I55" s="141">
        <f t="shared" si="49"/>
        <v>-13.601774705290566</v>
      </c>
      <c r="J55" s="141">
        <f t="shared" si="49"/>
        <v>-39.328357217283369</v>
      </c>
      <c r="K55" s="141">
        <f t="shared" si="49"/>
        <v>-49.854491988265558</v>
      </c>
      <c r="L55" s="141">
        <f t="shared" si="49"/>
        <v>-59.15754652308938</v>
      </c>
      <c r="M55" s="141">
        <f t="shared" si="49"/>
        <v>-15.038552560155978</v>
      </c>
      <c r="N55" s="141"/>
      <c r="O55" s="141">
        <f t="shared" ref="O55:V55" si="50">(O53*100/$O53)-100</f>
        <v>0</v>
      </c>
      <c r="P55" s="141">
        <f t="shared" si="50"/>
        <v>220.7252948548234</v>
      </c>
      <c r="Q55" s="141">
        <f t="shared" si="50"/>
        <v>-91.505626623960694</v>
      </c>
      <c r="R55" s="141">
        <f t="shared" si="50"/>
        <v>-62.553275125723111</v>
      </c>
      <c r="S55" s="141">
        <f t="shared" si="50"/>
        <v>-36.067591267978869</v>
      </c>
      <c r="T55" s="141">
        <f t="shared" si="50"/>
        <v>-25.886815789898023</v>
      </c>
      <c r="U55" s="141">
        <f t="shared" si="50"/>
        <v>9.4006447570323814</v>
      </c>
      <c r="V55" s="141">
        <f t="shared" si="50"/>
        <v>2.0232204783395247</v>
      </c>
    </row>
    <row r="56" spans="1:22" s="3" customFormat="1" x14ac:dyDescent="0.35">
      <c r="A56" s="61" t="s">
        <v>81</v>
      </c>
      <c r="B56" s="141">
        <f>[1]!SWTEST(B28:B43)</f>
        <v>0.99502219306959838</v>
      </c>
      <c r="C56" s="141">
        <f>[1]!SWTEST(C28:C43)</f>
        <v>6.9240050760585037E-3</v>
      </c>
      <c r="D56" s="141">
        <f>[1]!SWTEST(D28:D43)</f>
        <v>0.48152893967959398</v>
      </c>
      <c r="E56" s="141">
        <f>[1]!SWTEST(E28:E43)</f>
        <v>9.3667946704222294E-3</v>
      </c>
      <c r="F56" s="141">
        <f>[1]!SWTEST(F28:F43)</f>
        <v>0.5750894479028773</v>
      </c>
      <c r="G56" s="141">
        <f>[1]!SWTEST(G28:G43)</f>
        <v>6.5551331512007649E-2</v>
      </c>
      <c r="H56" s="141">
        <f>[1]!SWTEST(H28:H43)</f>
        <v>0.21818262323315329</v>
      </c>
      <c r="I56" s="141">
        <f>[1]!SWTEST(I28:I43)</f>
        <v>0.41631381973951687</v>
      </c>
      <c r="J56" s="141">
        <f>[1]!SWTEST(J28:J43)</f>
        <v>5.7855913886712962E-3</v>
      </c>
      <c r="K56" s="141">
        <f>[1]!SWTEST(K28:K43)</f>
        <v>0.82625068053855144</v>
      </c>
      <c r="L56" s="141">
        <f>[1]!SWTEST(L28:L43)</f>
        <v>0.26146859994465166</v>
      </c>
      <c r="M56" s="141">
        <f>[1]!SWTEST(M28:M43)</f>
        <v>4.5574540316851597E-2</v>
      </c>
      <c r="N56" s="141"/>
      <c r="O56" s="141">
        <f>[1]!SWTEST(O28:O43)</f>
        <v>0.31299268847388417</v>
      </c>
      <c r="P56" s="141">
        <f>[1]!SWTEST(P28:P43)</f>
        <v>0.6554035516104515</v>
      </c>
      <c r="Q56" s="141">
        <f>[1]!SWTEST(Q28:Q43)</f>
        <v>8.724868949122877E-2</v>
      </c>
      <c r="R56" s="141">
        <f>[1]!SWTEST(R28:R43)</f>
        <v>1.6719291050727669E-2</v>
      </c>
      <c r="S56" s="141">
        <f>[1]!SWTEST(S28:S43)</f>
        <v>0.12797281844362152</v>
      </c>
      <c r="T56" s="141">
        <f>[1]!SWTEST(T28:T43)</f>
        <v>0.40384399001006333</v>
      </c>
      <c r="U56" s="141">
        <f>[1]!SWTEST(U28:U43)</f>
        <v>3.9758854911547514E-2</v>
      </c>
      <c r="V56" s="141">
        <f>[1]!SWTEST(V28:V43)</f>
        <v>4.6289551772606519E-2</v>
      </c>
    </row>
    <row r="57" spans="1:22" s="3" customFormat="1" x14ac:dyDescent="0.35">
      <c r="A57" s="61" t="s">
        <v>85</v>
      </c>
      <c r="B57" s="141" t="str">
        <f>IF(B56&gt;0.05,"Oui","Non")</f>
        <v>Oui</v>
      </c>
      <c r="C57" s="141" t="str">
        <f t="shared" ref="C57:V57" si="51">IF(C56&gt;0.05,"Oui","Non")</f>
        <v>Non</v>
      </c>
      <c r="D57" s="141" t="str">
        <f t="shared" si="51"/>
        <v>Oui</v>
      </c>
      <c r="E57" s="141" t="str">
        <f t="shared" si="51"/>
        <v>Non</v>
      </c>
      <c r="F57" s="141" t="str">
        <f t="shared" si="51"/>
        <v>Oui</v>
      </c>
      <c r="G57" s="141" t="str">
        <f t="shared" si="51"/>
        <v>Oui</v>
      </c>
      <c r="H57" s="141" t="str">
        <f t="shared" si="51"/>
        <v>Oui</v>
      </c>
      <c r="I57" s="141" t="str">
        <f t="shared" si="51"/>
        <v>Oui</v>
      </c>
      <c r="J57" s="141" t="str">
        <f t="shared" si="51"/>
        <v>Non</v>
      </c>
      <c r="K57" s="141" t="str">
        <f t="shared" si="51"/>
        <v>Oui</v>
      </c>
      <c r="L57" s="141" t="str">
        <f t="shared" si="51"/>
        <v>Oui</v>
      </c>
      <c r="M57" s="141" t="str">
        <f t="shared" si="51"/>
        <v>Non</v>
      </c>
      <c r="N57" s="141"/>
      <c r="O57" s="141" t="str">
        <f t="shared" si="51"/>
        <v>Oui</v>
      </c>
      <c r="P57" s="141" t="str">
        <f t="shared" si="51"/>
        <v>Oui</v>
      </c>
      <c r="Q57" s="141" t="str">
        <f t="shared" si="51"/>
        <v>Oui</v>
      </c>
      <c r="R57" s="141" t="str">
        <f t="shared" si="51"/>
        <v>Non</v>
      </c>
      <c r="S57" s="141" t="str">
        <f t="shared" si="51"/>
        <v>Oui</v>
      </c>
      <c r="T57" s="141" t="str">
        <f t="shared" si="51"/>
        <v>Oui</v>
      </c>
      <c r="U57" s="141" t="str">
        <f t="shared" si="51"/>
        <v>Non</v>
      </c>
      <c r="V57" s="141" t="str">
        <f t="shared" si="51"/>
        <v>Non</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tr">
        <f t="shared" ref="C59:O59" si="52">IF($B57="Non",IF(C57="Non","MW",IF(C57="Oui","MW","")),IF($B57="Oui",IF(C57="Oui","T-Test Welch",IF(C57="Non","MW",""))))</f>
        <v>MW</v>
      </c>
      <c r="D59" s="150" t="str">
        <f t="shared" si="52"/>
        <v>T-Test Welch</v>
      </c>
      <c r="E59" s="150" t="str">
        <f t="shared" si="52"/>
        <v>MW</v>
      </c>
      <c r="F59" s="150" t="str">
        <f t="shared" si="52"/>
        <v>T-Test Welch</v>
      </c>
      <c r="G59" s="150" t="str">
        <f t="shared" si="52"/>
        <v>T-Test Welch</v>
      </c>
      <c r="H59" s="150" t="str">
        <f t="shared" si="52"/>
        <v>T-Test Welch</v>
      </c>
      <c r="I59" s="150" t="str">
        <f t="shared" si="52"/>
        <v>T-Test Welch</v>
      </c>
      <c r="J59" s="150" t="str">
        <f t="shared" si="52"/>
        <v>MW</v>
      </c>
      <c r="K59" s="150" t="str">
        <f t="shared" si="52"/>
        <v>T-Test Welch</v>
      </c>
      <c r="L59" s="150" t="str">
        <f t="shared" si="52"/>
        <v>T-Test Welch</v>
      </c>
      <c r="M59" s="150" t="str">
        <f t="shared" si="52"/>
        <v>MW</v>
      </c>
      <c r="N59" s="150"/>
      <c r="O59" s="150" t="str">
        <f t="shared" si="52"/>
        <v>T-Test Welch</v>
      </c>
      <c r="P59" s="150" t="str">
        <f t="shared" ref="P59:V59" si="53">IF($O57="Non",IF(P57="Non","MW",IF(P57="Oui","MW","")),IF($O57="Oui",IF(P57="Oui","T-Test Welch",IF(P57="Non","MW",""))))</f>
        <v>T-Test Welch</v>
      </c>
      <c r="Q59" s="150" t="str">
        <f t="shared" si="53"/>
        <v>T-Test Welch</v>
      </c>
      <c r="R59" s="150" t="str">
        <f t="shared" si="53"/>
        <v>MW</v>
      </c>
      <c r="S59" s="150" t="str">
        <f t="shared" si="53"/>
        <v>T-Test Welch</v>
      </c>
      <c r="T59" s="150" t="str">
        <f t="shared" si="53"/>
        <v>T-Test Welch</v>
      </c>
      <c r="U59" s="150" t="str">
        <f t="shared" si="53"/>
        <v>MW</v>
      </c>
      <c r="V59" s="150" t="str">
        <f t="shared" si="53"/>
        <v>MW</v>
      </c>
    </row>
    <row r="60" spans="1:22" s="3" customFormat="1" x14ac:dyDescent="0.35">
      <c r="A60" s="61" t="s">
        <v>83</v>
      </c>
      <c r="B60" s="151"/>
      <c r="C60" s="151">
        <f>IF(C59="MW",[1]!MTEST($B28:$B43,C28:C43,2), IF(C59="T-Test Welch",_xlfn.T.TEST($B28:$B43,C28:C43,2,3),""))</f>
        <v>0.52861212525568768</v>
      </c>
      <c r="D60" s="151">
        <f>IF(D59="MW",[1]!MTEST($B28:$B43,D28:D43,2), IF(D59="T-Test Welch",_xlfn.T.TEST($B28:$B43,D28:D43,2,3),""))</f>
        <v>1.0512351066676201E-2</v>
      </c>
      <c r="E60" s="151">
        <f>IF(E59="MW",[1]!MTEST($B28:$B43,E28:E43,2), IF(E59="T-Test Welch",_xlfn.T.TEST($B28:$B43,E28:E43,2,3),""))</f>
        <v>7.7753044694039986E-4</v>
      </c>
      <c r="F60" s="151">
        <f>IF(F59="MW",[1]!MTEST($B28:$B43,F28:F43,2), IF(F59="T-Test Welch",_xlfn.T.TEST($B28:$B43,F28:F43,2,3),""))</f>
        <v>1.5384831807476864E-4</v>
      </c>
      <c r="G60" s="151">
        <f>IF(G59="MW",[1]!MTEST($B28:$B43,G28:G43,2), IF(G59="T-Test Welch",_xlfn.T.TEST($B28:$B43,G28:G43,2,3),""))</f>
        <v>6.3810538380729925E-6</v>
      </c>
      <c r="H60" s="151">
        <f>IF(H59="MW",[1]!MTEST($B28:$B43,H28:H43,2), IF(H59="T-Test Welch",_xlfn.T.TEST($B28:$B43,H28:H43,2,3),""))</f>
        <v>8.4522524184254963E-5</v>
      </c>
      <c r="I60" s="151">
        <f>IF(I59="MW",[1]!MTEST($B28:$B43,I28:I43,2), IF(I59="T-Test Welch",_xlfn.T.TEST($B28:$B43,I28:I43,2,3),""))</f>
        <v>0.6777848904790944</v>
      </c>
      <c r="J60" s="151">
        <f>IF(J59="MW",[1]!MTEST($B28:$B43,J28:J43,2), IF(J59="T-Test Welch",_xlfn.T.TEST($B28:$B43,J28:J43,2,3),""))</f>
        <v>0.20757844233562395</v>
      </c>
      <c r="K60" s="151">
        <f>IF(K59="MW",[1]!MTEST($B28:$B43,K28:K43,2), IF(K59="T-Test Welch",_xlfn.T.TEST($B28:$B43,K28:K43,2,3),""))</f>
        <v>8.3132600454033909E-2</v>
      </c>
      <c r="L60" s="151">
        <f>IF(L59="MW",[1]!MTEST($B28:$B43,L28:L43,2), IF(L59="T-Test Welch",_xlfn.T.TEST($B28:$B43,L28:L43,2,3),""))</f>
        <v>4.3122230557693597E-2</v>
      </c>
      <c r="M60" s="151">
        <f>IF(M59="MW",[1]!MTEST($B28:$B43,M28:M43,2), IF(M59="T-Test Welch",_xlfn.T.TEST($B28:$B43,M28:M43,2,3),""))</f>
        <v>0.29762146789111621</v>
      </c>
      <c r="N60" s="151"/>
      <c r="O60" s="151">
        <f>IF(O59="MW",[1]!MTEST($B28:$B43,O28:O43,2), IF(O59="T-Test Welch",_xlfn.T.TEST($B28:$B43,O28:O43,2,3),""))</f>
        <v>1.3782861587186606E-4</v>
      </c>
      <c r="P60" s="151">
        <f>IF(P59="MW",[1]!MTEST($O28:$O43,P28:P43,2), IF(P59="T-Test Welch",_xlfn.T.TEST($O28:$O43,P28:P43,2,3),""))</f>
        <v>2.1614871819193452E-4</v>
      </c>
      <c r="Q60" s="151">
        <f>IF(Q59="MW",[1]!MTEST($O28:$O43,Q28:Q43,2), IF(Q59="T-Test Welch",_xlfn.T.TEST($O28:$O43,Q28:Q43,2,3),""))</f>
        <v>1.3911361661117592E-4</v>
      </c>
      <c r="R60" s="151">
        <f>IF(R59="MW",[1]!MTEST($O28:$O43,R28:R43,2), IF(R59="T-Test Welch",_xlfn.T.TEST($O28:$O43,R28:R43,2,3),""))</f>
        <v>2.3868442164574288E-2</v>
      </c>
      <c r="S60" s="151">
        <f>IF(S59="MW",[1]!MTEST($O28:$O43,S28:S43,2), IF(S59="T-Test Welch",_xlfn.T.TEST($O28:$O43,S28:S43,2,3),""))</f>
        <v>0.24082856651373744</v>
      </c>
      <c r="T60" s="151">
        <f>IF(T59="MW",[1]!MTEST($O28:$O43,T28:T43,2), IF(T59="T-Test Welch",_xlfn.T.TEST($O28:$O43,T28:T43,2,3),""))</f>
        <v>0.30655628145963326</v>
      </c>
      <c r="U60" s="151">
        <f>IF(U59="MW",[1]!MTEST($O28:$O43,U28:U43,2), IF(U59="T-Test Welch",_xlfn.T.TEST($O28:$O43,U28:U43,2,3),""))</f>
        <v>0.89727896126008311</v>
      </c>
      <c r="V60" s="151">
        <f>IF(V59="MW",[1]!MTEST($O28:$O43,V28:V43,2), IF(V59="T-Test Welch",_xlfn.T.TEST($O28:$O43,V28:V43,2,3),""))</f>
        <v>0.60557661633534643</v>
      </c>
    </row>
    <row r="61" spans="1:22" s="3" customFormat="1" ht="15" thickBot="1" x14ac:dyDescent="0.4">
      <c r="A61" s="62" t="s">
        <v>84</v>
      </c>
      <c r="B61" s="142"/>
      <c r="C61" s="142" t="str">
        <f t="shared" ref="C61:O61" si="54">IF(C60&gt;0.05,"NS",IF(C60&gt;0.01,"*",IF(C60&gt;0.001,"**","***")))</f>
        <v>NS</v>
      </c>
      <c r="D61" s="142" t="str">
        <f t="shared" si="54"/>
        <v>*</v>
      </c>
      <c r="E61" s="142" t="str">
        <f t="shared" si="54"/>
        <v>***</v>
      </c>
      <c r="F61" s="142" t="str">
        <f t="shared" si="54"/>
        <v>***</v>
      </c>
      <c r="G61" s="142" t="str">
        <f t="shared" si="54"/>
        <v>***</v>
      </c>
      <c r="H61" s="142" t="str">
        <f t="shared" si="54"/>
        <v>***</v>
      </c>
      <c r="I61" s="142" t="str">
        <f t="shared" si="54"/>
        <v>NS</v>
      </c>
      <c r="J61" s="142" t="str">
        <f t="shared" si="54"/>
        <v>NS</v>
      </c>
      <c r="K61" s="142" t="str">
        <f t="shared" si="54"/>
        <v>NS</v>
      </c>
      <c r="L61" s="142" t="str">
        <f t="shared" si="54"/>
        <v>*</v>
      </c>
      <c r="M61" s="142" t="str">
        <f t="shared" si="54"/>
        <v>NS</v>
      </c>
      <c r="N61" s="142"/>
      <c r="O61" s="142" t="str">
        <f t="shared" si="54"/>
        <v>***</v>
      </c>
      <c r="P61" s="142" t="str">
        <f>IF(P60&gt;0.05,"NS",IF(P60&gt;0.01,"*",IF(P60&gt;0.001,"**","***")))</f>
        <v>***</v>
      </c>
      <c r="Q61" s="142" t="str">
        <f t="shared" ref="Q61:V61" si="55">IF(Q60&gt;0.05,"NS",IF(Q60&gt;0.01,"*",IF(Q60&gt;0.001,"**","***")))</f>
        <v>***</v>
      </c>
      <c r="R61" s="142" t="str">
        <f t="shared" si="55"/>
        <v>*</v>
      </c>
      <c r="S61" s="142" t="str">
        <f t="shared" si="55"/>
        <v>NS</v>
      </c>
      <c r="T61" s="142" t="str">
        <f t="shared" si="55"/>
        <v>NS</v>
      </c>
      <c r="U61" s="142" t="str">
        <f t="shared" si="55"/>
        <v>NS</v>
      </c>
      <c r="V61" s="142" t="str">
        <f t="shared" si="55"/>
        <v>NS</v>
      </c>
    </row>
    <row r="63" spans="1:22" x14ac:dyDescent="0.35">
      <c r="A63" s="2" t="s">
        <v>39</v>
      </c>
    </row>
    <row r="64" spans="1:22" x14ac:dyDescent="0.35">
      <c r="A64" s="1" t="s">
        <v>23</v>
      </c>
      <c r="B64" s="1">
        <f>B46+(3*B47)</f>
        <v>0.24416722135239882</v>
      </c>
    </row>
    <row r="65" spans="1:22" x14ac:dyDescent="0.35">
      <c r="A65" s="1" t="s">
        <v>24</v>
      </c>
      <c r="B65" s="1">
        <f>B46+(10*B47)</f>
        <v>0.61853253245102069</v>
      </c>
    </row>
    <row r="66" spans="1:22" ht="15" thickBot="1" x14ac:dyDescent="0.4"/>
    <row r="67" spans="1:22" ht="26.5" thickBot="1" x14ac:dyDescent="0.65">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A1686" zoomScale="80" zoomScaleNormal="80" workbookViewId="0">
      <selection activeCell="A1010" sqref="A1010:I1711"/>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
      </c>
      <c r="B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
      </c>
      <c r="B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
      </c>
      <c r="B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
      </c>
      <c r="B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
      </c>
      <c r="B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
      </c>
      <c r="B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
      </c>
      <c r="B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
      </c>
      <c r="B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
      </c>
      <c r="B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 spans="1:144" x14ac:dyDescent="0.35">
      <c r="A12" s="1" t="str">
        <f t="shared" si="0"/>
        <v/>
      </c>
      <c r="B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 spans="1:144" x14ac:dyDescent="0.35">
      <c r="A13" s="1" t="str">
        <f t="shared" si="0"/>
        <v/>
      </c>
      <c r="B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 spans="1:144" x14ac:dyDescent="0.35">
      <c r="A14" s="1" t="str">
        <f t="shared" si="0"/>
        <v/>
      </c>
      <c r="B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 spans="1:144" x14ac:dyDescent="0.35">
      <c r="A15" s="1" t="str">
        <f t="shared" si="0"/>
        <v/>
      </c>
      <c r="B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 spans="1:144" x14ac:dyDescent="0.35">
      <c r="A16" s="1" t="str">
        <f t="shared" si="0"/>
        <v/>
      </c>
      <c r="B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 spans="1:2" x14ac:dyDescent="0.35">
      <c r="A17" s="1" t="str">
        <f t="shared" si="0"/>
        <v/>
      </c>
      <c r="B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 spans="1:2" x14ac:dyDescent="0.35">
      <c r="A18" s="1" t="str">
        <f t="shared" si="0"/>
        <v/>
      </c>
      <c r="B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 spans="1:2" x14ac:dyDescent="0.35">
      <c r="A19" s="1" t="str">
        <f t="shared" si="0"/>
        <v/>
      </c>
      <c r="B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 spans="1:2" x14ac:dyDescent="0.35">
      <c r="A20" s="1" t="str">
        <f t="shared" si="0"/>
        <v/>
      </c>
      <c r="B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 spans="1:2" x14ac:dyDescent="0.35">
      <c r="A21" s="1" t="str">
        <f t="shared" si="0"/>
        <v/>
      </c>
      <c r="B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 spans="1:2" x14ac:dyDescent="0.35">
      <c r="A22" s="1" t="str">
        <f t="shared" si="0"/>
        <v/>
      </c>
      <c r="B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 spans="1:2" x14ac:dyDescent="0.35">
      <c r="A23" s="1" t="str">
        <f t="shared" si="0"/>
        <v/>
      </c>
      <c r="B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 spans="1:2" x14ac:dyDescent="0.35">
      <c r="A24" s="1" t="str">
        <f t="shared" si="0"/>
        <v/>
      </c>
      <c r="B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 spans="1:2" x14ac:dyDescent="0.35">
      <c r="A25" s="1" t="str">
        <f t="shared" si="0"/>
        <v/>
      </c>
      <c r="B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 spans="1:2" x14ac:dyDescent="0.3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 spans="1:2" x14ac:dyDescent="0.3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 spans="1:2" x14ac:dyDescent="0.35">
      <c r="A28" s="1" t="str">
        <f t="shared" si="0"/>
        <v/>
      </c>
      <c r="B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 spans="1:2" x14ac:dyDescent="0.3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 spans="1:2" x14ac:dyDescent="0.3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 spans="1:2" x14ac:dyDescent="0.3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 spans="1:2" x14ac:dyDescent="0.3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 spans="1:2" x14ac:dyDescent="0.3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 spans="1:2" x14ac:dyDescent="0.3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 spans="1:2" x14ac:dyDescent="0.35">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 spans="1:2" x14ac:dyDescent="0.35">
      <c r="A36" s="1" t="str">
        <f t="shared" si="0"/>
        <v/>
      </c>
      <c r="B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 spans="1:2" x14ac:dyDescent="0.35">
      <c r="A37" s="1" t="str">
        <f t="shared" si="0"/>
        <v/>
      </c>
      <c r="B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 spans="1:2" x14ac:dyDescent="0.35">
      <c r="A38" s="1" t="str">
        <f t="shared" si="0"/>
        <v/>
      </c>
      <c r="B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 spans="1:2" x14ac:dyDescent="0.35">
      <c r="A39" s="1" t="str">
        <f t="shared" si="0"/>
        <v/>
      </c>
      <c r="B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 spans="1:2" x14ac:dyDescent="0.35">
      <c r="A40" s="1" t="str">
        <f t="shared" si="0"/>
        <v/>
      </c>
      <c r="B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 spans="1:2" x14ac:dyDescent="0.35">
      <c r="A41" s="1" t="str">
        <f t="shared" si="0"/>
        <v/>
      </c>
      <c r="B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 spans="1:2" x14ac:dyDescent="0.35">
      <c r="A42" s="1" t="str">
        <f t="shared" si="0"/>
        <v/>
      </c>
      <c r="B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 spans="1:2" x14ac:dyDescent="0.35">
      <c r="A43" s="1" t="str">
        <f t="shared" si="0"/>
        <v/>
      </c>
      <c r="B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 spans="1:2" x14ac:dyDescent="0.35">
      <c r="A44" s="1" t="str">
        <f t="shared" si="0"/>
        <v/>
      </c>
      <c r="B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 spans="1:2" x14ac:dyDescent="0.35">
      <c r="A45" s="1" t="str">
        <f t="shared" si="0"/>
        <v/>
      </c>
      <c r="B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 spans="1:2" x14ac:dyDescent="0.35">
      <c r="A46" s="1" t="str">
        <f t="shared" si="0"/>
        <v/>
      </c>
      <c r="B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 spans="1:2" x14ac:dyDescent="0.35">
      <c r="A47" s="1" t="str">
        <f t="shared" si="0"/>
        <v/>
      </c>
      <c r="B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 spans="1:2" x14ac:dyDescent="0.35">
      <c r="A48" s="1" t="str">
        <f t="shared" si="0"/>
        <v/>
      </c>
      <c r="B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 spans="1:2" x14ac:dyDescent="0.35">
      <c r="A49" s="1" t="str">
        <f t="shared" si="0"/>
        <v/>
      </c>
      <c r="B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 spans="1:2" x14ac:dyDescent="0.35">
      <c r="A50" s="1" t="str">
        <f t="shared" si="0"/>
        <v/>
      </c>
      <c r="B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 spans="1:2" x14ac:dyDescent="0.35">
      <c r="A51" s="1" t="str">
        <f t="shared" si="0"/>
        <v/>
      </c>
      <c r="B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 spans="1:2" x14ac:dyDescent="0.35">
      <c r="A52" s="1" t="str">
        <f t="shared" si="0"/>
        <v/>
      </c>
      <c r="B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 spans="1:2" x14ac:dyDescent="0.35">
      <c r="A53" s="1" t="str">
        <f t="shared" si="0"/>
        <v/>
      </c>
      <c r="B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 spans="1:2" x14ac:dyDescent="0.35">
      <c r="A54" s="1" t="str">
        <f t="shared" si="0"/>
        <v/>
      </c>
      <c r="B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 spans="1:2" x14ac:dyDescent="0.35">
      <c r="A55" s="1" t="str">
        <f t="shared" si="0"/>
        <v/>
      </c>
      <c r="B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 spans="1:2" x14ac:dyDescent="0.35">
      <c r="A56" s="1" t="str">
        <f t="shared" si="0"/>
        <v/>
      </c>
      <c r="B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 spans="1:2" x14ac:dyDescent="0.35">
      <c r="A57" s="1" t="str">
        <f t="shared" si="0"/>
        <v/>
      </c>
      <c r="B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 spans="1:2" x14ac:dyDescent="0.35">
      <c r="A58" s="1" t="str">
        <f t="shared" si="0"/>
        <v/>
      </c>
      <c r="B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 spans="1:2" x14ac:dyDescent="0.3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 spans="1:2" x14ac:dyDescent="0.3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 spans="1:2" x14ac:dyDescent="0.35">
      <c r="A61" s="1" t="str">
        <f t="shared" si="0"/>
        <v/>
      </c>
      <c r="B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 spans="1:2" x14ac:dyDescent="0.3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 spans="1:2" x14ac:dyDescent="0.3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 spans="1:2" x14ac:dyDescent="0.3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 spans="1:2" x14ac:dyDescent="0.3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 spans="1:2" x14ac:dyDescent="0.3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 spans="1:2" x14ac:dyDescent="0.3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 spans="1:2" x14ac:dyDescent="0.35">
      <c r="A68" s="1" t="str">
        <f t="shared" si="1"/>
        <v/>
      </c>
      <c r="B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 spans="1:2" x14ac:dyDescent="0.35">
      <c r="A69" s="1" t="str">
        <f t="shared" si="1"/>
        <v/>
      </c>
      <c r="B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 spans="1:2" x14ac:dyDescent="0.35">
      <c r="A70" s="1" t="str">
        <f t="shared" si="1"/>
        <v/>
      </c>
      <c r="B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 spans="1:2" x14ac:dyDescent="0.35">
      <c r="A71" s="1" t="str">
        <f t="shared" si="1"/>
        <v/>
      </c>
      <c r="B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 spans="1:2" x14ac:dyDescent="0.35">
      <c r="A72" s="1" t="str">
        <f t="shared" si="1"/>
        <v/>
      </c>
      <c r="B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 spans="1:2" x14ac:dyDescent="0.35">
      <c r="A73" s="1" t="str">
        <f t="shared" si="1"/>
        <v/>
      </c>
      <c r="B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 spans="1:2" x14ac:dyDescent="0.35">
      <c r="A74" s="1" t="str">
        <f t="shared" si="1"/>
        <v/>
      </c>
      <c r="B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 spans="1:2" x14ac:dyDescent="0.35">
      <c r="A75" s="1" t="str">
        <f t="shared" si="1"/>
        <v/>
      </c>
      <c r="B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 spans="1:2" x14ac:dyDescent="0.35">
      <c r="A76" s="1" t="str">
        <f t="shared" si="1"/>
        <v/>
      </c>
      <c r="B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 spans="1:2" x14ac:dyDescent="0.35">
      <c r="A77" s="1" t="str">
        <f t="shared" si="1"/>
        <v/>
      </c>
      <c r="B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 spans="1:2" x14ac:dyDescent="0.35">
      <c r="A78" s="1" t="str">
        <f t="shared" si="1"/>
        <v/>
      </c>
      <c r="B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 spans="1:2" x14ac:dyDescent="0.35">
      <c r="A79" s="1" t="str">
        <f t="shared" si="1"/>
        <v/>
      </c>
      <c r="B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 spans="1:2" x14ac:dyDescent="0.35">
      <c r="A80" s="1" t="str">
        <f t="shared" si="1"/>
        <v/>
      </c>
      <c r="B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 spans="1:2" x14ac:dyDescent="0.35">
      <c r="A81" s="1" t="str">
        <f t="shared" si="1"/>
        <v/>
      </c>
      <c r="B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 spans="1:2" x14ac:dyDescent="0.35">
      <c r="A82" s="1" t="str">
        <f t="shared" si="1"/>
        <v/>
      </c>
      <c r="B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 spans="1:2" x14ac:dyDescent="0.35">
      <c r="A83" s="1" t="str">
        <f t="shared" si="1"/>
        <v/>
      </c>
      <c r="B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 spans="1:2" x14ac:dyDescent="0.35">
      <c r="A84" s="1" t="str">
        <f t="shared" si="1"/>
        <v/>
      </c>
      <c r="B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 spans="1:2" x14ac:dyDescent="0.35">
      <c r="A85" s="1" t="str">
        <f t="shared" si="1"/>
        <v/>
      </c>
      <c r="B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 spans="1:2" x14ac:dyDescent="0.35">
      <c r="A86" s="1" t="str">
        <f t="shared" si="1"/>
        <v/>
      </c>
      <c r="B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 spans="1:2" x14ac:dyDescent="0.35">
      <c r="A87" s="1" t="str">
        <f t="shared" si="1"/>
        <v/>
      </c>
      <c r="B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 spans="1:2" x14ac:dyDescent="0.35">
      <c r="A88" s="1" t="str">
        <f t="shared" si="1"/>
        <v/>
      </c>
      <c r="B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 spans="1:2" x14ac:dyDescent="0.35">
      <c r="A89" s="1" t="str">
        <f t="shared" si="1"/>
        <v/>
      </c>
      <c r="B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 spans="1:2" x14ac:dyDescent="0.35">
      <c r="A90" s="1" t="str">
        <f t="shared" si="1"/>
        <v/>
      </c>
      <c r="B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 spans="1:2" x14ac:dyDescent="0.35">
      <c r="A91" s="1" t="str">
        <f t="shared" si="1"/>
        <v/>
      </c>
      <c r="B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 spans="1:2" x14ac:dyDescent="0.3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 spans="1:2" x14ac:dyDescent="0.3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 spans="1:2" x14ac:dyDescent="0.35">
      <c r="A94" s="1" t="str">
        <f t="shared" si="1"/>
        <v/>
      </c>
      <c r="B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 spans="1:2" x14ac:dyDescent="0.3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 spans="1:2" x14ac:dyDescent="0.3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 spans="1:2" x14ac:dyDescent="0.3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 spans="1:2" x14ac:dyDescent="0.3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 spans="1:2" x14ac:dyDescent="0.3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 spans="1:2" x14ac:dyDescent="0.3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 spans="1:2" x14ac:dyDescent="0.35">
      <c r="A101" s="1" t="str">
        <f t="shared" si="1"/>
        <v/>
      </c>
      <c r="B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 spans="1:2" x14ac:dyDescent="0.35">
      <c r="A102" s="1" t="str">
        <f t="shared" si="1"/>
        <v/>
      </c>
      <c r="B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 spans="1:2" x14ac:dyDescent="0.35">
      <c r="A103" s="1" t="str">
        <f t="shared" si="1"/>
        <v/>
      </c>
      <c r="B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 spans="1:2" x14ac:dyDescent="0.35">
      <c r="A104" s="1" t="str">
        <f t="shared" si="1"/>
        <v/>
      </c>
      <c r="B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 spans="1:2" x14ac:dyDescent="0.35">
      <c r="A105" s="1" t="str">
        <f t="shared" si="1"/>
        <v/>
      </c>
      <c r="B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 spans="1:2" x14ac:dyDescent="0.35">
      <c r="A106" s="1" t="str">
        <f t="shared" si="1"/>
        <v/>
      </c>
      <c r="B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 spans="1:2" x14ac:dyDescent="0.35">
      <c r="A107" s="1" t="str">
        <f t="shared" si="1"/>
        <v/>
      </c>
      <c r="B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 spans="1:2" x14ac:dyDescent="0.35">
      <c r="A108" s="1" t="str">
        <f t="shared" si="1"/>
        <v/>
      </c>
      <c r="B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 spans="1:2" x14ac:dyDescent="0.35">
      <c r="A109" s="1" t="str">
        <f t="shared" si="1"/>
        <v/>
      </c>
      <c r="B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 spans="1:2" x14ac:dyDescent="0.35">
      <c r="A110" s="1" t="str">
        <f t="shared" si="1"/>
        <v/>
      </c>
      <c r="B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 spans="1:2" x14ac:dyDescent="0.35">
      <c r="A111" s="1" t="str">
        <f t="shared" si="1"/>
        <v/>
      </c>
      <c r="B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 spans="1:2" x14ac:dyDescent="0.35">
      <c r="A112" s="1" t="str">
        <f t="shared" si="1"/>
        <v/>
      </c>
      <c r="B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 spans="1:2" x14ac:dyDescent="0.35">
      <c r="A113" s="1" t="str">
        <f t="shared" si="1"/>
        <v/>
      </c>
      <c r="B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 spans="1:2" x14ac:dyDescent="0.35">
      <c r="A114" s="1" t="str">
        <f t="shared" si="1"/>
        <v/>
      </c>
      <c r="B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 spans="1:2" x14ac:dyDescent="0.35">
      <c r="A115" s="1" t="str">
        <f t="shared" si="1"/>
        <v/>
      </c>
      <c r="B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 spans="1:2" x14ac:dyDescent="0.35">
      <c r="A116" s="1" t="str">
        <f t="shared" si="1"/>
        <v/>
      </c>
      <c r="B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 spans="1:2" x14ac:dyDescent="0.35">
      <c r="A117" s="1" t="str">
        <f t="shared" si="1"/>
        <v/>
      </c>
      <c r="B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 spans="1:2" x14ac:dyDescent="0.35">
      <c r="A118" s="1" t="str">
        <f t="shared" si="1"/>
        <v/>
      </c>
      <c r="B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 spans="1:2" x14ac:dyDescent="0.35">
      <c r="A119" s="1" t="str">
        <f t="shared" si="1"/>
        <v/>
      </c>
      <c r="B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 spans="1:2" x14ac:dyDescent="0.35">
      <c r="A120" s="1" t="str">
        <f t="shared" si="1"/>
        <v/>
      </c>
      <c r="B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 spans="1:2" x14ac:dyDescent="0.35">
      <c r="A121" s="1" t="str">
        <f t="shared" si="1"/>
        <v/>
      </c>
      <c r="B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 spans="1:2" x14ac:dyDescent="0.35">
      <c r="A122" s="1" t="str">
        <f t="shared" si="1"/>
        <v/>
      </c>
      <c r="B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 spans="1:2" x14ac:dyDescent="0.35">
      <c r="A123" s="1" t="str">
        <f t="shared" si="1"/>
        <v/>
      </c>
      <c r="B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 spans="1:2" x14ac:dyDescent="0.35">
      <c r="A124" s="1" t="str">
        <f t="shared" si="1"/>
        <v/>
      </c>
      <c r="B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 spans="1:2" x14ac:dyDescent="0.3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 spans="1:2" x14ac:dyDescent="0.3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 spans="1:2" x14ac:dyDescent="0.35">
      <c r="A127" s="1" t="str">
        <f t="shared" si="1"/>
        <v/>
      </c>
      <c r="B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 spans="1:2" x14ac:dyDescent="0.3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 spans="1:2" x14ac:dyDescent="0.3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 spans="1:2" x14ac:dyDescent="0.3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 spans="1:2" x14ac:dyDescent="0.3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 spans="1:2" x14ac:dyDescent="0.3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 spans="1:2" x14ac:dyDescent="0.3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 spans="1:2" x14ac:dyDescent="0.35">
      <c r="A134" s="1" t="str">
        <f t="shared" si="2"/>
        <v/>
      </c>
      <c r="B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 spans="1:2" x14ac:dyDescent="0.35">
      <c r="A135" s="1" t="str">
        <f t="shared" si="2"/>
        <v/>
      </c>
      <c r="B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 spans="1:2" x14ac:dyDescent="0.35">
      <c r="A136" s="1" t="str">
        <f t="shared" si="2"/>
        <v/>
      </c>
      <c r="B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 spans="1:2" x14ac:dyDescent="0.35">
      <c r="A137" s="1" t="str">
        <f t="shared" si="2"/>
        <v/>
      </c>
      <c r="B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 spans="1:2" x14ac:dyDescent="0.35">
      <c r="A138" s="1" t="str">
        <f t="shared" si="2"/>
        <v/>
      </c>
      <c r="B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 spans="1:2" x14ac:dyDescent="0.35">
      <c r="A139" s="1" t="str">
        <f t="shared" si="2"/>
        <v/>
      </c>
      <c r="B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 spans="1:2" x14ac:dyDescent="0.35">
      <c r="A140" s="1" t="str">
        <f t="shared" si="2"/>
        <v/>
      </c>
      <c r="B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 spans="1:2" x14ac:dyDescent="0.35">
      <c r="A141" s="1" t="str">
        <f t="shared" si="2"/>
        <v/>
      </c>
      <c r="B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 spans="1:2" x14ac:dyDescent="0.35">
      <c r="A142" s="1" t="str">
        <f t="shared" si="2"/>
        <v/>
      </c>
      <c r="B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 spans="1:2" x14ac:dyDescent="0.35">
      <c r="A143" s="1" t="str">
        <f t="shared" si="2"/>
        <v/>
      </c>
      <c r="B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 spans="1:2" x14ac:dyDescent="0.35">
      <c r="A144" s="1" t="str">
        <f t="shared" si="2"/>
        <v/>
      </c>
      <c r="B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 spans="1:2" x14ac:dyDescent="0.35">
      <c r="A145" s="1" t="str">
        <f t="shared" si="2"/>
        <v/>
      </c>
      <c r="B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 spans="1:2" x14ac:dyDescent="0.35">
      <c r="A146" s="1" t="str">
        <f t="shared" si="2"/>
        <v/>
      </c>
      <c r="B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 spans="1:2" x14ac:dyDescent="0.35">
      <c r="A147" s="1" t="str">
        <f t="shared" si="2"/>
        <v/>
      </c>
      <c r="B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 spans="1:2" x14ac:dyDescent="0.35">
      <c r="A148" s="1" t="str">
        <f t="shared" si="2"/>
        <v/>
      </c>
      <c r="B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 spans="1:2" x14ac:dyDescent="0.35">
      <c r="A149" s="1" t="str">
        <f t="shared" si="2"/>
        <v/>
      </c>
      <c r="B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 spans="1:2" x14ac:dyDescent="0.35">
      <c r="A150" s="1" t="str">
        <f t="shared" si="2"/>
        <v/>
      </c>
      <c r="B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 spans="1:2" x14ac:dyDescent="0.35">
      <c r="A151" s="1" t="str">
        <f t="shared" si="2"/>
        <v/>
      </c>
      <c r="B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 spans="1:2" x14ac:dyDescent="0.35">
      <c r="A152" s="1" t="str">
        <f t="shared" si="2"/>
        <v/>
      </c>
      <c r="B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 spans="1:2" x14ac:dyDescent="0.35">
      <c r="A153" s="1" t="str">
        <f t="shared" si="2"/>
        <v/>
      </c>
      <c r="B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 spans="1:2" x14ac:dyDescent="0.35">
      <c r="A154" s="1" t="str">
        <f t="shared" si="2"/>
        <v/>
      </c>
      <c r="B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 spans="1:2" x14ac:dyDescent="0.35">
      <c r="A155" s="1" t="str">
        <f t="shared" si="2"/>
        <v/>
      </c>
      <c r="B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 spans="1:2" x14ac:dyDescent="0.35">
      <c r="A156" s="1" t="str">
        <f t="shared" si="2"/>
        <v/>
      </c>
      <c r="B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 spans="1:2" x14ac:dyDescent="0.35">
      <c r="A157" s="1" t="str">
        <f t="shared" si="2"/>
        <v/>
      </c>
      <c r="B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 spans="1:2" x14ac:dyDescent="0.3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 spans="1:2" x14ac:dyDescent="0.3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 spans="1:2" x14ac:dyDescent="0.35">
      <c r="A160" s="1" t="str">
        <f t="shared" si="2"/>
        <v/>
      </c>
      <c r="B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 spans="1:2" x14ac:dyDescent="0.3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 spans="1:2" x14ac:dyDescent="0.3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 spans="1:2" x14ac:dyDescent="0.3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 spans="1:2" x14ac:dyDescent="0.3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 spans="1:2" x14ac:dyDescent="0.3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 spans="1:2" x14ac:dyDescent="0.3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 spans="1:2" x14ac:dyDescent="0.35">
      <c r="A167" s="1" t="str">
        <f t="shared" si="2"/>
        <v/>
      </c>
      <c r="B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 spans="1:2" x14ac:dyDescent="0.35">
      <c r="A168" s="1" t="str">
        <f t="shared" si="2"/>
        <v/>
      </c>
      <c r="B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 spans="1:2" x14ac:dyDescent="0.35">
      <c r="A169" s="1" t="str">
        <f t="shared" si="2"/>
        <v/>
      </c>
      <c r="B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 spans="1:2" x14ac:dyDescent="0.35">
      <c r="A170" s="1" t="str">
        <f t="shared" si="2"/>
        <v/>
      </c>
      <c r="B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 spans="1:2" x14ac:dyDescent="0.35">
      <c r="A171" s="1" t="str">
        <f t="shared" si="2"/>
        <v/>
      </c>
      <c r="B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2" spans="1:2" x14ac:dyDescent="0.35">
      <c r="A172" s="1" t="str">
        <f t="shared" si="2"/>
        <v/>
      </c>
      <c r="B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3" spans="1:2" x14ac:dyDescent="0.35">
      <c r="A173" s="1" t="str">
        <f t="shared" si="2"/>
        <v/>
      </c>
      <c r="B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4" spans="1:2" x14ac:dyDescent="0.35">
      <c r="A174" s="1" t="str">
        <f t="shared" si="2"/>
        <v/>
      </c>
      <c r="B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5" spans="1:2" x14ac:dyDescent="0.35">
      <c r="A175" s="1" t="str">
        <f t="shared" si="2"/>
        <v/>
      </c>
      <c r="B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6" spans="1:2" x14ac:dyDescent="0.35">
      <c r="A176" s="1" t="str">
        <f t="shared" si="2"/>
        <v/>
      </c>
      <c r="B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7" spans="1:2" x14ac:dyDescent="0.35">
      <c r="A177" s="1" t="str">
        <f t="shared" si="2"/>
        <v/>
      </c>
      <c r="B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8" spans="1:2" x14ac:dyDescent="0.35">
      <c r="A178" s="1" t="str">
        <f t="shared" si="2"/>
        <v/>
      </c>
      <c r="B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9" spans="1:2" x14ac:dyDescent="0.35">
      <c r="A179" s="1" t="str">
        <f t="shared" si="2"/>
        <v/>
      </c>
      <c r="B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0" spans="1:2" x14ac:dyDescent="0.35">
      <c r="A180" s="1" t="str">
        <f t="shared" si="2"/>
        <v/>
      </c>
      <c r="B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1" spans="1:2" x14ac:dyDescent="0.35">
      <c r="A181" s="1" t="str">
        <f t="shared" si="2"/>
        <v/>
      </c>
      <c r="B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2" spans="1:2" x14ac:dyDescent="0.35">
      <c r="A182" s="1" t="str">
        <f t="shared" si="2"/>
        <v/>
      </c>
      <c r="B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3" spans="1:2" x14ac:dyDescent="0.35">
      <c r="A183" s="1" t="str">
        <f t="shared" si="2"/>
        <v/>
      </c>
      <c r="B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4" spans="1:2" x14ac:dyDescent="0.35">
      <c r="A184" s="1" t="str">
        <f t="shared" si="2"/>
        <v/>
      </c>
      <c r="B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5" spans="1:2" x14ac:dyDescent="0.35">
      <c r="A185" s="1" t="str">
        <f t="shared" si="2"/>
        <v/>
      </c>
      <c r="B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6" spans="1:2" x14ac:dyDescent="0.35">
      <c r="A186" s="1" t="str">
        <f t="shared" si="2"/>
        <v/>
      </c>
      <c r="B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7" spans="1:2" x14ac:dyDescent="0.35">
      <c r="A187" s="1" t="str">
        <f t="shared" si="2"/>
        <v/>
      </c>
      <c r="B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8" spans="1:2" x14ac:dyDescent="0.35">
      <c r="A188" s="1" t="str">
        <f t="shared" si="2"/>
        <v/>
      </c>
      <c r="B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9" spans="1:2" x14ac:dyDescent="0.35">
      <c r="A189" s="1" t="str">
        <f t="shared" si="2"/>
        <v/>
      </c>
      <c r="B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0" spans="1:2" x14ac:dyDescent="0.35">
      <c r="A190" s="1" t="str">
        <f t="shared" si="2"/>
        <v/>
      </c>
      <c r="B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1" spans="1:2" x14ac:dyDescent="0.3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2" spans="1:2" x14ac:dyDescent="0.3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3" spans="1:2" x14ac:dyDescent="0.35">
      <c r="A193" s="1" t="str">
        <f t="shared" si="2"/>
        <v/>
      </c>
      <c r="B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4" spans="1:2" x14ac:dyDescent="0.3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5" spans="1:2" x14ac:dyDescent="0.3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6" spans="1:2" x14ac:dyDescent="0.3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7" spans="1:2" x14ac:dyDescent="0.3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8" spans="1:2" x14ac:dyDescent="0.3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9" spans="1:2" x14ac:dyDescent="0.3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0" spans="1:2" x14ac:dyDescent="0.35">
      <c r="A200" s="1" t="str">
        <f t="shared" si="3"/>
        <v/>
      </c>
      <c r="B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1" spans="1:2" x14ac:dyDescent="0.35">
      <c r="A201" s="1" t="str">
        <f t="shared" si="3"/>
        <v/>
      </c>
      <c r="B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2" spans="1:2" x14ac:dyDescent="0.35">
      <c r="A202" s="1" t="str">
        <f t="shared" si="3"/>
        <v/>
      </c>
      <c r="B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3" spans="1:2" x14ac:dyDescent="0.35">
      <c r="A203" s="1" t="str">
        <f t="shared" si="3"/>
        <v/>
      </c>
      <c r="B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4" spans="1:2" x14ac:dyDescent="0.35">
      <c r="A204" s="1" t="str">
        <f t="shared" si="3"/>
        <v/>
      </c>
      <c r="B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5" spans="1:2" x14ac:dyDescent="0.35">
      <c r="A205" s="1" t="str">
        <f t="shared" si="3"/>
        <v/>
      </c>
      <c r="B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6" spans="1:2" x14ac:dyDescent="0.35">
      <c r="A206" s="1" t="str">
        <f t="shared" si="3"/>
        <v/>
      </c>
      <c r="B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7" spans="1:2" x14ac:dyDescent="0.35">
      <c r="A207" s="1" t="str">
        <f t="shared" si="3"/>
        <v/>
      </c>
      <c r="B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8" spans="1:2" x14ac:dyDescent="0.35">
      <c r="A208" s="1" t="str">
        <f t="shared" si="3"/>
        <v/>
      </c>
      <c r="B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9" spans="1:2" x14ac:dyDescent="0.35">
      <c r="A209" s="1" t="str">
        <f t="shared" si="3"/>
        <v/>
      </c>
      <c r="B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0" spans="1:2" x14ac:dyDescent="0.35">
      <c r="A210" s="1" t="str">
        <f t="shared" si="3"/>
        <v/>
      </c>
      <c r="B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1" spans="1:2" x14ac:dyDescent="0.35">
      <c r="A211" s="1" t="str">
        <f t="shared" si="3"/>
        <v/>
      </c>
      <c r="B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2" spans="1:2" x14ac:dyDescent="0.35">
      <c r="A212" s="1" t="str">
        <f t="shared" si="3"/>
        <v/>
      </c>
      <c r="B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3" spans="1:2" x14ac:dyDescent="0.35">
      <c r="A213" s="1" t="str">
        <f t="shared" si="3"/>
        <v/>
      </c>
      <c r="B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4" spans="1:2" x14ac:dyDescent="0.35">
      <c r="A214" s="1" t="str">
        <f t="shared" si="3"/>
        <v/>
      </c>
      <c r="B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5" spans="1:2" x14ac:dyDescent="0.35">
      <c r="A215" s="1" t="str">
        <f t="shared" si="3"/>
        <v/>
      </c>
      <c r="B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6" spans="1:2" x14ac:dyDescent="0.35">
      <c r="A216" s="1" t="str">
        <f t="shared" si="3"/>
        <v/>
      </c>
      <c r="B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7" spans="1:2" x14ac:dyDescent="0.35">
      <c r="A217" s="1" t="str">
        <f t="shared" si="3"/>
        <v/>
      </c>
      <c r="B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8" spans="1:2" x14ac:dyDescent="0.35">
      <c r="A218" s="1" t="str">
        <f t="shared" si="3"/>
        <v/>
      </c>
      <c r="B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9" spans="1:2" x14ac:dyDescent="0.35">
      <c r="A219" s="1" t="str">
        <f t="shared" si="3"/>
        <v/>
      </c>
      <c r="B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0" spans="1:2" x14ac:dyDescent="0.35">
      <c r="A220" s="1" t="str">
        <f t="shared" si="3"/>
        <v/>
      </c>
      <c r="B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1" spans="1:2" x14ac:dyDescent="0.35">
      <c r="A221" s="1" t="str">
        <f t="shared" si="3"/>
        <v/>
      </c>
      <c r="B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2" spans="1:2" x14ac:dyDescent="0.35">
      <c r="A222" s="1" t="str">
        <f t="shared" si="3"/>
        <v/>
      </c>
      <c r="B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3" spans="1:2" x14ac:dyDescent="0.35">
      <c r="A223" s="1" t="str">
        <f t="shared" si="3"/>
        <v/>
      </c>
      <c r="B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4" spans="1:2" x14ac:dyDescent="0.3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5" spans="1:2" x14ac:dyDescent="0.3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6" spans="1:2" x14ac:dyDescent="0.35">
      <c r="A226" s="1" t="str">
        <f t="shared" si="3"/>
        <v/>
      </c>
      <c r="B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7" spans="1:2" x14ac:dyDescent="0.3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8" spans="1:2" x14ac:dyDescent="0.3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9" spans="1:2" x14ac:dyDescent="0.3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0" spans="1:2" x14ac:dyDescent="0.3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1" spans="1:2" x14ac:dyDescent="0.3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2" spans="1:2" x14ac:dyDescent="0.3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3" spans="1:2" x14ac:dyDescent="0.35">
      <c r="A233" s="1" t="str">
        <f t="shared" si="3"/>
        <v/>
      </c>
      <c r="B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4" spans="1:2" x14ac:dyDescent="0.35">
      <c r="A234" s="1" t="str">
        <f t="shared" si="3"/>
        <v/>
      </c>
      <c r="B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5" spans="1:2" x14ac:dyDescent="0.35">
      <c r="A235" s="1" t="str">
        <f t="shared" si="3"/>
        <v/>
      </c>
      <c r="B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6" spans="1:2" x14ac:dyDescent="0.35">
      <c r="A236" s="1" t="str">
        <f t="shared" si="3"/>
        <v/>
      </c>
      <c r="B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7" spans="1:2" x14ac:dyDescent="0.35">
      <c r="A237" s="1" t="str">
        <f t="shared" si="3"/>
        <v/>
      </c>
      <c r="B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8" spans="1:2" x14ac:dyDescent="0.35">
      <c r="A238" s="1" t="str">
        <f t="shared" si="3"/>
        <v/>
      </c>
      <c r="B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9" spans="1:2" x14ac:dyDescent="0.35">
      <c r="A239" s="1" t="str">
        <f t="shared" si="3"/>
        <v/>
      </c>
      <c r="B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0" spans="1:2" x14ac:dyDescent="0.35">
      <c r="A240" s="1" t="str">
        <f t="shared" si="3"/>
        <v/>
      </c>
      <c r="B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1" spans="1:2" x14ac:dyDescent="0.35">
      <c r="A241" s="1" t="str">
        <f t="shared" si="3"/>
        <v/>
      </c>
      <c r="B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2" spans="1:2" x14ac:dyDescent="0.35">
      <c r="A242" s="1" t="str">
        <f t="shared" si="3"/>
        <v/>
      </c>
      <c r="B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3" spans="1:2" x14ac:dyDescent="0.35">
      <c r="A243" s="1" t="str">
        <f t="shared" si="3"/>
        <v/>
      </c>
      <c r="B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4" spans="1:2" x14ac:dyDescent="0.35">
      <c r="A244" s="1" t="str">
        <f t="shared" si="3"/>
        <v/>
      </c>
      <c r="B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5" spans="1:2" x14ac:dyDescent="0.35">
      <c r="A245" s="1" t="str">
        <f t="shared" si="3"/>
        <v/>
      </c>
      <c r="B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6" spans="1:2" x14ac:dyDescent="0.35">
      <c r="A246" s="1" t="str">
        <f t="shared" si="3"/>
        <v/>
      </c>
      <c r="B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7" spans="1:2" x14ac:dyDescent="0.35">
      <c r="A247" s="1" t="str">
        <f t="shared" si="3"/>
        <v/>
      </c>
      <c r="B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8" spans="1:2" x14ac:dyDescent="0.35">
      <c r="A248" s="1" t="str">
        <f t="shared" si="3"/>
        <v/>
      </c>
      <c r="B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9" spans="1:2" x14ac:dyDescent="0.35">
      <c r="A249" s="1" t="str">
        <f t="shared" si="3"/>
        <v/>
      </c>
      <c r="B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0" spans="1:2" x14ac:dyDescent="0.35">
      <c r="A250" s="1" t="str">
        <f t="shared" si="3"/>
        <v/>
      </c>
      <c r="B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1" spans="1:2" x14ac:dyDescent="0.35">
      <c r="A251" s="1" t="str">
        <f t="shared" si="3"/>
        <v/>
      </c>
      <c r="B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2" spans="1:2" x14ac:dyDescent="0.35">
      <c r="A252" s="1" t="str">
        <f t="shared" si="3"/>
        <v/>
      </c>
      <c r="B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3" spans="1:2" x14ac:dyDescent="0.35">
      <c r="A253" s="1" t="str">
        <f t="shared" si="3"/>
        <v/>
      </c>
      <c r="B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4" spans="1:2" x14ac:dyDescent="0.35">
      <c r="A254" s="1" t="str">
        <f t="shared" si="3"/>
        <v/>
      </c>
      <c r="B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5" spans="1:2" x14ac:dyDescent="0.35">
      <c r="A255" s="1" t="str">
        <f t="shared" si="3"/>
        <v/>
      </c>
      <c r="B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6" spans="1:2" x14ac:dyDescent="0.35">
      <c r="A256" s="1" t="str">
        <f t="shared" si="3"/>
        <v/>
      </c>
      <c r="B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7" spans="1:2" x14ac:dyDescent="0.3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8" spans="1:2" x14ac:dyDescent="0.3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9" spans="1:2" x14ac:dyDescent="0.35">
      <c r="A259" s="1" t="str">
        <f t="shared" si="4"/>
        <v/>
      </c>
      <c r="B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0" spans="1:2" x14ac:dyDescent="0.3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1" spans="1:2" x14ac:dyDescent="0.3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2" spans="1:2" x14ac:dyDescent="0.3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3" spans="1:2" x14ac:dyDescent="0.3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4" spans="1:2" x14ac:dyDescent="0.3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5" spans="1:2" x14ac:dyDescent="0.3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6" spans="1:2" x14ac:dyDescent="0.35">
      <c r="A266" s="1" t="str">
        <f t="shared" si="4"/>
        <v/>
      </c>
      <c r="B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7" spans="1:2" x14ac:dyDescent="0.35">
      <c r="A267" s="1" t="str">
        <f t="shared" si="4"/>
        <v/>
      </c>
      <c r="B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8" spans="1:2" x14ac:dyDescent="0.35">
      <c r="A268" s="1" t="str">
        <f t="shared" si="4"/>
        <v/>
      </c>
      <c r="B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9" spans="1:2" x14ac:dyDescent="0.35">
      <c r="A269" s="1" t="str">
        <f t="shared" si="4"/>
        <v/>
      </c>
      <c r="B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0" spans="1:2" x14ac:dyDescent="0.35">
      <c r="A270" s="1" t="str">
        <f t="shared" si="4"/>
        <v/>
      </c>
      <c r="B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1" spans="1:2" x14ac:dyDescent="0.35">
      <c r="A271" s="1" t="str">
        <f t="shared" si="4"/>
        <v/>
      </c>
      <c r="B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2" spans="1:2" x14ac:dyDescent="0.35">
      <c r="A272" s="1" t="str">
        <f t="shared" si="4"/>
        <v/>
      </c>
      <c r="B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3" spans="1:2" x14ac:dyDescent="0.35">
      <c r="A273" s="1" t="str">
        <f t="shared" si="4"/>
        <v/>
      </c>
      <c r="B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4" spans="1:2" x14ac:dyDescent="0.35">
      <c r="A274" s="1" t="str">
        <f t="shared" si="4"/>
        <v/>
      </c>
      <c r="B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5" spans="1:2" x14ac:dyDescent="0.35">
      <c r="A275" s="1" t="str">
        <f t="shared" si="4"/>
        <v/>
      </c>
      <c r="B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6" spans="1:2" x14ac:dyDescent="0.35">
      <c r="A276" s="1" t="str">
        <f t="shared" si="4"/>
        <v/>
      </c>
      <c r="B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7" spans="1:2" x14ac:dyDescent="0.35">
      <c r="A277" s="1" t="str">
        <f t="shared" si="4"/>
        <v/>
      </c>
      <c r="B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8" spans="1:2" x14ac:dyDescent="0.35">
      <c r="A278" s="1" t="str">
        <f t="shared" si="4"/>
        <v/>
      </c>
      <c r="B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9" spans="1:2" x14ac:dyDescent="0.35">
      <c r="A279" s="1" t="str">
        <f t="shared" si="4"/>
        <v/>
      </c>
      <c r="B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0" spans="1:2" x14ac:dyDescent="0.35">
      <c r="A280" s="1" t="str">
        <f t="shared" si="4"/>
        <v/>
      </c>
      <c r="B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1" spans="1:2" x14ac:dyDescent="0.35">
      <c r="A281" s="1" t="str">
        <f t="shared" si="4"/>
        <v/>
      </c>
      <c r="B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2" spans="1:2" x14ac:dyDescent="0.35">
      <c r="A282" s="1" t="str">
        <f t="shared" si="4"/>
        <v/>
      </c>
      <c r="B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3" spans="1:2" x14ac:dyDescent="0.35">
      <c r="A283" s="1" t="str">
        <f t="shared" si="4"/>
        <v/>
      </c>
      <c r="B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4" spans="1:2" x14ac:dyDescent="0.35">
      <c r="A284" s="1" t="str">
        <f t="shared" si="4"/>
        <v/>
      </c>
      <c r="B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5" spans="1:2" x14ac:dyDescent="0.35">
      <c r="A285" s="1" t="str">
        <f t="shared" si="4"/>
        <v/>
      </c>
      <c r="B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6" spans="1:2" x14ac:dyDescent="0.35">
      <c r="A286" s="1" t="str">
        <f t="shared" si="4"/>
        <v/>
      </c>
      <c r="B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7" spans="1:2" x14ac:dyDescent="0.35">
      <c r="A287" s="1" t="str">
        <f t="shared" si="4"/>
        <v/>
      </c>
      <c r="B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8" spans="1:2" x14ac:dyDescent="0.35">
      <c r="A288" s="1" t="str">
        <f t="shared" si="4"/>
        <v/>
      </c>
      <c r="B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9" spans="1:2" x14ac:dyDescent="0.35">
      <c r="A289" s="1" t="str">
        <f t="shared" si="4"/>
        <v/>
      </c>
      <c r="B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0" spans="1:2" x14ac:dyDescent="0.3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1" spans="1:2" x14ac:dyDescent="0.3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2" spans="1:2" x14ac:dyDescent="0.35">
      <c r="A292" s="1" t="str">
        <f t="shared" si="4"/>
        <v/>
      </c>
      <c r="B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3" spans="1:2" x14ac:dyDescent="0.3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4" spans="1:2" x14ac:dyDescent="0.3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5" spans="1:2" x14ac:dyDescent="0.3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6" spans="1:2" x14ac:dyDescent="0.3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7" spans="1:2" x14ac:dyDescent="0.3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8" spans="1:2" x14ac:dyDescent="0.3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9" spans="1:2" x14ac:dyDescent="0.35">
      <c r="A299" s="1" t="str">
        <f t="shared" si="4"/>
        <v/>
      </c>
      <c r="B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0" spans="1:2" x14ac:dyDescent="0.35">
      <c r="A300" s="1" t="str">
        <f t="shared" si="4"/>
        <v/>
      </c>
      <c r="B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1" spans="1:2" x14ac:dyDescent="0.35">
      <c r="A301" s="1" t="str">
        <f t="shared" si="4"/>
        <v/>
      </c>
      <c r="B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2" spans="1:2" x14ac:dyDescent="0.35">
      <c r="A302" s="1" t="str">
        <f t="shared" si="4"/>
        <v/>
      </c>
      <c r="B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3" spans="1:2" x14ac:dyDescent="0.35">
      <c r="A303" s="1" t="str">
        <f t="shared" si="4"/>
        <v/>
      </c>
      <c r="B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4" spans="1:2" x14ac:dyDescent="0.35">
      <c r="A304" s="1" t="str">
        <f t="shared" si="4"/>
        <v/>
      </c>
      <c r="B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5" spans="1:2" x14ac:dyDescent="0.35">
      <c r="A305" s="1" t="str">
        <f t="shared" si="4"/>
        <v/>
      </c>
      <c r="B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6" spans="1:2" x14ac:dyDescent="0.35">
      <c r="A306" s="1" t="str">
        <f t="shared" si="4"/>
        <v/>
      </c>
      <c r="B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7" spans="1:2" x14ac:dyDescent="0.35">
      <c r="A307" s="1" t="str">
        <f t="shared" si="4"/>
        <v/>
      </c>
      <c r="B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8" spans="1:2" x14ac:dyDescent="0.35">
      <c r="A308" s="1" t="str">
        <f t="shared" si="4"/>
        <v/>
      </c>
      <c r="B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9" spans="1:2" x14ac:dyDescent="0.35">
      <c r="A309" s="1" t="str">
        <f t="shared" si="4"/>
        <v/>
      </c>
      <c r="B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0" spans="1:2" x14ac:dyDescent="0.35">
      <c r="A310" s="1" t="str">
        <f t="shared" si="4"/>
        <v/>
      </c>
      <c r="B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1" spans="1:2" x14ac:dyDescent="0.35">
      <c r="A311" s="1" t="str">
        <f t="shared" si="4"/>
        <v/>
      </c>
      <c r="B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2" spans="1:2" x14ac:dyDescent="0.35">
      <c r="A312" s="1" t="str">
        <f t="shared" si="4"/>
        <v/>
      </c>
      <c r="B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3" spans="1:2" x14ac:dyDescent="0.35">
      <c r="A313" s="1" t="str">
        <f t="shared" si="4"/>
        <v/>
      </c>
      <c r="B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4" spans="1:2" x14ac:dyDescent="0.35">
      <c r="A314" s="1" t="str">
        <f t="shared" si="4"/>
        <v/>
      </c>
      <c r="B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5" spans="1:2" x14ac:dyDescent="0.35">
      <c r="A315" s="1" t="str">
        <f t="shared" si="4"/>
        <v/>
      </c>
      <c r="B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6" spans="1:2" x14ac:dyDescent="0.35">
      <c r="A316" s="1" t="str">
        <f t="shared" si="4"/>
        <v/>
      </c>
      <c r="B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7" spans="1:2" x14ac:dyDescent="0.35">
      <c r="A317" s="1" t="str">
        <f t="shared" si="4"/>
        <v/>
      </c>
      <c r="B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8" spans="1:2" x14ac:dyDescent="0.35">
      <c r="A318" s="1" t="str">
        <f t="shared" si="4"/>
        <v/>
      </c>
      <c r="B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9" spans="1:2" x14ac:dyDescent="0.35">
      <c r="A319" s="1" t="str">
        <f t="shared" si="4"/>
        <v/>
      </c>
      <c r="B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0" spans="1:2" x14ac:dyDescent="0.35">
      <c r="A320" s="1" t="str">
        <f t="shared" si="4"/>
        <v/>
      </c>
      <c r="B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1" spans="1:2" x14ac:dyDescent="0.35">
      <c r="A321" s="1" t="str">
        <f t="shared" si="4"/>
        <v/>
      </c>
      <c r="B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2" spans="1:2" x14ac:dyDescent="0.35">
      <c r="A322" s="1" t="str">
        <f t="shared" ref="A322:A385" si="5">IFERROR(LEFT(RIGHT(C322,LEN(C322)-SEARCH("@",C322)),SEARCH("/",RIGHT(C322,LEN(C322)-SEARCH("@",C322)-1))),"")</f>
        <v/>
      </c>
      <c r="B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3" spans="1:2" x14ac:dyDescent="0.3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4" spans="1:2" x14ac:dyDescent="0.3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5" spans="1:2" x14ac:dyDescent="0.35">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6" spans="1:2" x14ac:dyDescent="0.3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7" spans="1:2" x14ac:dyDescent="0.3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8" spans="1:2" x14ac:dyDescent="0.3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9" spans="1:2" x14ac:dyDescent="0.3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0" spans="1:2" x14ac:dyDescent="0.3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1" spans="1:2" x14ac:dyDescent="0.3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2" spans="1:2" x14ac:dyDescent="0.35">
      <c r="A332" s="1" t="str">
        <f t="shared" si="5"/>
        <v/>
      </c>
      <c r="B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3" spans="1:2" x14ac:dyDescent="0.35">
      <c r="A333" s="1" t="str">
        <f t="shared" si="5"/>
        <v/>
      </c>
      <c r="B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4" spans="1:2" x14ac:dyDescent="0.35">
      <c r="A334" s="1" t="str">
        <f t="shared" si="5"/>
        <v/>
      </c>
      <c r="B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5" spans="1:2" x14ac:dyDescent="0.35">
      <c r="A335" s="1" t="str">
        <f t="shared" si="5"/>
        <v/>
      </c>
      <c r="B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6" spans="1:2" x14ac:dyDescent="0.35">
      <c r="A336" s="1" t="str">
        <f t="shared" si="5"/>
        <v/>
      </c>
      <c r="B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7" spans="1:2" x14ac:dyDescent="0.35">
      <c r="A337" s="1" t="str">
        <f t="shared" si="5"/>
        <v/>
      </c>
      <c r="B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8" spans="1:2" x14ac:dyDescent="0.35">
      <c r="A338" s="1" t="str">
        <f t="shared" si="5"/>
        <v/>
      </c>
      <c r="B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9" spans="1:2" x14ac:dyDescent="0.35">
      <c r="A339" s="1" t="str">
        <f t="shared" si="5"/>
        <v/>
      </c>
      <c r="B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0" spans="1:2" x14ac:dyDescent="0.35">
      <c r="A340" s="1" t="str">
        <f t="shared" si="5"/>
        <v/>
      </c>
      <c r="B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1" spans="1:2" x14ac:dyDescent="0.35">
      <c r="A341" s="1" t="str">
        <f t="shared" si="5"/>
        <v/>
      </c>
      <c r="B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2" spans="1:2" x14ac:dyDescent="0.35">
      <c r="A342" s="1" t="str">
        <f t="shared" si="5"/>
        <v/>
      </c>
      <c r="B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3" spans="1:2" x14ac:dyDescent="0.35">
      <c r="A343" s="1" t="str">
        <f t="shared" si="5"/>
        <v/>
      </c>
      <c r="B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4" spans="1:2" x14ac:dyDescent="0.35">
      <c r="A344" s="1" t="str">
        <f t="shared" si="5"/>
        <v/>
      </c>
      <c r="B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5" spans="1:2" x14ac:dyDescent="0.35">
      <c r="A345" s="1" t="str">
        <f t="shared" si="5"/>
        <v/>
      </c>
      <c r="B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6" spans="1:2" x14ac:dyDescent="0.35">
      <c r="A346" s="1" t="str">
        <f t="shared" si="5"/>
        <v/>
      </c>
      <c r="B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7" spans="1:2" x14ac:dyDescent="0.35">
      <c r="A347" s="1" t="str">
        <f t="shared" si="5"/>
        <v/>
      </c>
      <c r="B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8" spans="1:2" x14ac:dyDescent="0.35">
      <c r="A348" s="1" t="str">
        <f t="shared" si="5"/>
        <v/>
      </c>
      <c r="B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9" spans="1:2" x14ac:dyDescent="0.35">
      <c r="A349" s="1" t="str">
        <f t="shared" si="5"/>
        <v/>
      </c>
      <c r="B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0" spans="1:2" x14ac:dyDescent="0.35">
      <c r="A350" s="1" t="str">
        <f t="shared" si="5"/>
        <v/>
      </c>
      <c r="B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1" spans="1:2" x14ac:dyDescent="0.35">
      <c r="A351" s="1" t="str">
        <f t="shared" si="5"/>
        <v/>
      </c>
      <c r="B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2" spans="1:2" x14ac:dyDescent="0.35">
      <c r="A352" s="1" t="str">
        <f t="shared" si="5"/>
        <v/>
      </c>
      <c r="B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3" spans="1:2" x14ac:dyDescent="0.35">
      <c r="A353" s="1" t="str">
        <f t="shared" si="5"/>
        <v/>
      </c>
      <c r="B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4" spans="1:2" x14ac:dyDescent="0.35">
      <c r="A354" s="1" t="str">
        <f t="shared" si="5"/>
        <v/>
      </c>
      <c r="B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5" spans="1:2" x14ac:dyDescent="0.35">
      <c r="A355" s="1" t="str">
        <f t="shared" si="5"/>
        <v/>
      </c>
      <c r="B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6" spans="1:2" x14ac:dyDescent="0.3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7" spans="1:2" x14ac:dyDescent="0.3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8" spans="1:2" x14ac:dyDescent="0.35">
      <c r="A358" s="1" t="str">
        <f t="shared" si="5"/>
        <v/>
      </c>
      <c r="B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9" spans="1:2" x14ac:dyDescent="0.3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0" spans="1:2" x14ac:dyDescent="0.3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1" spans="1:2" x14ac:dyDescent="0.3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2" spans="1:2" x14ac:dyDescent="0.3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3" spans="1:2" x14ac:dyDescent="0.3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4" spans="1:2" x14ac:dyDescent="0.3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5" spans="1:2" x14ac:dyDescent="0.35">
      <c r="A365" s="1" t="str">
        <f t="shared" si="5"/>
        <v/>
      </c>
      <c r="B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6" spans="1:2" x14ac:dyDescent="0.35">
      <c r="A366" s="1" t="str">
        <f t="shared" si="5"/>
        <v/>
      </c>
      <c r="B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7" spans="1:2" x14ac:dyDescent="0.35">
      <c r="A367" s="1" t="str">
        <f t="shared" si="5"/>
        <v/>
      </c>
      <c r="B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8" spans="1:2" x14ac:dyDescent="0.35">
      <c r="A368" s="1" t="str">
        <f t="shared" si="5"/>
        <v/>
      </c>
      <c r="B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9" spans="1:2" x14ac:dyDescent="0.35">
      <c r="A369" s="1" t="str">
        <f t="shared" si="5"/>
        <v/>
      </c>
      <c r="B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0" spans="1:2" x14ac:dyDescent="0.35">
      <c r="A370" s="1" t="str">
        <f t="shared" si="5"/>
        <v/>
      </c>
      <c r="B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1" spans="1:2" x14ac:dyDescent="0.35">
      <c r="A371" s="1" t="str">
        <f t="shared" si="5"/>
        <v/>
      </c>
      <c r="B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2" spans="1:2" x14ac:dyDescent="0.35">
      <c r="A372" s="1" t="str">
        <f t="shared" si="5"/>
        <v/>
      </c>
      <c r="B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3" spans="1:2" x14ac:dyDescent="0.35">
      <c r="A373" s="1" t="str">
        <f t="shared" si="5"/>
        <v/>
      </c>
      <c r="B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4" spans="1:2" x14ac:dyDescent="0.35">
      <c r="A374" s="1" t="str">
        <f t="shared" si="5"/>
        <v/>
      </c>
      <c r="B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5" spans="1:2" x14ac:dyDescent="0.35">
      <c r="A375" s="1" t="str">
        <f t="shared" si="5"/>
        <v/>
      </c>
      <c r="B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6" spans="1:2" x14ac:dyDescent="0.35">
      <c r="A376" s="1" t="str">
        <f t="shared" si="5"/>
        <v/>
      </c>
      <c r="B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7" spans="1:2" x14ac:dyDescent="0.35">
      <c r="A377" s="1" t="str">
        <f t="shared" si="5"/>
        <v/>
      </c>
      <c r="B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8" spans="1:2" x14ac:dyDescent="0.35">
      <c r="A378" s="1" t="str">
        <f t="shared" si="5"/>
        <v/>
      </c>
      <c r="B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9" spans="1:2" x14ac:dyDescent="0.35">
      <c r="A379" s="1" t="str">
        <f t="shared" si="5"/>
        <v/>
      </c>
      <c r="B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0" spans="1:2" x14ac:dyDescent="0.35">
      <c r="A380" s="1" t="str">
        <f t="shared" si="5"/>
        <v/>
      </c>
      <c r="B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1" spans="1:2" x14ac:dyDescent="0.35">
      <c r="A381" s="1" t="str">
        <f t="shared" si="5"/>
        <v/>
      </c>
      <c r="B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2" spans="1:2" x14ac:dyDescent="0.35">
      <c r="A382" s="1" t="str">
        <f t="shared" si="5"/>
        <v/>
      </c>
      <c r="B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3" spans="1:2" x14ac:dyDescent="0.35">
      <c r="A383" s="1" t="str">
        <f t="shared" si="5"/>
        <v/>
      </c>
      <c r="B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4" spans="1:2" x14ac:dyDescent="0.35">
      <c r="A384" s="1" t="str">
        <f t="shared" si="5"/>
        <v/>
      </c>
      <c r="B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5" spans="1:2" x14ac:dyDescent="0.35">
      <c r="A385" s="1" t="str">
        <f t="shared" si="5"/>
        <v/>
      </c>
      <c r="B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6" spans="1:2" x14ac:dyDescent="0.35">
      <c r="A386" s="1" t="str">
        <f t="shared" ref="A386:A449" si="6">IFERROR(LEFT(RIGHT(C386,LEN(C386)-SEARCH("@",C386)),SEARCH("/",RIGHT(C386,LEN(C386)-SEARCH("@",C386)-1))),"")</f>
        <v/>
      </c>
      <c r="B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7" spans="1:2" x14ac:dyDescent="0.35">
      <c r="A387" s="1" t="str">
        <f t="shared" si="6"/>
        <v/>
      </c>
      <c r="B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8" spans="1:2" x14ac:dyDescent="0.35">
      <c r="A388" s="1" t="str">
        <f t="shared" si="6"/>
        <v/>
      </c>
      <c r="B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9" spans="1:2" x14ac:dyDescent="0.3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0" spans="1:2" x14ac:dyDescent="0.3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1" spans="1:2" x14ac:dyDescent="0.35">
      <c r="A391" s="1" t="str">
        <f t="shared" si="6"/>
        <v/>
      </c>
      <c r="B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2" spans="1:2" x14ac:dyDescent="0.3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3" spans="1:2" x14ac:dyDescent="0.3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4" spans="1:2" x14ac:dyDescent="0.3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5" spans="1:2" x14ac:dyDescent="0.3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6" spans="1:2" x14ac:dyDescent="0.3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7" spans="1:2" x14ac:dyDescent="0.3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8" spans="1:2" x14ac:dyDescent="0.35">
      <c r="A398" s="1" t="str">
        <f t="shared" si="6"/>
        <v/>
      </c>
      <c r="B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9" spans="1:2" x14ac:dyDescent="0.35">
      <c r="A399" s="1" t="str">
        <f t="shared" si="6"/>
        <v/>
      </c>
      <c r="B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0" spans="1:2" x14ac:dyDescent="0.35">
      <c r="A400" s="1" t="str">
        <f t="shared" si="6"/>
        <v/>
      </c>
      <c r="B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1" spans="1:2" x14ac:dyDescent="0.35">
      <c r="A401" s="1" t="str">
        <f t="shared" si="6"/>
        <v/>
      </c>
      <c r="B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2" spans="1:2" x14ac:dyDescent="0.35">
      <c r="A402" s="1" t="str">
        <f t="shared" si="6"/>
        <v/>
      </c>
      <c r="B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3" spans="1:2" x14ac:dyDescent="0.35">
      <c r="A403" s="1" t="str">
        <f t="shared" si="6"/>
        <v/>
      </c>
      <c r="B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4" spans="1:2" x14ac:dyDescent="0.35">
      <c r="A404" s="1" t="str">
        <f t="shared" si="6"/>
        <v/>
      </c>
      <c r="B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5" spans="1:2" x14ac:dyDescent="0.35">
      <c r="A405" s="1" t="str">
        <f t="shared" si="6"/>
        <v/>
      </c>
      <c r="B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6" spans="1:2" x14ac:dyDescent="0.35">
      <c r="A406" s="1" t="str">
        <f t="shared" si="6"/>
        <v/>
      </c>
      <c r="B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7" spans="1:2" x14ac:dyDescent="0.35">
      <c r="A407" s="1" t="str">
        <f t="shared" si="6"/>
        <v/>
      </c>
      <c r="B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8" spans="1:2" x14ac:dyDescent="0.35">
      <c r="A408" s="1" t="str">
        <f t="shared" si="6"/>
        <v/>
      </c>
      <c r="B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9" spans="1:2" x14ac:dyDescent="0.35">
      <c r="A409" s="1" t="str">
        <f t="shared" si="6"/>
        <v/>
      </c>
      <c r="B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0" spans="1:2" x14ac:dyDescent="0.35">
      <c r="A410" s="1" t="str">
        <f t="shared" si="6"/>
        <v/>
      </c>
      <c r="B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1" spans="1:2" x14ac:dyDescent="0.35">
      <c r="A411" s="1" t="str">
        <f t="shared" si="6"/>
        <v/>
      </c>
      <c r="B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2" spans="1:2" x14ac:dyDescent="0.35">
      <c r="A412" s="1" t="str">
        <f t="shared" si="6"/>
        <v/>
      </c>
      <c r="B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3" spans="1:2" x14ac:dyDescent="0.35">
      <c r="A413" s="1" t="str">
        <f t="shared" si="6"/>
        <v/>
      </c>
      <c r="B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4" spans="1:2" x14ac:dyDescent="0.35">
      <c r="A414" s="1" t="str">
        <f t="shared" si="6"/>
        <v/>
      </c>
      <c r="B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5" spans="1:2" x14ac:dyDescent="0.35">
      <c r="A415" s="1" t="str">
        <f t="shared" si="6"/>
        <v/>
      </c>
      <c r="B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6" spans="1:2" x14ac:dyDescent="0.35">
      <c r="A416" s="1" t="str">
        <f t="shared" si="6"/>
        <v/>
      </c>
      <c r="B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7" spans="1:2" x14ac:dyDescent="0.35">
      <c r="A417" s="1" t="str">
        <f t="shared" si="6"/>
        <v/>
      </c>
      <c r="B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8" spans="1:2" x14ac:dyDescent="0.35">
      <c r="A418" s="1" t="str">
        <f t="shared" si="6"/>
        <v/>
      </c>
      <c r="B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9" spans="1:2" x14ac:dyDescent="0.35">
      <c r="A419" s="1" t="str">
        <f t="shared" si="6"/>
        <v/>
      </c>
      <c r="B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0" spans="1:2" x14ac:dyDescent="0.35">
      <c r="A420" s="1" t="str">
        <f t="shared" si="6"/>
        <v/>
      </c>
      <c r="B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1" spans="1:2" x14ac:dyDescent="0.35">
      <c r="A421" s="1" t="str">
        <f t="shared" si="6"/>
        <v/>
      </c>
      <c r="B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2" spans="1:2" x14ac:dyDescent="0.3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3" spans="1:2" x14ac:dyDescent="0.3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4" spans="1:2" x14ac:dyDescent="0.35">
      <c r="A424" s="1" t="str">
        <f t="shared" si="6"/>
        <v/>
      </c>
      <c r="B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5" spans="1:2" x14ac:dyDescent="0.3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6" spans="1:2" x14ac:dyDescent="0.3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7" spans="1:2" x14ac:dyDescent="0.3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8" spans="1:2" x14ac:dyDescent="0.3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9" spans="1:2" x14ac:dyDescent="0.3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0" spans="1:2" x14ac:dyDescent="0.3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1" spans="1:2" x14ac:dyDescent="0.35">
      <c r="A431" s="1" t="str">
        <f t="shared" si="6"/>
        <v/>
      </c>
      <c r="B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2" spans="1:2" x14ac:dyDescent="0.35">
      <c r="A432" s="1" t="str">
        <f t="shared" si="6"/>
        <v/>
      </c>
      <c r="B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3" spans="1:2" x14ac:dyDescent="0.35">
      <c r="A433" s="1" t="str">
        <f t="shared" si="6"/>
        <v/>
      </c>
      <c r="B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4" spans="1:2" x14ac:dyDescent="0.35">
      <c r="A434" s="1" t="str">
        <f t="shared" si="6"/>
        <v/>
      </c>
      <c r="B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5" spans="1:2" x14ac:dyDescent="0.35">
      <c r="A435" s="1" t="str">
        <f t="shared" si="6"/>
        <v/>
      </c>
      <c r="B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6" spans="1:2" x14ac:dyDescent="0.35">
      <c r="A436" s="1" t="str">
        <f t="shared" si="6"/>
        <v/>
      </c>
      <c r="B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7" spans="1:2" x14ac:dyDescent="0.35">
      <c r="A437" s="1" t="str">
        <f t="shared" si="6"/>
        <v/>
      </c>
      <c r="B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8" spans="1:2" x14ac:dyDescent="0.35">
      <c r="A438" s="1" t="str">
        <f t="shared" si="6"/>
        <v/>
      </c>
      <c r="B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9" spans="1:2" x14ac:dyDescent="0.35">
      <c r="A439" s="1" t="str">
        <f t="shared" si="6"/>
        <v/>
      </c>
      <c r="B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0" spans="1:2" x14ac:dyDescent="0.35">
      <c r="A440" s="1" t="str">
        <f t="shared" si="6"/>
        <v/>
      </c>
      <c r="B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1" spans="1:2" x14ac:dyDescent="0.35">
      <c r="A441" s="1" t="str">
        <f t="shared" si="6"/>
        <v/>
      </c>
      <c r="B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2" spans="1:2" x14ac:dyDescent="0.35">
      <c r="A442" s="1" t="str">
        <f t="shared" si="6"/>
        <v/>
      </c>
      <c r="B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3" spans="1:2" x14ac:dyDescent="0.35">
      <c r="A443" s="1" t="str">
        <f t="shared" si="6"/>
        <v/>
      </c>
      <c r="B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4" spans="1:2" x14ac:dyDescent="0.35">
      <c r="A444" s="1" t="str">
        <f t="shared" si="6"/>
        <v/>
      </c>
      <c r="B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5" spans="1:2" x14ac:dyDescent="0.35">
      <c r="A445" s="1" t="str">
        <f t="shared" si="6"/>
        <v/>
      </c>
      <c r="B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6" spans="1:2" x14ac:dyDescent="0.35">
      <c r="A446" s="1" t="str">
        <f t="shared" si="6"/>
        <v/>
      </c>
      <c r="B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7" spans="1:2" x14ac:dyDescent="0.35">
      <c r="A447" s="1" t="str">
        <f t="shared" si="6"/>
        <v/>
      </c>
      <c r="B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8" spans="1:2" x14ac:dyDescent="0.35">
      <c r="A448" s="1" t="str">
        <f t="shared" si="6"/>
        <v/>
      </c>
      <c r="B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9" spans="1:2" x14ac:dyDescent="0.35">
      <c r="A449" s="1" t="str">
        <f t="shared" si="6"/>
        <v/>
      </c>
      <c r="B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0" spans="1:2" x14ac:dyDescent="0.35">
      <c r="A450" s="1" t="str">
        <f t="shared" ref="A450:A513" si="7">IFERROR(LEFT(RIGHT(C450,LEN(C450)-SEARCH("@",C450)),SEARCH("/",RIGHT(C450,LEN(C450)-SEARCH("@",C450)-1))),"")</f>
        <v/>
      </c>
      <c r="B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1" spans="1:2" x14ac:dyDescent="0.35">
      <c r="A451" s="1" t="str">
        <f t="shared" si="7"/>
        <v/>
      </c>
      <c r="B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2" spans="1:2" x14ac:dyDescent="0.35">
      <c r="A452" s="1" t="str">
        <f t="shared" si="7"/>
        <v/>
      </c>
      <c r="B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3" spans="1:2" x14ac:dyDescent="0.35">
      <c r="A453" s="1" t="str">
        <f t="shared" si="7"/>
        <v/>
      </c>
      <c r="B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4" spans="1:2" x14ac:dyDescent="0.35">
      <c r="A454" s="1" t="str">
        <f t="shared" si="7"/>
        <v/>
      </c>
      <c r="B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5" spans="1:2" x14ac:dyDescent="0.3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6" spans="1:2" x14ac:dyDescent="0.3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7" spans="1:2" x14ac:dyDescent="0.35">
      <c r="A457" s="1" t="str">
        <f t="shared" si="7"/>
        <v/>
      </c>
      <c r="B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8" spans="1:2" x14ac:dyDescent="0.3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9" spans="1:2" x14ac:dyDescent="0.3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0" spans="1:2" x14ac:dyDescent="0.3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1" spans="1:2" x14ac:dyDescent="0.3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2" spans="1:2" x14ac:dyDescent="0.3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3" spans="1:2" x14ac:dyDescent="0.3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4" spans="1:2" x14ac:dyDescent="0.35">
      <c r="A464" s="1" t="str">
        <f t="shared" si="7"/>
        <v/>
      </c>
      <c r="B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5" spans="1:2" x14ac:dyDescent="0.35">
      <c r="A465" s="1" t="str">
        <f t="shared" si="7"/>
        <v/>
      </c>
      <c r="B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6" spans="1:2" x14ac:dyDescent="0.35">
      <c r="A466" s="1" t="str">
        <f t="shared" si="7"/>
        <v/>
      </c>
      <c r="B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7" spans="1:2" x14ac:dyDescent="0.35">
      <c r="A467" s="1" t="str">
        <f t="shared" si="7"/>
        <v/>
      </c>
      <c r="B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8" spans="1:2" x14ac:dyDescent="0.35">
      <c r="A468" s="1" t="str">
        <f t="shared" si="7"/>
        <v/>
      </c>
      <c r="B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9" spans="1:2" x14ac:dyDescent="0.35">
      <c r="A469" s="1" t="str">
        <f t="shared" si="7"/>
        <v/>
      </c>
      <c r="B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0" spans="1:2" x14ac:dyDescent="0.35">
      <c r="A470" s="1" t="str">
        <f t="shared" si="7"/>
        <v/>
      </c>
      <c r="B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1" spans="1:2" x14ac:dyDescent="0.35">
      <c r="A471" s="1" t="str">
        <f t="shared" si="7"/>
        <v/>
      </c>
      <c r="B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2" spans="1:2" x14ac:dyDescent="0.35">
      <c r="A472" s="1" t="str">
        <f t="shared" si="7"/>
        <v/>
      </c>
      <c r="B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3" spans="1:2" x14ac:dyDescent="0.35">
      <c r="A473" s="1" t="str">
        <f t="shared" si="7"/>
        <v/>
      </c>
      <c r="B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4" spans="1:2" x14ac:dyDescent="0.35">
      <c r="A474" s="1" t="str">
        <f t="shared" si="7"/>
        <v/>
      </c>
      <c r="B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5" spans="1:2" x14ac:dyDescent="0.35">
      <c r="A475" s="1" t="str">
        <f t="shared" si="7"/>
        <v/>
      </c>
      <c r="B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6" spans="1:2" x14ac:dyDescent="0.35">
      <c r="A476" s="1" t="str">
        <f t="shared" si="7"/>
        <v/>
      </c>
      <c r="B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7" spans="1:2" x14ac:dyDescent="0.35">
      <c r="A477" s="1" t="str">
        <f t="shared" si="7"/>
        <v/>
      </c>
      <c r="B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8" spans="1:2" x14ac:dyDescent="0.35">
      <c r="A478" s="1" t="str">
        <f t="shared" si="7"/>
        <v/>
      </c>
      <c r="B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9" spans="1:2" x14ac:dyDescent="0.35">
      <c r="A479" s="1" t="str">
        <f t="shared" si="7"/>
        <v/>
      </c>
      <c r="B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0" spans="1:2" x14ac:dyDescent="0.35">
      <c r="A480" s="1" t="str">
        <f t="shared" si="7"/>
        <v/>
      </c>
      <c r="B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1" spans="1:2" x14ac:dyDescent="0.35">
      <c r="A481" s="1" t="str">
        <f t="shared" si="7"/>
        <v/>
      </c>
      <c r="B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2" spans="1:2" x14ac:dyDescent="0.35">
      <c r="A482" s="1" t="str">
        <f t="shared" si="7"/>
        <v/>
      </c>
      <c r="B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3" spans="1:2" x14ac:dyDescent="0.35">
      <c r="A483" s="1" t="str">
        <f t="shared" si="7"/>
        <v/>
      </c>
      <c r="B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4" spans="1:2" x14ac:dyDescent="0.35">
      <c r="A484" s="1" t="str">
        <f t="shared" si="7"/>
        <v/>
      </c>
      <c r="B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5" spans="1:2" x14ac:dyDescent="0.35">
      <c r="A485" s="1" t="str">
        <f t="shared" si="7"/>
        <v/>
      </c>
      <c r="B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6" spans="1:2" x14ac:dyDescent="0.35">
      <c r="A486" s="1" t="str">
        <f t="shared" si="7"/>
        <v/>
      </c>
      <c r="B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7" spans="1:2" x14ac:dyDescent="0.35">
      <c r="A487" s="1" t="str">
        <f t="shared" si="7"/>
        <v/>
      </c>
      <c r="B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8" spans="1:2" x14ac:dyDescent="0.3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9" spans="1:2" x14ac:dyDescent="0.3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0" spans="1:2" x14ac:dyDescent="0.35">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1" spans="1:2" x14ac:dyDescent="0.3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2" spans="1:2" x14ac:dyDescent="0.3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3" spans="1:2" x14ac:dyDescent="0.3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4" spans="1:2" x14ac:dyDescent="0.3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5" spans="1:2" x14ac:dyDescent="0.3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6" spans="1:2" x14ac:dyDescent="0.3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7" spans="1:2" x14ac:dyDescent="0.35">
      <c r="A497" s="1" t="str">
        <f t="shared" si="7"/>
        <v/>
      </c>
      <c r="B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8" spans="1:2" x14ac:dyDescent="0.35">
      <c r="A498" s="1" t="str">
        <f t="shared" si="7"/>
        <v/>
      </c>
      <c r="B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9" spans="1:2" x14ac:dyDescent="0.35">
      <c r="A499" s="1" t="str">
        <f t="shared" si="7"/>
        <v/>
      </c>
      <c r="B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0" spans="1:2" x14ac:dyDescent="0.35">
      <c r="A500" s="1" t="str">
        <f t="shared" si="7"/>
        <v/>
      </c>
      <c r="B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1" spans="1:2" x14ac:dyDescent="0.35">
      <c r="A501" s="1" t="str">
        <f t="shared" si="7"/>
        <v/>
      </c>
      <c r="B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2" spans="1:2" x14ac:dyDescent="0.35">
      <c r="A502" s="1" t="str">
        <f t="shared" si="7"/>
        <v/>
      </c>
      <c r="B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3" spans="1:2" x14ac:dyDescent="0.35">
      <c r="A503" s="1" t="str">
        <f t="shared" si="7"/>
        <v/>
      </c>
      <c r="B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4" spans="1:2" x14ac:dyDescent="0.35">
      <c r="A504" s="1" t="str">
        <f t="shared" si="7"/>
        <v/>
      </c>
      <c r="B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5" spans="1:2" x14ac:dyDescent="0.35">
      <c r="A505" s="1" t="str">
        <f t="shared" si="7"/>
        <v/>
      </c>
      <c r="B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6" spans="1:2" x14ac:dyDescent="0.35">
      <c r="A506" s="1" t="str">
        <f t="shared" si="7"/>
        <v/>
      </c>
      <c r="B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7" spans="1:2" x14ac:dyDescent="0.35">
      <c r="A507" s="1" t="str">
        <f t="shared" si="7"/>
        <v/>
      </c>
      <c r="B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8" spans="1:2" x14ac:dyDescent="0.35">
      <c r="A508" s="1" t="str">
        <f t="shared" si="7"/>
        <v/>
      </c>
      <c r="B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9" spans="1:2" x14ac:dyDescent="0.35">
      <c r="A509" s="1" t="str">
        <f t="shared" si="7"/>
        <v/>
      </c>
      <c r="B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0" spans="1:2" x14ac:dyDescent="0.35">
      <c r="A510" s="1" t="str">
        <f t="shared" si="7"/>
        <v/>
      </c>
      <c r="B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1" spans="1:2" x14ac:dyDescent="0.35">
      <c r="A511" s="1" t="str">
        <f t="shared" si="7"/>
        <v/>
      </c>
      <c r="B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2" spans="1:2" x14ac:dyDescent="0.35">
      <c r="A512" s="1" t="str">
        <f t="shared" si="7"/>
        <v/>
      </c>
      <c r="B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3" spans="1:2" x14ac:dyDescent="0.35">
      <c r="A513" s="1" t="str">
        <f t="shared" si="7"/>
        <v/>
      </c>
      <c r="B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4" spans="1:2" x14ac:dyDescent="0.35">
      <c r="A514" s="1" t="str">
        <f t="shared" ref="A514:A577" si="8">IFERROR(LEFT(RIGHT(C514,LEN(C514)-SEARCH("@",C514)),SEARCH("/",RIGHT(C514,LEN(C514)-SEARCH("@",C514)-1))),"")</f>
        <v/>
      </c>
      <c r="B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5" spans="1:2" x14ac:dyDescent="0.35">
      <c r="A515" s="1" t="str">
        <f t="shared" si="8"/>
        <v/>
      </c>
      <c r="B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6" spans="1:2" x14ac:dyDescent="0.35">
      <c r="A516" s="1" t="str">
        <f t="shared" si="8"/>
        <v/>
      </c>
      <c r="B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7" spans="1:2" x14ac:dyDescent="0.35">
      <c r="A517" s="1" t="str">
        <f t="shared" si="8"/>
        <v/>
      </c>
      <c r="B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8" spans="1:2" x14ac:dyDescent="0.35">
      <c r="A518" s="1" t="str">
        <f t="shared" si="8"/>
        <v/>
      </c>
      <c r="B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9" spans="1:2" x14ac:dyDescent="0.35">
      <c r="A519" s="1" t="str">
        <f t="shared" si="8"/>
        <v/>
      </c>
      <c r="B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0" spans="1:2" x14ac:dyDescent="0.35">
      <c r="A520" s="1" t="str">
        <f t="shared" si="8"/>
        <v/>
      </c>
      <c r="B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1" spans="1:2" x14ac:dyDescent="0.3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2" spans="1:2" x14ac:dyDescent="0.3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3" spans="1:2" x14ac:dyDescent="0.35">
      <c r="A523" s="1" t="str">
        <f t="shared" si="8"/>
        <v/>
      </c>
      <c r="B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4" spans="1:2" x14ac:dyDescent="0.3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5" spans="1:2" x14ac:dyDescent="0.3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6" spans="1:2" x14ac:dyDescent="0.3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7" spans="1:2" x14ac:dyDescent="0.3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8" spans="1:2" x14ac:dyDescent="0.3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9" spans="1:2" x14ac:dyDescent="0.3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0" spans="1:2" x14ac:dyDescent="0.35">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1" spans="1:2" x14ac:dyDescent="0.35">
      <c r="A531" s="1" t="str">
        <f t="shared" si="8"/>
        <v/>
      </c>
      <c r="B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2" spans="1:2" x14ac:dyDescent="0.35">
      <c r="A532" s="1" t="str">
        <f t="shared" si="8"/>
        <v/>
      </c>
      <c r="B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3" spans="1:2" x14ac:dyDescent="0.35">
      <c r="A533" s="1" t="str">
        <f t="shared" si="8"/>
        <v/>
      </c>
      <c r="B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4" spans="1:2" x14ac:dyDescent="0.35">
      <c r="A534" s="1" t="str">
        <f t="shared" si="8"/>
        <v/>
      </c>
      <c r="B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5" spans="1:2" x14ac:dyDescent="0.35">
      <c r="A535" s="1" t="str">
        <f t="shared" si="8"/>
        <v/>
      </c>
      <c r="B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6" spans="1:2" x14ac:dyDescent="0.35">
      <c r="A536" s="1" t="str">
        <f t="shared" si="8"/>
        <v/>
      </c>
      <c r="B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7" spans="1:2" x14ac:dyDescent="0.35">
      <c r="A537" s="1" t="str">
        <f t="shared" si="8"/>
        <v/>
      </c>
      <c r="B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8" spans="1:2" x14ac:dyDescent="0.35">
      <c r="A538" s="1" t="str">
        <f t="shared" si="8"/>
        <v/>
      </c>
      <c r="B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9" spans="1:2" x14ac:dyDescent="0.35">
      <c r="A539" s="1" t="str">
        <f t="shared" si="8"/>
        <v/>
      </c>
      <c r="B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0" spans="1:2" x14ac:dyDescent="0.35">
      <c r="A540" s="1" t="str">
        <f t="shared" si="8"/>
        <v/>
      </c>
      <c r="B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1" spans="1:2" x14ac:dyDescent="0.35">
      <c r="A541" s="1" t="str">
        <f t="shared" si="8"/>
        <v/>
      </c>
      <c r="B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2" spans="1:2" x14ac:dyDescent="0.35">
      <c r="A542" s="1" t="str">
        <f t="shared" si="8"/>
        <v/>
      </c>
      <c r="B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3" spans="1:2" x14ac:dyDescent="0.35">
      <c r="A543" s="1" t="str">
        <f t="shared" si="8"/>
        <v/>
      </c>
      <c r="B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4" spans="1:2" x14ac:dyDescent="0.35">
      <c r="A544" s="1" t="str">
        <f t="shared" si="8"/>
        <v/>
      </c>
      <c r="B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5" spans="1:2" x14ac:dyDescent="0.35">
      <c r="A545" s="1" t="str">
        <f t="shared" si="8"/>
        <v/>
      </c>
      <c r="B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6" spans="1:2" x14ac:dyDescent="0.35">
      <c r="A546" s="1" t="str">
        <f t="shared" si="8"/>
        <v/>
      </c>
      <c r="B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7" spans="1:2" x14ac:dyDescent="0.35">
      <c r="A547" s="1" t="str">
        <f t="shared" si="8"/>
        <v/>
      </c>
      <c r="B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8" spans="1:2" x14ac:dyDescent="0.35">
      <c r="A548" s="1" t="str">
        <f t="shared" si="8"/>
        <v/>
      </c>
      <c r="B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9" spans="1:2" x14ac:dyDescent="0.35">
      <c r="A549" s="1" t="str">
        <f t="shared" si="8"/>
        <v/>
      </c>
      <c r="B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0" spans="1:2" x14ac:dyDescent="0.35">
      <c r="A550" s="1" t="str">
        <f t="shared" si="8"/>
        <v/>
      </c>
      <c r="B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1" spans="1:2" x14ac:dyDescent="0.35">
      <c r="A551" s="1" t="str">
        <f t="shared" si="8"/>
        <v/>
      </c>
      <c r="B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2" spans="1:2" x14ac:dyDescent="0.35">
      <c r="A552" s="1" t="str">
        <f t="shared" si="8"/>
        <v/>
      </c>
      <c r="B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3" spans="1:2" x14ac:dyDescent="0.35">
      <c r="A553" s="1" t="str">
        <f t="shared" si="8"/>
        <v/>
      </c>
      <c r="B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4" spans="1:2" x14ac:dyDescent="0.3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5" spans="1:2" x14ac:dyDescent="0.3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6" spans="1:2" x14ac:dyDescent="0.35">
      <c r="A556" s="1" t="str">
        <f t="shared" si="8"/>
        <v/>
      </c>
      <c r="B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7" spans="1:2" x14ac:dyDescent="0.3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8" spans="1:2" x14ac:dyDescent="0.3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9" spans="1:2" x14ac:dyDescent="0.3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0" spans="1:2" x14ac:dyDescent="0.3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1" spans="1:2" x14ac:dyDescent="0.3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2" spans="1:2" x14ac:dyDescent="0.3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3" spans="1:2" x14ac:dyDescent="0.35">
      <c r="A563" s="1" t="str">
        <f t="shared" si="8"/>
        <v/>
      </c>
      <c r="B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4" spans="1:2" x14ac:dyDescent="0.35">
      <c r="A564" s="1" t="str">
        <f t="shared" si="8"/>
        <v/>
      </c>
      <c r="B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5" spans="1:2" x14ac:dyDescent="0.35">
      <c r="A565" s="1" t="str">
        <f t="shared" si="8"/>
        <v/>
      </c>
      <c r="B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6" spans="1:2" x14ac:dyDescent="0.35">
      <c r="A566" s="1" t="str">
        <f t="shared" si="8"/>
        <v/>
      </c>
      <c r="B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7" spans="1:2" x14ac:dyDescent="0.35">
      <c r="A567" s="1" t="str">
        <f t="shared" si="8"/>
        <v/>
      </c>
      <c r="B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8" spans="1:2" x14ac:dyDescent="0.35">
      <c r="A568" s="1" t="str">
        <f t="shared" si="8"/>
        <v/>
      </c>
      <c r="B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9" spans="1:2" x14ac:dyDescent="0.35">
      <c r="A569" s="1" t="str">
        <f t="shared" si="8"/>
        <v/>
      </c>
      <c r="B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0" spans="1:2" x14ac:dyDescent="0.35">
      <c r="A570" s="1" t="str">
        <f t="shared" si="8"/>
        <v/>
      </c>
      <c r="B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1" spans="1:2" x14ac:dyDescent="0.35">
      <c r="A571" s="1" t="str">
        <f t="shared" si="8"/>
        <v/>
      </c>
      <c r="B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2" spans="1:2" x14ac:dyDescent="0.35">
      <c r="A572" s="1" t="str">
        <f t="shared" si="8"/>
        <v/>
      </c>
      <c r="B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3" spans="1:2" x14ac:dyDescent="0.35">
      <c r="A573" s="1" t="str">
        <f t="shared" si="8"/>
        <v/>
      </c>
      <c r="B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4" spans="1:2" x14ac:dyDescent="0.35">
      <c r="A574" s="1" t="str">
        <f t="shared" si="8"/>
        <v/>
      </c>
      <c r="B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5" spans="1:2" x14ac:dyDescent="0.35">
      <c r="A575" s="1" t="str">
        <f t="shared" si="8"/>
        <v/>
      </c>
      <c r="B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6" spans="1:2" x14ac:dyDescent="0.35">
      <c r="A576" s="1" t="str">
        <f t="shared" si="8"/>
        <v/>
      </c>
      <c r="B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7" spans="1:2" x14ac:dyDescent="0.35">
      <c r="A577" s="1" t="str">
        <f t="shared" si="8"/>
        <v/>
      </c>
      <c r="B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8" spans="1:2" x14ac:dyDescent="0.35">
      <c r="A578" s="1" t="str">
        <f t="shared" ref="A578:A641" si="9">IFERROR(LEFT(RIGHT(C578,LEN(C578)-SEARCH("@",C578)),SEARCH("/",RIGHT(C578,LEN(C578)-SEARCH("@",C578)-1))),"")</f>
        <v/>
      </c>
      <c r="B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9" spans="1:2" x14ac:dyDescent="0.35">
      <c r="A579" s="1" t="str">
        <f t="shared" si="9"/>
        <v/>
      </c>
      <c r="B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0" spans="1:2" x14ac:dyDescent="0.35">
      <c r="A580" s="1" t="str">
        <f t="shared" si="9"/>
        <v/>
      </c>
      <c r="B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1" spans="1:2" x14ac:dyDescent="0.35">
      <c r="A581" s="1" t="str">
        <f t="shared" si="9"/>
        <v/>
      </c>
      <c r="B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2" spans="1:2" x14ac:dyDescent="0.35">
      <c r="A582" s="1" t="str">
        <f t="shared" si="9"/>
        <v/>
      </c>
      <c r="B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3" spans="1:2" x14ac:dyDescent="0.35">
      <c r="A583" s="1" t="str">
        <f t="shared" si="9"/>
        <v/>
      </c>
      <c r="B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4" spans="1:2" x14ac:dyDescent="0.35">
      <c r="A584" s="1" t="str">
        <f t="shared" si="9"/>
        <v/>
      </c>
      <c r="B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5" spans="1:2" x14ac:dyDescent="0.35">
      <c r="A585" s="1" t="str">
        <f t="shared" si="9"/>
        <v/>
      </c>
      <c r="B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6" spans="1:2" x14ac:dyDescent="0.35">
      <c r="A586" s="1" t="str">
        <f t="shared" si="9"/>
        <v/>
      </c>
      <c r="B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7" spans="1:2" x14ac:dyDescent="0.3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8" spans="1:2" x14ac:dyDescent="0.3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9" spans="1:2" x14ac:dyDescent="0.35">
      <c r="A589" s="1" t="str">
        <f t="shared" si="9"/>
        <v/>
      </c>
      <c r="B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0" spans="1:2" x14ac:dyDescent="0.3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1" spans="1:2" x14ac:dyDescent="0.3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2" spans="1:2" x14ac:dyDescent="0.3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3" spans="1:2" x14ac:dyDescent="0.3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4" spans="1:2" x14ac:dyDescent="0.3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5" spans="1:2" x14ac:dyDescent="0.3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6" spans="1:2" x14ac:dyDescent="0.35">
      <c r="A596" s="1" t="str">
        <f t="shared" si="9"/>
        <v/>
      </c>
      <c r="B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7" spans="1:2" x14ac:dyDescent="0.35">
      <c r="A597" s="1" t="str">
        <f t="shared" si="9"/>
        <v/>
      </c>
      <c r="B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8" spans="1:2" x14ac:dyDescent="0.35">
      <c r="A598" s="1" t="str">
        <f t="shared" si="9"/>
        <v/>
      </c>
      <c r="B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9" spans="1:2" x14ac:dyDescent="0.35">
      <c r="A599" s="1" t="str">
        <f t="shared" si="9"/>
        <v/>
      </c>
      <c r="B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0" spans="1:2" x14ac:dyDescent="0.35">
      <c r="A600" s="1" t="str">
        <f t="shared" si="9"/>
        <v/>
      </c>
      <c r="B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1" spans="1:2" x14ac:dyDescent="0.35">
      <c r="A601" s="1" t="str">
        <f t="shared" si="9"/>
        <v/>
      </c>
      <c r="B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2" spans="1:2" x14ac:dyDescent="0.35">
      <c r="A602" s="1" t="str">
        <f t="shared" si="9"/>
        <v/>
      </c>
      <c r="B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3" spans="1:2" x14ac:dyDescent="0.35">
      <c r="A603" s="1" t="str">
        <f t="shared" si="9"/>
        <v/>
      </c>
      <c r="B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4" spans="1:2" x14ac:dyDescent="0.35">
      <c r="A604" s="1" t="str">
        <f t="shared" si="9"/>
        <v/>
      </c>
      <c r="B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5" spans="1:2" x14ac:dyDescent="0.35">
      <c r="A605" s="1" t="str">
        <f t="shared" si="9"/>
        <v/>
      </c>
      <c r="B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6" spans="1:2" x14ac:dyDescent="0.35">
      <c r="A606" s="1" t="str">
        <f t="shared" si="9"/>
        <v/>
      </c>
      <c r="B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7" spans="1:2" x14ac:dyDescent="0.35">
      <c r="A607" s="1" t="str">
        <f t="shared" si="9"/>
        <v/>
      </c>
      <c r="B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8" spans="1:2" x14ac:dyDescent="0.35">
      <c r="A608" s="1" t="str">
        <f t="shared" si="9"/>
        <v/>
      </c>
      <c r="B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9" spans="1:2" x14ac:dyDescent="0.35">
      <c r="A609" s="1" t="str">
        <f t="shared" si="9"/>
        <v/>
      </c>
      <c r="B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0" spans="1:2" x14ac:dyDescent="0.35">
      <c r="A610" s="1" t="str">
        <f t="shared" si="9"/>
        <v/>
      </c>
      <c r="B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1" spans="1:2" x14ac:dyDescent="0.35">
      <c r="A611" s="1" t="str">
        <f t="shared" si="9"/>
        <v/>
      </c>
      <c r="B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2" spans="1:2" x14ac:dyDescent="0.35">
      <c r="A612" s="1" t="str">
        <f t="shared" si="9"/>
        <v/>
      </c>
      <c r="B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3" spans="1:2" x14ac:dyDescent="0.35">
      <c r="A613" s="1" t="str">
        <f t="shared" si="9"/>
        <v/>
      </c>
      <c r="B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4" spans="1:2" x14ac:dyDescent="0.35">
      <c r="A614" s="1" t="str">
        <f t="shared" si="9"/>
        <v/>
      </c>
      <c r="B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5" spans="1:2" x14ac:dyDescent="0.35">
      <c r="A615" s="1" t="str">
        <f t="shared" si="9"/>
        <v/>
      </c>
      <c r="B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6" spans="1:2" x14ac:dyDescent="0.35">
      <c r="A616" s="1" t="str">
        <f t="shared" si="9"/>
        <v/>
      </c>
      <c r="B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7" spans="1:2" x14ac:dyDescent="0.35">
      <c r="A617" s="1" t="str">
        <f t="shared" si="9"/>
        <v/>
      </c>
      <c r="B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8" spans="1:2" x14ac:dyDescent="0.35">
      <c r="A618" s="1" t="str">
        <f t="shared" si="9"/>
        <v/>
      </c>
      <c r="B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9" spans="1:2" x14ac:dyDescent="0.35">
      <c r="A619" s="1" t="str">
        <f t="shared" si="9"/>
        <v/>
      </c>
      <c r="B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0" spans="1:2" x14ac:dyDescent="0.3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1" spans="1:2" x14ac:dyDescent="0.3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2" spans="1:2" x14ac:dyDescent="0.35">
      <c r="A622" s="1" t="str">
        <f t="shared" si="9"/>
        <v/>
      </c>
      <c r="B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3" spans="1:2" x14ac:dyDescent="0.3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4" spans="1:2" x14ac:dyDescent="0.3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5" spans="1:2" x14ac:dyDescent="0.3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6" spans="1:2" x14ac:dyDescent="0.3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7" spans="1:2" x14ac:dyDescent="0.3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8" spans="1:2" x14ac:dyDescent="0.3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9" spans="1:2" x14ac:dyDescent="0.35">
      <c r="A629" s="1" t="str">
        <f t="shared" si="9"/>
        <v/>
      </c>
      <c r="B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0" spans="1:2" x14ac:dyDescent="0.35">
      <c r="A630" s="1" t="str">
        <f t="shared" si="9"/>
        <v/>
      </c>
      <c r="B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1" spans="1:2" x14ac:dyDescent="0.35">
      <c r="A631" s="1" t="str">
        <f t="shared" si="9"/>
        <v/>
      </c>
      <c r="B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2" spans="1:2" x14ac:dyDescent="0.35">
      <c r="A632" s="1" t="str">
        <f t="shared" si="9"/>
        <v/>
      </c>
      <c r="B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3" spans="1:2" x14ac:dyDescent="0.35">
      <c r="A633" s="1" t="str">
        <f t="shared" si="9"/>
        <v/>
      </c>
      <c r="B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4" spans="1:2" x14ac:dyDescent="0.35">
      <c r="A634" s="1" t="str">
        <f t="shared" si="9"/>
        <v/>
      </c>
      <c r="B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5" spans="1:2" x14ac:dyDescent="0.35">
      <c r="A635" s="1" t="str">
        <f t="shared" si="9"/>
        <v/>
      </c>
      <c r="B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6" spans="1:2" x14ac:dyDescent="0.35">
      <c r="A636" s="1" t="str">
        <f t="shared" si="9"/>
        <v/>
      </c>
      <c r="B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7" spans="1:2" x14ac:dyDescent="0.35">
      <c r="A637" s="1" t="str">
        <f t="shared" si="9"/>
        <v/>
      </c>
      <c r="B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8" spans="1:2" x14ac:dyDescent="0.35">
      <c r="A638" s="1" t="str">
        <f t="shared" si="9"/>
        <v/>
      </c>
      <c r="B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9" spans="1:2" x14ac:dyDescent="0.35">
      <c r="A639" s="1" t="str">
        <f t="shared" si="9"/>
        <v/>
      </c>
      <c r="B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0" spans="1:2" x14ac:dyDescent="0.35">
      <c r="A640" s="1" t="str">
        <f t="shared" si="9"/>
        <v/>
      </c>
      <c r="B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1" spans="1:2" x14ac:dyDescent="0.35">
      <c r="A641" s="1" t="str">
        <f t="shared" si="9"/>
        <v/>
      </c>
      <c r="B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2" spans="1:2" x14ac:dyDescent="0.35">
      <c r="A642" s="1" t="str">
        <f t="shared" ref="A642:A705" si="10">IFERROR(LEFT(RIGHT(C642,LEN(C642)-SEARCH("@",C642)),SEARCH("/",RIGHT(C642,LEN(C642)-SEARCH("@",C642)-1))),"")</f>
        <v/>
      </c>
      <c r="B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3" spans="1:2" x14ac:dyDescent="0.35">
      <c r="A643" s="1" t="str">
        <f t="shared" si="10"/>
        <v/>
      </c>
      <c r="B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4" spans="1:2" x14ac:dyDescent="0.35">
      <c r="A644" s="1" t="str">
        <f t="shared" si="10"/>
        <v/>
      </c>
      <c r="B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5" spans="1:2" x14ac:dyDescent="0.35">
      <c r="A645" s="1" t="str">
        <f t="shared" si="10"/>
        <v/>
      </c>
      <c r="B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6" spans="1:2" x14ac:dyDescent="0.35">
      <c r="A646" s="1" t="str">
        <f t="shared" si="10"/>
        <v/>
      </c>
      <c r="B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7" spans="1:2" x14ac:dyDescent="0.35">
      <c r="A647" s="1" t="str">
        <f t="shared" si="10"/>
        <v/>
      </c>
      <c r="B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8" spans="1:2" x14ac:dyDescent="0.35">
      <c r="A648" s="1" t="str">
        <f t="shared" si="10"/>
        <v/>
      </c>
      <c r="B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9" spans="1:2" x14ac:dyDescent="0.35">
      <c r="A649" s="1" t="str">
        <f t="shared" si="10"/>
        <v/>
      </c>
      <c r="B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0" spans="1:2" x14ac:dyDescent="0.35">
      <c r="A650" s="1" t="str">
        <f t="shared" si="10"/>
        <v/>
      </c>
      <c r="B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1" spans="1:2" x14ac:dyDescent="0.35">
      <c r="A651" s="1" t="str">
        <f t="shared" si="10"/>
        <v/>
      </c>
      <c r="B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2" spans="1:2" x14ac:dyDescent="0.35">
      <c r="A652" s="1" t="str">
        <f t="shared" si="10"/>
        <v/>
      </c>
      <c r="B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3" spans="1:2" x14ac:dyDescent="0.3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4" spans="1:2" x14ac:dyDescent="0.3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5" spans="1:2" x14ac:dyDescent="0.35">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6" spans="1:2" x14ac:dyDescent="0.3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7" spans="1:2" x14ac:dyDescent="0.3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8" spans="1:2" x14ac:dyDescent="0.3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9" spans="1:2" x14ac:dyDescent="0.3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0" spans="1:2" x14ac:dyDescent="0.3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1" spans="1:2" x14ac:dyDescent="0.3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2" spans="1:2" x14ac:dyDescent="0.35">
      <c r="A662" s="1" t="str">
        <f t="shared" si="10"/>
        <v/>
      </c>
      <c r="B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3" spans="1:2" x14ac:dyDescent="0.35">
      <c r="A663" s="1" t="str">
        <f t="shared" si="10"/>
        <v/>
      </c>
      <c r="B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4" spans="1:2" x14ac:dyDescent="0.35">
      <c r="A664" s="1" t="str">
        <f t="shared" si="10"/>
        <v/>
      </c>
      <c r="B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5" spans="1:2" x14ac:dyDescent="0.35">
      <c r="A665" s="1" t="str">
        <f t="shared" si="10"/>
        <v/>
      </c>
      <c r="B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6" spans="1:2" x14ac:dyDescent="0.35">
      <c r="A666" s="1" t="str">
        <f t="shared" si="10"/>
        <v/>
      </c>
      <c r="B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7" spans="1:2" x14ac:dyDescent="0.35">
      <c r="A667" s="1" t="str">
        <f t="shared" si="10"/>
        <v/>
      </c>
      <c r="B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8" spans="1:2" x14ac:dyDescent="0.35">
      <c r="A668" s="1" t="str">
        <f t="shared" si="10"/>
        <v/>
      </c>
      <c r="B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9" spans="1:2" x14ac:dyDescent="0.35">
      <c r="A669" s="1" t="str">
        <f t="shared" si="10"/>
        <v/>
      </c>
      <c r="B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0" spans="1:2" x14ac:dyDescent="0.35">
      <c r="A670" s="1" t="str">
        <f t="shared" si="10"/>
        <v/>
      </c>
      <c r="B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1" spans="1:2" x14ac:dyDescent="0.35">
      <c r="A671" s="1" t="str">
        <f t="shared" si="10"/>
        <v/>
      </c>
      <c r="B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2" spans="1:2" x14ac:dyDescent="0.35">
      <c r="A672" s="1" t="str">
        <f t="shared" si="10"/>
        <v/>
      </c>
      <c r="B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3" spans="1:2" x14ac:dyDescent="0.35">
      <c r="A673" s="1" t="str">
        <f t="shared" si="10"/>
        <v/>
      </c>
      <c r="B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4" spans="1:2" x14ac:dyDescent="0.35">
      <c r="A674" s="1" t="str">
        <f t="shared" si="10"/>
        <v/>
      </c>
      <c r="B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5" spans="1:2" x14ac:dyDescent="0.35">
      <c r="A675" s="1" t="str">
        <f t="shared" si="10"/>
        <v/>
      </c>
      <c r="B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6" spans="1:2" x14ac:dyDescent="0.35">
      <c r="A676" s="1" t="str">
        <f t="shared" si="10"/>
        <v/>
      </c>
      <c r="B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7" spans="1:2" x14ac:dyDescent="0.35">
      <c r="A677" s="1" t="str">
        <f t="shared" si="10"/>
        <v/>
      </c>
      <c r="B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8" spans="1:2" x14ac:dyDescent="0.35">
      <c r="A678" s="1" t="str">
        <f t="shared" si="10"/>
        <v/>
      </c>
      <c r="B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9" spans="1:2" x14ac:dyDescent="0.35">
      <c r="A679" s="1" t="str">
        <f t="shared" si="10"/>
        <v/>
      </c>
      <c r="B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0" spans="1:2" x14ac:dyDescent="0.35">
      <c r="A680" s="1" t="str">
        <f t="shared" si="10"/>
        <v/>
      </c>
      <c r="B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1" spans="1:2" x14ac:dyDescent="0.35">
      <c r="A681" s="1" t="str">
        <f t="shared" si="10"/>
        <v/>
      </c>
      <c r="B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2" spans="1:2" x14ac:dyDescent="0.35">
      <c r="A682" s="1" t="str">
        <f t="shared" si="10"/>
        <v/>
      </c>
      <c r="B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3" spans="1:2" x14ac:dyDescent="0.35">
      <c r="A683" s="1" t="str">
        <f t="shared" si="10"/>
        <v/>
      </c>
      <c r="B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4" spans="1:2" x14ac:dyDescent="0.35">
      <c r="A684" s="1" t="str">
        <f t="shared" si="10"/>
        <v/>
      </c>
      <c r="B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5" spans="1:2" x14ac:dyDescent="0.35">
      <c r="A685" s="1" t="str">
        <f t="shared" si="10"/>
        <v/>
      </c>
      <c r="B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6" spans="1:2" x14ac:dyDescent="0.3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7" spans="1:2" x14ac:dyDescent="0.3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8" spans="1:2" x14ac:dyDescent="0.35">
      <c r="A688" s="1" t="str">
        <f t="shared" si="10"/>
        <v/>
      </c>
      <c r="B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9" spans="1:2" x14ac:dyDescent="0.3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2" x14ac:dyDescent="0.3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2" x14ac:dyDescent="0.3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2" x14ac:dyDescent="0.3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2" x14ac:dyDescent="0.3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2" x14ac:dyDescent="0.3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2" x14ac:dyDescent="0.3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2" x14ac:dyDescent="0.3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2" x14ac:dyDescent="0.3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2" x14ac:dyDescent="0.3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2" x14ac:dyDescent="0.3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2" x14ac:dyDescent="0.3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2" x14ac:dyDescent="0.3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2" x14ac:dyDescent="0.3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2" x14ac:dyDescent="0.3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2" x14ac:dyDescent="0.3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1:K11 M11:XFD11 A1:J10 EO1:XFD10 A12:XFD13 M14:XFD18 K1:L4 A14:J18 K5 A19:XFD1048576">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opLeftCell="Q1" zoomScale="70" zoomScaleNormal="70" zoomScaleSheetLayoutView="40" zoomScalePageLayoutView="30" workbookViewId="0">
      <selection activeCell="AB12" sqref="AB1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3" t="s">
        <v>43</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4"/>
    <row r="3" spans="1:22" ht="15" thickBot="1" x14ac:dyDescent="0.4">
      <c r="A3" s="153" t="s">
        <v>22</v>
      </c>
      <c r="B3" s="221" t="s">
        <v>6</v>
      </c>
      <c r="C3" s="222"/>
      <c r="D3" s="222"/>
      <c r="E3" s="222"/>
      <c r="F3" s="222"/>
      <c r="G3" s="222"/>
      <c r="H3" s="222"/>
      <c r="I3" s="222"/>
      <c r="J3" s="222"/>
      <c r="K3" s="222"/>
      <c r="L3" s="222"/>
      <c r="M3" s="222"/>
      <c r="O3" s="221" t="s">
        <v>3</v>
      </c>
      <c r="P3" s="222"/>
      <c r="Q3" s="222"/>
      <c r="R3" s="222"/>
      <c r="S3" s="222"/>
      <c r="T3" s="222"/>
      <c r="U3" s="222"/>
      <c r="V3" s="222"/>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Saccharin-0,01mg/L</v>
      </c>
      <c r="J4" s="35" t="str">
        <f>'Page de garde'!A16</f>
        <v>Saccharin-0,1mg/L</v>
      </c>
      <c r="K4" s="35" t="str">
        <f>'Page de garde'!A17</f>
        <v>Saccharin-1mg/L</v>
      </c>
      <c r="L4" s="35" t="str">
        <f>'Page de garde'!A18</f>
        <v>Saccharin-10mg/L</v>
      </c>
      <c r="M4" s="35" t="str">
        <f>'Page de garde'!A19</f>
        <v>Saccharin-100mg/L</v>
      </c>
      <c r="N4" s="3"/>
      <c r="O4" s="36" t="str">
        <f>'Page de garde'!A36</f>
        <v>Testo -30µg/L</v>
      </c>
      <c r="P4" s="36" t="str">
        <f>'Page de garde'!A37</f>
        <v>Testo 30µg/L + EE2 -64ng/L</v>
      </c>
      <c r="Q4" s="36" t="str">
        <f>'Page de garde'!A38</f>
        <v>Testo 30µg/L + FAD-10µg/L</v>
      </c>
      <c r="R4" s="36" t="str">
        <f>'Page de garde'!A39</f>
        <v>Saccharin-0,01mg/L + Testostérone</v>
      </c>
      <c r="S4" s="36" t="str">
        <f>'Page de garde'!A40</f>
        <v>Saccharin-0,1mg/L + Testostérone</v>
      </c>
      <c r="T4" s="36" t="str">
        <f>'Page de garde'!A41</f>
        <v>Saccharin-1mg/L + Testostérone</v>
      </c>
      <c r="U4" s="36" t="str">
        <f>'Page de garde'!A42</f>
        <v>Saccharin-10mg/L + Testostérone</v>
      </c>
      <c r="V4" s="36" t="str">
        <f>'Page de garde'!A43</f>
        <v>Saccharin-100mg/L + Testostérone</v>
      </c>
    </row>
    <row r="5" spans="1:22" x14ac:dyDescent="0.35">
      <c r="A5" s="223" t="s">
        <v>33</v>
      </c>
      <c r="B5" s="32">
        <v>300130</v>
      </c>
      <c r="C5" s="32">
        <v>65430</v>
      </c>
      <c r="D5" s="32">
        <v>5230120</v>
      </c>
      <c r="E5" s="32">
        <v>2141678</v>
      </c>
      <c r="F5" s="32">
        <v>4965539</v>
      </c>
      <c r="G5" s="32">
        <v>6004318</v>
      </c>
      <c r="H5" s="32">
        <v>14207527</v>
      </c>
      <c r="I5" s="32">
        <v>495216</v>
      </c>
      <c r="J5" s="32">
        <v>151592</v>
      </c>
      <c r="K5" s="13">
        <v>172532</v>
      </c>
      <c r="L5" s="13">
        <v>308984</v>
      </c>
      <c r="M5" s="13">
        <v>549515</v>
      </c>
      <c r="N5" s="3"/>
      <c r="O5" s="32">
        <v>3316746</v>
      </c>
      <c r="P5" s="13">
        <v>7509230</v>
      </c>
      <c r="Q5" s="13">
        <v>419018</v>
      </c>
      <c r="R5" s="32">
        <v>1304216</v>
      </c>
      <c r="S5" s="32">
        <v>3088055</v>
      </c>
      <c r="T5" s="32">
        <v>6206267</v>
      </c>
      <c r="U5" s="32">
        <v>1528267</v>
      </c>
      <c r="V5" s="32">
        <v>1264271</v>
      </c>
    </row>
    <row r="6" spans="1:22" ht="16.5" x14ac:dyDescent="0.35">
      <c r="A6" s="223"/>
      <c r="B6" s="14">
        <v>357555</v>
      </c>
      <c r="C6" s="13">
        <v>109219</v>
      </c>
      <c r="D6" s="32">
        <v>180119</v>
      </c>
      <c r="E6" s="32">
        <v>2723184</v>
      </c>
      <c r="F6" s="32">
        <v>3767768</v>
      </c>
      <c r="G6" s="32">
        <v>2771030</v>
      </c>
      <c r="H6" s="32">
        <v>8852650</v>
      </c>
      <c r="I6" s="32">
        <v>135289</v>
      </c>
      <c r="J6" s="32">
        <v>259655</v>
      </c>
      <c r="K6" s="13">
        <v>315653</v>
      </c>
      <c r="L6" s="13">
        <v>310189</v>
      </c>
      <c r="M6" s="13">
        <v>202368</v>
      </c>
      <c r="N6" s="3"/>
      <c r="O6" s="32">
        <v>524741</v>
      </c>
      <c r="P6" s="13">
        <v>5534865</v>
      </c>
      <c r="Q6" s="13">
        <v>178793</v>
      </c>
      <c r="R6" s="32">
        <v>2146369</v>
      </c>
      <c r="S6" s="32">
        <v>3597542</v>
      </c>
      <c r="T6" s="32">
        <v>837101</v>
      </c>
      <c r="U6" s="32">
        <v>404015</v>
      </c>
      <c r="V6" s="32">
        <v>68667</v>
      </c>
    </row>
    <row r="7" spans="1:22" ht="16.5" x14ac:dyDescent="0.35">
      <c r="A7" s="223"/>
      <c r="B7" s="14">
        <v>141497</v>
      </c>
      <c r="C7" s="13">
        <v>476</v>
      </c>
      <c r="D7" s="32">
        <v>1046486</v>
      </c>
      <c r="E7" s="32">
        <v>1205452</v>
      </c>
      <c r="F7" s="32">
        <v>784542</v>
      </c>
      <c r="G7" s="32">
        <v>10260365</v>
      </c>
      <c r="H7" s="32">
        <v>10028615</v>
      </c>
      <c r="I7" s="32">
        <v>226678</v>
      </c>
      <c r="J7" s="32">
        <v>51227</v>
      </c>
      <c r="K7" s="13">
        <v>37851</v>
      </c>
      <c r="L7" s="13">
        <v>146044</v>
      </c>
      <c r="M7" s="13">
        <v>340984</v>
      </c>
      <c r="N7" s="3"/>
      <c r="O7" s="32">
        <v>39848</v>
      </c>
      <c r="P7" s="13">
        <v>12599631</v>
      </c>
      <c r="Q7" s="13">
        <v>420567</v>
      </c>
      <c r="R7" s="32">
        <v>1131519</v>
      </c>
      <c r="S7" s="32">
        <v>1065866</v>
      </c>
      <c r="T7" s="32">
        <v>774625</v>
      </c>
      <c r="U7" s="32">
        <v>64027</v>
      </c>
      <c r="V7" s="32">
        <v>1614748</v>
      </c>
    </row>
    <row r="8" spans="1:22" ht="16.5" x14ac:dyDescent="0.35">
      <c r="A8" s="223"/>
      <c r="B8" s="14">
        <v>315479</v>
      </c>
      <c r="C8" s="13">
        <v>667849</v>
      </c>
      <c r="D8" s="32">
        <v>119892</v>
      </c>
      <c r="E8" s="32">
        <v>2542502</v>
      </c>
      <c r="F8" s="32">
        <v>6796192</v>
      </c>
      <c r="G8" s="32">
        <v>7155085</v>
      </c>
      <c r="H8" s="32">
        <v>7464448</v>
      </c>
      <c r="I8" s="32">
        <v>663276</v>
      </c>
      <c r="J8" s="32">
        <v>134706</v>
      </c>
      <c r="K8" s="13">
        <v>36227</v>
      </c>
      <c r="L8" s="13">
        <v>181067</v>
      </c>
      <c r="M8" s="13">
        <v>63582</v>
      </c>
      <c r="N8" s="3"/>
      <c r="O8" s="32">
        <v>1066603</v>
      </c>
      <c r="P8" s="13">
        <v>7507985</v>
      </c>
      <c r="Q8" s="13">
        <v>571417</v>
      </c>
      <c r="R8" s="32">
        <v>2376788</v>
      </c>
      <c r="S8" s="32">
        <v>1179551</v>
      </c>
      <c r="T8" s="32">
        <v>1954810</v>
      </c>
      <c r="U8" s="32">
        <v>486692</v>
      </c>
      <c r="V8" s="32">
        <v>84913</v>
      </c>
    </row>
    <row r="9" spans="1:22" ht="16.5" x14ac:dyDescent="0.35">
      <c r="A9" s="223"/>
      <c r="B9" s="14">
        <v>302873</v>
      </c>
      <c r="C9" s="13">
        <v>235528</v>
      </c>
      <c r="D9" s="32">
        <v>1505037</v>
      </c>
      <c r="E9" s="32">
        <v>2561433</v>
      </c>
      <c r="F9" s="32">
        <v>4392356</v>
      </c>
      <c r="G9" s="32">
        <v>8934974</v>
      </c>
      <c r="H9" s="32">
        <v>8010675</v>
      </c>
      <c r="I9" s="32">
        <v>547097</v>
      </c>
      <c r="J9" s="32">
        <v>1725</v>
      </c>
      <c r="K9" s="13">
        <v>498805</v>
      </c>
      <c r="L9" s="13">
        <v>106436</v>
      </c>
      <c r="M9" s="13">
        <v>201976</v>
      </c>
      <c r="N9" s="3"/>
      <c r="O9" s="32">
        <v>2888597</v>
      </c>
      <c r="P9" s="13">
        <v>4362101</v>
      </c>
      <c r="Q9" s="13">
        <v>283829</v>
      </c>
      <c r="R9" s="32">
        <v>581582</v>
      </c>
      <c r="S9" s="32">
        <v>842364</v>
      </c>
      <c r="T9" s="32">
        <v>538347</v>
      </c>
      <c r="U9" s="32">
        <v>54996</v>
      </c>
      <c r="V9" s="32">
        <v>3540652</v>
      </c>
    </row>
    <row r="10" spans="1:22" ht="16.5" x14ac:dyDescent="0.35">
      <c r="A10" s="223"/>
      <c r="B10" s="14">
        <v>449680</v>
      </c>
      <c r="C10" s="13">
        <v>238336</v>
      </c>
      <c r="D10" s="32">
        <v>5395788</v>
      </c>
      <c r="E10" s="32">
        <v>1187274</v>
      </c>
      <c r="F10" s="32">
        <v>5884114</v>
      </c>
      <c r="G10" s="32">
        <v>9369487</v>
      </c>
      <c r="H10" s="32">
        <v>5992243</v>
      </c>
      <c r="I10" s="32">
        <v>58787</v>
      </c>
      <c r="J10" s="32">
        <v>169031</v>
      </c>
      <c r="K10" s="13">
        <v>152303</v>
      </c>
      <c r="L10" s="13">
        <v>345039</v>
      </c>
      <c r="M10" s="13">
        <v>255829</v>
      </c>
      <c r="N10" s="3"/>
      <c r="O10" s="32">
        <v>118039</v>
      </c>
      <c r="P10" s="13">
        <v>4299309</v>
      </c>
      <c r="Q10" s="13">
        <v>1218787</v>
      </c>
      <c r="R10" s="32">
        <v>149745</v>
      </c>
      <c r="S10" s="32">
        <v>2035269</v>
      </c>
      <c r="T10" s="32">
        <v>564134</v>
      </c>
      <c r="U10" s="32">
        <v>5767419</v>
      </c>
      <c r="V10" s="32">
        <v>5282520</v>
      </c>
    </row>
    <row r="11" spans="1:22" ht="16.5" x14ac:dyDescent="0.35">
      <c r="A11" s="223"/>
      <c r="B11" s="14">
        <v>451773</v>
      </c>
      <c r="C11" s="13">
        <v>20868</v>
      </c>
      <c r="D11" s="32">
        <v>769319</v>
      </c>
      <c r="E11" s="32">
        <v>1742216</v>
      </c>
      <c r="F11" s="32">
        <v>9908124</v>
      </c>
      <c r="G11" s="32">
        <v>5025049</v>
      </c>
      <c r="H11" s="32">
        <v>12668932</v>
      </c>
      <c r="I11" s="32">
        <v>704199</v>
      </c>
      <c r="J11" s="32">
        <v>146685</v>
      </c>
      <c r="K11" s="13">
        <v>77874</v>
      </c>
      <c r="L11" s="13">
        <v>185677</v>
      </c>
      <c r="M11" s="13">
        <v>30349</v>
      </c>
      <c r="N11" s="3"/>
      <c r="O11" s="32">
        <v>1702901</v>
      </c>
      <c r="P11" s="13">
        <v>7722540</v>
      </c>
      <c r="Q11" s="13">
        <v>178489</v>
      </c>
      <c r="R11" s="32">
        <v>1829582</v>
      </c>
      <c r="S11" s="32">
        <v>498002</v>
      </c>
      <c r="T11" s="32">
        <v>4956836</v>
      </c>
      <c r="U11" s="32">
        <v>6690181</v>
      </c>
      <c r="V11" s="32">
        <v>3908499</v>
      </c>
    </row>
    <row r="12" spans="1:22" ht="16.5" x14ac:dyDescent="0.35">
      <c r="A12" s="223"/>
      <c r="B12" s="14">
        <v>349401</v>
      </c>
      <c r="C12" s="13">
        <v>193075</v>
      </c>
      <c r="D12" s="32">
        <v>1467941</v>
      </c>
      <c r="E12" s="32">
        <v>494565</v>
      </c>
      <c r="F12" s="32">
        <v>3457277</v>
      </c>
      <c r="G12" s="32">
        <v>10290636</v>
      </c>
      <c r="H12" s="32">
        <v>11027182</v>
      </c>
      <c r="I12" s="32">
        <v>140441</v>
      </c>
      <c r="J12" s="32">
        <v>268266</v>
      </c>
      <c r="K12" s="13"/>
      <c r="L12" s="13">
        <v>18335</v>
      </c>
      <c r="M12" s="13">
        <v>156011</v>
      </c>
      <c r="N12" s="3"/>
      <c r="O12" s="32">
        <v>131726</v>
      </c>
      <c r="P12" s="13">
        <v>7295933</v>
      </c>
      <c r="Q12" s="13">
        <v>201170</v>
      </c>
      <c r="R12" s="32">
        <v>299441</v>
      </c>
      <c r="S12" s="32">
        <v>2925714</v>
      </c>
      <c r="T12" s="32">
        <v>6169902</v>
      </c>
      <c r="U12" s="32">
        <v>2565991</v>
      </c>
      <c r="V12" s="32">
        <v>563097</v>
      </c>
    </row>
    <row r="13" spans="1:22" ht="16.5" x14ac:dyDescent="0.35">
      <c r="A13" s="223"/>
      <c r="B13" s="14"/>
      <c r="C13" s="13"/>
      <c r="D13" s="32"/>
      <c r="E13" s="32"/>
      <c r="F13" s="32"/>
      <c r="G13" s="32"/>
      <c r="H13" s="32"/>
      <c r="I13" s="32"/>
      <c r="J13" s="32"/>
      <c r="K13" s="13"/>
      <c r="L13" s="13"/>
      <c r="M13" s="13"/>
      <c r="N13" s="3"/>
      <c r="O13" s="32">
        <v>1081481</v>
      </c>
      <c r="P13" s="13"/>
      <c r="Q13" s="13"/>
      <c r="R13" s="32"/>
      <c r="S13" s="32"/>
      <c r="T13" s="32"/>
      <c r="U13" s="32"/>
      <c r="V13" s="32"/>
    </row>
    <row r="14" spans="1:22" ht="16.5" x14ac:dyDescent="0.35">
      <c r="A14" s="223"/>
      <c r="B14" s="14"/>
      <c r="C14" s="32"/>
      <c r="D14" s="32"/>
      <c r="E14" s="32"/>
      <c r="F14" s="32"/>
      <c r="G14" s="32"/>
      <c r="H14" s="32"/>
      <c r="I14" s="32"/>
      <c r="J14" s="32"/>
      <c r="K14" s="13"/>
      <c r="L14" s="13"/>
      <c r="M14" s="13"/>
      <c r="N14" s="3"/>
      <c r="O14" s="32">
        <v>2664072</v>
      </c>
      <c r="P14" s="13"/>
      <c r="Q14" s="13"/>
      <c r="R14" s="32"/>
      <c r="S14" s="32"/>
      <c r="T14" s="32"/>
      <c r="U14" s="32"/>
      <c r="V14" s="32"/>
    </row>
    <row r="15" spans="1:22" ht="16.5" x14ac:dyDescent="0.35">
      <c r="A15" s="223"/>
      <c r="B15" s="14"/>
      <c r="C15" s="32"/>
      <c r="D15" s="32"/>
      <c r="E15" s="32"/>
      <c r="F15" s="32"/>
      <c r="G15" s="32"/>
      <c r="H15" s="32"/>
      <c r="I15" s="32"/>
      <c r="J15" s="32"/>
      <c r="K15" s="13"/>
      <c r="L15" s="13"/>
      <c r="M15" s="13"/>
      <c r="N15" s="3"/>
      <c r="O15" s="32">
        <v>114687</v>
      </c>
      <c r="P15" s="13"/>
      <c r="Q15" s="13"/>
      <c r="R15" s="32"/>
      <c r="S15" s="32"/>
      <c r="T15" s="32"/>
      <c r="U15" s="32"/>
      <c r="V15" s="32"/>
    </row>
    <row r="16" spans="1:22" ht="16.5" x14ac:dyDescent="0.35">
      <c r="A16" s="223"/>
      <c r="B16" s="14"/>
      <c r="C16" s="32"/>
      <c r="D16" s="32"/>
      <c r="E16" s="32"/>
      <c r="F16" s="32"/>
      <c r="G16" s="32"/>
      <c r="H16" s="32"/>
      <c r="I16" s="32"/>
      <c r="J16" s="32"/>
      <c r="K16" s="13"/>
      <c r="L16" s="13"/>
      <c r="M16" s="13"/>
      <c r="N16" s="3"/>
      <c r="O16" s="32">
        <v>2249076</v>
      </c>
      <c r="P16" s="13"/>
      <c r="Q16" s="13"/>
      <c r="R16" s="32"/>
      <c r="S16" s="32"/>
      <c r="T16" s="32"/>
      <c r="U16" s="32"/>
      <c r="V16" s="32"/>
    </row>
    <row r="17" spans="1:22" ht="16.5" x14ac:dyDescent="0.35">
      <c r="A17" s="223"/>
      <c r="B17" s="14"/>
      <c r="C17" s="32"/>
      <c r="D17" s="32"/>
      <c r="E17" s="32"/>
      <c r="F17" s="32"/>
      <c r="G17" s="32"/>
      <c r="H17" s="32"/>
      <c r="I17" s="32"/>
      <c r="J17" s="32"/>
      <c r="K17" s="13"/>
      <c r="L17" s="13"/>
      <c r="M17" s="13"/>
      <c r="N17" s="3"/>
      <c r="O17" s="32">
        <v>173450</v>
      </c>
      <c r="P17" s="13"/>
      <c r="Q17" s="13"/>
      <c r="R17" s="32"/>
      <c r="S17" s="32"/>
      <c r="T17" s="32"/>
      <c r="U17" s="32"/>
      <c r="V17" s="32"/>
    </row>
    <row r="18" spans="1:22" ht="16.5" x14ac:dyDescent="0.35">
      <c r="A18" s="223"/>
      <c r="B18" s="14"/>
      <c r="C18" s="32"/>
      <c r="D18" s="32"/>
      <c r="E18" s="32"/>
      <c r="F18" s="32"/>
      <c r="G18" s="32"/>
      <c r="H18" s="32"/>
      <c r="I18" s="32"/>
      <c r="J18" s="32"/>
      <c r="K18" s="13"/>
      <c r="L18" s="13"/>
      <c r="M18" s="13"/>
      <c r="N18" s="3"/>
      <c r="O18" s="32">
        <v>469773</v>
      </c>
      <c r="P18" s="13"/>
      <c r="Q18" s="13"/>
      <c r="R18" s="32"/>
      <c r="S18" s="32"/>
      <c r="T18" s="32"/>
      <c r="U18" s="32"/>
      <c r="V18" s="32"/>
    </row>
    <row r="19" spans="1:22" ht="16.5" x14ac:dyDescent="0.35">
      <c r="A19" s="223"/>
      <c r="B19" s="14"/>
      <c r="C19" s="32"/>
      <c r="D19" s="32"/>
      <c r="E19" s="32"/>
      <c r="F19" s="32"/>
      <c r="G19" s="32"/>
      <c r="H19" s="32"/>
      <c r="I19" s="32"/>
      <c r="J19" s="32"/>
      <c r="K19" s="13"/>
      <c r="L19" s="13"/>
      <c r="M19" s="13"/>
      <c r="N19" s="3"/>
      <c r="O19" s="32">
        <v>718954</v>
      </c>
      <c r="P19" s="13"/>
      <c r="Q19" s="13"/>
      <c r="R19" s="32"/>
      <c r="S19" s="32"/>
      <c r="T19" s="32"/>
      <c r="U19" s="32"/>
      <c r="V19" s="32"/>
    </row>
    <row r="20" spans="1:22" ht="16.5" x14ac:dyDescent="0.35">
      <c r="A20" s="223"/>
      <c r="B20" s="14"/>
      <c r="C20" s="32"/>
      <c r="D20" s="32"/>
      <c r="E20" s="32"/>
      <c r="F20" s="32"/>
      <c r="G20" s="32"/>
      <c r="H20" s="32"/>
      <c r="I20" s="32"/>
      <c r="J20" s="32"/>
      <c r="K20" s="13"/>
      <c r="L20" s="13"/>
      <c r="M20" s="13"/>
      <c r="N20" s="3"/>
      <c r="O20" s="32">
        <v>2782850</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Saccharin-0,01mg/L</v>
      </c>
      <c r="J22" s="3" t="str">
        <f t="shared" si="0"/>
        <v>Saccharin-0,1mg/L</v>
      </c>
      <c r="K22" s="3" t="str">
        <f t="shared" si="0"/>
        <v>Saccharin-1mg/L</v>
      </c>
      <c r="L22" s="3" t="str">
        <f t="shared" si="0"/>
        <v>Saccharin-10mg/L</v>
      </c>
      <c r="M22" s="3" t="str">
        <f t="shared" si="0"/>
        <v>Saccharin-100mg/L</v>
      </c>
      <c r="N22" s="3" t="s">
        <v>41</v>
      </c>
      <c r="O22" s="3" t="str">
        <f t="shared" si="0"/>
        <v>Testo -30µg/L</v>
      </c>
      <c r="P22" s="3" t="str">
        <f t="shared" si="0"/>
        <v>Testo 30µg/L + EE2 -64ng/L</v>
      </c>
      <c r="Q22" s="3" t="str">
        <f t="shared" si="0"/>
        <v>Testo 30µg/L + FAD-10µg/L</v>
      </c>
      <c r="R22" s="3" t="str">
        <f t="shared" si="0"/>
        <v>Saccharin-0,01mg/L + Testostérone</v>
      </c>
      <c r="S22" s="3" t="str">
        <f t="shared" si="0"/>
        <v>Saccharin-0,1mg/L + Testostérone</v>
      </c>
      <c r="T22" s="3" t="str">
        <f t="shared" si="0"/>
        <v>Saccharin-1mg/L + Testostérone</v>
      </c>
      <c r="U22" s="3" t="str">
        <f t="shared" si="0"/>
        <v>Saccharin-10mg/L + Testostérone</v>
      </c>
      <c r="V22" s="3" t="str">
        <f t="shared" si="0"/>
        <v>Saccharin-100mg/L + Testostérone</v>
      </c>
    </row>
    <row r="23" spans="1:22" x14ac:dyDescent="0.35">
      <c r="A23" s="5" t="s">
        <v>0</v>
      </c>
      <c r="B23" s="5">
        <f t="shared" ref="B23:J23" si="1">AVERAGE(B5:B20)</f>
        <v>333548.5</v>
      </c>
      <c r="C23" s="5">
        <f t="shared" si="1"/>
        <v>191347.625</v>
      </c>
      <c r="D23" s="5">
        <f t="shared" si="1"/>
        <v>1964337.75</v>
      </c>
      <c r="E23" s="5">
        <f t="shared" si="1"/>
        <v>1824788</v>
      </c>
      <c r="F23" s="5">
        <f t="shared" si="1"/>
        <v>4994489</v>
      </c>
      <c r="G23" s="5">
        <f t="shared" si="1"/>
        <v>7476368</v>
      </c>
      <c r="H23" s="5">
        <f t="shared" si="1"/>
        <v>9781534</v>
      </c>
      <c r="I23" s="5">
        <f t="shared" si="1"/>
        <v>371372.875</v>
      </c>
      <c r="J23" s="5">
        <f t="shared" si="1"/>
        <v>147860.875</v>
      </c>
      <c r="K23" s="5"/>
      <c r="L23" s="5">
        <f>AVERAGE(L5:L20)</f>
        <v>200221.375</v>
      </c>
      <c r="M23" s="5"/>
      <c r="N23" s="5" t="s">
        <v>0</v>
      </c>
      <c r="O23" s="5">
        <f>AVERAGE(O5:O20)</f>
        <v>1252721.5</v>
      </c>
      <c r="P23" s="5">
        <f>AVERAGE(P5:P20)</f>
        <v>7103949.25</v>
      </c>
      <c r="Q23" s="5">
        <f>AVERAGE(Q5:Q20)</f>
        <v>434008.75</v>
      </c>
      <c r="R23" s="5">
        <f>AVERAGE(R5:R20)</f>
        <v>1227405.25</v>
      </c>
      <c r="S23" s="5">
        <f>AVERAGE(S5:S20)</f>
        <v>1904045.375</v>
      </c>
      <c r="T23" s="5">
        <f t="shared" ref="T23:V23" si="2">AVERAGE(T5:T20)</f>
        <v>2750252.75</v>
      </c>
      <c r="U23" s="5">
        <f t="shared" si="2"/>
        <v>2195198.5</v>
      </c>
      <c r="V23" s="5">
        <f t="shared" si="2"/>
        <v>2040920.875</v>
      </c>
    </row>
    <row r="24" spans="1:22" x14ac:dyDescent="0.35">
      <c r="A24" s="3" t="s">
        <v>1</v>
      </c>
      <c r="B24" s="3">
        <f t="shared" ref="B24:J24" si="3">STDEV(B5:B20)</f>
        <v>98241.131490691958</v>
      </c>
      <c r="C24" s="3">
        <f t="shared" si="3"/>
        <v>213579.02392385789</v>
      </c>
      <c r="D24" s="3">
        <f t="shared" si="3"/>
        <v>2129838.6845478462</v>
      </c>
      <c r="E24" s="3">
        <f t="shared" si="3"/>
        <v>804594.52367920789</v>
      </c>
      <c r="F24" s="3">
        <f t="shared" si="3"/>
        <v>2676252.6144336867</v>
      </c>
      <c r="G24" s="3">
        <f t="shared" si="3"/>
        <v>2720333.4665815197</v>
      </c>
      <c r="H24" s="3">
        <f t="shared" si="3"/>
        <v>2758507.6219976004</v>
      </c>
      <c r="I24" s="3">
        <f t="shared" si="3"/>
        <v>259094.14025762776</v>
      </c>
      <c r="J24" s="3">
        <f t="shared" si="3"/>
        <v>91281.080166761356</v>
      </c>
      <c r="K24" s="3"/>
      <c r="L24" s="3">
        <f>STDEV(L5:L20)</f>
        <v>113569.54981600797</v>
      </c>
      <c r="M24" s="3"/>
      <c r="N24" s="3" t="s">
        <v>1</v>
      </c>
      <c r="O24" s="3">
        <f>STDEV(O5:O20)</f>
        <v>1167100.5423428894</v>
      </c>
      <c r="P24" s="3">
        <f>STDEV(P5:P20)</f>
        <v>2640218.921893667</v>
      </c>
      <c r="Q24" s="3">
        <f>STDEV(Q5:Q20)</f>
        <v>346895.74279179535</v>
      </c>
      <c r="R24" s="3">
        <f>STDEV(R5:R20)</f>
        <v>843702.97043581295</v>
      </c>
      <c r="S24" s="3">
        <f>STDEV(S5:S20)</f>
        <v>1174879.818080609</v>
      </c>
      <c r="T24" s="3">
        <f t="shared" ref="T24:V24" si="4">STDEV(T5:T20)</f>
        <v>2573898.4095286694</v>
      </c>
      <c r="U24" s="3">
        <f t="shared" si="4"/>
        <v>2640281.4561630143</v>
      </c>
      <c r="V24" s="3">
        <f t="shared" si="4"/>
        <v>1961396.3792312746</v>
      </c>
    </row>
    <row r="25" spans="1:22" ht="15" thickBot="1" x14ac:dyDescent="0.4"/>
    <row r="26" spans="1:22" ht="15" thickBot="1" x14ac:dyDescent="0.4">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Saccharin-0,01mg/L</v>
      </c>
      <c r="J27" s="35" t="str">
        <f t="shared" si="5"/>
        <v>Saccharin-0,1mg/L</v>
      </c>
      <c r="K27" s="35" t="str">
        <f t="shared" si="5"/>
        <v>Saccharin-1mg/L</v>
      </c>
      <c r="L27" s="35" t="str">
        <f t="shared" si="5"/>
        <v>Saccharin-10mg/L</v>
      </c>
      <c r="M27" s="35" t="str">
        <f t="shared" si="5"/>
        <v>Saccharin-100mg/L</v>
      </c>
      <c r="N27" s="3"/>
      <c r="O27" s="36" t="str">
        <f>O4</f>
        <v>Testo -30µg/L</v>
      </c>
      <c r="P27" s="36" t="str">
        <f t="shared" ref="P27:V27" si="6">P4</f>
        <v>Testo 30µg/L + EE2 -64ng/L</v>
      </c>
      <c r="Q27" s="36" t="str">
        <f t="shared" si="6"/>
        <v>Testo 30µg/L + FAD-10µg/L</v>
      </c>
      <c r="R27" s="36" t="str">
        <f t="shared" si="6"/>
        <v>Saccharin-0,01mg/L + Testostérone</v>
      </c>
      <c r="S27" s="36" t="str">
        <f t="shared" si="6"/>
        <v>Saccharin-0,1mg/L + Testostérone</v>
      </c>
      <c r="T27" s="36" t="str">
        <f t="shared" si="6"/>
        <v>Saccharin-1mg/L + Testostérone</v>
      </c>
      <c r="U27" s="36" t="str">
        <f t="shared" si="6"/>
        <v>Saccharin-10mg/L + Testostérone</v>
      </c>
      <c r="V27" s="36" t="str">
        <f t="shared" si="6"/>
        <v>Saccharin-100mg/L + Testostérone</v>
      </c>
    </row>
    <row r="28" spans="1:22" x14ac:dyDescent="0.35">
      <c r="A28" s="224" t="s">
        <v>34</v>
      </c>
      <c r="B28" s="11">
        <f t="shared" ref="B28:M28" si="7">IF(B5="","",(B5/$O$23))</f>
        <v>0.23958238123956521</v>
      </c>
      <c r="C28" s="11">
        <f t="shared" si="7"/>
        <v>5.2230284225184928E-2</v>
      </c>
      <c r="D28" s="11">
        <f t="shared" si="7"/>
        <v>4.1750061765524098</v>
      </c>
      <c r="E28" s="11">
        <f t="shared" si="7"/>
        <v>1.7096202148681889</v>
      </c>
      <c r="F28" s="11">
        <f t="shared" si="7"/>
        <v>3.9638012120012309</v>
      </c>
      <c r="G28" s="11">
        <f t="shared" si="7"/>
        <v>4.793019038948402</v>
      </c>
      <c r="H28" s="11">
        <f t="shared" si="7"/>
        <v>11.341329257939615</v>
      </c>
      <c r="I28" s="11">
        <f t="shared" si="7"/>
        <v>0.39531212643831848</v>
      </c>
      <c r="J28" s="11">
        <f t="shared" si="7"/>
        <v>0.12101013673031076</v>
      </c>
      <c r="K28" s="11">
        <f t="shared" si="7"/>
        <v>0.13772574351122735</v>
      </c>
      <c r="L28" s="11">
        <f t="shared" si="7"/>
        <v>0.24665019319936635</v>
      </c>
      <c r="M28" s="11">
        <f t="shared" si="7"/>
        <v>0.43865695607523303</v>
      </c>
      <c r="N28" s="6"/>
      <c r="O28" s="11">
        <f t="shared" ref="O28:V39" si="8">IF(O5="","",(O5/$O$23))</f>
        <v>2.6476323747935995</v>
      </c>
      <c r="P28" s="11">
        <f t="shared" si="8"/>
        <v>5.9943331378921814</v>
      </c>
      <c r="Q28" s="11">
        <f t="shared" si="8"/>
        <v>0.33448615673954668</v>
      </c>
      <c r="R28" s="11">
        <f t="shared" si="8"/>
        <v>1.0411061037908267</v>
      </c>
      <c r="S28" s="11">
        <f t="shared" si="8"/>
        <v>2.4650770342809634</v>
      </c>
      <c r="T28" s="11">
        <f t="shared" si="8"/>
        <v>4.9542272564173278</v>
      </c>
      <c r="U28" s="11">
        <f t="shared" si="8"/>
        <v>1.2199575085124668</v>
      </c>
      <c r="V28" s="11">
        <f t="shared" si="8"/>
        <v>1.0092195272452815</v>
      </c>
    </row>
    <row r="29" spans="1:22" x14ac:dyDescent="0.35">
      <c r="A29" s="224"/>
      <c r="B29" s="11">
        <f t="shared" ref="B29:M29" si="9">IF(B6="","",(B6/$O$23))</f>
        <v>0.28542257796325837</v>
      </c>
      <c r="C29" s="11">
        <f t="shared" si="9"/>
        <v>8.7185379990684278E-2</v>
      </c>
      <c r="D29" s="11">
        <f t="shared" si="9"/>
        <v>0.14378215748671991</v>
      </c>
      <c r="E29" s="11">
        <f t="shared" si="9"/>
        <v>2.1738143713506952</v>
      </c>
      <c r="F29" s="11">
        <f t="shared" si="9"/>
        <v>3.0076661093467303</v>
      </c>
      <c r="G29" s="11">
        <f t="shared" si="9"/>
        <v>2.2120080161472444</v>
      </c>
      <c r="H29" s="11">
        <f t="shared" si="9"/>
        <v>7.0667343060688266</v>
      </c>
      <c r="I29" s="11">
        <f t="shared" si="9"/>
        <v>0.10799607095431826</v>
      </c>
      <c r="J29" s="11">
        <f t="shared" si="9"/>
        <v>0.20727272582134176</v>
      </c>
      <c r="K29" s="11">
        <f t="shared" si="9"/>
        <v>0.25197380263689895</v>
      </c>
      <c r="L29" s="11">
        <f t="shared" si="9"/>
        <v>0.24761209893819178</v>
      </c>
      <c r="M29" s="11">
        <f t="shared" si="9"/>
        <v>0.16154268925694976</v>
      </c>
      <c r="N29" s="6"/>
      <c r="O29" s="11">
        <f t="shared" si="8"/>
        <v>0.41888081269460131</v>
      </c>
      <c r="P29" s="11">
        <f t="shared" si="8"/>
        <v>4.4182725370323732</v>
      </c>
      <c r="Q29" s="11">
        <f t="shared" si="8"/>
        <v>0.14272366204299999</v>
      </c>
      <c r="R29" s="11">
        <f t="shared" si="8"/>
        <v>1.7133648620224049</v>
      </c>
      <c r="S29" s="11">
        <f t="shared" si="8"/>
        <v>2.871781158062666</v>
      </c>
      <c r="T29" s="11">
        <f t="shared" si="8"/>
        <v>0.66822593848672673</v>
      </c>
      <c r="U29" s="11">
        <f t="shared" si="8"/>
        <v>0.32250983159465213</v>
      </c>
      <c r="V29" s="11">
        <f t="shared" si="8"/>
        <v>5.4814258396618881E-2</v>
      </c>
    </row>
    <row r="30" spans="1:22" x14ac:dyDescent="0.35">
      <c r="A30" s="224"/>
      <c r="B30" s="11">
        <f t="shared" ref="B30:M30" si="10">IF(B7="","",(B7/$O$23))</f>
        <v>0.11295168159882304</v>
      </c>
      <c r="C30" s="11">
        <f t="shared" si="10"/>
        <v>3.7997272338664259E-4</v>
      </c>
      <c r="D30" s="11">
        <f t="shared" si="10"/>
        <v>0.83537003236553375</v>
      </c>
      <c r="E30" s="11">
        <f t="shared" si="10"/>
        <v>0.9622665532602418</v>
      </c>
      <c r="F30" s="11">
        <f t="shared" si="10"/>
        <v>0.62627008477143564</v>
      </c>
      <c r="G30" s="11">
        <f t="shared" si="10"/>
        <v>8.1904597310735063</v>
      </c>
      <c r="H30" s="11">
        <f t="shared" si="10"/>
        <v>8.0054625070296943</v>
      </c>
      <c r="I30" s="11">
        <f t="shared" si="10"/>
        <v>0.18094843905848187</v>
      </c>
      <c r="J30" s="11">
        <f t="shared" si="10"/>
        <v>4.0892568699427603E-2</v>
      </c>
      <c r="K30" s="11">
        <f t="shared" si="10"/>
        <v>3.0215015867453381E-2</v>
      </c>
      <c r="L30" s="11">
        <f t="shared" si="10"/>
        <v>0.11658137902159418</v>
      </c>
      <c r="M30" s="11">
        <f t="shared" si="10"/>
        <v>0.27219457796485491</v>
      </c>
      <c r="N30" s="6"/>
      <c r="O30" s="11">
        <f t="shared" si="8"/>
        <v>3.1809145129224649E-2</v>
      </c>
      <c r="P30" s="11">
        <f t="shared" si="8"/>
        <v>10.057806942724302</v>
      </c>
      <c r="Q30" s="11">
        <f t="shared" si="8"/>
        <v>0.3357226646146011</v>
      </c>
      <c r="R30" s="11">
        <f t="shared" si="8"/>
        <v>0.90324864704565222</v>
      </c>
      <c r="S30" s="11">
        <f t="shared" si="8"/>
        <v>0.85084035038913275</v>
      </c>
      <c r="T30" s="11">
        <f t="shared" si="8"/>
        <v>0.61835372028020597</v>
      </c>
      <c r="U30" s="11">
        <f t="shared" si="8"/>
        <v>5.1110322605623038E-2</v>
      </c>
      <c r="V30" s="11">
        <f t="shared" si="8"/>
        <v>1.2889920066032234</v>
      </c>
    </row>
    <row r="31" spans="1:22" x14ac:dyDescent="0.35">
      <c r="A31" s="224"/>
      <c r="B31" s="11">
        <f t="shared" ref="B31:M31" si="11">IF(B8="","",(B8/$O$23))</f>
        <v>0.2518349050447366</v>
      </c>
      <c r="C31" s="11">
        <f t="shared" si="11"/>
        <v>0.53311849441396197</v>
      </c>
      <c r="D31" s="11">
        <f t="shared" si="11"/>
        <v>9.5705230571998645E-2</v>
      </c>
      <c r="E31" s="11">
        <f t="shared" si="11"/>
        <v>2.0295827923445073</v>
      </c>
      <c r="F31" s="11">
        <f t="shared" si="11"/>
        <v>5.4251419808792294</v>
      </c>
      <c r="G31" s="11">
        <f t="shared" si="11"/>
        <v>5.7116326334304954</v>
      </c>
      <c r="H31" s="11">
        <f t="shared" si="11"/>
        <v>5.9585853679369274</v>
      </c>
      <c r="I31" s="11">
        <f t="shared" si="11"/>
        <v>0.5294680421785688</v>
      </c>
      <c r="J31" s="11">
        <f t="shared" si="11"/>
        <v>0.10753068419437202</v>
      </c>
      <c r="K31" s="11">
        <f t="shared" si="11"/>
        <v>2.8918638340604836E-2</v>
      </c>
      <c r="L31" s="11">
        <f t="shared" si="11"/>
        <v>0.14453890988539753</v>
      </c>
      <c r="M31" s="11">
        <f t="shared" si="11"/>
        <v>5.0755096004977962E-2</v>
      </c>
      <c r="N31" s="6"/>
      <c r="O31" s="11">
        <f t="shared" si="8"/>
        <v>0.8514286695007629</v>
      </c>
      <c r="P31" s="11">
        <f t="shared" si="8"/>
        <v>5.9933393016723988</v>
      </c>
      <c r="Q31" s="11">
        <f t="shared" si="8"/>
        <v>0.45614049092316211</v>
      </c>
      <c r="R31" s="11">
        <f t="shared" si="8"/>
        <v>1.8972995993123771</v>
      </c>
      <c r="S31" s="11">
        <f t="shared" si="8"/>
        <v>0.94159076857865054</v>
      </c>
      <c r="T31" s="11">
        <f t="shared" si="8"/>
        <v>1.5604505869820227</v>
      </c>
      <c r="U31" s="11">
        <f t="shared" si="8"/>
        <v>0.3885077409464115</v>
      </c>
      <c r="V31" s="11">
        <f t="shared" si="8"/>
        <v>6.7782823237247866E-2</v>
      </c>
    </row>
    <row r="32" spans="1:22" x14ac:dyDescent="0.35">
      <c r="A32" s="224"/>
      <c r="B32" s="11">
        <f t="shared" ref="B32:M32" si="12">IF(B9="","",(B9/$O$23))</f>
        <v>0.24177201397118195</v>
      </c>
      <c r="C32" s="11">
        <f t="shared" si="12"/>
        <v>0.1880130579701873</v>
      </c>
      <c r="D32" s="11">
        <f t="shared" si="12"/>
        <v>1.2014138816967699</v>
      </c>
      <c r="E32" s="11">
        <f t="shared" si="12"/>
        <v>2.0446946907193659</v>
      </c>
      <c r="F32" s="11">
        <f t="shared" si="12"/>
        <v>3.5062509903438235</v>
      </c>
      <c r="G32" s="11">
        <f t="shared" si="12"/>
        <v>7.1324504289261421</v>
      </c>
      <c r="H32" s="11">
        <f t="shared" si="12"/>
        <v>6.3946176384775066</v>
      </c>
      <c r="I32" s="11">
        <f t="shared" si="12"/>
        <v>0.43672675850139075</v>
      </c>
      <c r="J32" s="11">
        <f t="shared" si="12"/>
        <v>1.3770019912646187E-3</v>
      </c>
      <c r="K32" s="11">
        <f t="shared" si="12"/>
        <v>0.39817708884217284</v>
      </c>
      <c r="L32" s="11">
        <f t="shared" si="12"/>
        <v>8.4963816778110698E-2</v>
      </c>
      <c r="M32" s="11">
        <f t="shared" si="12"/>
        <v>0.16122977054357254</v>
      </c>
      <c r="N32" s="6"/>
      <c r="O32" s="11">
        <f t="shared" si="8"/>
        <v>2.3058572875136254</v>
      </c>
      <c r="P32" s="11">
        <f t="shared" si="8"/>
        <v>3.4820995728100779</v>
      </c>
      <c r="Q32" s="11">
        <f t="shared" si="8"/>
        <v>0.22656991198762055</v>
      </c>
      <c r="R32" s="11">
        <f t="shared" si="8"/>
        <v>0.46425482439632432</v>
      </c>
      <c r="S32" s="11">
        <f t="shared" si="8"/>
        <v>0.67242719151862562</v>
      </c>
      <c r="T32" s="11">
        <f t="shared" si="8"/>
        <v>0.42974196579207746</v>
      </c>
      <c r="U32" s="11">
        <f t="shared" si="8"/>
        <v>4.3901218267587805E-2</v>
      </c>
      <c r="V32" s="11">
        <f t="shared" si="8"/>
        <v>2.826368031521771</v>
      </c>
    </row>
    <row r="33" spans="1:22" x14ac:dyDescent="0.35">
      <c r="A33" s="224"/>
      <c r="B33" s="11">
        <f t="shared" ref="B33:M33" si="13">IF(B10="","",(B10/$O$23))</f>
        <v>0.35896246691702827</v>
      </c>
      <c r="C33" s="11">
        <f t="shared" si="13"/>
        <v>0.19025457773335894</v>
      </c>
      <c r="D33" s="11">
        <f t="shared" si="13"/>
        <v>4.3072526495314403</v>
      </c>
      <c r="E33" s="11">
        <f t="shared" si="13"/>
        <v>0.9477557461893964</v>
      </c>
      <c r="F33" s="11">
        <f t="shared" si="13"/>
        <v>4.6970647506249392</v>
      </c>
      <c r="G33" s="11">
        <f t="shared" si="13"/>
        <v>7.4793056557263524</v>
      </c>
      <c r="H33" s="11">
        <f t="shared" si="13"/>
        <v>4.7833800250095493</v>
      </c>
      <c r="I33" s="11">
        <f t="shared" si="13"/>
        <v>4.6927429600274281E-2</v>
      </c>
      <c r="J33" s="11">
        <f t="shared" si="13"/>
        <v>0.13493102816547811</v>
      </c>
      <c r="K33" s="11">
        <f t="shared" si="13"/>
        <v>0.12157770102931896</v>
      </c>
      <c r="L33" s="11">
        <f t="shared" si="13"/>
        <v>0.2754315304718567</v>
      </c>
      <c r="M33" s="11">
        <f t="shared" si="13"/>
        <v>0.20421857531781804</v>
      </c>
      <c r="N33" s="6"/>
      <c r="O33" s="11">
        <f t="shared" si="8"/>
        <v>9.4226051041672074E-2</v>
      </c>
      <c r="P33" s="11">
        <f t="shared" si="8"/>
        <v>3.4319751038039978</v>
      </c>
      <c r="Q33" s="11">
        <f t="shared" si="8"/>
        <v>0.97291137734923527</v>
      </c>
      <c r="R33" s="11">
        <f t="shared" si="8"/>
        <v>0.11953574677212772</v>
      </c>
      <c r="S33" s="11">
        <f t="shared" si="8"/>
        <v>1.6246779511647242</v>
      </c>
      <c r="T33" s="11">
        <f t="shared" si="8"/>
        <v>0.4503267486029417</v>
      </c>
      <c r="U33" s="11">
        <f t="shared" si="8"/>
        <v>4.6039115637434183</v>
      </c>
      <c r="V33" s="11">
        <f t="shared" si="8"/>
        <v>4.216835106605898</v>
      </c>
    </row>
    <row r="34" spans="1:22" x14ac:dyDescent="0.35">
      <c r="A34" s="224"/>
      <c r="B34" s="11">
        <f t="shared" ref="B34:M34" si="14">IF(B11="","",(B11/$O$23))</f>
        <v>0.36063322933309599</v>
      </c>
      <c r="C34" s="11">
        <f t="shared" si="14"/>
        <v>1.6658131915194239E-2</v>
      </c>
      <c r="D34" s="11">
        <f t="shared" si="14"/>
        <v>0.61411814198127834</v>
      </c>
      <c r="E34" s="11">
        <f t="shared" si="14"/>
        <v>1.3907448702684515</v>
      </c>
      <c r="F34" s="11">
        <f t="shared" si="14"/>
        <v>7.9092791175053669</v>
      </c>
      <c r="G34" s="11">
        <f t="shared" si="14"/>
        <v>4.0113057850448008</v>
      </c>
      <c r="H34" s="11">
        <f t="shared" si="14"/>
        <v>10.113127299244086</v>
      </c>
      <c r="I34" s="11">
        <f t="shared" si="14"/>
        <v>0.5621353189835091</v>
      </c>
      <c r="J34" s="11">
        <f t="shared" si="14"/>
        <v>0.11709306497892788</v>
      </c>
      <c r="K34" s="11">
        <f t="shared" si="14"/>
        <v>6.2163856850864299E-2</v>
      </c>
      <c r="L34" s="11">
        <f t="shared" si="14"/>
        <v>0.14821889781567571</v>
      </c>
      <c r="M34" s="11">
        <f t="shared" si="14"/>
        <v>2.4226454163994153E-2</v>
      </c>
      <c r="N34" s="6"/>
      <c r="O34" s="11">
        <f t="shared" si="8"/>
        <v>1.359361198797977</v>
      </c>
      <c r="P34" s="11">
        <f t="shared" si="8"/>
        <v>6.1646104102148804</v>
      </c>
      <c r="Q34" s="11">
        <f t="shared" si="8"/>
        <v>0.14248099038772785</v>
      </c>
      <c r="R34" s="11">
        <f t="shared" si="8"/>
        <v>1.4604858302503789</v>
      </c>
      <c r="S34" s="11">
        <f t="shared" si="8"/>
        <v>0.39753608443696387</v>
      </c>
      <c r="T34" s="11">
        <f t="shared" si="8"/>
        <v>3.956853937607042</v>
      </c>
      <c r="U34" s="11">
        <f t="shared" si="8"/>
        <v>5.3405174254612859</v>
      </c>
      <c r="V34" s="11">
        <f t="shared" si="8"/>
        <v>3.1200063222352297</v>
      </c>
    </row>
    <row r="35" spans="1:22" x14ac:dyDescent="0.35">
      <c r="A35" s="224"/>
      <c r="B35" s="11">
        <f t="shared" ref="B35:M35" si="15">IF(B12="","",(B12/$O$23))</f>
        <v>0.27891354942020236</v>
      </c>
      <c r="C35" s="11">
        <f t="shared" si="15"/>
        <v>0.15412444026864711</v>
      </c>
      <c r="D35" s="11">
        <f t="shared" si="15"/>
        <v>1.1718015536573771</v>
      </c>
      <c r="E35" s="11">
        <f t="shared" si="15"/>
        <v>0.39479245786074557</v>
      </c>
      <c r="F35" s="11">
        <f t="shared" si="15"/>
        <v>2.7598129352773144</v>
      </c>
      <c r="G35" s="11">
        <f t="shared" si="15"/>
        <v>8.2146239207996352</v>
      </c>
      <c r="H35" s="11">
        <f t="shared" si="15"/>
        <v>8.8025806214709341</v>
      </c>
      <c r="I35" s="11">
        <f t="shared" si="15"/>
        <v>0.11210871690156192</v>
      </c>
      <c r="J35" s="11">
        <f t="shared" si="15"/>
        <v>0.21414656010932998</v>
      </c>
      <c r="K35" s="11" t="str">
        <f t="shared" si="15"/>
        <v/>
      </c>
      <c r="L35" s="11">
        <f t="shared" si="15"/>
        <v>1.4636134208601034E-2</v>
      </c>
      <c r="M35" s="11">
        <f t="shared" si="15"/>
        <v>0.12453765661401996</v>
      </c>
      <c r="N35" s="6"/>
      <c r="O35" s="11">
        <f t="shared" si="8"/>
        <v>0.10515186336308589</v>
      </c>
      <c r="P35" s="11">
        <f t="shared" si="8"/>
        <v>5.8240662429757935</v>
      </c>
      <c r="Q35" s="11">
        <f t="shared" si="8"/>
        <v>0.16058637135229178</v>
      </c>
      <c r="R35" s="11">
        <f t="shared" si="8"/>
        <v>0.23903237870508329</v>
      </c>
      <c r="S35" s="11">
        <f t="shared" si="8"/>
        <v>2.3354863790555203</v>
      </c>
      <c r="T35" s="11">
        <f t="shared" si="8"/>
        <v>4.9251984579174222</v>
      </c>
      <c r="U35" s="11">
        <f t="shared" si="8"/>
        <v>2.0483331690244002</v>
      </c>
      <c r="V35" s="11">
        <f t="shared" si="8"/>
        <v>0.44949895088413505</v>
      </c>
    </row>
    <row r="36" spans="1:22" x14ac:dyDescent="0.35">
      <c r="A36" s="224"/>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0.86330521189266729</v>
      </c>
      <c r="P36" s="11" t="str">
        <f t="shared" si="8"/>
        <v/>
      </c>
      <c r="Q36" s="11" t="str">
        <f t="shared" si="8"/>
        <v/>
      </c>
      <c r="R36" s="11" t="str">
        <f t="shared" si="8"/>
        <v/>
      </c>
      <c r="S36" s="11" t="str">
        <f t="shared" si="8"/>
        <v/>
      </c>
      <c r="T36" s="11" t="str">
        <f t="shared" si="8"/>
        <v/>
      </c>
      <c r="U36" s="11" t="str">
        <f t="shared" si="8"/>
        <v/>
      </c>
      <c r="V36" s="11" t="str">
        <f t="shared" si="8"/>
        <v/>
      </c>
    </row>
    <row r="37" spans="1:22" x14ac:dyDescent="0.35">
      <c r="A37" s="224"/>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2.1266275065926465</v>
      </c>
      <c r="P37" s="11" t="str">
        <f t="shared" si="8"/>
        <v/>
      </c>
      <c r="Q37" s="11" t="str">
        <f t="shared" si="8"/>
        <v/>
      </c>
      <c r="R37" s="11" t="str">
        <f t="shared" si="8"/>
        <v/>
      </c>
      <c r="S37" s="11" t="str">
        <f t="shared" si="8"/>
        <v/>
      </c>
      <c r="T37" s="11" t="str">
        <f t="shared" si="8"/>
        <v/>
      </c>
      <c r="U37" s="11" t="str">
        <f t="shared" si="8"/>
        <v/>
      </c>
      <c r="V37" s="11" t="str">
        <f t="shared" si="8"/>
        <v/>
      </c>
    </row>
    <row r="38" spans="1:22" x14ac:dyDescent="0.35">
      <c r="A38" s="224"/>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9.1550276737487141E-2</v>
      </c>
      <c r="P38" s="11" t="str">
        <f t="shared" si="8"/>
        <v/>
      </c>
      <c r="Q38" s="11" t="str">
        <f t="shared" si="8"/>
        <v/>
      </c>
      <c r="R38" s="11" t="str">
        <f t="shared" si="8"/>
        <v/>
      </c>
      <c r="S38" s="11" t="str">
        <f t="shared" si="8"/>
        <v/>
      </c>
      <c r="T38" s="11" t="str">
        <f t="shared" si="8"/>
        <v/>
      </c>
      <c r="U38" s="11" t="str">
        <f t="shared" si="8"/>
        <v/>
      </c>
      <c r="V38" s="11" t="str">
        <f t="shared" si="8"/>
        <v/>
      </c>
    </row>
    <row r="39" spans="1:22" x14ac:dyDescent="0.35">
      <c r="A39" s="224"/>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1.7953519597133121</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5">
      <c r="A40" s="224"/>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0.13845854804918731</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5">
      <c r="A41" s="224"/>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0.37500194576368329</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5">
      <c r="A42" s="224"/>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0.57391367514647107</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5">
      <c r="A43" s="224"/>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2.2214434732699964</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Saccharin-0,01mg/L</v>
      </c>
      <c r="J45" s="7" t="str">
        <f t="shared" si="26"/>
        <v>Saccharin-0,1mg/L</v>
      </c>
      <c r="K45" s="7" t="str">
        <f t="shared" si="26"/>
        <v>Saccharin-1mg/L</v>
      </c>
      <c r="L45" s="7" t="str">
        <f t="shared" si="26"/>
        <v>Saccharin-10mg/L</v>
      </c>
      <c r="M45" s="7" t="str">
        <f t="shared" si="26"/>
        <v>Saccharin-100mg/L</v>
      </c>
      <c r="N45" s="7"/>
      <c r="O45" s="7" t="str">
        <f t="shared" si="26"/>
        <v>Testo -30µg/L</v>
      </c>
      <c r="P45" s="7" t="str">
        <f t="shared" si="26"/>
        <v>Testo 30µg/L + EE2 -64ng/L</v>
      </c>
      <c r="Q45" s="7" t="str">
        <f t="shared" si="26"/>
        <v>Testo 30µg/L + FAD-10µg/L</v>
      </c>
      <c r="R45" s="7" t="str">
        <f t="shared" si="26"/>
        <v>Saccharin-0,01mg/L + Testostérone</v>
      </c>
      <c r="S45" s="7" t="str">
        <f t="shared" si="26"/>
        <v>Saccharin-0,1mg/L + Testostérone</v>
      </c>
      <c r="T45" s="7" t="str">
        <f t="shared" si="26"/>
        <v>Saccharin-1mg/L + Testostérone</v>
      </c>
      <c r="U45" s="7" t="str">
        <f t="shared" si="26"/>
        <v>Saccharin-10mg/L + Testostérone</v>
      </c>
      <c r="V45" s="7" t="str">
        <f t="shared" si="26"/>
        <v>Saccharin-100mg/L + Testostérone</v>
      </c>
    </row>
    <row r="46" spans="1:22" x14ac:dyDescent="0.35">
      <c r="A46" s="8" t="s">
        <v>0</v>
      </c>
      <c r="B46" s="10">
        <f t="shared" ref="B46:H46" si="27">AVERAGE(B28:B43)</f>
        <v>0.26625910068598652</v>
      </c>
      <c r="C46" s="10">
        <f t="shared" si="27"/>
        <v>0.15274554240507565</v>
      </c>
      <c r="D46" s="10">
        <f t="shared" si="27"/>
        <v>1.5680562279804406</v>
      </c>
      <c r="E46" s="10">
        <f t="shared" si="27"/>
        <v>1.4566589621076991</v>
      </c>
      <c r="F46" s="10">
        <f t="shared" si="27"/>
        <v>3.9869108975937588</v>
      </c>
      <c r="G46" s="10">
        <f t="shared" si="27"/>
        <v>5.9681006512620716</v>
      </c>
      <c r="H46" s="10">
        <f t="shared" si="27"/>
        <v>7.8082271278971422</v>
      </c>
      <c r="I46" s="10">
        <f>AVERAGE(I28:I43)</f>
        <v>0.29645286282705291</v>
      </c>
      <c r="J46" s="9">
        <f>AVERAGE(J28:J43)</f>
        <v>0.11803172133630659</v>
      </c>
      <c r="K46" s="9">
        <f t="shared" ref="K46:M46" si="28">AVERAGE(K28:K43)</f>
        <v>0.14725026386836296</v>
      </c>
      <c r="L46" s="9">
        <f t="shared" si="28"/>
        <v>0.15982912003984925</v>
      </c>
      <c r="M46" s="9">
        <f t="shared" si="28"/>
        <v>0.17967022199267751</v>
      </c>
      <c r="N46" s="8" t="s">
        <v>0</v>
      </c>
      <c r="O46" s="10">
        <f t="shared" ref="O46:V46" si="29">AVERAGE(O28:O43)</f>
        <v>1</v>
      </c>
      <c r="P46" s="10">
        <f t="shared" si="29"/>
        <v>5.6708129061407506</v>
      </c>
      <c r="Q46" s="10">
        <f t="shared" si="29"/>
        <v>0.34645270317464816</v>
      </c>
      <c r="R46" s="10">
        <f t="shared" si="29"/>
        <v>0.97979099903689681</v>
      </c>
      <c r="S46" s="10">
        <f t="shared" si="29"/>
        <v>1.5199271146859059</v>
      </c>
      <c r="T46" s="10">
        <f t="shared" si="29"/>
        <v>2.1954223265107209</v>
      </c>
      <c r="U46" s="10">
        <f t="shared" si="29"/>
        <v>1.7523435975194808</v>
      </c>
      <c r="V46" s="10">
        <f t="shared" si="29"/>
        <v>1.6291896283411758</v>
      </c>
    </row>
    <row r="47" spans="1:22" x14ac:dyDescent="0.35">
      <c r="A47" s="8" t="s">
        <v>1</v>
      </c>
      <c r="B47" s="8">
        <f t="shared" ref="B47:M47" si="30">STDEV(B28:B43)</f>
        <v>7.842216445609948E-2</v>
      </c>
      <c r="C47" s="8">
        <f t="shared" si="30"/>
        <v>0.17049202390464116</v>
      </c>
      <c r="D47" s="8">
        <f t="shared" si="30"/>
        <v>1.7001693389535077</v>
      </c>
      <c r="E47" s="8">
        <f t="shared" si="30"/>
        <v>0.64227725290833426</v>
      </c>
      <c r="F47" s="8">
        <f t="shared" si="30"/>
        <v>2.1363508285230886</v>
      </c>
      <c r="G47" s="8">
        <f t="shared" si="30"/>
        <v>2.1715388987748057</v>
      </c>
      <c r="H47" s="8">
        <f t="shared" si="30"/>
        <v>2.2020118773387392</v>
      </c>
      <c r="I47" s="8">
        <f t="shared" si="30"/>
        <v>0.20682501278825963</v>
      </c>
      <c r="J47" s="8">
        <f t="shared" si="30"/>
        <v>7.2866219799661278E-2</v>
      </c>
      <c r="K47" s="8">
        <f t="shared" si="30"/>
        <v>0.13516681518789025</v>
      </c>
      <c r="L47" s="8">
        <f t="shared" si="30"/>
        <v>9.0658258691982171E-2</v>
      </c>
      <c r="M47" s="8">
        <f t="shared" si="30"/>
        <v>0.13132709363208678</v>
      </c>
      <c r="N47" s="8" t="s">
        <v>1</v>
      </c>
      <c r="O47" s="8">
        <f t="shared" ref="O47:V47" si="31">STDEV(O28:O43)</f>
        <v>0.93165204105053612</v>
      </c>
      <c r="P47" s="8">
        <f t="shared" si="31"/>
        <v>2.1075865001867293</v>
      </c>
      <c r="Q47" s="8">
        <f t="shared" si="31"/>
        <v>0.27691369773073699</v>
      </c>
      <c r="R47" s="8">
        <f t="shared" si="31"/>
        <v>0.67349604076868896</v>
      </c>
      <c r="S47" s="8">
        <f t="shared" si="31"/>
        <v>0.93786194144557167</v>
      </c>
      <c r="T47" s="8">
        <f t="shared" si="31"/>
        <v>2.0546453537587315</v>
      </c>
      <c r="U47" s="8">
        <f t="shared" si="31"/>
        <v>2.1076364189191406</v>
      </c>
      <c r="V47" s="8">
        <f t="shared" si="31"/>
        <v>1.5657082433974945</v>
      </c>
    </row>
    <row r="48" spans="1:22" x14ac:dyDescent="0.35">
      <c r="A48" s="8" t="s">
        <v>2</v>
      </c>
      <c r="B48" s="8">
        <f t="shared" ref="B48:M48" si="32" xml:space="preserve"> B47/SQRT(COUNT(B28:B43))</f>
        <v>2.7726422141117289E-2</v>
      </c>
      <c r="C48" s="8">
        <f t="shared" si="32"/>
        <v>6.0278033120595362E-2</v>
      </c>
      <c r="D48" s="8">
        <f t="shared" si="32"/>
        <v>0.60110063436973749</v>
      </c>
      <c r="E48" s="8">
        <f t="shared" si="32"/>
        <v>0.22707930046667515</v>
      </c>
      <c r="F48" s="8">
        <f t="shared" si="32"/>
        <v>0.75531407892108748</v>
      </c>
      <c r="G48" s="8">
        <f t="shared" si="32"/>
        <v>0.76775494046701642</v>
      </c>
      <c r="H48" s="8">
        <f t="shared" si="32"/>
        <v>0.77852876535977122</v>
      </c>
      <c r="I48" s="8">
        <f t="shared" si="32"/>
        <v>7.3123684530786395E-2</v>
      </c>
      <c r="J48" s="8">
        <f t="shared" si="32"/>
        <v>2.576209906988498E-2</v>
      </c>
      <c r="K48" s="8">
        <f t="shared" si="32"/>
        <v>5.1088254070826546E-2</v>
      </c>
      <c r="L48" s="8">
        <f t="shared" si="32"/>
        <v>3.2052534745832424E-2</v>
      </c>
      <c r="M48" s="8">
        <f t="shared" si="32"/>
        <v>4.643113923038461E-2</v>
      </c>
      <c r="N48" s="8" t="s">
        <v>2</v>
      </c>
      <c r="O48" s="8">
        <f t="shared" ref="O48:V48" si="33" xml:space="preserve"> O47/SQRT(COUNT(O28:O43))</f>
        <v>0.23291301026263403</v>
      </c>
      <c r="P48" s="8">
        <f t="shared" si="33"/>
        <v>0.74514435310962945</v>
      </c>
      <c r="Q48" s="8">
        <f t="shared" si="33"/>
        <v>9.7903776734422993E-2</v>
      </c>
      <c r="R48" s="8">
        <f t="shared" si="33"/>
        <v>0.2381168087649157</v>
      </c>
      <c r="S48" s="8">
        <f t="shared" si="33"/>
        <v>0.33158426930647222</v>
      </c>
      <c r="T48" s="8">
        <f t="shared" si="33"/>
        <v>0.72642683128811592</v>
      </c>
      <c r="U48" s="8">
        <f t="shared" si="33"/>
        <v>0.74516200204672767</v>
      </c>
      <c r="V48" s="8">
        <f t="shared" si="33"/>
        <v>0.55356145813302282</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4"/>
    <row r="52" spans="1:22" x14ac:dyDescent="0.3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Saccharin-0,01mg/L</v>
      </c>
      <c r="J52" s="46" t="str">
        <f>J4</f>
        <v>Saccharin-0,1mg/L</v>
      </c>
      <c r="K52" s="46" t="str">
        <f t="shared" ref="K52:M52" si="35">K4</f>
        <v>Saccharin-1mg/L</v>
      </c>
      <c r="L52" s="46" t="str">
        <f t="shared" si="35"/>
        <v>Saccharin-10mg/L</v>
      </c>
      <c r="M52" s="46" t="str">
        <f t="shared" si="35"/>
        <v>Saccharin-100mg/L</v>
      </c>
      <c r="N52" s="47"/>
      <c r="O52" s="46" t="str">
        <f>O27</f>
        <v>Testo -30µg/L</v>
      </c>
      <c r="P52" s="46" t="str">
        <f>P27</f>
        <v>Testo 30µg/L + EE2 -64ng/L</v>
      </c>
      <c r="Q52" s="46" t="str">
        <f>Q27</f>
        <v>Testo 30µg/L + FAD-10µg/L</v>
      </c>
      <c r="R52" s="46" t="str">
        <f>R27</f>
        <v>Saccharin-0,01mg/L + Testostérone</v>
      </c>
      <c r="S52" s="46" t="str">
        <f t="shared" ref="S52:V52" si="36">S27</f>
        <v>Saccharin-0,1mg/L + Testostérone</v>
      </c>
      <c r="T52" s="46" t="str">
        <f t="shared" si="36"/>
        <v>Saccharin-1mg/L + Testostérone</v>
      </c>
      <c r="U52" s="46" t="str">
        <f t="shared" si="36"/>
        <v>Saccharin-10mg/L + Testostérone</v>
      </c>
      <c r="V52" s="46" t="str">
        <f t="shared" si="36"/>
        <v>Saccharin-100mg/L + Testostérone</v>
      </c>
    </row>
    <row r="53" spans="1:22" s="3" customFormat="1" x14ac:dyDescent="0.35">
      <c r="A53" s="61" t="s">
        <v>32</v>
      </c>
      <c r="B53" s="141">
        <f t="shared" ref="B53:V53" si="37">B46</f>
        <v>0.26625910068598652</v>
      </c>
      <c r="C53" s="141">
        <f t="shared" si="37"/>
        <v>0.15274554240507565</v>
      </c>
      <c r="D53" s="141">
        <f t="shared" si="37"/>
        <v>1.5680562279804406</v>
      </c>
      <c r="E53" s="141">
        <f t="shared" si="37"/>
        <v>1.4566589621076991</v>
      </c>
      <c r="F53" s="141">
        <f t="shared" si="37"/>
        <v>3.9869108975937588</v>
      </c>
      <c r="G53" s="141">
        <f t="shared" si="37"/>
        <v>5.9681006512620716</v>
      </c>
      <c r="H53" s="141">
        <f t="shared" si="37"/>
        <v>7.8082271278971422</v>
      </c>
      <c r="I53" s="141">
        <f t="shared" si="37"/>
        <v>0.29645286282705291</v>
      </c>
      <c r="J53" s="141">
        <f t="shared" si="37"/>
        <v>0.11803172133630659</v>
      </c>
      <c r="K53" s="141">
        <f t="shared" si="37"/>
        <v>0.14725026386836296</v>
      </c>
      <c r="L53" s="141">
        <f t="shared" si="37"/>
        <v>0.15982912003984925</v>
      </c>
      <c r="M53" s="141">
        <f t="shared" si="37"/>
        <v>0.17967022199267751</v>
      </c>
      <c r="N53" s="141"/>
      <c r="O53" s="141">
        <f t="shared" si="37"/>
        <v>1</v>
      </c>
      <c r="P53" s="141">
        <f t="shared" si="37"/>
        <v>5.6708129061407506</v>
      </c>
      <c r="Q53" s="141">
        <f t="shared" si="37"/>
        <v>0.34645270317464816</v>
      </c>
      <c r="R53" s="141">
        <f t="shared" si="37"/>
        <v>0.97979099903689681</v>
      </c>
      <c r="S53" s="141">
        <f t="shared" si="37"/>
        <v>1.5199271146859059</v>
      </c>
      <c r="T53" s="141">
        <f t="shared" si="37"/>
        <v>2.1954223265107209</v>
      </c>
      <c r="U53" s="141">
        <f t="shared" si="37"/>
        <v>1.7523435975194808</v>
      </c>
      <c r="V53" s="141">
        <f t="shared" si="37"/>
        <v>1.6291896283411758</v>
      </c>
    </row>
    <row r="54" spans="1:22" s="3" customFormat="1" x14ac:dyDescent="0.35">
      <c r="A54" s="61" t="s">
        <v>2</v>
      </c>
      <c r="B54" s="141">
        <f t="shared" ref="B54:V54" si="38">B48</f>
        <v>2.7726422141117289E-2</v>
      </c>
      <c r="C54" s="141">
        <f t="shared" si="38"/>
        <v>6.0278033120595362E-2</v>
      </c>
      <c r="D54" s="141">
        <f t="shared" si="38"/>
        <v>0.60110063436973749</v>
      </c>
      <c r="E54" s="141">
        <f t="shared" si="38"/>
        <v>0.22707930046667515</v>
      </c>
      <c r="F54" s="141">
        <f t="shared" si="38"/>
        <v>0.75531407892108748</v>
      </c>
      <c r="G54" s="141">
        <f t="shared" si="38"/>
        <v>0.76775494046701642</v>
      </c>
      <c r="H54" s="141">
        <f t="shared" si="38"/>
        <v>0.77852876535977122</v>
      </c>
      <c r="I54" s="141">
        <f t="shared" si="38"/>
        <v>7.3123684530786395E-2</v>
      </c>
      <c r="J54" s="141">
        <f t="shared" si="38"/>
        <v>2.576209906988498E-2</v>
      </c>
      <c r="K54" s="141">
        <f t="shared" si="38"/>
        <v>5.1088254070826546E-2</v>
      </c>
      <c r="L54" s="141">
        <f t="shared" si="38"/>
        <v>3.2052534745832424E-2</v>
      </c>
      <c r="M54" s="141">
        <f t="shared" si="38"/>
        <v>4.643113923038461E-2</v>
      </c>
      <c r="N54" s="141"/>
      <c r="O54" s="141">
        <f t="shared" si="38"/>
        <v>0.23291301026263403</v>
      </c>
      <c r="P54" s="141">
        <f t="shared" si="38"/>
        <v>0.74514435310962945</v>
      </c>
      <c r="Q54" s="141">
        <f t="shared" si="38"/>
        <v>9.7903776734422993E-2</v>
      </c>
      <c r="R54" s="141">
        <f t="shared" si="38"/>
        <v>0.2381168087649157</v>
      </c>
      <c r="S54" s="141">
        <f t="shared" si="38"/>
        <v>0.33158426930647222</v>
      </c>
      <c r="T54" s="141">
        <f t="shared" si="38"/>
        <v>0.72642683128811592</v>
      </c>
      <c r="U54" s="141">
        <f t="shared" si="38"/>
        <v>0.74516200204672767</v>
      </c>
      <c r="V54" s="141">
        <f t="shared" si="38"/>
        <v>0.55356145813302282</v>
      </c>
    </row>
    <row r="55" spans="1:22" s="3" customFormat="1" x14ac:dyDescent="0.35">
      <c r="A55" s="61" t="s">
        <v>79</v>
      </c>
      <c r="B55" s="141">
        <f>(B53*100/$B53)-100</f>
        <v>0</v>
      </c>
      <c r="C55" s="141">
        <f t="shared" ref="C55:M55" si="39">(C53*100/$B53)-100</f>
        <v>-42.63274306435197</v>
      </c>
      <c r="D55" s="141">
        <f t="shared" si="39"/>
        <v>488.92117638064599</v>
      </c>
      <c r="E55" s="141">
        <f t="shared" si="39"/>
        <v>447.08325775711774</v>
      </c>
      <c r="F55" s="141">
        <f t="shared" si="39"/>
        <v>1397.3801411189074</v>
      </c>
      <c r="G55" s="141">
        <f t="shared" si="39"/>
        <v>2141.4635352879709</v>
      </c>
      <c r="H55" s="141">
        <f t="shared" si="39"/>
        <v>2832.5672278544198</v>
      </c>
      <c r="I55" s="141">
        <f t="shared" si="39"/>
        <v>11.339992534818748</v>
      </c>
      <c r="J55" s="141">
        <f t="shared" si="39"/>
        <v>-55.670352287598369</v>
      </c>
      <c r="K55" s="141">
        <f t="shared" si="39"/>
        <v>-44.696626898765423</v>
      </c>
      <c r="L55" s="141">
        <f t="shared" si="39"/>
        <v>-39.972335357526724</v>
      </c>
      <c r="M55" s="141">
        <f t="shared" si="39"/>
        <v>-32.520532995951129</v>
      </c>
      <c r="N55" s="141"/>
      <c r="O55" s="141">
        <f>(O53*100/$O53)-100</f>
        <v>0</v>
      </c>
      <c r="P55" s="141">
        <f t="shared" ref="P55:V55" si="40">(P53*100/$O53)-100</f>
        <v>467.0812906140751</v>
      </c>
      <c r="Q55" s="141">
        <f t="shared" si="40"/>
        <v>-65.354729682535179</v>
      </c>
      <c r="R55" s="141">
        <f t="shared" si="40"/>
        <v>-2.0209000963103136</v>
      </c>
      <c r="S55" s="141">
        <f t="shared" si="40"/>
        <v>51.992711468590585</v>
      </c>
      <c r="T55" s="141">
        <f t="shared" si="40"/>
        <v>119.54223265107208</v>
      </c>
      <c r="U55" s="141">
        <f t="shared" si="40"/>
        <v>75.234359751948091</v>
      </c>
      <c r="V55" s="141">
        <f t="shared" si="40"/>
        <v>62.918962834117565</v>
      </c>
    </row>
    <row r="56" spans="1:22" s="3" customFormat="1" x14ac:dyDescent="0.35">
      <c r="A56" s="61" t="s">
        <v>81</v>
      </c>
      <c r="B56" s="141">
        <f>[1]!SWTEST(B28:B43)</f>
        <v>0.28665306579523475</v>
      </c>
      <c r="C56" s="141">
        <f>[1]!SWTEST(C28:C43)</f>
        <v>3.265587619826027E-2</v>
      </c>
      <c r="D56" s="141">
        <f>[1]!SWTEST(D28:D43)</f>
        <v>1.3289856738439632E-2</v>
      </c>
      <c r="E56" s="141">
        <f>[1]!SWTEST(E28:E43)</f>
        <v>0.41514839844097517</v>
      </c>
      <c r="F56" s="141">
        <f>[1]!SWTEST(F28:F43)</f>
        <v>0.91019810762254438</v>
      </c>
      <c r="G56" s="141">
        <f>[1]!SWTEST(G28:G43)</f>
        <v>0.41310930912883259</v>
      </c>
      <c r="H56" s="141">
        <f>[1]!SWTEST(H28:H43)</f>
        <v>0.94277486754282391</v>
      </c>
      <c r="I56" s="141">
        <f>[1]!SWTEST(I28:I43)</f>
        <v>0.19808532150289815</v>
      </c>
      <c r="J56" s="141">
        <f>[1]!SWTEST(J28:J43)</f>
        <v>0.55972049081530528</v>
      </c>
      <c r="K56" s="141">
        <f>[1]!SWTEST(K28:K43)</f>
        <v>0.1680742472535538</v>
      </c>
      <c r="L56" s="141">
        <f>[1]!SWTEST(L28:L43)</f>
        <v>0.58546440804152755</v>
      </c>
      <c r="M56" s="141">
        <f>[1]!SWTEST(M28:M43)</f>
        <v>0.50060438954481712</v>
      </c>
      <c r="N56" s="141"/>
      <c r="O56" s="141">
        <f>[1]!SWTEST(O28:O43)</f>
        <v>2.0452060396462746E-2</v>
      </c>
      <c r="P56" s="141">
        <f>[1]!SWTEST(P28:P43)</f>
        <v>9.6828753631884812E-2</v>
      </c>
      <c r="Q56" s="141">
        <f>[1]!SWTEST(Q28:Q43)</f>
        <v>1.0312471793721301E-2</v>
      </c>
      <c r="R56" s="141">
        <f>[1]!SWTEST(R28:R43)</f>
        <v>0.57520348469140958</v>
      </c>
      <c r="S56" s="141">
        <f>[1]!SWTEST(S28:S43)</f>
        <v>0.33083547446966066</v>
      </c>
      <c r="T56" s="141">
        <f>[1]!SWTEST(T28:T43)</f>
        <v>1.5671473208387243E-2</v>
      </c>
      <c r="U56" s="141">
        <f>[1]!SWTEST(U28:U43)</f>
        <v>3.0118965592423219E-2</v>
      </c>
      <c r="V56" s="141">
        <f>[1]!SWTEST(V28:V43)</f>
        <v>0.25224534258930043</v>
      </c>
    </row>
    <row r="57" spans="1:22" s="3" customFormat="1" x14ac:dyDescent="0.35">
      <c r="A57" s="61" t="s">
        <v>85</v>
      </c>
      <c r="B57" s="141" t="str">
        <f>IF(B56&gt;0.05,"Oui","Non")</f>
        <v>Oui</v>
      </c>
      <c r="C57" s="141" t="str">
        <f t="shared" ref="C57:V57" si="41">IF(C56&gt;0.05,"Oui","Non")</f>
        <v>Non</v>
      </c>
      <c r="D57" s="141" t="str">
        <f t="shared" si="41"/>
        <v>Non</v>
      </c>
      <c r="E57" s="141" t="str">
        <f t="shared" si="41"/>
        <v>Oui</v>
      </c>
      <c r="F57" s="141" t="str">
        <f t="shared" si="41"/>
        <v>Oui</v>
      </c>
      <c r="G57" s="141" t="str">
        <f t="shared" si="41"/>
        <v>Oui</v>
      </c>
      <c r="H57" s="141" t="str">
        <f t="shared" si="41"/>
        <v>Oui</v>
      </c>
      <c r="I57" s="141" t="str">
        <f t="shared" si="41"/>
        <v>Oui</v>
      </c>
      <c r="J57" s="141" t="str">
        <f t="shared" si="41"/>
        <v>Oui</v>
      </c>
      <c r="K57" s="141" t="str">
        <f t="shared" si="41"/>
        <v>Oui</v>
      </c>
      <c r="L57" s="141" t="str">
        <f t="shared" si="41"/>
        <v>Oui</v>
      </c>
      <c r="M57" s="141" t="str">
        <f t="shared" si="41"/>
        <v>Oui</v>
      </c>
      <c r="N57" s="141"/>
      <c r="O57" s="141" t="str">
        <f t="shared" si="41"/>
        <v>Non</v>
      </c>
      <c r="P57" s="141" t="str">
        <f t="shared" si="41"/>
        <v>Oui</v>
      </c>
      <c r="Q57" s="141" t="str">
        <f t="shared" si="41"/>
        <v>Non</v>
      </c>
      <c r="R57" s="141" t="str">
        <f t="shared" si="41"/>
        <v>Oui</v>
      </c>
      <c r="S57" s="141" t="str">
        <f t="shared" si="41"/>
        <v>Oui</v>
      </c>
      <c r="T57" s="141" t="str">
        <f t="shared" si="41"/>
        <v>Non</v>
      </c>
      <c r="U57" s="141" t="str">
        <f t="shared" si="41"/>
        <v>Non</v>
      </c>
      <c r="V57" s="141" t="str">
        <f t="shared" si="41"/>
        <v>Oui</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tr">
        <f t="shared" ref="C59:O59" si="42">IF($B57="Non",IF(C57="Non","MW",IF(C57="Oui","MW","")),IF($B57="Oui",IF(C57="Oui","T-Test Welch",IF(C57="Non","MW",""))))</f>
        <v>MW</v>
      </c>
      <c r="D59" s="150" t="str">
        <f t="shared" si="42"/>
        <v>MW</v>
      </c>
      <c r="E59" s="150" t="str">
        <f t="shared" si="42"/>
        <v>T-Test Welch</v>
      </c>
      <c r="F59" s="150" t="str">
        <f t="shared" si="42"/>
        <v>T-Test Welch</v>
      </c>
      <c r="G59" s="150" t="str">
        <f t="shared" si="42"/>
        <v>T-Test Welch</v>
      </c>
      <c r="H59" s="150" t="str">
        <f t="shared" si="42"/>
        <v>T-Test Welch</v>
      </c>
      <c r="I59" s="150" t="str">
        <f t="shared" si="42"/>
        <v>T-Test Welch</v>
      </c>
      <c r="J59" s="150" t="str">
        <f t="shared" si="42"/>
        <v>T-Test Welch</v>
      </c>
      <c r="K59" s="150" t="str">
        <f t="shared" si="42"/>
        <v>T-Test Welch</v>
      </c>
      <c r="L59" s="150" t="str">
        <f t="shared" si="42"/>
        <v>T-Test Welch</v>
      </c>
      <c r="M59" s="150" t="str">
        <f t="shared" si="42"/>
        <v>T-Test Welch</v>
      </c>
      <c r="N59" s="150"/>
      <c r="O59" s="150" t="str">
        <f t="shared" si="42"/>
        <v>MW</v>
      </c>
      <c r="P59" s="150" t="str">
        <f>IF($O57="Non",IF(P57="Non","MW",IF(P57="Oui","MW","")),IF($O57="Oui",IF(P57="Oui","T-Test Welch",IF(P57="Non","MW",""))))</f>
        <v>MW</v>
      </c>
      <c r="Q59" s="150" t="str">
        <f t="shared" ref="Q59:V59" si="43">IF($O57="Non",IF(Q57="Non","MW",IF(Q57="Oui","MW","")),IF($O57="Oui",IF(Q57="Oui","T-Test Welch",IF(Q57="Non","MW",""))))</f>
        <v>MW</v>
      </c>
      <c r="R59" s="150" t="str">
        <f t="shared" si="43"/>
        <v>MW</v>
      </c>
      <c r="S59" s="150" t="str">
        <f t="shared" si="43"/>
        <v>MW</v>
      </c>
      <c r="T59" s="150" t="str">
        <f t="shared" si="43"/>
        <v>MW</v>
      </c>
      <c r="U59" s="150" t="str">
        <f t="shared" si="43"/>
        <v>MW</v>
      </c>
      <c r="V59" s="150" t="str">
        <f t="shared" si="43"/>
        <v>MW</v>
      </c>
    </row>
    <row r="60" spans="1:22" s="3" customFormat="1" x14ac:dyDescent="0.35">
      <c r="A60" s="61" t="s">
        <v>83</v>
      </c>
      <c r="B60" s="151"/>
      <c r="C60" s="151">
        <f>IF(C59="MW",[1]!MTEST($B28:$B43,C28:C43,2), IF(C59="T-Test Welch",_xlfn.T.TEST($B28:$B43,C28:C43,2,3),""))</f>
        <v>2.7423154381354564E-2</v>
      </c>
      <c r="D60" s="151">
        <f>IF(D59="MW",[1]!MTEST($B28:$B43,D28:D43,2), IF(D59="T-Test Welch",_xlfn.T.TEST($B28:$B43,D28:D43,2,3),""))</f>
        <v>7.4203411329755165E-2</v>
      </c>
      <c r="E60" s="151">
        <f>IF(E59="MW",[1]!MTEST($B28:$B43,E28:E43,2), IF(E59="T-Test Welch",_xlfn.T.TEST($B28:$B43,E28:E43,2,3),""))</f>
        <v>1.1383567832050922E-3</v>
      </c>
      <c r="F60" s="151">
        <f>IF(F59="MW",[1]!MTEST($B28:$B43,F28:F43,2), IF(F59="T-Test Welch",_xlfn.T.TEST($B28:$B43,F28:F43,2,3),""))</f>
        <v>1.6952996251793002E-3</v>
      </c>
      <c r="G60" s="151">
        <f>IF(G59="MW",[1]!MTEST($B28:$B43,G28:G43,2), IF(G59="T-Test Welch",_xlfn.T.TEST($B28:$B43,G28:G43,2,3),""))</f>
        <v>1.4480268923850216E-4</v>
      </c>
      <c r="H60" s="151">
        <f>IF(H59="MW",[1]!MTEST($B28:$B43,H28:H43,2), IF(H59="T-Test Welch",_xlfn.T.TEST($B28:$B43,H28:H43,2,3),""))</f>
        <v>2.6042205004622418E-5</v>
      </c>
      <c r="I60" s="151">
        <f>IF(I59="MW",[1]!MTEST($B28:$B43,I28:I43,2), IF(I59="T-Test Welch",_xlfn.T.TEST($B28:$B43,I28:I43,2,3),""))</f>
        <v>0.70842527543418277</v>
      </c>
      <c r="J60" s="151">
        <f>IF(J59="MW",[1]!MTEST($B28:$B43,J28:J43,2), IF(J59="T-Test Welch",_xlfn.T.TEST($B28:$B43,J28:J43,2,3),""))</f>
        <v>1.5655998252121282E-3</v>
      </c>
      <c r="K60" s="151">
        <f>IF(K59="MW",[1]!MTEST($B28:$B43,K28:K43,2), IF(K59="T-Test Welch",_xlfn.T.TEST($B28:$B43,K28:K43,2,3),""))</f>
        <v>6.9718868993807054E-2</v>
      </c>
      <c r="L60" s="151">
        <f>IF(L59="MW",[1]!MTEST($B28:$B43,L28:L43,2), IF(L59="T-Test Welch",_xlfn.T.TEST($B28:$B43,L28:L43,2,3),""))</f>
        <v>2.5215244358139346E-2</v>
      </c>
      <c r="M60" s="151">
        <f>IF(M59="MW",[1]!MTEST($B28:$B43,M28:M43,2), IF(M59="T-Test Welch",_xlfn.T.TEST($B28:$B43,M28:M43,2,3),""))</f>
        <v>0.13660535659948067</v>
      </c>
      <c r="N60" s="151"/>
      <c r="O60" s="151">
        <f>IF(O59="MW",[1]!MTEST($B28:$B43,O28:O43,2), IF(O59="T-Test Welch",_xlfn.T.TEST($B28:$B43,O28:O43,2,3),""))</f>
        <v>0.12578642463893996</v>
      </c>
      <c r="P60" s="151">
        <f>IF(P59="MW",[1]!MTEST($O28:$O43,P28:P43,2), IF(P59="T-Test Welch",_xlfn.T.TEST($O28:$O43,P28:P43,2,3),""))</f>
        <v>8.884941911446731E-5</v>
      </c>
      <c r="Q60" s="151">
        <f>IF(Q59="MW",[1]!MTEST($O28:$O43,Q28:Q43,2), IF(Q59="T-Test Welch",_xlfn.T.TEST($O28:$O43,Q28:Q43,2,3),""))</f>
        <v>0.29786016754980604</v>
      </c>
      <c r="R60" s="151">
        <f>IF(R59="MW",[1]!MTEST($O28:$O43,R28:R43,2), IF(R59="T-Test Welch",_xlfn.T.TEST($O28:$O43,R28:R43,2,3),""))</f>
        <v>0.71330317387845765</v>
      </c>
      <c r="S60" s="151">
        <f>IF(S59="MW",[1]!MTEST($O28:$O43,S28:S43,2), IF(S59="T-Test Welch",_xlfn.T.TEST($O28:$O43,S28:S43,2,3),""))</f>
        <v>0.12578642463893996</v>
      </c>
      <c r="T60" s="151">
        <f>IF(T59="MW",[1]!MTEST($O28:$O43,T28:T43,2), IF(T59="T-Test Welch",_xlfn.T.TEST($O28:$O43,T28:T43,2,3),""))</f>
        <v>0.12578642463893996</v>
      </c>
      <c r="U60" s="151">
        <f>IF(U59="MW",[1]!MTEST($O28:$O43,U28:U43,2), IF(U59="T-Test Welch",_xlfn.T.TEST($O28:$O43,U28:U43,2,3),""))</f>
        <v>0.85423960576809321</v>
      </c>
      <c r="V60" s="151">
        <f>IF(V59="MW",[1]!MTEST($O28:$O43,V28:V43,2), IF(V59="T-Test Welch",_xlfn.T.TEST($O28:$O43,V28:V43,2,3),""))</f>
        <v>0.42598311654491883</v>
      </c>
    </row>
    <row r="61" spans="1:22" s="3" customFormat="1" ht="15" thickBot="1" x14ac:dyDescent="0.4">
      <c r="A61" s="62" t="s">
        <v>84</v>
      </c>
      <c r="B61" s="142"/>
      <c r="C61" s="142" t="str">
        <f t="shared" ref="C61:O61" si="44">IF(C60&gt;0.05,"NS",IF(C60&gt;0.01,"*",IF(C60&gt;0.001,"**","***")))</f>
        <v>*</v>
      </c>
      <c r="D61" s="142" t="str">
        <f t="shared" si="44"/>
        <v>NS</v>
      </c>
      <c r="E61" s="142" t="str">
        <f t="shared" si="44"/>
        <v>**</v>
      </c>
      <c r="F61" s="142" t="str">
        <f t="shared" si="44"/>
        <v>**</v>
      </c>
      <c r="G61" s="142" t="str">
        <f t="shared" si="44"/>
        <v>***</v>
      </c>
      <c r="H61" s="142" t="str">
        <f t="shared" si="44"/>
        <v>***</v>
      </c>
      <c r="I61" s="142" t="str">
        <f t="shared" si="44"/>
        <v>NS</v>
      </c>
      <c r="J61" s="142" t="str">
        <f t="shared" si="44"/>
        <v>**</v>
      </c>
      <c r="K61" s="142" t="str">
        <f t="shared" si="44"/>
        <v>NS</v>
      </c>
      <c r="L61" s="142" t="str">
        <f t="shared" si="44"/>
        <v>*</v>
      </c>
      <c r="M61" s="142" t="str">
        <f t="shared" si="44"/>
        <v>NS</v>
      </c>
      <c r="N61" s="142"/>
      <c r="O61" s="142" t="str">
        <f t="shared" si="44"/>
        <v>NS</v>
      </c>
      <c r="P61" s="142" t="str">
        <f>IF(P60&gt;0.05,"NS",IF(P60&gt;0.01,"*",IF(P60&gt;0.001,"**","***")))</f>
        <v>***</v>
      </c>
      <c r="Q61" s="142" t="str">
        <f t="shared" ref="Q61:V61" si="45">IF(Q60&gt;0.05,"NS",IF(Q60&gt;0.01,"*",IF(Q60&gt;0.001,"**","***")))</f>
        <v>NS</v>
      </c>
      <c r="R61" s="142" t="str">
        <f t="shared" si="45"/>
        <v>NS</v>
      </c>
      <c r="S61" s="142" t="str">
        <f t="shared" si="45"/>
        <v>NS</v>
      </c>
      <c r="T61" s="142" t="str">
        <f t="shared" si="45"/>
        <v>NS</v>
      </c>
      <c r="U61" s="142" t="str">
        <f t="shared" si="45"/>
        <v>NS</v>
      </c>
      <c r="V61" s="142" t="str">
        <f t="shared" si="45"/>
        <v>NS</v>
      </c>
    </row>
    <row r="63" spans="1:22" x14ac:dyDescent="0.35">
      <c r="A63" s="2" t="s">
        <v>39</v>
      </c>
    </row>
    <row r="64" spans="1:22" x14ac:dyDescent="0.35">
      <c r="A64" s="1" t="s">
        <v>23</v>
      </c>
      <c r="B64" s="1">
        <f>B46+(3*B47)</f>
        <v>0.50152559405428498</v>
      </c>
    </row>
    <row r="65" spans="1:22" x14ac:dyDescent="0.35">
      <c r="A65" s="1" t="s">
        <v>24</v>
      </c>
      <c r="B65" s="1">
        <f>B46+(10*B47)</f>
        <v>1.0504807452469813</v>
      </c>
    </row>
    <row r="66" spans="1:22" ht="15" thickBot="1" x14ac:dyDescent="0.4"/>
    <row r="67" spans="1:22" ht="26.5" thickBot="1" x14ac:dyDescent="0.65">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20"/>
  <sheetViews>
    <sheetView showGridLines="0" tabSelected="1" topLeftCell="G71" zoomScale="70" zoomScaleNormal="70" workbookViewId="0">
      <selection activeCell="E100" sqref="E100"/>
    </sheetView>
  </sheetViews>
  <sheetFormatPr baseColWidth="10" defaultRowHeight="14.5" x14ac:dyDescent="0.35"/>
  <cols>
    <col min="1" max="1" width="42.81640625" customWidth="1"/>
    <col min="2" max="2" width="14" bestFit="1" customWidth="1"/>
    <col min="3" max="13" width="22.7265625" bestFit="1" customWidth="1"/>
    <col min="14" max="14" width="8.453125" customWidth="1"/>
    <col min="15" max="15" width="22.7265625" customWidth="1"/>
    <col min="18" max="22" width="29.1796875" customWidth="1"/>
  </cols>
  <sheetData>
    <row r="1" spans="1:22" s="1" customFormat="1" ht="21.5" thickBot="1" x14ac:dyDescent="0.4">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4">
      <c r="A2" s="1"/>
      <c r="B2" s="1"/>
      <c r="C2" s="1"/>
      <c r="D2" s="1"/>
      <c r="E2" s="1"/>
      <c r="F2" s="1"/>
      <c r="G2" s="1"/>
      <c r="H2" s="1"/>
      <c r="I2" s="1"/>
      <c r="J2" s="1"/>
      <c r="K2" s="1"/>
      <c r="L2" s="1"/>
      <c r="M2" s="1"/>
    </row>
    <row r="3" spans="1:22" s="33" customFormat="1" ht="15" thickBot="1" x14ac:dyDescent="0.4">
      <c r="B3" s="221" t="s">
        <v>6</v>
      </c>
      <c r="C3" s="222"/>
      <c r="D3" s="222"/>
      <c r="E3" s="222"/>
      <c r="F3" s="222"/>
      <c r="G3" s="222"/>
      <c r="H3" s="222"/>
      <c r="I3" s="222"/>
      <c r="J3" s="222"/>
      <c r="K3" s="222"/>
      <c r="L3" s="222"/>
      <c r="M3" s="222"/>
      <c r="N3" s="72"/>
      <c r="O3" s="221" t="s">
        <v>3</v>
      </c>
      <c r="P3" s="222"/>
      <c r="Q3" s="222"/>
      <c r="R3" s="222"/>
      <c r="S3" s="222"/>
      <c r="T3" s="222"/>
      <c r="U3" s="222"/>
      <c r="V3" s="222"/>
    </row>
    <row r="4" spans="1:22" x14ac:dyDescent="0.3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Saccharin-0,01mg/L</v>
      </c>
      <c r="J4" s="35" t="str">
        <f>'R1'!J4</f>
        <v>Saccharin-0,1mg/L</v>
      </c>
      <c r="K4" s="35" t="str">
        <f>'R1'!K4</f>
        <v>Saccharin-1mg/L</v>
      </c>
      <c r="L4" s="35" t="str">
        <f>'R1'!L4</f>
        <v>Saccharin-10mg/L</v>
      </c>
      <c r="M4" s="35" t="str">
        <f>'R1'!M4</f>
        <v>Saccharin-100mg/L</v>
      </c>
      <c r="O4" s="35" t="str">
        <f>'R1'!O4</f>
        <v>Testo -30µg/L</v>
      </c>
      <c r="P4" s="35" t="str">
        <f>'R1'!P4</f>
        <v>Testo 30µg/L + EE2 -64ng/L</v>
      </c>
      <c r="Q4" s="35" t="str">
        <f>'R1'!Q4</f>
        <v>Testo 30µg/L + FAD-10µg/L</v>
      </c>
      <c r="R4" s="35" t="str">
        <f>'R1'!R4</f>
        <v>Saccharin-0,01mg/L + Testostérone</v>
      </c>
      <c r="S4" s="35" t="str">
        <f>'R1'!S4</f>
        <v>Saccharin-0,1mg/L + Testostérone</v>
      </c>
      <c r="T4" s="35" t="str">
        <f>'R1'!T4</f>
        <v>Saccharin-1mg/L + Testostérone</v>
      </c>
      <c r="U4" s="35" t="str">
        <f>'R1'!U4</f>
        <v>Saccharin-10mg/L + Testostérone</v>
      </c>
      <c r="V4" s="35" t="str">
        <f>'R1'!V4</f>
        <v>Saccharin-100mg/L + Testostérone</v>
      </c>
    </row>
    <row r="5" spans="1:22" s="1" customFormat="1" x14ac:dyDescent="0.35">
      <c r="A5" s="34"/>
      <c r="B5" s="35"/>
      <c r="C5" s="194" t="s">
        <v>165</v>
      </c>
      <c r="D5" s="35"/>
      <c r="E5" s="35"/>
      <c r="F5" s="35"/>
      <c r="G5" s="35"/>
      <c r="H5" s="35"/>
      <c r="I5" s="35"/>
      <c r="J5" s="35"/>
      <c r="K5" s="35"/>
      <c r="L5" s="35"/>
      <c r="M5" s="35"/>
      <c r="O5" s="35"/>
      <c r="P5" s="35"/>
      <c r="Q5" s="35"/>
      <c r="R5" s="35"/>
      <c r="S5" s="35"/>
      <c r="T5" s="35"/>
      <c r="U5" s="35"/>
      <c r="V5" s="35"/>
    </row>
    <row r="6" spans="1:22" s="1" customFormat="1" x14ac:dyDescent="0.35">
      <c r="A6" s="71" t="s">
        <v>4</v>
      </c>
      <c r="B6" s="53">
        <f>'R1'!B28</f>
        <v>1.0813930328736825E-2</v>
      </c>
      <c r="C6" s="53">
        <f>'R1'!C28</f>
        <v>5.1076803473490653E-2</v>
      </c>
      <c r="D6" s="53">
        <f>'R1'!D28</f>
        <v>1.7671117429832732E-2</v>
      </c>
      <c r="E6" s="53">
        <f>'R1'!E28</f>
        <v>0.95188293680649694</v>
      </c>
      <c r="F6" s="53">
        <f>'R1'!F28</f>
        <v>2.5284981858102382</v>
      </c>
      <c r="G6" s="53">
        <f>'R1'!G28</f>
        <v>4.366105648503865</v>
      </c>
      <c r="H6" s="53">
        <f>'R1'!H28</f>
        <v>6.2889939563210584</v>
      </c>
      <c r="I6" s="53">
        <f>'R1'!I28</f>
        <v>3.3793696502948438E-2</v>
      </c>
      <c r="J6" s="53">
        <f>'R1'!J28</f>
        <v>1.6768095345118222E-2</v>
      </c>
      <c r="K6" s="53">
        <f>'R1'!K28</f>
        <v>6.5478297777970082E-2</v>
      </c>
      <c r="L6" s="53">
        <f>'R1'!L28</f>
        <v>0.12072380504602785</v>
      </c>
      <c r="M6" s="53">
        <f>'R1'!M28</f>
        <v>2.690410220773572E-2</v>
      </c>
      <c r="N6"/>
      <c r="O6" s="53">
        <f>'R1'!O28</f>
        <v>1.4377666258102455</v>
      </c>
      <c r="P6" s="53">
        <f>'R1'!P28</f>
        <v>6.10433207108772</v>
      </c>
      <c r="Q6" s="53">
        <f>'R1'!Q28</f>
        <v>1.0607224982478219E-2</v>
      </c>
      <c r="R6" s="53">
        <f>'R1'!R28</f>
        <v>1.3398058090858911</v>
      </c>
      <c r="S6" s="53">
        <f>'R1'!S28</f>
        <v>2.8717153338054857E-2</v>
      </c>
      <c r="T6" s="53">
        <f>'R1'!T28</f>
        <v>0.59720765601567738</v>
      </c>
      <c r="U6" s="53">
        <f>'R1'!U28</f>
        <v>0.86723140435787416</v>
      </c>
      <c r="V6" s="53">
        <f>'R1'!V28</f>
        <v>0.34340108071861286</v>
      </c>
    </row>
    <row r="7" spans="1:22" s="1" customFormat="1" x14ac:dyDescent="0.35">
      <c r="A7" s="225" t="s">
        <v>34</v>
      </c>
      <c r="B7" s="53">
        <f>'R1'!B29</f>
        <v>1.5686395757705598E-2</v>
      </c>
      <c r="C7" s="53">
        <f>'R1'!C29</f>
        <v>0.14813591191829742</v>
      </c>
      <c r="D7" s="53">
        <f>'R1'!D29</f>
        <v>1.8396337881960385E-2</v>
      </c>
      <c r="E7" s="53">
        <f>'R1'!E29</f>
        <v>0.25896982960297332</v>
      </c>
      <c r="F7" s="53">
        <f>'R1'!F29</f>
        <v>1.9953302109147779</v>
      </c>
      <c r="G7" s="53">
        <f>'R1'!G29</f>
        <v>2.7756538414174101</v>
      </c>
      <c r="H7" s="53">
        <f>'R1'!H29</f>
        <v>5.152830137779624</v>
      </c>
      <c r="I7" s="53">
        <f>'R1'!I29</f>
        <v>9.6897072474222704E-2</v>
      </c>
      <c r="J7" s="53">
        <f>'R1'!J29</f>
        <v>1.0682549812047032E-2</v>
      </c>
      <c r="K7" s="53">
        <f>'R1'!K29</f>
        <v>0.17727260703964837</v>
      </c>
      <c r="L7" s="53">
        <f>'R1'!L29</f>
        <v>4.6301559626872324E-2</v>
      </c>
      <c r="M7" s="53">
        <f>'R1'!M29</f>
        <v>0.1763152810080354</v>
      </c>
      <c r="N7"/>
      <c r="O7" s="53">
        <f>'R1'!O29</f>
        <v>0.48715457653519445</v>
      </c>
      <c r="P7" s="53">
        <f>'R1'!P29</f>
        <v>3.3962967160651569</v>
      </c>
      <c r="Q7" s="53">
        <f>'R1'!Q29</f>
        <v>3.3055337999151808E-3</v>
      </c>
      <c r="R7" s="53">
        <f>'R1'!R29</f>
        <v>0.5537246464068567</v>
      </c>
      <c r="S7" s="53">
        <f>'R1'!S29</f>
        <v>5.9544715709203416E-2</v>
      </c>
      <c r="T7" s="53">
        <f>'R1'!T29</f>
        <v>1.0550893396272192</v>
      </c>
      <c r="U7" s="53">
        <f>'R1'!U29</f>
        <v>0.17594391208085891</v>
      </c>
      <c r="V7" s="53">
        <f>'R1'!V29</f>
        <v>1.224251389436551</v>
      </c>
    </row>
    <row r="8" spans="1:22" s="1" customFormat="1" x14ac:dyDescent="0.35">
      <c r="A8" s="226"/>
      <c r="B8" s="53">
        <f>'R1'!B30</f>
        <v>2.6456970515934791E-2</v>
      </c>
      <c r="C8" s="53">
        <f>'R1'!C30</f>
        <v>4.0523882437910878E-2</v>
      </c>
      <c r="D8" s="53">
        <f>'R1'!D30</f>
        <v>2.0434049695819068E-2</v>
      </c>
      <c r="E8" s="53">
        <f>'R1'!E30</f>
        <v>0.2906618757739407</v>
      </c>
      <c r="F8" s="53">
        <f>'R1'!F30</f>
        <v>1.6984890715058607</v>
      </c>
      <c r="G8" s="53">
        <f>'R1'!G30</f>
        <v>2.9155302981864759</v>
      </c>
      <c r="H8" s="53">
        <f>'R1'!H30</f>
        <v>7.4814841058478514</v>
      </c>
      <c r="I8" s="53">
        <f>'R1'!I30</f>
        <v>7.2597807977389933E-2</v>
      </c>
      <c r="J8" s="53">
        <f>'R1'!J30</f>
        <v>9.5754499914077144E-3</v>
      </c>
      <c r="K8" s="53">
        <f>'R1'!K30</f>
        <v>9.5169856614807563E-2</v>
      </c>
      <c r="L8" s="53">
        <f>'R1'!L30</f>
        <v>0.13161087052905532</v>
      </c>
      <c r="M8" s="53">
        <f>'R1'!M30</f>
        <v>1.1295220954877099E-2</v>
      </c>
      <c r="N8"/>
      <c r="O8" s="53">
        <f>'R1'!O30</f>
        <v>0.79828203332895975</v>
      </c>
      <c r="P8" s="53">
        <f>'R1'!P30</f>
        <v>3.1561243728551034</v>
      </c>
      <c r="Q8" s="53">
        <f>'R1'!Q30</f>
        <v>0.14060956005219485</v>
      </c>
      <c r="R8" s="53">
        <f>'R1'!R30</f>
        <v>0.261852756074203</v>
      </c>
      <c r="S8" s="53">
        <f>'R1'!S30</f>
        <v>1.7237697484623662</v>
      </c>
      <c r="T8" s="53">
        <f>'R1'!T30</f>
        <v>1.2759824678831568</v>
      </c>
      <c r="U8" s="53">
        <f>'R1'!U30</f>
        <v>2.0290512101984914</v>
      </c>
      <c r="V8" s="53">
        <f>'R1'!V30</f>
        <v>2.2419550892345228</v>
      </c>
    </row>
    <row r="9" spans="1:22" s="1" customFormat="1" x14ac:dyDescent="0.35">
      <c r="A9" s="226"/>
      <c r="B9" s="53">
        <f>'R1'!B31</f>
        <v>3.2889360613067034E-2</v>
      </c>
      <c r="C9" s="53">
        <f>'R1'!C31</f>
        <v>1.6316584302760971E-2</v>
      </c>
      <c r="D9" s="53">
        <f>'R1'!D31</f>
        <v>6.7441998567426844E-4</v>
      </c>
      <c r="E9" s="53">
        <f>'R1'!E31</f>
        <v>0.30091349749124524</v>
      </c>
      <c r="F9" s="53">
        <f>'R1'!F31</f>
        <v>2.6367793800556316</v>
      </c>
      <c r="G9" s="53">
        <f>'R1'!G31</f>
        <v>3.9785129792564176</v>
      </c>
      <c r="H9" s="53">
        <f>'R1'!H31</f>
        <v>4.2168499366483143</v>
      </c>
      <c r="I9" s="53">
        <f>'R1'!I31</f>
        <v>0.12593348046783376</v>
      </c>
      <c r="J9" s="53">
        <f>'R1'!J31</f>
        <v>0.14278653521374471</v>
      </c>
      <c r="K9" s="53">
        <f>'R1'!K31</f>
        <v>6.2979440350530219E-3</v>
      </c>
      <c r="L9" s="53">
        <f>'R1'!L31</f>
        <v>4.3490892439822029E-2</v>
      </c>
      <c r="M9" s="53">
        <f>'R1'!M31</f>
        <v>0.30816964342802244</v>
      </c>
      <c r="N9"/>
      <c r="O9" s="53">
        <f>'R1'!O31</f>
        <v>1.8184145209454701</v>
      </c>
      <c r="P9" s="53">
        <f>'R1'!P31</f>
        <v>0.17937162976129561</v>
      </c>
      <c r="Q9" s="53">
        <f>'R1'!Q31</f>
        <v>7.4438886951269559E-2</v>
      </c>
      <c r="R9" s="53">
        <f>'R1'!R31</f>
        <v>0.76015672119074884</v>
      </c>
      <c r="S9" s="53">
        <f>'R1'!S31</f>
        <v>0.34033203184873934</v>
      </c>
      <c r="T9" s="53">
        <f>'R1'!T31</f>
        <v>0.55269637489623125</v>
      </c>
      <c r="U9" s="53">
        <f>'R1'!U31</f>
        <v>3.2632730670466306E-2</v>
      </c>
      <c r="V9" s="53">
        <f>'R1'!V31</f>
        <v>0.86463839089347327</v>
      </c>
    </row>
    <row r="10" spans="1:22" s="1" customFormat="1" x14ac:dyDescent="0.35">
      <c r="A10" s="226"/>
      <c r="B10" s="53">
        <f>'R1'!B32</f>
        <v>8.5203768553775525E-2</v>
      </c>
      <c r="C10" s="53">
        <f>'R1'!C32</f>
        <v>3.8631127127466601E-2</v>
      </c>
      <c r="D10" s="53">
        <f>'R1'!D32</f>
        <v>2.822579020563503E-2</v>
      </c>
      <c r="E10" s="53">
        <f>'R1'!E32</f>
        <v>0.68136432185143525</v>
      </c>
      <c r="F10" s="53">
        <f>'R1'!F32</f>
        <v>2.3818030802249726</v>
      </c>
      <c r="G10" s="53">
        <f>'R1'!G32</f>
        <v>1.5806516964115076</v>
      </c>
      <c r="H10" s="53">
        <f>'R1'!H32</f>
        <v>6.61289773042785</v>
      </c>
      <c r="I10" s="53">
        <f>'R1'!I32</f>
        <v>8.966939231606158E-2</v>
      </c>
      <c r="J10" s="53">
        <f>'R1'!J32</f>
        <v>3.9440431110275724E-2</v>
      </c>
      <c r="K10" s="53">
        <f>'R1'!K32</f>
        <v>3.9682171260984944E-2</v>
      </c>
      <c r="L10" s="53">
        <f>'R1'!L32</f>
        <v>0.16810969187064659</v>
      </c>
      <c r="M10" s="53">
        <f>'R1'!M32</f>
        <v>3.1388119242358341E-2</v>
      </c>
      <c r="N10"/>
      <c r="O10" s="53">
        <f>'R1'!O32</f>
        <v>1.6517272421355185</v>
      </c>
      <c r="P10" s="53">
        <f>'R1'!P32</f>
        <v>0.67122262183309456</v>
      </c>
      <c r="Q10" s="53">
        <f>'R1'!Q32</f>
        <v>0.13283489900954856</v>
      </c>
      <c r="R10" s="53">
        <f>'R1'!R32</f>
        <v>0.42187991855809354</v>
      </c>
      <c r="S10" s="53">
        <f>'R1'!S32</f>
        <v>0.74646774722178377</v>
      </c>
      <c r="T10" s="53">
        <f>'R1'!T32</f>
        <v>0.66267938476781296</v>
      </c>
      <c r="U10" s="53">
        <f>'R1'!U32</f>
        <v>9.7994099788582464E-2</v>
      </c>
      <c r="V10" s="53">
        <f>'R1'!V32</f>
        <v>0.99263410753828119</v>
      </c>
    </row>
    <row r="11" spans="1:22" s="1" customFormat="1" x14ac:dyDescent="0.35">
      <c r="A11" s="226"/>
      <c r="B11" s="53">
        <f>'R1'!B33</f>
        <v>8.0739020661600741E-2</v>
      </c>
      <c r="C11" s="53">
        <f>'R1'!C33</f>
        <v>1.9405778185193626E-2</v>
      </c>
      <c r="D11" s="53">
        <f>'R1'!D33</f>
        <v>1.2055625109374279</v>
      </c>
      <c r="E11" s="53">
        <f>'R1'!E33</f>
        <v>1.0904771197326704</v>
      </c>
      <c r="F11" s="53">
        <f>'R1'!F33</f>
        <v>4.6193223252809918</v>
      </c>
      <c r="G11" s="53">
        <f>'R1'!G33</f>
        <v>4.0894563807050019</v>
      </c>
      <c r="H11" s="53">
        <f>'R1'!H33</f>
        <v>6.4512230562646691</v>
      </c>
      <c r="I11" s="53">
        <f>'R1'!I33</f>
        <v>3.1159079208262466E-3</v>
      </c>
      <c r="J11" s="53">
        <f>'R1'!J33</f>
        <v>0.12009974759175134</v>
      </c>
      <c r="K11" s="53">
        <f>'R1'!K33</f>
        <v>4.9157772059708414E-2</v>
      </c>
      <c r="L11" s="53">
        <f>'R1'!L33</f>
        <v>3.351166632712102E-2</v>
      </c>
      <c r="M11" s="53">
        <f>'R1'!M33</f>
        <v>1.7132457311404583E-2</v>
      </c>
      <c r="N11"/>
      <c r="O11" s="53">
        <f>'R1'!O33</f>
        <v>1.1533229898912327</v>
      </c>
      <c r="P11" s="53">
        <f>'R1'!P33</f>
        <v>2.7867318465846931</v>
      </c>
      <c r="Q11" s="53">
        <f>'R1'!Q33</f>
        <v>5.1198987354012159E-3</v>
      </c>
      <c r="R11" s="53">
        <f>'R1'!R33</f>
        <v>1.9825749144844216</v>
      </c>
      <c r="S11" s="53">
        <f>'R1'!S33</f>
        <v>1.49035518109578</v>
      </c>
      <c r="T11" s="53">
        <f>'R1'!T33</f>
        <v>0.89983917273016945</v>
      </c>
      <c r="U11" s="53">
        <f>'R1'!U33</f>
        <v>0.40524758308022146</v>
      </c>
      <c r="V11" s="53">
        <f>'R1'!V33</f>
        <v>3.4467196825005879</v>
      </c>
    </row>
    <row r="12" spans="1:22" s="1" customFormat="1" x14ac:dyDescent="0.35">
      <c r="A12" s="226"/>
      <c r="B12" s="53">
        <f>'R1'!B34</f>
        <v>7.1291447706437763E-2</v>
      </c>
      <c r="C12" s="53">
        <f>'R1'!C34</f>
        <v>7.9787387785711025E-3</v>
      </c>
      <c r="D12" s="53">
        <f>'R1'!D34</f>
        <v>1.3430557251337409</v>
      </c>
      <c r="E12" s="53">
        <f>'R1'!E34</f>
        <v>1.1034785356642922</v>
      </c>
      <c r="F12" s="53">
        <f>'R1'!F34</f>
        <v>1.326258726074951</v>
      </c>
      <c r="G12" s="53">
        <f>'R1'!G34</f>
        <v>5.8313518231849475</v>
      </c>
      <c r="H12" s="53">
        <f>'R1'!H34</f>
        <v>6.5053645292574771</v>
      </c>
      <c r="I12" s="53">
        <f>'R1'!I34</f>
        <v>2.355258522697911E-2</v>
      </c>
      <c r="J12" s="53">
        <f>'R1'!J34</f>
        <v>8.5145523191376388E-2</v>
      </c>
      <c r="K12" s="53">
        <f>'R1'!K34</f>
        <v>3.1681535729632206E-2</v>
      </c>
      <c r="L12" s="53">
        <f>'R1'!L34</f>
        <v>8.9340941024337095E-2</v>
      </c>
      <c r="M12" s="53">
        <f>'R1'!M34</f>
        <v>5.9652447732889045E-2</v>
      </c>
      <c r="N12"/>
      <c r="O12" s="53">
        <f>'R1'!O34</f>
        <v>1.4115115433549574</v>
      </c>
      <c r="P12" s="53">
        <f>'R1'!P34</f>
        <v>4.6088644361524844</v>
      </c>
      <c r="Q12" s="53">
        <f>'R1'!Q34</f>
        <v>5.0016562703804023E-3</v>
      </c>
      <c r="R12" s="53">
        <f>'R1'!R34</f>
        <v>1.5065898715431376</v>
      </c>
      <c r="S12" s="53">
        <f>'R1'!S34</f>
        <v>0.96750626991619149</v>
      </c>
      <c r="T12" s="53">
        <f>'R1'!T34</f>
        <v>0.55822267736325959</v>
      </c>
      <c r="U12" s="53">
        <f>'R1'!U34</f>
        <v>1.7360183540333553E-2</v>
      </c>
      <c r="V12" s="53">
        <f>'R1'!V34</f>
        <v>7.9370911547804374E-2</v>
      </c>
    </row>
    <row r="13" spans="1:22" s="1" customFormat="1" x14ac:dyDescent="0.35">
      <c r="A13" s="226"/>
      <c r="B13" s="53">
        <f>'R1'!B35</f>
        <v>1.325322858861064E-2</v>
      </c>
      <c r="C13" s="53">
        <f>'R1'!C35</f>
        <v>7.6708704344613547E-3</v>
      </c>
      <c r="D13" s="53">
        <f>'R1'!D35</f>
        <v>1.1246658336557995</v>
      </c>
      <c r="E13" s="53">
        <f>'R1'!E35</f>
        <v>0.34979230492051566</v>
      </c>
      <c r="F13" s="53">
        <f>'R1'!F35</f>
        <v>2.4065849491531122</v>
      </c>
      <c r="G13" s="53">
        <f>'R1'!G35</f>
        <v>3.2134877340522006</v>
      </c>
      <c r="H13" s="53">
        <f>'R1'!H35</f>
        <v>6.8637324784373916</v>
      </c>
      <c r="I13" s="53">
        <f>'R1'!I35</f>
        <v>3.9720709545880612E-4</v>
      </c>
      <c r="J13" s="53">
        <f>'R1'!J35</f>
        <v>8.6687492522258922E-2</v>
      </c>
      <c r="K13" s="53">
        <f>'R1'!K35</f>
        <v>2.7114311034439387E-2</v>
      </c>
      <c r="L13" s="53">
        <f>'R1'!L35</f>
        <v>4.8533714605431898E-2</v>
      </c>
      <c r="M13" s="53">
        <f>'R1'!M35</f>
        <v>5.0524129433282258E-2</v>
      </c>
      <c r="N13"/>
      <c r="O13" s="53">
        <f>'R1'!O35</f>
        <v>0.52878380705352213</v>
      </c>
      <c r="P13" s="53">
        <f>'R1'!P35</f>
        <v>2.2816355087552851</v>
      </c>
      <c r="Q13" s="53">
        <f>'R1'!Q35</f>
        <v>7.9659510749466284E-2</v>
      </c>
      <c r="R13" s="53">
        <f>'R1'!R35</f>
        <v>0.22689721786866116</v>
      </c>
      <c r="S13" s="53">
        <f>'R1'!S35</f>
        <v>2.2498865310270855</v>
      </c>
      <c r="T13" s="53">
        <f>'R1'!T35</f>
        <v>1.6139789920802072</v>
      </c>
      <c r="U13" s="53">
        <f>'R1'!U35</f>
        <v>0.27883543959658125</v>
      </c>
      <c r="V13" s="53">
        <f>'R1'!V35</f>
        <v>0.45428842648007595</v>
      </c>
    </row>
    <row r="14" spans="1:22" s="1" customFormat="1" x14ac:dyDescent="0.35">
      <c r="A14" s="226"/>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0.66213371768849472</v>
      </c>
      <c r="P14" s="53" t="str">
        <f>'R1'!P36</f>
        <v/>
      </c>
      <c r="Q14" s="53" t="str">
        <f>'R1'!Q36</f>
        <v/>
      </c>
      <c r="R14" s="53" t="str">
        <f>'R1'!R36</f>
        <v/>
      </c>
      <c r="S14" s="53" t="str">
        <f>'R1'!S36</f>
        <v/>
      </c>
      <c r="T14" s="53" t="str">
        <f>'R1'!T36</f>
        <v/>
      </c>
      <c r="U14" s="53" t="str">
        <f>'R1'!U36</f>
        <v/>
      </c>
      <c r="V14" s="53" t="str">
        <f>'R1'!V36</f>
        <v/>
      </c>
    </row>
    <row r="15" spans="1:22" s="1" customFormat="1" x14ac:dyDescent="0.35">
      <c r="A15" s="226"/>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2.5998268579964048</v>
      </c>
      <c r="P15" s="53" t="str">
        <f>'R1'!P37</f>
        <v/>
      </c>
      <c r="Q15" s="53" t="str">
        <f>'R1'!Q37</f>
        <v/>
      </c>
      <c r="R15" s="53" t="str">
        <f>'R1'!R37</f>
        <v/>
      </c>
      <c r="S15" s="53" t="str">
        <f>'R1'!S37</f>
        <v/>
      </c>
      <c r="T15" s="53" t="str">
        <f>'R1'!T37</f>
        <v/>
      </c>
      <c r="U15" s="53" t="str">
        <f>'R1'!U37</f>
        <v/>
      </c>
      <c r="V15" s="53" t="str">
        <f>'R1'!V37</f>
        <v/>
      </c>
    </row>
    <row r="16" spans="1:22" s="1" customFormat="1" x14ac:dyDescent="0.35">
      <c r="A16" s="226"/>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0.32577200505412085</v>
      </c>
      <c r="P16" s="53" t="str">
        <f>'R1'!P38</f>
        <v/>
      </c>
      <c r="Q16" s="53" t="str">
        <f>'R1'!Q38</f>
        <v/>
      </c>
      <c r="R16" s="53" t="str">
        <f>'R1'!R38</f>
        <v/>
      </c>
      <c r="S16" s="53" t="str">
        <f>'R1'!S38</f>
        <v/>
      </c>
      <c r="T16" s="53" t="str">
        <f>'R1'!T38</f>
        <v/>
      </c>
      <c r="U16" s="53" t="str">
        <f>'R1'!U38</f>
        <v/>
      </c>
      <c r="V16" s="53" t="str">
        <f>'R1'!V38</f>
        <v/>
      </c>
    </row>
    <row r="17" spans="1:22" s="1" customFormat="1" x14ac:dyDescent="0.35">
      <c r="A17" s="226"/>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1.0140775975373335</v>
      </c>
      <c r="P17" s="53" t="str">
        <f>'R1'!P39</f>
        <v/>
      </c>
      <c r="Q17" s="53" t="str">
        <f>'R1'!Q39</f>
        <v/>
      </c>
      <c r="R17" s="53" t="str">
        <f>'R1'!R39</f>
        <v/>
      </c>
      <c r="S17" s="53" t="str">
        <f>'R1'!S39</f>
        <v/>
      </c>
      <c r="T17" s="53" t="str">
        <f>'R1'!T39</f>
        <v/>
      </c>
      <c r="U17" s="53" t="str">
        <f>'R1'!U39</f>
        <v/>
      </c>
      <c r="V17" s="53" t="str">
        <f>'R1'!V39</f>
        <v/>
      </c>
    </row>
    <row r="18" spans="1:22" s="1" customFormat="1" x14ac:dyDescent="0.35">
      <c r="A18" s="226"/>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0.88998256843304557</v>
      </c>
      <c r="P18" s="53" t="str">
        <f>'R1'!P40</f>
        <v/>
      </c>
      <c r="Q18" s="53" t="str">
        <f>'R1'!Q40</f>
        <v/>
      </c>
      <c r="R18" s="53" t="str">
        <f>'R1'!R40</f>
        <v/>
      </c>
      <c r="S18" s="53" t="str">
        <f>'R1'!S40</f>
        <v/>
      </c>
      <c r="T18" s="53" t="str">
        <f>'R1'!T40</f>
        <v/>
      </c>
      <c r="U18" s="53" t="str">
        <f>'R1'!U40</f>
        <v/>
      </c>
      <c r="V18" s="53" t="str">
        <f>'R1'!V40</f>
        <v/>
      </c>
    </row>
    <row r="19" spans="1:22" s="1" customFormat="1" x14ac:dyDescent="0.35">
      <c r="A19" s="226"/>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0.19139864019413486</v>
      </c>
      <c r="P19" s="53" t="str">
        <f>'R1'!P41</f>
        <v/>
      </c>
      <c r="Q19" s="53" t="str">
        <f>'R1'!Q41</f>
        <v/>
      </c>
      <c r="R19" s="53" t="str">
        <f>'R1'!R41</f>
        <v/>
      </c>
      <c r="S19" s="53" t="str">
        <f>'R1'!S41</f>
        <v/>
      </c>
      <c r="T19" s="53" t="str">
        <f>'R1'!T41</f>
        <v/>
      </c>
      <c r="U19" s="53" t="str">
        <f>'R1'!U41</f>
        <v/>
      </c>
      <c r="V19" s="53" t="str">
        <f>'R1'!V41</f>
        <v/>
      </c>
    </row>
    <row r="20" spans="1:22" s="1" customFormat="1" x14ac:dyDescent="0.35">
      <c r="A20" s="226"/>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2.9845274041364542E-2</v>
      </c>
      <c r="P20" s="53" t="str">
        <f>'R1'!P42</f>
        <v/>
      </c>
      <c r="Q20" s="53" t="str">
        <f>'R1'!Q42</f>
        <v/>
      </c>
      <c r="R20" s="53" t="str">
        <f>'R1'!R42</f>
        <v/>
      </c>
      <c r="S20" s="53" t="str">
        <f>'R1'!S42</f>
        <v/>
      </c>
      <c r="T20" s="53" t="str">
        <f>'R1'!T42</f>
        <v/>
      </c>
      <c r="U20" s="53" t="str">
        <f>'R1'!U42</f>
        <v/>
      </c>
      <c r="V20" s="53" t="str">
        <f>'R1'!V42</f>
        <v/>
      </c>
    </row>
    <row r="21" spans="1:22" s="1" customFormat="1" x14ac:dyDescent="0.35">
      <c r="A21" s="227"/>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t="str">
        <f>'R1'!O43</f>
        <v/>
      </c>
      <c r="P21" s="53" t="str">
        <f>'R1'!P43</f>
        <v/>
      </c>
      <c r="Q21" s="53" t="str">
        <f>'R1'!Q43</f>
        <v/>
      </c>
      <c r="R21" s="53" t="str">
        <f>'R1'!R43</f>
        <v/>
      </c>
      <c r="S21" s="53" t="str">
        <f>'R1'!S43</f>
        <v/>
      </c>
      <c r="T21" s="53" t="str">
        <f>'R1'!T43</f>
        <v/>
      </c>
      <c r="U21" s="53" t="str">
        <f>'R1'!U43</f>
        <v/>
      </c>
      <c r="V21" s="53" t="str">
        <f>'R1'!V43</f>
        <v/>
      </c>
    </row>
    <row r="22" spans="1:22" x14ac:dyDescent="0.35">
      <c r="A22" s="39" t="s">
        <v>5</v>
      </c>
      <c r="B22" s="54">
        <f>'R2'!B28</f>
        <v>0.10327955506382544</v>
      </c>
      <c r="C22" s="54">
        <f>'R2'!C28</f>
        <v>0.18810038247304647</v>
      </c>
      <c r="D22" s="54">
        <f>'R2'!D28</f>
        <v>0.71028404953573598</v>
      </c>
      <c r="E22" s="54">
        <f>'R2'!E28</f>
        <v>1.401983192798625</v>
      </c>
      <c r="F22" s="54">
        <f>'R2'!F28</f>
        <v>3.8134618240045972</v>
      </c>
      <c r="G22" s="54">
        <f>'R2'!G28</f>
        <v>4.1376256890870886</v>
      </c>
      <c r="H22" s="54">
        <f>'R2'!H28</f>
        <v>8.2408192751504359</v>
      </c>
      <c r="I22" s="54">
        <f>'R2'!I28</f>
        <v>3.3323720721586722E-2</v>
      </c>
      <c r="J22" s="54">
        <f>'R2'!J28</f>
        <v>4.1911196640318893E-2</v>
      </c>
      <c r="K22" s="54">
        <f>'R2'!K28</f>
        <v>4.3371413097906021E-2</v>
      </c>
      <c r="L22" s="54">
        <f>'R2'!L28</f>
        <v>2.6586515495257883E-3</v>
      </c>
      <c r="M22" s="54">
        <f>'R2'!M28</f>
        <v>8.9498860413359055E-2</v>
      </c>
      <c r="O22" s="54">
        <f>'R2'!O28</f>
        <v>4.0642080579655147E-2</v>
      </c>
      <c r="P22" s="54">
        <f>'R2'!P28</f>
        <v>2.9591168711388556</v>
      </c>
      <c r="Q22" s="54">
        <f>'R2'!Q28</f>
        <v>7.4896172274756506E-2</v>
      </c>
      <c r="R22" s="54">
        <f>'R2'!R28</f>
        <v>0.10002299487515856</v>
      </c>
      <c r="S22" s="54">
        <f>'R2'!S28</f>
        <v>0.23736920617628104</v>
      </c>
      <c r="T22" s="54">
        <f>'R2'!T28</f>
        <v>1.2036785726926014</v>
      </c>
      <c r="U22" s="54">
        <f>'R2'!U28</f>
        <v>1.6237329520121249</v>
      </c>
      <c r="V22" s="54">
        <f>'R2'!V28</f>
        <v>0.96629523032257536</v>
      </c>
    </row>
    <row r="23" spans="1:22" x14ac:dyDescent="0.35">
      <c r="A23" s="225" t="s">
        <v>34</v>
      </c>
      <c r="B23" s="54">
        <f>'R2'!B29</f>
        <v>5.8398187048859084E-3</v>
      </c>
      <c r="C23" s="54">
        <f>'R2'!C29</f>
        <v>0.26742956039369403</v>
      </c>
      <c r="D23" s="54">
        <f>'R2'!D29</f>
        <v>0.92387513070743588</v>
      </c>
      <c r="E23" s="54">
        <f>'R2'!E29</f>
        <v>1.0113263372786927</v>
      </c>
      <c r="F23" s="54">
        <f>'R2'!F29</f>
        <v>2.8438566300947627</v>
      </c>
      <c r="G23" s="54">
        <f>'R2'!G29</f>
        <v>2.1677224832705999</v>
      </c>
      <c r="H23" s="54">
        <f>'R2'!H29</f>
        <v>7.8235361133676662</v>
      </c>
      <c r="I23" s="54">
        <f>'R2'!I29</f>
        <v>1.4319964263702212E-2</v>
      </c>
      <c r="J23" s="54">
        <f>'R2'!J29</f>
        <v>9.9173252562263642E-3</v>
      </c>
      <c r="K23" s="54">
        <f>'R2'!K29</f>
        <v>6.7677812898365788E-2</v>
      </c>
      <c r="L23" s="54">
        <f>'R2'!L29</f>
        <v>7.629408476731929E-2</v>
      </c>
      <c r="M23" s="54">
        <f>'R2'!M29</f>
        <v>3.2558272008430617E-2</v>
      </c>
      <c r="O23" s="54">
        <f>'R2'!O29</f>
        <v>0.59764005145993371</v>
      </c>
      <c r="P23" s="54">
        <f>'R2'!P29</f>
        <v>2.6047984105473176</v>
      </c>
      <c r="Q23" s="54">
        <f>'R2'!Q29</f>
        <v>2.6801699777820917E-2</v>
      </c>
      <c r="R23" s="54">
        <f>'R2'!R29</f>
        <v>0.69680911552034697</v>
      </c>
      <c r="S23" s="54">
        <f>'R2'!S29</f>
        <v>6.0157881388748051E-2</v>
      </c>
      <c r="T23" s="54">
        <f>'R2'!T29</f>
        <v>0.38510290206633457</v>
      </c>
      <c r="U23" s="54">
        <f>'R2'!U29</f>
        <v>0.8701811547992796</v>
      </c>
      <c r="V23" s="54">
        <f>'R2'!V29</f>
        <v>3.240005658666</v>
      </c>
    </row>
    <row r="24" spans="1:22" x14ac:dyDescent="0.35">
      <c r="A24" s="226"/>
      <c r="B24" s="54">
        <f>'R2'!B30</f>
        <v>7.8963207571471017E-2</v>
      </c>
      <c r="C24" s="54">
        <f>'R2'!C30</f>
        <v>7.7031784655716661E-3</v>
      </c>
      <c r="D24" s="54">
        <f>'R2'!D30</f>
        <v>7.5679422120776704E-2</v>
      </c>
      <c r="E24" s="54">
        <f>'R2'!E30</f>
        <v>0.99891266491964248</v>
      </c>
      <c r="F24" s="54">
        <f>'R2'!F30</f>
        <v>4.2929609922728424</v>
      </c>
      <c r="G24" s="54">
        <f>'R2'!G30</f>
        <v>3.6366934332877414</v>
      </c>
      <c r="H24" s="54">
        <f>'R2'!H30</f>
        <v>6.8451722385259659</v>
      </c>
      <c r="I24" s="54">
        <f>'R2'!I30</f>
        <v>0.10850994674948172</v>
      </c>
      <c r="J24" s="54">
        <f>'R2'!J30</f>
        <v>1.6034108645968347E-2</v>
      </c>
      <c r="K24" s="54">
        <f>'R2'!K30</f>
        <v>6.0640606227003811E-2</v>
      </c>
      <c r="L24" s="54">
        <f>'R2'!L30</f>
        <v>8.8550164744249024E-3</v>
      </c>
      <c r="M24" s="54">
        <f>'R2'!M30</f>
        <v>7.1623381641419421E-4</v>
      </c>
      <c r="O24" s="54">
        <f>'R2'!O30</f>
        <v>1.7730938808710492</v>
      </c>
      <c r="P24" s="54">
        <f>'R2'!P30</f>
        <v>3.839667185831471</v>
      </c>
      <c r="Q24" s="54">
        <f>'R2'!Q30</f>
        <v>6.7492471691486686E-2</v>
      </c>
      <c r="R24" s="54">
        <f>'R2'!R30</f>
        <v>7.6667384994734009E-2</v>
      </c>
      <c r="S24" s="54">
        <f>'R2'!S30</f>
        <v>0.51316634614156253</v>
      </c>
      <c r="T24" s="54">
        <f>'R2'!T30</f>
        <v>0.87342776729605187</v>
      </c>
      <c r="U24" s="54">
        <f>'R2'!U30</f>
        <v>3.2932106269831247</v>
      </c>
      <c r="V24" s="54">
        <f>'R2'!V30</f>
        <v>2.9632603465943395E-2</v>
      </c>
    </row>
    <row r="25" spans="1:22" x14ac:dyDescent="0.35">
      <c r="A25" s="226"/>
      <c r="B25" s="54">
        <f>'R2'!B31</f>
        <v>0.17177307869755185</v>
      </c>
      <c r="C25" s="54">
        <f>'R2'!C31</f>
        <v>0.1602677876773019</v>
      </c>
      <c r="D25" s="54">
        <f>'R2'!D31</f>
        <v>8.2662701830815102E-2</v>
      </c>
      <c r="E25" s="54">
        <f>'R2'!E31</f>
        <v>0.74622977241565769</v>
      </c>
      <c r="F25" s="54">
        <f>'R2'!F31</f>
        <v>3.1541146690340081</v>
      </c>
      <c r="G25" s="54">
        <f>'R2'!G31</f>
        <v>4.4577952940925156</v>
      </c>
      <c r="H25" s="54">
        <f>'R2'!H31</f>
        <v>8.4886236101241952</v>
      </c>
      <c r="I25" s="54">
        <f>'R2'!I31</f>
        <v>4.7375620866864906E-2</v>
      </c>
      <c r="J25" s="54">
        <f>'R2'!J31</f>
        <v>0.17856839938705463</v>
      </c>
      <c r="K25" s="54">
        <f>'R2'!K31</f>
        <v>4.2933191091810492E-2</v>
      </c>
      <c r="L25" s="54">
        <f>'R2'!L31</f>
        <v>3.8993381538801129E-2</v>
      </c>
      <c r="M25" s="54">
        <f>'R2'!M31</f>
        <v>3.3199112791538051E-3</v>
      </c>
      <c r="O25" s="54">
        <f>'R2'!O31</f>
        <v>0.72687418180234165</v>
      </c>
      <c r="P25" s="54">
        <f>'R2'!P31</f>
        <v>2.1126892338957863</v>
      </c>
      <c r="Q25" s="54">
        <f>'R2'!Q31</f>
        <v>6.9958452155895204E-2</v>
      </c>
      <c r="R25" s="54">
        <f>'R2'!R31</f>
        <v>6.8919180134270799E-2</v>
      </c>
      <c r="S25" s="54">
        <f>'R2'!S31</f>
        <v>1.3596102138293022</v>
      </c>
      <c r="T25" s="54">
        <f>'R2'!T31</f>
        <v>0.45643989489373454</v>
      </c>
      <c r="U25" s="54">
        <f>'R2'!U31</f>
        <v>0.96354024323049092</v>
      </c>
      <c r="V25" s="54">
        <f>'R2'!V31</f>
        <v>0.55898750925920693</v>
      </c>
    </row>
    <row r="26" spans="1:22" x14ac:dyDescent="0.35">
      <c r="A26" s="226"/>
      <c r="B26" s="54">
        <f>'R2'!B32</f>
        <v>0.1320844058515884</v>
      </c>
      <c r="C26" s="54">
        <f>'R2'!C32</f>
        <v>0.75091932379988424</v>
      </c>
      <c r="D26" s="54">
        <f>'R2'!D32</f>
        <v>0.41570776152429634</v>
      </c>
      <c r="E26" s="54">
        <f>'R2'!E32</f>
        <v>2.7105360926345821</v>
      </c>
      <c r="F26" s="54">
        <f>'R2'!F32</f>
        <v>3.0821028038459661</v>
      </c>
      <c r="G26" s="54">
        <f>'R2'!G32</f>
        <v>3.8722547773528539</v>
      </c>
      <c r="H26" s="54">
        <f>'R2'!H32</f>
        <v>9.8161174388902808</v>
      </c>
      <c r="I26" s="54">
        <f>'R2'!I32</f>
        <v>8.0268973023325557E-2</v>
      </c>
      <c r="J26" s="54">
        <f>'R2'!J32</f>
        <v>9.1754892222517509E-2</v>
      </c>
      <c r="K26" s="54">
        <f>'R2'!K32</f>
        <v>6.9738555808750494E-4</v>
      </c>
      <c r="L26" s="54">
        <f>'R2'!L32</f>
        <v>2.1727853348822414E-2</v>
      </c>
      <c r="M26" s="54">
        <f>'R2'!M32</f>
        <v>2.1790680876578043E-3</v>
      </c>
      <c r="O26" s="54">
        <f>'R2'!O32</f>
        <v>0.37968350423468006</v>
      </c>
      <c r="P26" s="54">
        <f>'R2'!P32</f>
        <v>3.1957735084378416</v>
      </c>
      <c r="Q26" s="54">
        <f>'R2'!Q32</f>
        <v>7.0272066231942057E-2</v>
      </c>
      <c r="R26" s="54">
        <f>'R2'!R32</f>
        <v>0.18942447262049639</v>
      </c>
      <c r="S26" s="54">
        <f>'R2'!S32</f>
        <v>0.7653104925950428</v>
      </c>
      <c r="T26" s="54">
        <f>'R2'!T32</f>
        <v>7.0567355612393523E-2</v>
      </c>
      <c r="U26" s="54">
        <f>'R2'!U32</f>
        <v>0.88384928346251723</v>
      </c>
      <c r="V26" s="54">
        <f>'R2'!V32</f>
        <v>1.1408458093096574</v>
      </c>
    </row>
    <row r="27" spans="1:22" x14ac:dyDescent="0.35">
      <c r="A27" s="226"/>
      <c r="B27" s="54">
        <f>'R2'!B33</f>
        <v>9.1610388908679563E-2</v>
      </c>
      <c r="C27" s="54">
        <f>'R2'!C33</f>
        <v>3.9276628976432762E-2</v>
      </c>
      <c r="D27" s="54">
        <f>'R2'!D33</f>
        <v>0.50199037607929842</v>
      </c>
      <c r="E27" s="54">
        <f>'R2'!E33</f>
        <v>0.54866128150983762</v>
      </c>
      <c r="F27" s="54">
        <f>'R2'!F33</f>
        <v>2.0062567840640906</v>
      </c>
      <c r="G27" s="54">
        <f>'R2'!G33</f>
        <v>3.8219838545819171</v>
      </c>
      <c r="H27" s="54">
        <f>'R2'!H33</f>
        <v>1.8637796579962584</v>
      </c>
      <c r="I27" s="54">
        <f>'R2'!I33</f>
        <v>0.15135203792604654</v>
      </c>
      <c r="J27" s="54">
        <f>'R2'!J33</f>
        <v>1.3366556530010511E-2</v>
      </c>
      <c r="K27" s="54">
        <f>'R2'!K33</f>
        <v>1.8781242297083316E-2</v>
      </c>
      <c r="L27" s="54">
        <f>'R2'!L33</f>
        <v>2.1633612057188967E-3</v>
      </c>
      <c r="M27" s="54">
        <f>'R2'!M33</f>
        <v>0.25689076617541823</v>
      </c>
      <c r="O27" s="54">
        <f>'R2'!O33</f>
        <v>0.20526486305588487</v>
      </c>
      <c r="P27" s="54">
        <f>'R2'!P33</f>
        <v>1.8983855838467913</v>
      </c>
      <c r="Q27" s="54">
        <f>'R2'!Q33</f>
        <v>0.14425357441512282</v>
      </c>
      <c r="R27" s="54">
        <f>'R2'!R33</f>
        <v>1.2589756976839888</v>
      </c>
      <c r="S27" s="54">
        <f>'R2'!S33</f>
        <v>0.25839024983785264</v>
      </c>
      <c r="T27" s="54">
        <f>'R2'!T33</f>
        <v>0.35681533125709297</v>
      </c>
      <c r="U27" s="54">
        <f>'R2'!U33</f>
        <v>0.81574581406360702</v>
      </c>
      <c r="V27" s="54">
        <f>'R2'!V33</f>
        <v>1.0175902417959291</v>
      </c>
    </row>
    <row r="28" spans="1:22" x14ac:dyDescent="0.35">
      <c r="A28" s="226"/>
      <c r="B28" s="54">
        <f>'R2'!B34</f>
        <v>3.6049388300718514E-2</v>
      </c>
      <c r="C28" s="54">
        <f>'R2'!C34</f>
        <v>6.4507640560362914E-2</v>
      </c>
      <c r="D28" s="54">
        <f>'R2'!D34</f>
        <v>0.86904816504875304</v>
      </c>
      <c r="E28" s="54">
        <f>'R2'!E34</f>
        <v>0.76369949007084226</v>
      </c>
      <c r="F28" s="54">
        <f>'R2'!F34</f>
        <v>2.9206763718443041</v>
      </c>
      <c r="G28" s="54">
        <f>'R2'!G34</f>
        <v>3.8384944053133658</v>
      </c>
      <c r="H28" s="54">
        <f>'R2'!H34</f>
        <v>5.6661660359830002</v>
      </c>
      <c r="I28" s="54">
        <f>'R2'!I34</f>
        <v>0.13173100100796298</v>
      </c>
      <c r="J28" s="54">
        <f>'R2'!J34</f>
        <v>2.6804841154208701E-2</v>
      </c>
      <c r="K28" s="54">
        <f>'R2'!K34</f>
        <v>9.3331863169183849E-2</v>
      </c>
      <c r="L28" s="54">
        <f>'R2'!L34</f>
        <v>5.1926951690029081E-2</v>
      </c>
      <c r="M28" s="54">
        <f>'R2'!M34</f>
        <v>0.11277436519589518</v>
      </c>
      <c r="O28" s="54">
        <f>'R2'!O34</f>
        <v>1.8792341826986809</v>
      </c>
      <c r="P28" s="54">
        <f>'R2'!P34</f>
        <v>4.6336390730259014</v>
      </c>
      <c r="Q28" s="54">
        <f>'R2'!Q34</f>
        <v>2.5433106798210755E-2</v>
      </c>
      <c r="R28" s="54">
        <f>'R2'!R34</f>
        <v>0.46726507792602978</v>
      </c>
      <c r="S28" s="54">
        <f>'R2'!S34</f>
        <v>1.8888886794637962</v>
      </c>
      <c r="T28" s="54">
        <f>'R2'!T34</f>
        <v>0.47700177403995869</v>
      </c>
      <c r="U28" s="54">
        <f>'R2'!U34</f>
        <v>0.17502335613344316</v>
      </c>
      <c r="V28" s="54">
        <f>'R2'!V34</f>
        <v>1.1937230273569905E-2</v>
      </c>
    </row>
    <row r="29" spans="1:22" x14ac:dyDescent="0.35">
      <c r="A29" s="226"/>
      <c r="B29" s="54">
        <f>'R2'!B35</f>
        <v>5.0199718239480523E-2</v>
      </c>
      <c r="C29" s="54">
        <f>'R2'!C35</f>
        <v>1.1545081787828506E-2</v>
      </c>
      <c r="D29" s="54">
        <f>'R2'!D35</f>
        <v>0.30258732136301386</v>
      </c>
      <c r="E29" s="54">
        <f>'R2'!E35</f>
        <v>1.0256421130405444</v>
      </c>
      <c r="F29" s="54">
        <f>'R2'!F35</f>
        <v>0.81093689037664474</v>
      </c>
      <c r="G29" s="54">
        <f>'R2'!G35</f>
        <v>2.3786036037451068</v>
      </c>
      <c r="H29" s="54">
        <f>'R2'!H35</f>
        <v>6.9933394443575327</v>
      </c>
      <c r="I29" s="54">
        <f>'R2'!I35</f>
        <v>1.181366946898383E-2</v>
      </c>
      <c r="J29" s="54">
        <f>'R2'!J35</f>
        <v>2.802107737901146E-2</v>
      </c>
      <c r="K29" s="54">
        <f>'R2'!K35</f>
        <v>8.4408783539690353E-3</v>
      </c>
      <c r="L29" s="54">
        <f>'R2'!L35</f>
        <v>7.0943273653464714E-2</v>
      </c>
      <c r="M29" s="54" t="str">
        <f>'R2'!M35</f>
        <v/>
      </c>
      <c r="O29" s="54">
        <f>'R2'!O35</f>
        <v>1.5310466416906301</v>
      </c>
      <c r="P29" s="54">
        <f>'R2'!P35</f>
        <v>4.4139537216619056</v>
      </c>
      <c r="Q29" s="54">
        <f>'R2'!Q35</f>
        <v>0.20044232673790888</v>
      </c>
      <c r="R29" s="54">
        <f>'R2'!R35</f>
        <v>0.13765406618712508</v>
      </c>
      <c r="S29" s="54">
        <f>'R2'!S35</f>
        <v>3.1699629129103658E-2</v>
      </c>
      <c r="T29" s="54">
        <f>'R2'!T35</f>
        <v>1.6434744083584067</v>
      </c>
      <c r="U29" s="54">
        <f>'R2'!U35</f>
        <v>0.12676814987799942</v>
      </c>
      <c r="V29" s="54">
        <f>'R2'!V35</f>
        <v>1.1965633551742763</v>
      </c>
    </row>
    <row r="30" spans="1:22" x14ac:dyDescent="0.35">
      <c r="A30" s="226"/>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1.5522179478560838</v>
      </c>
      <c r="P30" s="54" t="str">
        <f>'R2'!P36</f>
        <v/>
      </c>
      <c r="Q30" s="54" t="str">
        <f>'R2'!Q36</f>
        <v/>
      </c>
      <c r="R30" s="54" t="str">
        <f>'R2'!R36</f>
        <v/>
      </c>
      <c r="S30" s="54" t="str">
        <f>'R2'!S36</f>
        <v/>
      </c>
      <c r="T30" s="54">
        <f>'R2'!T36</f>
        <v>1.2036785726926014</v>
      </c>
      <c r="U30" s="54" t="str">
        <f>'R2'!U36</f>
        <v/>
      </c>
      <c r="V30" s="54" t="str">
        <f>'R2'!V36</f>
        <v/>
      </c>
    </row>
    <row r="31" spans="1:22" s="1" customFormat="1" x14ac:dyDescent="0.35">
      <c r="A31" s="226"/>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2.1494648037048134</v>
      </c>
      <c r="P31" s="54" t="str">
        <f>'R2'!P37</f>
        <v/>
      </c>
      <c r="Q31" s="54" t="str">
        <f>'R2'!Q37</f>
        <v/>
      </c>
      <c r="R31" s="54" t="str">
        <f>'R2'!R37</f>
        <v/>
      </c>
      <c r="S31" s="54" t="str">
        <f>'R2'!S37</f>
        <v/>
      </c>
      <c r="T31" s="54" t="str">
        <f>'R2'!T37</f>
        <v/>
      </c>
      <c r="U31" s="54" t="str">
        <f>'R2'!U37</f>
        <v/>
      </c>
      <c r="V31" s="54" t="str">
        <f>'R2'!V37</f>
        <v/>
      </c>
    </row>
    <row r="32" spans="1:22" s="1" customFormat="1" x14ac:dyDescent="0.35">
      <c r="A32" s="226"/>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0.3155983787984738</v>
      </c>
      <c r="P32" s="54" t="str">
        <f>'R2'!P38</f>
        <v/>
      </c>
      <c r="Q32" s="54" t="str">
        <f>'R2'!Q38</f>
        <v/>
      </c>
      <c r="R32" s="54" t="str">
        <f>'R2'!R38</f>
        <v/>
      </c>
      <c r="S32" s="54" t="str">
        <f>'R2'!S38</f>
        <v/>
      </c>
      <c r="T32" s="54" t="str">
        <f>'R2'!T38</f>
        <v/>
      </c>
      <c r="U32" s="54" t="str">
        <f>'R2'!U38</f>
        <v/>
      </c>
      <c r="V32" s="54" t="str">
        <f>'R2'!V38</f>
        <v/>
      </c>
    </row>
    <row r="33" spans="1:22" s="1" customFormat="1" x14ac:dyDescent="0.35">
      <c r="A33" s="226"/>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0.88412415389644805</v>
      </c>
      <c r="P33" s="54" t="str">
        <f>'R2'!P39</f>
        <v/>
      </c>
      <c r="Q33" s="54" t="str">
        <f>'R2'!Q39</f>
        <v/>
      </c>
      <c r="R33" s="54" t="str">
        <f>'R2'!R39</f>
        <v/>
      </c>
      <c r="S33" s="54" t="str">
        <f>'R2'!S39</f>
        <v/>
      </c>
      <c r="T33" s="54" t="str">
        <f>'R2'!T39</f>
        <v/>
      </c>
      <c r="U33" s="54" t="str">
        <f>'R2'!U39</f>
        <v/>
      </c>
      <c r="V33" s="54" t="str">
        <f>'R2'!V39</f>
        <v/>
      </c>
    </row>
    <row r="34" spans="1:22" s="1" customFormat="1" x14ac:dyDescent="0.35">
      <c r="A34" s="226"/>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0.34065347330468815</v>
      </c>
      <c r="P34" s="54" t="str">
        <f>'R2'!P40</f>
        <v/>
      </c>
      <c r="Q34" s="54" t="str">
        <f>'R2'!Q40</f>
        <v/>
      </c>
      <c r="R34" s="54" t="str">
        <f>'R2'!R40</f>
        <v/>
      </c>
      <c r="S34" s="54" t="str">
        <f>'R2'!S40</f>
        <v/>
      </c>
      <c r="T34" s="54" t="str">
        <f>'R2'!T40</f>
        <v/>
      </c>
      <c r="U34" s="54" t="str">
        <f>'R2'!U40</f>
        <v/>
      </c>
      <c r="V34" s="54" t="str">
        <f>'R2'!V40</f>
        <v/>
      </c>
    </row>
    <row r="35" spans="1:22" s="1" customFormat="1" x14ac:dyDescent="0.35">
      <c r="A35" s="226"/>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1.2308718973934325</v>
      </c>
      <c r="P35" s="54" t="str">
        <f>'R2'!P41</f>
        <v/>
      </c>
      <c r="Q35" s="54" t="str">
        <f>'R2'!Q41</f>
        <v/>
      </c>
      <c r="R35" s="54" t="str">
        <f>'R2'!R41</f>
        <v/>
      </c>
      <c r="S35" s="54" t="str">
        <f>'R2'!S41</f>
        <v/>
      </c>
      <c r="T35" s="54" t="str">
        <f>'R2'!T41</f>
        <v/>
      </c>
      <c r="U35" s="54" t="str">
        <f>'R2'!U41</f>
        <v/>
      </c>
      <c r="V35" s="54" t="str">
        <f>'R2'!V41</f>
        <v/>
      </c>
    </row>
    <row r="36" spans="1:22" x14ac:dyDescent="0.35">
      <c r="A36" s="226"/>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1.3935899586532039</v>
      </c>
      <c r="P36" s="54" t="str">
        <f>'R2'!P42</f>
        <v/>
      </c>
      <c r="Q36" s="54" t="str">
        <f>'R2'!Q42</f>
        <v/>
      </c>
      <c r="R36" s="54" t="str">
        <f>'R2'!R42</f>
        <v/>
      </c>
      <c r="S36" s="54" t="str">
        <f>'R2'!S42</f>
        <v/>
      </c>
      <c r="T36" s="54" t="str">
        <f>'R2'!T42</f>
        <v/>
      </c>
      <c r="U36" s="54" t="str">
        <f>'R2'!U42</f>
        <v/>
      </c>
      <c r="V36" s="54" t="str">
        <f>'R2'!V42</f>
        <v/>
      </c>
    </row>
    <row r="37" spans="1:22" x14ac:dyDescent="0.35">
      <c r="A37" s="227"/>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t="str">
        <f>'R2'!O43</f>
        <v/>
      </c>
      <c r="P37" s="54" t="str">
        <f>'R2'!P43</f>
        <v/>
      </c>
      <c r="Q37" s="54" t="str">
        <f>'R2'!Q43</f>
        <v/>
      </c>
      <c r="R37" s="54" t="str">
        <f>'R2'!R43</f>
        <v/>
      </c>
      <c r="S37" s="54" t="str">
        <f>'R2'!S43</f>
        <v/>
      </c>
      <c r="T37" s="54" t="str">
        <f>'R2'!T43</f>
        <v/>
      </c>
      <c r="U37" s="54" t="str">
        <f>'R2'!U43</f>
        <v/>
      </c>
      <c r="V37" s="54" t="str">
        <f>'R2'!V43</f>
        <v/>
      </c>
    </row>
    <row r="38" spans="1:22" s="1" customFormat="1" x14ac:dyDescent="0.35">
      <c r="A38" s="154" t="s">
        <v>116</v>
      </c>
      <c r="B38" s="155">
        <f>'R3'!B28</f>
        <v>0.23958238123956521</v>
      </c>
      <c r="C38" s="155">
        <f>'R3'!C28</f>
        <v>5.2230284225184928E-2</v>
      </c>
      <c r="D38" s="155">
        <f>'R3'!D28</f>
        <v>4.1750061765524098</v>
      </c>
      <c r="E38" s="155">
        <f>'R3'!E28</f>
        <v>1.7096202148681889</v>
      </c>
      <c r="F38" s="155">
        <f>'R3'!F28</f>
        <v>3.9638012120012309</v>
      </c>
      <c r="G38" s="155">
        <f>'R3'!G28</f>
        <v>4.793019038948402</v>
      </c>
      <c r="H38" s="155">
        <f>'R3'!H28</f>
        <v>11.341329257939615</v>
      </c>
      <c r="I38" s="155">
        <f>'R3'!I28</f>
        <v>0.39531212643831848</v>
      </c>
      <c r="J38" s="155">
        <f>'R3'!J28</f>
        <v>0.12101013673031076</v>
      </c>
      <c r="K38" s="155">
        <f>'R3'!K28</f>
        <v>0.13772574351122735</v>
      </c>
      <c r="L38" s="155">
        <f>'R3'!L28</f>
        <v>0.24665019319936635</v>
      </c>
      <c r="M38" s="155">
        <f>'R3'!M28</f>
        <v>0.43865695607523303</v>
      </c>
      <c r="N38"/>
      <c r="O38" s="155">
        <f>'R3'!O28</f>
        <v>2.6476323747935995</v>
      </c>
      <c r="P38" s="155">
        <f>'R3'!P28</f>
        <v>5.9943331378921814</v>
      </c>
      <c r="Q38" s="155">
        <f>'R3'!Q28</f>
        <v>0.33448615673954668</v>
      </c>
      <c r="R38" s="155">
        <f>'R3'!R28</f>
        <v>1.0411061037908267</v>
      </c>
      <c r="S38" s="155">
        <f>'R3'!S28</f>
        <v>2.4650770342809634</v>
      </c>
      <c r="T38" s="155">
        <f>'R3'!T28</f>
        <v>4.9542272564173278</v>
      </c>
      <c r="U38" s="155">
        <f>'R3'!U28</f>
        <v>1.2199575085124668</v>
      </c>
      <c r="V38" s="155">
        <f>'R3'!V28</f>
        <v>1.0092195272452815</v>
      </c>
    </row>
    <row r="39" spans="1:22" s="1" customFormat="1" x14ac:dyDescent="0.35">
      <c r="A39" s="225" t="s">
        <v>34</v>
      </c>
      <c r="B39" s="155">
        <f>'R3'!B29</f>
        <v>0.28542257796325837</v>
      </c>
      <c r="C39" s="155">
        <f>'R3'!C29</f>
        <v>8.7185379990684278E-2</v>
      </c>
      <c r="D39" s="155">
        <f>'R3'!D29</f>
        <v>0.14378215748671991</v>
      </c>
      <c r="E39" s="155">
        <f>'R3'!E29</f>
        <v>2.1738143713506952</v>
      </c>
      <c r="F39" s="155">
        <f>'R3'!F29</f>
        <v>3.0076661093467303</v>
      </c>
      <c r="G39" s="155">
        <f>'R3'!G29</f>
        <v>2.2120080161472444</v>
      </c>
      <c r="H39" s="155">
        <f>'R3'!H29</f>
        <v>7.0667343060688266</v>
      </c>
      <c r="I39" s="155">
        <f>'R3'!I29</f>
        <v>0.10799607095431826</v>
      </c>
      <c r="J39" s="155">
        <f>'R3'!J29</f>
        <v>0.20727272582134176</v>
      </c>
      <c r="K39" s="155">
        <f>'R3'!K29</f>
        <v>0.25197380263689895</v>
      </c>
      <c r="L39" s="155">
        <f>'R3'!L29</f>
        <v>0.24761209893819178</v>
      </c>
      <c r="M39" s="155">
        <f>'R3'!M29</f>
        <v>0.16154268925694976</v>
      </c>
      <c r="N39"/>
      <c r="O39" s="155">
        <f>'R3'!O29</f>
        <v>0.41888081269460131</v>
      </c>
      <c r="P39" s="155">
        <f>'R3'!P29</f>
        <v>4.4182725370323732</v>
      </c>
      <c r="Q39" s="155">
        <f>'R3'!Q29</f>
        <v>0.14272366204299999</v>
      </c>
      <c r="R39" s="155">
        <f>'R3'!R29</f>
        <v>1.7133648620224049</v>
      </c>
      <c r="S39" s="155">
        <f>'R3'!S29</f>
        <v>2.871781158062666</v>
      </c>
      <c r="T39" s="155">
        <f>'R3'!T29</f>
        <v>0.66822593848672673</v>
      </c>
      <c r="U39" s="155">
        <f>'R3'!U29</f>
        <v>0.32250983159465213</v>
      </c>
      <c r="V39" s="155">
        <f>'R3'!V29</f>
        <v>5.4814258396618881E-2</v>
      </c>
    </row>
    <row r="40" spans="1:22" s="1" customFormat="1" x14ac:dyDescent="0.35">
      <c r="A40" s="226"/>
      <c r="B40" s="155">
        <f>'R3'!B30</f>
        <v>0.11295168159882304</v>
      </c>
      <c r="C40" s="155">
        <f>'R3'!C30</f>
        <v>3.7997272338664259E-4</v>
      </c>
      <c r="D40" s="155">
        <f>'R3'!D30</f>
        <v>0.83537003236553375</v>
      </c>
      <c r="E40" s="155">
        <f>'R3'!E30</f>
        <v>0.9622665532602418</v>
      </c>
      <c r="F40" s="155">
        <f>'R3'!F30</f>
        <v>0.62627008477143564</v>
      </c>
      <c r="G40" s="155">
        <f>'R3'!G30</f>
        <v>8.1904597310735063</v>
      </c>
      <c r="H40" s="155">
        <f>'R3'!H30</f>
        <v>8.0054625070296943</v>
      </c>
      <c r="I40" s="155">
        <f>'R3'!I30</f>
        <v>0.18094843905848187</v>
      </c>
      <c r="J40" s="155">
        <f>'R3'!J30</f>
        <v>4.0892568699427603E-2</v>
      </c>
      <c r="K40" s="155">
        <f>'R3'!K30</f>
        <v>3.0215015867453381E-2</v>
      </c>
      <c r="L40" s="155">
        <f>'R3'!L30</f>
        <v>0.11658137902159418</v>
      </c>
      <c r="M40" s="155">
        <f>'R3'!M30</f>
        <v>0.27219457796485491</v>
      </c>
      <c r="N40"/>
      <c r="O40" s="155">
        <f>'R3'!O30</f>
        <v>3.1809145129224649E-2</v>
      </c>
      <c r="P40" s="155">
        <f>'R3'!P30</f>
        <v>10.057806942724302</v>
      </c>
      <c r="Q40" s="155">
        <f>'R3'!Q30</f>
        <v>0.3357226646146011</v>
      </c>
      <c r="R40" s="155">
        <f>'R3'!R30</f>
        <v>0.90324864704565222</v>
      </c>
      <c r="S40" s="155">
        <f>'R3'!S30</f>
        <v>0.85084035038913275</v>
      </c>
      <c r="T40" s="155">
        <f>'R3'!T30</f>
        <v>0.61835372028020597</v>
      </c>
      <c r="U40" s="155">
        <f>'R3'!U30</f>
        <v>5.1110322605623038E-2</v>
      </c>
      <c r="V40" s="155">
        <f>'R3'!V30</f>
        <v>1.2889920066032234</v>
      </c>
    </row>
    <row r="41" spans="1:22" s="1" customFormat="1" x14ac:dyDescent="0.35">
      <c r="A41" s="226"/>
      <c r="B41" s="155">
        <f>'R3'!B31</f>
        <v>0.2518349050447366</v>
      </c>
      <c r="C41" s="155">
        <f>'R3'!C31</f>
        <v>0.53311849441396197</v>
      </c>
      <c r="D41" s="155">
        <f>'R3'!D31</f>
        <v>9.5705230571998645E-2</v>
      </c>
      <c r="E41" s="155">
        <f>'R3'!E31</f>
        <v>2.0295827923445073</v>
      </c>
      <c r="F41" s="155">
        <f>'R3'!F31</f>
        <v>5.4251419808792294</v>
      </c>
      <c r="G41" s="155">
        <f>'R3'!G31</f>
        <v>5.7116326334304954</v>
      </c>
      <c r="H41" s="155">
        <f>'R3'!H31</f>
        <v>5.9585853679369274</v>
      </c>
      <c r="I41" s="155">
        <f>'R3'!I31</f>
        <v>0.5294680421785688</v>
      </c>
      <c r="J41" s="155">
        <f>'R3'!J31</f>
        <v>0.10753068419437202</v>
      </c>
      <c r="K41" s="155">
        <f>'R3'!K31</f>
        <v>2.8918638340604836E-2</v>
      </c>
      <c r="L41" s="155">
        <f>'R3'!L31</f>
        <v>0.14453890988539753</v>
      </c>
      <c r="M41" s="155">
        <f>'R3'!M31</f>
        <v>5.0755096004977962E-2</v>
      </c>
      <c r="N41"/>
      <c r="O41" s="155">
        <f>'R3'!O31</f>
        <v>0.8514286695007629</v>
      </c>
      <c r="P41" s="155">
        <f>'R3'!P31</f>
        <v>5.9933393016723988</v>
      </c>
      <c r="Q41" s="155">
        <f>'R3'!Q31</f>
        <v>0.45614049092316211</v>
      </c>
      <c r="R41" s="155">
        <f>'R3'!R31</f>
        <v>1.8972995993123771</v>
      </c>
      <c r="S41" s="155">
        <f>'R3'!S31</f>
        <v>0.94159076857865054</v>
      </c>
      <c r="T41" s="155">
        <f>'R3'!T31</f>
        <v>1.5604505869820227</v>
      </c>
      <c r="U41" s="155">
        <f>'R3'!U31</f>
        <v>0.3885077409464115</v>
      </c>
      <c r="V41" s="155">
        <f>'R3'!V31</f>
        <v>6.7782823237247866E-2</v>
      </c>
    </row>
    <row r="42" spans="1:22" s="1" customFormat="1" x14ac:dyDescent="0.35">
      <c r="A42" s="226"/>
      <c r="B42" s="155">
        <f>'R3'!B32</f>
        <v>0.24177201397118195</v>
      </c>
      <c r="C42" s="155">
        <f>'R3'!C32</f>
        <v>0.1880130579701873</v>
      </c>
      <c r="D42" s="155">
        <f>'R3'!D32</f>
        <v>1.2014138816967699</v>
      </c>
      <c r="E42" s="155">
        <f>'R3'!E32</f>
        <v>2.0446946907193659</v>
      </c>
      <c r="F42" s="155">
        <f>'R3'!F32</f>
        <v>3.5062509903438235</v>
      </c>
      <c r="G42" s="155">
        <f>'R3'!G32</f>
        <v>7.1324504289261421</v>
      </c>
      <c r="H42" s="155">
        <f>'R3'!H32</f>
        <v>6.3946176384775066</v>
      </c>
      <c r="I42" s="155">
        <f>'R3'!I32</f>
        <v>0.43672675850139075</v>
      </c>
      <c r="J42" s="155">
        <f>'R3'!J32</f>
        <v>1.3770019912646187E-3</v>
      </c>
      <c r="K42" s="155">
        <f>'R3'!K32</f>
        <v>0.39817708884217284</v>
      </c>
      <c r="L42" s="155">
        <f>'R3'!L32</f>
        <v>8.4963816778110698E-2</v>
      </c>
      <c r="M42" s="155">
        <f>'R3'!M32</f>
        <v>0.16122977054357254</v>
      </c>
      <c r="N42"/>
      <c r="O42" s="155">
        <f>'R3'!O32</f>
        <v>2.3058572875136254</v>
      </c>
      <c r="P42" s="155">
        <f>'R3'!P32</f>
        <v>3.4820995728100779</v>
      </c>
      <c r="Q42" s="155">
        <f>'R3'!Q32</f>
        <v>0.22656991198762055</v>
      </c>
      <c r="R42" s="155">
        <f>'R3'!R32</f>
        <v>0.46425482439632432</v>
      </c>
      <c r="S42" s="155">
        <f>'R3'!S32</f>
        <v>0.67242719151862562</v>
      </c>
      <c r="T42" s="155">
        <f>'R3'!T32</f>
        <v>0.42974196579207746</v>
      </c>
      <c r="U42" s="155">
        <f>'R3'!U32</f>
        <v>4.3901218267587805E-2</v>
      </c>
      <c r="V42" s="155">
        <f>'R3'!V32</f>
        <v>2.826368031521771</v>
      </c>
    </row>
    <row r="43" spans="1:22" s="1" customFormat="1" x14ac:dyDescent="0.35">
      <c r="A43" s="226"/>
      <c r="B43" s="155">
        <f>'R3'!B33</f>
        <v>0.35896246691702827</v>
      </c>
      <c r="C43" s="155">
        <f>'R3'!C33</f>
        <v>0.19025457773335894</v>
      </c>
      <c r="D43" s="155">
        <f>'R3'!D33</f>
        <v>4.3072526495314403</v>
      </c>
      <c r="E43" s="155">
        <f>'R3'!E33</f>
        <v>0.9477557461893964</v>
      </c>
      <c r="F43" s="155">
        <f>'R3'!F33</f>
        <v>4.6970647506249392</v>
      </c>
      <c r="G43" s="155">
        <f>'R3'!G33</f>
        <v>7.4793056557263524</v>
      </c>
      <c r="H43" s="155">
        <f>'R3'!H33</f>
        <v>4.7833800250095493</v>
      </c>
      <c r="I43" s="155">
        <f>'R3'!I33</f>
        <v>4.6927429600274281E-2</v>
      </c>
      <c r="J43" s="155">
        <f>'R3'!J33</f>
        <v>0.13493102816547811</v>
      </c>
      <c r="K43" s="155">
        <f>'R3'!K33</f>
        <v>0.12157770102931896</v>
      </c>
      <c r="L43" s="155">
        <f>'R3'!L33</f>
        <v>0.2754315304718567</v>
      </c>
      <c r="M43" s="155">
        <f>'R3'!M33</f>
        <v>0.20421857531781804</v>
      </c>
      <c r="N43"/>
      <c r="O43" s="155">
        <f>'R3'!O33</f>
        <v>9.4226051041672074E-2</v>
      </c>
      <c r="P43" s="155">
        <f>'R3'!P33</f>
        <v>3.4319751038039978</v>
      </c>
      <c r="Q43" s="155">
        <f>'R3'!Q33</f>
        <v>0.97291137734923527</v>
      </c>
      <c r="R43" s="155">
        <f>'R3'!R33</f>
        <v>0.11953574677212772</v>
      </c>
      <c r="S43" s="155">
        <f>'R3'!S33</f>
        <v>1.6246779511647242</v>
      </c>
      <c r="T43" s="155">
        <f>'R3'!T33</f>
        <v>0.4503267486029417</v>
      </c>
      <c r="U43" s="155">
        <f>'R3'!U33</f>
        <v>4.6039115637434183</v>
      </c>
      <c r="V43" s="155">
        <f>'R3'!V33</f>
        <v>4.216835106605898</v>
      </c>
    </row>
    <row r="44" spans="1:22" s="1" customFormat="1" x14ac:dyDescent="0.35">
      <c r="A44" s="226"/>
      <c r="B44" s="155">
        <f>'R3'!B34</f>
        <v>0.36063322933309599</v>
      </c>
      <c r="C44" s="155">
        <f>'R3'!C34</f>
        <v>1.6658131915194239E-2</v>
      </c>
      <c r="D44" s="155">
        <f>'R3'!D34</f>
        <v>0.61411814198127834</v>
      </c>
      <c r="E44" s="155">
        <f>'R3'!E34</f>
        <v>1.3907448702684515</v>
      </c>
      <c r="F44" s="155">
        <f>'R3'!F34</f>
        <v>7.9092791175053669</v>
      </c>
      <c r="G44" s="155">
        <f>'R3'!G34</f>
        <v>4.0113057850448008</v>
      </c>
      <c r="H44" s="155">
        <f>'R3'!H34</f>
        <v>10.113127299244086</v>
      </c>
      <c r="I44" s="155">
        <f>'R3'!I34</f>
        <v>0.5621353189835091</v>
      </c>
      <c r="J44" s="155">
        <f>'R3'!J34</f>
        <v>0.11709306497892788</v>
      </c>
      <c r="K44" s="155">
        <f>'R3'!K34</f>
        <v>6.2163856850864299E-2</v>
      </c>
      <c r="L44" s="155">
        <f>'R3'!L34</f>
        <v>0.14821889781567571</v>
      </c>
      <c r="M44" s="155">
        <f>'R3'!M34</f>
        <v>2.4226454163994153E-2</v>
      </c>
      <c r="N44"/>
      <c r="O44" s="155">
        <f>'R3'!O34</f>
        <v>1.359361198797977</v>
      </c>
      <c r="P44" s="155">
        <f>'R3'!P34</f>
        <v>6.1646104102148804</v>
      </c>
      <c r="Q44" s="155">
        <f>'R3'!Q34</f>
        <v>0.14248099038772785</v>
      </c>
      <c r="R44" s="155">
        <f>'R3'!R34</f>
        <v>1.4604858302503789</v>
      </c>
      <c r="S44" s="155">
        <f>'R3'!S34</f>
        <v>0.39753608443696387</v>
      </c>
      <c r="T44" s="155">
        <f>'R3'!T34</f>
        <v>3.956853937607042</v>
      </c>
      <c r="U44" s="155">
        <f>'R3'!U34</f>
        <v>5.3405174254612859</v>
      </c>
      <c r="V44" s="155">
        <f>'R3'!V34</f>
        <v>3.1200063222352297</v>
      </c>
    </row>
    <row r="45" spans="1:22" s="1" customFormat="1" x14ac:dyDescent="0.35">
      <c r="A45" s="226"/>
      <c r="B45" s="155">
        <f>'R3'!B35</f>
        <v>0.27891354942020236</v>
      </c>
      <c r="C45" s="155">
        <f>'R3'!C35</f>
        <v>0.15412444026864711</v>
      </c>
      <c r="D45" s="155">
        <f>'R3'!D35</f>
        <v>1.1718015536573771</v>
      </c>
      <c r="E45" s="155">
        <f>'R3'!E35</f>
        <v>0.39479245786074557</v>
      </c>
      <c r="F45" s="155">
        <f>'R3'!F35</f>
        <v>2.7598129352773144</v>
      </c>
      <c r="G45" s="155">
        <f>'R3'!G35</f>
        <v>8.2146239207996352</v>
      </c>
      <c r="H45" s="155">
        <f>'R3'!H35</f>
        <v>8.8025806214709341</v>
      </c>
      <c r="I45" s="155">
        <f>'R3'!I35</f>
        <v>0.11210871690156192</v>
      </c>
      <c r="J45" s="155">
        <f>'R3'!J35</f>
        <v>0.21414656010932998</v>
      </c>
      <c r="K45" s="155" t="str">
        <f>'R3'!K35</f>
        <v/>
      </c>
      <c r="L45" s="155">
        <f>'R3'!L35</f>
        <v>1.4636134208601034E-2</v>
      </c>
      <c r="M45" s="155">
        <f>'R3'!M35</f>
        <v>0.12453765661401996</v>
      </c>
      <c r="N45"/>
      <c r="O45" s="155">
        <f>'R3'!O35</f>
        <v>0.10515186336308589</v>
      </c>
      <c r="P45" s="155">
        <f>'R3'!P35</f>
        <v>5.8240662429757935</v>
      </c>
      <c r="Q45" s="155">
        <f>'R3'!Q35</f>
        <v>0.16058637135229178</v>
      </c>
      <c r="R45" s="155">
        <f>'R3'!R35</f>
        <v>0.23903237870508329</v>
      </c>
      <c r="S45" s="155">
        <f>'R3'!S35</f>
        <v>2.3354863790555203</v>
      </c>
      <c r="T45" s="155">
        <f>'R3'!T35</f>
        <v>4.9251984579174222</v>
      </c>
      <c r="U45" s="155">
        <f>'R3'!U35</f>
        <v>2.0483331690244002</v>
      </c>
      <c r="V45" s="155">
        <f>'R3'!V35</f>
        <v>0.44949895088413505</v>
      </c>
    </row>
    <row r="46" spans="1:22" s="1" customFormat="1" x14ac:dyDescent="0.35">
      <c r="A46" s="226"/>
      <c r="B46" s="155" t="str">
        <f>'R3'!B36</f>
        <v/>
      </c>
      <c r="C46" s="155" t="str">
        <f>'R3'!C36</f>
        <v/>
      </c>
      <c r="D46" s="155" t="str">
        <f>'R3'!D36</f>
        <v/>
      </c>
      <c r="E46" s="155" t="str">
        <f>'R3'!E36</f>
        <v/>
      </c>
      <c r="F46" s="155" t="str">
        <f>'R3'!F36</f>
        <v/>
      </c>
      <c r="G46" s="155" t="str">
        <f>'R3'!G36</f>
        <v/>
      </c>
      <c r="H46" s="155" t="str">
        <f>'R3'!H36</f>
        <v/>
      </c>
      <c r="I46" s="155" t="str">
        <f>'R3'!I36</f>
        <v/>
      </c>
      <c r="J46" s="155" t="str">
        <f>'R3'!J36</f>
        <v/>
      </c>
      <c r="K46" s="155" t="str">
        <f>'R3'!K36</f>
        <v/>
      </c>
      <c r="L46" s="155" t="str">
        <f>'R3'!L36</f>
        <v/>
      </c>
      <c r="M46" s="155" t="str">
        <f>'R3'!M36</f>
        <v/>
      </c>
      <c r="N46"/>
      <c r="O46" s="155">
        <f>'R3'!O36</f>
        <v>0.86330521189266729</v>
      </c>
      <c r="P46" s="155" t="str">
        <f>'R3'!P36</f>
        <v/>
      </c>
      <c r="Q46" s="155" t="str">
        <f>'R3'!Q36</f>
        <v/>
      </c>
      <c r="R46" s="155" t="str">
        <f>'R3'!R36</f>
        <v/>
      </c>
      <c r="S46" s="155" t="str">
        <f>'R3'!S36</f>
        <v/>
      </c>
      <c r="T46" s="155" t="str">
        <f>'R3'!T36</f>
        <v/>
      </c>
      <c r="U46" s="155" t="str">
        <f>'R3'!U36</f>
        <v/>
      </c>
      <c r="V46" s="155" t="str">
        <f>'R3'!V36</f>
        <v/>
      </c>
    </row>
    <row r="47" spans="1:22" s="1" customFormat="1" x14ac:dyDescent="0.35">
      <c r="A47" s="226"/>
      <c r="B47" s="155" t="str">
        <f>'R3'!B37</f>
        <v/>
      </c>
      <c r="C47" s="155" t="str">
        <f>'R3'!C37</f>
        <v/>
      </c>
      <c r="D47" s="155" t="str">
        <f>'R3'!D37</f>
        <v/>
      </c>
      <c r="E47" s="155" t="str">
        <f>'R3'!E37</f>
        <v/>
      </c>
      <c r="F47" s="155" t="str">
        <f>'R3'!F37</f>
        <v/>
      </c>
      <c r="G47" s="155" t="str">
        <f>'R3'!G37</f>
        <v/>
      </c>
      <c r="H47" s="155" t="str">
        <f>'R3'!H37</f>
        <v/>
      </c>
      <c r="I47" s="155" t="str">
        <f>'R3'!I37</f>
        <v/>
      </c>
      <c r="J47" s="155" t="str">
        <f>'R3'!J37</f>
        <v/>
      </c>
      <c r="K47" s="155" t="str">
        <f>'R3'!K37</f>
        <v/>
      </c>
      <c r="L47" s="155" t="str">
        <f>'R3'!L37</f>
        <v/>
      </c>
      <c r="M47" s="155" t="str">
        <f>'R3'!M37</f>
        <v/>
      </c>
      <c r="N47"/>
      <c r="O47" s="155">
        <f>'R3'!O37</f>
        <v>2.1266275065926465</v>
      </c>
      <c r="P47" s="155" t="str">
        <f>'R3'!P37</f>
        <v/>
      </c>
      <c r="Q47" s="155" t="str">
        <f>'R3'!Q37</f>
        <v/>
      </c>
      <c r="R47" s="155" t="str">
        <f>'R3'!R37</f>
        <v/>
      </c>
      <c r="S47" s="155" t="str">
        <f>'R3'!S37</f>
        <v/>
      </c>
      <c r="T47" s="155" t="str">
        <f>'R3'!T37</f>
        <v/>
      </c>
      <c r="U47" s="155" t="str">
        <f>'R3'!U37</f>
        <v/>
      </c>
      <c r="V47" s="155" t="str">
        <f>'R3'!V37</f>
        <v/>
      </c>
    </row>
    <row r="48" spans="1:22" s="1" customFormat="1" x14ac:dyDescent="0.35">
      <c r="A48" s="226"/>
      <c r="B48" s="155" t="str">
        <f>'R3'!B38</f>
        <v/>
      </c>
      <c r="C48" s="155" t="str">
        <f>'R3'!C38</f>
        <v/>
      </c>
      <c r="D48" s="155" t="str">
        <f>'R3'!D38</f>
        <v/>
      </c>
      <c r="E48" s="155" t="str">
        <f>'R3'!E38</f>
        <v/>
      </c>
      <c r="F48" s="155" t="str">
        <f>'R3'!F38</f>
        <v/>
      </c>
      <c r="G48" s="155" t="str">
        <f>'R3'!G38</f>
        <v/>
      </c>
      <c r="H48" s="155" t="str">
        <f>'R3'!H38</f>
        <v/>
      </c>
      <c r="I48" s="155" t="str">
        <f>'R3'!I38</f>
        <v/>
      </c>
      <c r="J48" s="155" t="str">
        <f>'R3'!J38</f>
        <v/>
      </c>
      <c r="K48" s="155" t="str">
        <f>'R3'!K38</f>
        <v/>
      </c>
      <c r="L48" s="155" t="str">
        <f>'R3'!L38</f>
        <v/>
      </c>
      <c r="M48" s="155" t="str">
        <f>'R3'!M38</f>
        <v/>
      </c>
      <c r="N48"/>
      <c r="O48" s="155">
        <f>'R3'!O38</f>
        <v>9.1550276737487141E-2</v>
      </c>
      <c r="P48" s="155" t="str">
        <f>'R3'!P38</f>
        <v/>
      </c>
      <c r="Q48" s="155" t="str">
        <f>'R3'!Q38</f>
        <v/>
      </c>
      <c r="R48" s="155" t="str">
        <f>'R3'!R38</f>
        <v/>
      </c>
      <c r="S48" s="155" t="str">
        <f>'R3'!S38</f>
        <v/>
      </c>
      <c r="T48" s="155" t="str">
        <f>'R3'!T38</f>
        <v/>
      </c>
      <c r="U48" s="155" t="str">
        <f>'R3'!U38</f>
        <v/>
      </c>
      <c r="V48" s="155" t="str">
        <f>'R3'!V38</f>
        <v/>
      </c>
    </row>
    <row r="49" spans="1:24" s="1" customFormat="1" x14ac:dyDescent="0.35">
      <c r="A49" s="226"/>
      <c r="B49" s="155" t="str">
        <f>'R3'!B39</f>
        <v/>
      </c>
      <c r="C49" s="155" t="str">
        <f>'R3'!C39</f>
        <v/>
      </c>
      <c r="D49" s="155" t="str">
        <f>'R3'!D39</f>
        <v/>
      </c>
      <c r="E49" s="155" t="str">
        <f>'R3'!E39</f>
        <v/>
      </c>
      <c r="F49" s="155" t="str">
        <f>'R3'!F39</f>
        <v/>
      </c>
      <c r="G49" s="155" t="str">
        <f>'R3'!G39</f>
        <v/>
      </c>
      <c r="H49" s="155" t="str">
        <f>'R3'!H39</f>
        <v/>
      </c>
      <c r="I49" s="155" t="str">
        <f>'R3'!I39</f>
        <v/>
      </c>
      <c r="J49" s="155" t="str">
        <f>'R3'!J39</f>
        <v/>
      </c>
      <c r="K49" s="155" t="str">
        <f>'R3'!K39</f>
        <v/>
      </c>
      <c r="L49" s="155" t="str">
        <f>'R3'!L39</f>
        <v/>
      </c>
      <c r="M49" s="155" t="str">
        <f>'R3'!M39</f>
        <v/>
      </c>
      <c r="N49"/>
      <c r="O49" s="155">
        <f>'R3'!O39</f>
        <v>1.7953519597133121</v>
      </c>
      <c r="P49" s="155" t="str">
        <f>'R3'!P39</f>
        <v/>
      </c>
      <c r="Q49" s="155" t="str">
        <f>'R3'!Q39</f>
        <v/>
      </c>
      <c r="R49" s="155" t="str">
        <f>'R3'!R39</f>
        <v/>
      </c>
      <c r="S49" s="155" t="str">
        <f>'R3'!S39</f>
        <v/>
      </c>
      <c r="T49" s="155" t="str">
        <f>'R3'!T39</f>
        <v/>
      </c>
      <c r="U49" s="155" t="str">
        <f>'R3'!U39</f>
        <v/>
      </c>
      <c r="V49" s="155" t="str">
        <f>'R3'!V39</f>
        <v/>
      </c>
    </row>
    <row r="50" spans="1:24" s="1" customFormat="1" x14ac:dyDescent="0.35">
      <c r="A50" s="226"/>
      <c r="B50" s="155" t="str">
        <f>'R3'!B40</f>
        <v/>
      </c>
      <c r="C50" s="155" t="str">
        <f>'R3'!C40</f>
        <v/>
      </c>
      <c r="D50" s="155" t="str">
        <f>'R3'!D40</f>
        <v/>
      </c>
      <c r="E50" s="155" t="str">
        <f>'R3'!E40</f>
        <v/>
      </c>
      <c r="F50" s="155" t="str">
        <f>'R3'!F40</f>
        <v/>
      </c>
      <c r="G50" s="155" t="str">
        <f>'R3'!G40</f>
        <v/>
      </c>
      <c r="H50" s="155" t="str">
        <f>'R3'!H40</f>
        <v/>
      </c>
      <c r="I50" s="155" t="str">
        <f>'R3'!I40</f>
        <v/>
      </c>
      <c r="J50" s="155" t="str">
        <f>'R3'!J40</f>
        <v/>
      </c>
      <c r="K50" s="155" t="str">
        <f>'R3'!K40</f>
        <v/>
      </c>
      <c r="L50" s="155" t="str">
        <f>'R3'!L40</f>
        <v/>
      </c>
      <c r="M50" s="155" t="str">
        <f>'R3'!M40</f>
        <v/>
      </c>
      <c r="N50"/>
      <c r="O50" s="155">
        <f>'R3'!O40</f>
        <v>0.13845854804918731</v>
      </c>
      <c r="P50" s="155" t="str">
        <f>'R3'!P40</f>
        <v/>
      </c>
      <c r="Q50" s="155" t="str">
        <f>'R3'!Q40</f>
        <v/>
      </c>
      <c r="R50" s="155" t="str">
        <f>'R3'!R40</f>
        <v/>
      </c>
      <c r="S50" s="155" t="str">
        <f>'R3'!S40</f>
        <v/>
      </c>
      <c r="T50" s="155" t="str">
        <f>'R3'!T40</f>
        <v/>
      </c>
      <c r="U50" s="155" t="str">
        <f>'R3'!U40</f>
        <v/>
      </c>
      <c r="V50" s="155" t="str">
        <f>'R3'!V40</f>
        <v/>
      </c>
    </row>
    <row r="51" spans="1:24" s="1" customFormat="1" x14ac:dyDescent="0.35">
      <c r="A51" s="226"/>
      <c r="B51" s="155" t="str">
        <f>'R3'!B41</f>
        <v/>
      </c>
      <c r="C51" s="155" t="str">
        <f>'R3'!C41</f>
        <v/>
      </c>
      <c r="D51" s="155" t="str">
        <f>'R3'!D41</f>
        <v/>
      </c>
      <c r="E51" s="155" t="str">
        <f>'R3'!E41</f>
        <v/>
      </c>
      <c r="F51" s="155" t="str">
        <f>'R3'!F41</f>
        <v/>
      </c>
      <c r="G51" s="155" t="str">
        <f>'R3'!G41</f>
        <v/>
      </c>
      <c r="H51" s="155" t="str">
        <f>'R3'!H41</f>
        <v/>
      </c>
      <c r="I51" s="155" t="str">
        <f>'R3'!I41</f>
        <v/>
      </c>
      <c r="J51" s="155" t="str">
        <f>'R3'!J41</f>
        <v/>
      </c>
      <c r="K51" s="155" t="str">
        <f>'R3'!K41</f>
        <v/>
      </c>
      <c r="L51" s="155" t="str">
        <f>'R3'!L41</f>
        <v/>
      </c>
      <c r="M51" s="155" t="str">
        <f>'R3'!M41</f>
        <v/>
      </c>
      <c r="N51"/>
      <c r="O51" s="155">
        <f>'R3'!O41</f>
        <v>0.37500194576368329</v>
      </c>
      <c r="P51" s="155" t="str">
        <f>'R3'!P41</f>
        <v/>
      </c>
      <c r="Q51" s="155" t="str">
        <f>'R3'!Q41</f>
        <v/>
      </c>
      <c r="R51" s="155" t="str">
        <f>'R3'!R41</f>
        <v/>
      </c>
      <c r="S51" s="155" t="str">
        <f>'R3'!S41</f>
        <v/>
      </c>
      <c r="T51" s="155" t="str">
        <f>'R3'!T41</f>
        <v/>
      </c>
      <c r="U51" s="155" t="str">
        <f>'R3'!U41</f>
        <v/>
      </c>
      <c r="V51" s="155" t="str">
        <f>'R3'!V41</f>
        <v/>
      </c>
    </row>
    <row r="52" spans="1:24" s="1" customFormat="1" x14ac:dyDescent="0.35">
      <c r="A52" s="226"/>
      <c r="B52" s="155" t="str">
        <f>'R3'!B42</f>
        <v/>
      </c>
      <c r="C52" s="155" t="str">
        <f>'R3'!C42</f>
        <v/>
      </c>
      <c r="D52" s="155" t="str">
        <f>'R3'!D42</f>
        <v/>
      </c>
      <c r="E52" s="155" t="str">
        <f>'R3'!E42</f>
        <v/>
      </c>
      <c r="F52" s="155" t="str">
        <f>'R3'!F42</f>
        <v/>
      </c>
      <c r="G52" s="155" t="str">
        <f>'R3'!G42</f>
        <v/>
      </c>
      <c r="H52" s="155" t="str">
        <f>'R3'!H42</f>
        <v/>
      </c>
      <c r="I52" s="155" t="str">
        <f>'R3'!I42</f>
        <v/>
      </c>
      <c r="J52" s="155" t="str">
        <f>'R3'!J42</f>
        <v/>
      </c>
      <c r="K52" s="155" t="str">
        <f>'R3'!K42</f>
        <v/>
      </c>
      <c r="L52" s="155" t="str">
        <f>'R3'!L42</f>
        <v/>
      </c>
      <c r="M52" s="155" t="str">
        <f>'R3'!M42</f>
        <v/>
      </c>
      <c r="N52"/>
      <c r="O52" s="155">
        <f>'R3'!O42</f>
        <v>0.57391367514647107</v>
      </c>
      <c r="P52" s="155" t="str">
        <f>'R3'!P42</f>
        <v/>
      </c>
      <c r="Q52" s="155" t="str">
        <f>'R3'!Q42</f>
        <v/>
      </c>
      <c r="R52" s="155" t="str">
        <f>'R3'!R42</f>
        <v/>
      </c>
      <c r="S52" s="155" t="str">
        <f>'R3'!S42</f>
        <v/>
      </c>
      <c r="T52" s="155" t="str">
        <f>'R3'!T42</f>
        <v/>
      </c>
      <c r="U52" s="155" t="str">
        <f>'R3'!U42</f>
        <v/>
      </c>
      <c r="V52" s="155" t="str">
        <f>'R3'!V42</f>
        <v/>
      </c>
    </row>
    <row r="53" spans="1:24" s="1" customFormat="1" x14ac:dyDescent="0.35">
      <c r="A53" s="227"/>
      <c r="B53" s="155" t="str">
        <f>'R3'!B43</f>
        <v/>
      </c>
      <c r="C53" s="155" t="str">
        <f>'R3'!C43</f>
        <v/>
      </c>
      <c r="D53" s="155" t="str">
        <f>'R3'!D43</f>
        <v/>
      </c>
      <c r="E53" s="155" t="str">
        <f>'R3'!E43</f>
        <v/>
      </c>
      <c r="F53" s="155" t="str">
        <f>'R3'!F43</f>
        <v/>
      </c>
      <c r="G53" s="155" t="str">
        <f>'R3'!G43</f>
        <v/>
      </c>
      <c r="H53" s="155" t="str">
        <f>'R3'!H43</f>
        <v/>
      </c>
      <c r="I53" s="155" t="str">
        <f>'R3'!I43</f>
        <v/>
      </c>
      <c r="J53" s="155" t="str">
        <f>'R3'!J43</f>
        <v/>
      </c>
      <c r="K53" s="155" t="str">
        <f>'R3'!K43</f>
        <v/>
      </c>
      <c r="L53" s="155" t="str">
        <f>'R3'!L43</f>
        <v/>
      </c>
      <c r="M53" s="155" t="str">
        <f>'R3'!M43</f>
        <v/>
      </c>
      <c r="N53"/>
      <c r="O53" s="155">
        <f>'R3'!O43</f>
        <v>2.2214434732699964</v>
      </c>
      <c r="P53" s="155" t="str">
        <f>'R3'!P43</f>
        <v/>
      </c>
      <c r="Q53" s="155" t="str">
        <f>'R3'!Q43</f>
        <v/>
      </c>
      <c r="R53" s="155" t="str">
        <f>'R3'!R43</f>
        <v/>
      </c>
      <c r="S53" s="155" t="str">
        <f>'R3'!S43</f>
        <v/>
      </c>
      <c r="T53" s="155" t="str">
        <f>'R3'!T43</f>
        <v/>
      </c>
      <c r="U53" s="155" t="str">
        <f>'R3'!U43</f>
        <v/>
      </c>
      <c r="V53" s="155" t="str">
        <f>'R3'!V43</f>
        <v/>
      </c>
    </row>
    <row r="54" spans="1:24" s="60" customFormat="1" x14ac:dyDescent="0.3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Saccharin-0,01mg/L</v>
      </c>
      <c r="J55" s="15" t="str">
        <f t="shared" si="0"/>
        <v>Saccharin-0,1mg/L</v>
      </c>
      <c r="K55" s="15" t="str">
        <f t="shared" si="0"/>
        <v>Saccharin-1mg/L</v>
      </c>
      <c r="L55" s="15" t="str">
        <f t="shared" si="0"/>
        <v>Saccharin-10mg/L</v>
      </c>
      <c r="M55" s="15" t="str">
        <f t="shared" si="0"/>
        <v>Saccharin-100mg/L</v>
      </c>
      <c r="O55" s="15" t="str">
        <f t="shared" ref="O55:V55" si="1">O4</f>
        <v>Testo -30µg/L</v>
      </c>
      <c r="P55" s="15" t="str">
        <f t="shared" si="1"/>
        <v>Testo 30µg/L + EE2 -64ng/L</v>
      </c>
      <c r="Q55" s="15" t="str">
        <f t="shared" si="1"/>
        <v>Testo 30µg/L + FAD-10µg/L</v>
      </c>
      <c r="R55" s="15" t="str">
        <f t="shared" si="1"/>
        <v>Saccharin-0,01mg/L + Testostérone</v>
      </c>
      <c r="S55" s="15" t="str">
        <f t="shared" si="1"/>
        <v>Saccharin-0,1mg/L + Testostérone</v>
      </c>
      <c r="T55" s="15" t="str">
        <f t="shared" si="1"/>
        <v>Saccharin-1mg/L + Testostérone</v>
      </c>
      <c r="U55" s="15" t="str">
        <f t="shared" si="1"/>
        <v>Saccharin-10mg/L + Testostérone</v>
      </c>
      <c r="V55" s="15" t="str">
        <f t="shared" si="1"/>
        <v>Saccharin-100mg/L + Testostérone</v>
      </c>
    </row>
    <row r="56" spans="1:24" x14ac:dyDescent="0.35">
      <c r="A56" t="s">
        <v>48</v>
      </c>
      <c r="B56" s="9">
        <f t="shared" ref="B56:V56" si="2">AVERAGE(B6:B53)</f>
        <v>0.13067527039799842</v>
      </c>
      <c r="C56" s="9">
        <f t="shared" si="2"/>
        <v>0.12672723416803669</v>
      </c>
      <c r="D56" s="9">
        <f t="shared" si="2"/>
        <v>0.84104043904081438</v>
      </c>
      <c r="E56" s="9">
        <f t="shared" si="2"/>
        <v>1.0786584609738992</v>
      </c>
      <c r="F56" s="9">
        <f t="shared" si="2"/>
        <v>3.1005300031378256</v>
      </c>
      <c r="G56" s="9">
        <f t="shared" si="2"/>
        <v>4.366947048022733</v>
      </c>
      <c r="H56" s="9">
        <f t="shared" si="2"/>
        <v>6.9906977820231972</v>
      </c>
      <c r="I56" s="9">
        <f t="shared" si="2"/>
        <v>0.14151145777608742</v>
      </c>
      <c r="J56" s="9">
        <f t="shared" si="2"/>
        <v>7.7575749695156224E-2</v>
      </c>
      <c r="K56" s="9">
        <f t="shared" si="2"/>
        <v>8.0803510231486714E-2</v>
      </c>
      <c r="L56" s="9">
        <f t="shared" si="2"/>
        <v>9.3075778167342249E-2</v>
      </c>
      <c r="M56" s="9">
        <f t="shared" si="2"/>
        <v>0.11376872409723279</v>
      </c>
      <c r="N56" s="9"/>
      <c r="O56" s="9">
        <f t="shared" si="2"/>
        <v>1</v>
      </c>
      <c r="P56" s="9">
        <f t="shared" si="2"/>
        <v>3.9253794183586117</v>
      </c>
      <c r="Q56" s="9">
        <f t="shared" si="2"/>
        <v>0.16261452775129098</v>
      </c>
      <c r="R56" s="9">
        <f t="shared" si="2"/>
        <v>0.74531449322705579</v>
      </c>
      <c r="S56" s="9">
        <f t="shared" si="2"/>
        <v>1.0366912081111728</v>
      </c>
      <c r="T56" s="9">
        <f t="shared" si="2"/>
        <v>1.257970450254347</v>
      </c>
      <c r="U56" s="9">
        <f t="shared" si="2"/>
        <v>1.1114623718346601</v>
      </c>
      <c r="V56" s="9">
        <f t="shared" si="2"/>
        <v>1.2851097393061031</v>
      </c>
    </row>
    <row r="57" spans="1:24" x14ac:dyDescent="0.35">
      <c r="A57" t="s">
        <v>1</v>
      </c>
      <c r="B57" s="3">
        <f>STDEV(B6:B53)</f>
        <v>0.11376146626556974</v>
      </c>
      <c r="C57" s="3">
        <f t="shared" ref="C57:V57" si="3">STDEV(C6:C53)</f>
        <v>0.17882499370270394</v>
      </c>
      <c r="D57" s="3">
        <f t="shared" si="3"/>
        <v>1.143872051308545</v>
      </c>
      <c r="E57" s="3">
        <f t="shared" si="3"/>
        <v>0.65628133208032247</v>
      </c>
      <c r="F57" s="3">
        <f t="shared" si="3"/>
        <v>1.572687720676718</v>
      </c>
      <c r="G57" s="3">
        <f t="shared" si="3"/>
        <v>1.8630140151884429</v>
      </c>
      <c r="H57" s="3">
        <f t="shared" si="3"/>
        <v>2.0035139907721917</v>
      </c>
      <c r="I57" s="3">
        <f t="shared" si="3"/>
        <v>0.16475834257110761</v>
      </c>
      <c r="J57" s="3">
        <f t="shared" si="3"/>
        <v>6.5906816468254151E-2</v>
      </c>
      <c r="K57" s="3">
        <f t="shared" si="3"/>
        <v>9.1175244229484281E-2</v>
      </c>
      <c r="L57" s="3">
        <f t="shared" si="3"/>
        <v>7.9472683700082217E-2</v>
      </c>
      <c r="M57" s="3">
        <f t="shared" si="3"/>
        <v>0.11743014935743365</v>
      </c>
      <c r="N57" s="3"/>
      <c r="O57" s="3">
        <f t="shared" si="3"/>
        <v>0.76502624271771003</v>
      </c>
      <c r="P57" s="3">
        <f t="shared" si="3"/>
        <v>2.1009842109243713</v>
      </c>
      <c r="Q57" s="3">
        <f t="shared" si="3"/>
        <v>0.20790743883039481</v>
      </c>
      <c r="R57" s="3">
        <f t="shared" si="3"/>
        <v>0.62781858502825605</v>
      </c>
      <c r="S57" s="3">
        <f t="shared" si="3"/>
        <v>0.86240959740430612</v>
      </c>
      <c r="T57" s="3">
        <f t="shared" si="3"/>
        <v>1.3415580625309305</v>
      </c>
      <c r="U57" s="3">
        <f t="shared" si="3"/>
        <v>1.4420088720305939</v>
      </c>
      <c r="V57" s="3">
        <f t="shared" si="3"/>
        <v>1.2290007651470118</v>
      </c>
      <c r="W57" s="3"/>
      <c r="X57" s="3"/>
    </row>
    <row r="58" spans="1:24" x14ac:dyDescent="0.35">
      <c r="A58" t="s">
        <v>2</v>
      </c>
      <c r="B58" s="3">
        <f xml:space="preserve"> B57/SQRT(COUNT(B6:B53))</f>
        <v>2.3221462061790637E-2</v>
      </c>
      <c r="C58" s="3">
        <f t="shared" ref="C58:V58" si="4" xml:space="preserve"> C57/SQRT(COUNT(C6:C53))</f>
        <v>3.6502498985669977E-2</v>
      </c>
      <c r="D58" s="3">
        <f t="shared" si="4"/>
        <v>0.23349190472805287</v>
      </c>
      <c r="E58" s="3">
        <f t="shared" si="4"/>
        <v>0.13396286594256923</v>
      </c>
      <c r="F58" s="3">
        <f t="shared" si="4"/>
        <v>0.32102353669988976</v>
      </c>
      <c r="G58" s="3">
        <f t="shared" si="4"/>
        <v>0.38028614340544958</v>
      </c>
      <c r="H58" s="3">
        <f t="shared" si="4"/>
        <v>0.40896558082658957</v>
      </c>
      <c r="I58" s="3">
        <f t="shared" si="4"/>
        <v>3.3631155847157097E-2</v>
      </c>
      <c r="J58" s="3">
        <f t="shared" si="4"/>
        <v>1.3453172576540167E-2</v>
      </c>
      <c r="K58" s="3">
        <f t="shared" si="4"/>
        <v>1.9011352627021604E-2</v>
      </c>
      <c r="L58" s="3">
        <f t="shared" si="4"/>
        <v>1.6222293629566939E-2</v>
      </c>
      <c r="M58" s="3">
        <f t="shared" si="4"/>
        <v>2.4485878785900052E-2</v>
      </c>
      <c r="N58" s="3"/>
      <c r="O58" s="3">
        <f t="shared" si="4"/>
        <v>0.11279696573613029</v>
      </c>
      <c r="P58" s="3">
        <f t="shared" si="4"/>
        <v>0.42886160620072145</v>
      </c>
      <c r="Q58" s="3">
        <f t="shared" si="4"/>
        <v>4.2438928238614428E-2</v>
      </c>
      <c r="R58" s="3">
        <f t="shared" si="4"/>
        <v>0.1281529320296135</v>
      </c>
      <c r="S58" s="3">
        <f t="shared" si="4"/>
        <v>0.17603862190996819</v>
      </c>
      <c r="T58" s="3">
        <f t="shared" si="4"/>
        <v>0.26831161250618607</v>
      </c>
      <c r="U58" s="3">
        <f t="shared" si="4"/>
        <v>0.29434882842010673</v>
      </c>
      <c r="V58" s="3">
        <f t="shared" si="4"/>
        <v>0.25086873067502363</v>
      </c>
      <c r="W58" s="3"/>
      <c r="X58" s="3"/>
    </row>
    <row r="59" spans="1:24" s="1" customFormat="1" ht="15" thickBot="1" x14ac:dyDescent="0.4">
      <c r="B59" s="3"/>
      <c r="C59" s="3"/>
      <c r="D59" s="3"/>
      <c r="E59" s="3"/>
      <c r="F59" s="3"/>
      <c r="G59" s="3"/>
      <c r="H59" s="3"/>
      <c r="I59" s="3"/>
      <c r="J59" s="3"/>
      <c r="K59" s="3"/>
      <c r="L59" s="3"/>
      <c r="M59" s="3"/>
      <c r="N59" s="3"/>
      <c r="O59" s="3"/>
      <c r="P59" s="3"/>
      <c r="Q59" s="3"/>
      <c r="R59" s="3"/>
      <c r="S59" s="3"/>
      <c r="T59" s="3"/>
      <c r="U59" s="3"/>
      <c r="V59" s="3"/>
    </row>
    <row r="60" spans="1:24" s="48" customFormat="1" ht="26.5" thickBot="1" x14ac:dyDescent="0.4">
      <c r="A60" s="228" t="s">
        <v>46</v>
      </c>
      <c r="B60" s="229"/>
      <c r="C60" s="229"/>
      <c r="D60" s="229"/>
      <c r="E60" s="229"/>
      <c r="F60" s="229"/>
      <c r="G60" s="229"/>
      <c r="H60" s="229"/>
      <c r="I60" s="229"/>
      <c r="J60" s="229"/>
      <c r="K60" s="229"/>
      <c r="L60" s="229"/>
      <c r="M60" s="229"/>
      <c r="N60" s="229"/>
      <c r="O60" s="229"/>
      <c r="P60" s="229"/>
      <c r="Q60" s="229"/>
      <c r="R60" s="229"/>
      <c r="S60" s="229"/>
      <c r="T60" s="229"/>
      <c r="U60" s="229"/>
      <c r="V60" s="229"/>
    </row>
    <row r="61" spans="1:24" s="1" customFormat="1" x14ac:dyDescent="0.35">
      <c r="B61" s="3"/>
      <c r="C61" s="3"/>
      <c r="D61" s="3"/>
      <c r="E61" s="3"/>
      <c r="F61" s="3"/>
      <c r="G61" s="3"/>
      <c r="H61" s="3"/>
      <c r="I61" s="3"/>
      <c r="J61" s="3"/>
      <c r="K61" s="3"/>
      <c r="L61" s="3"/>
      <c r="M61" s="3"/>
      <c r="N61" s="3"/>
      <c r="O61" s="3"/>
      <c r="P61" s="3"/>
      <c r="Q61" s="3"/>
      <c r="R61" s="3"/>
      <c r="S61" s="3"/>
      <c r="T61" s="3"/>
      <c r="U61" s="3"/>
      <c r="V61" s="3"/>
    </row>
    <row r="62" spans="1:24" s="1" customFormat="1" x14ac:dyDescent="0.3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Saccharin-0,01mg/L</v>
      </c>
      <c r="J62" s="3" t="str">
        <f t="shared" si="6"/>
        <v>Saccharin-0,1mg/L</v>
      </c>
      <c r="K62" s="3" t="str">
        <f t="shared" si="6"/>
        <v>Saccharin-1mg/L</v>
      </c>
      <c r="L62" s="3" t="str">
        <f t="shared" si="6"/>
        <v>Saccharin-10mg/L</v>
      </c>
      <c r="M62" s="3" t="str">
        <f t="shared" si="6"/>
        <v>Saccharin-100mg/L</v>
      </c>
      <c r="N62" s="3"/>
      <c r="O62" s="3" t="str">
        <f t="shared" si="6"/>
        <v>Testo -30µg/L</v>
      </c>
      <c r="P62" s="3" t="str">
        <f t="shared" si="6"/>
        <v>Testo 30µg/L + EE2 -64ng/L</v>
      </c>
      <c r="Q62" s="3" t="str">
        <f t="shared" si="6"/>
        <v>Testo 30µg/L + FAD-10µg/L</v>
      </c>
      <c r="R62" s="3" t="str">
        <f t="shared" si="6"/>
        <v>Saccharin-0,01mg/L + Testostérone</v>
      </c>
      <c r="S62" s="3" t="str">
        <f t="shared" si="6"/>
        <v>Saccharin-0,1mg/L + Testostérone</v>
      </c>
      <c r="T62" s="3" t="str">
        <f t="shared" si="6"/>
        <v>Saccharin-1mg/L + Testostérone</v>
      </c>
      <c r="U62" s="3" t="str">
        <f t="shared" si="6"/>
        <v>Saccharin-10mg/L + Testostérone</v>
      </c>
      <c r="V62" s="3" t="str">
        <f t="shared" si="6"/>
        <v>Saccharin-100mg/L + Testostérone</v>
      </c>
    </row>
    <row r="63" spans="1:24" s="1" customFormat="1" x14ac:dyDescent="0.35">
      <c r="A63" s="1" t="s">
        <v>49</v>
      </c>
      <c r="B63" s="3">
        <f>COUNT(B6:B53)</f>
        <v>24</v>
      </c>
      <c r="C63" s="3">
        <f t="shared" ref="C63:V63" si="7">COUNT(C6:C53)</f>
        <v>24</v>
      </c>
      <c r="D63" s="3">
        <f t="shared" si="7"/>
        <v>24</v>
      </c>
      <c r="E63" s="3">
        <f t="shared" si="7"/>
        <v>24</v>
      </c>
      <c r="F63" s="3">
        <f t="shared" si="7"/>
        <v>24</v>
      </c>
      <c r="G63" s="3">
        <f t="shared" si="7"/>
        <v>24</v>
      </c>
      <c r="H63" s="3">
        <f t="shared" si="7"/>
        <v>24</v>
      </c>
      <c r="I63" s="3">
        <f t="shared" si="7"/>
        <v>24</v>
      </c>
      <c r="J63" s="3">
        <f t="shared" si="7"/>
        <v>24</v>
      </c>
      <c r="K63" s="3">
        <f t="shared" si="7"/>
        <v>23</v>
      </c>
      <c r="L63" s="3">
        <f t="shared" si="7"/>
        <v>24</v>
      </c>
      <c r="M63" s="3">
        <f t="shared" si="7"/>
        <v>23</v>
      </c>
      <c r="N63" s="3"/>
      <c r="O63" s="3">
        <f t="shared" si="7"/>
        <v>46</v>
      </c>
      <c r="P63" s="3">
        <f t="shared" si="7"/>
        <v>24</v>
      </c>
      <c r="Q63" s="3">
        <f t="shared" si="7"/>
        <v>24</v>
      </c>
      <c r="R63" s="3">
        <f t="shared" si="7"/>
        <v>24</v>
      </c>
      <c r="S63" s="3">
        <f t="shared" si="7"/>
        <v>24</v>
      </c>
      <c r="T63" s="3">
        <f t="shared" si="7"/>
        <v>25</v>
      </c>
      <c r="U63" s="3">
        <f t="shared" si="7"/>
        <v>24</v>
      </c>
      <c r="V63" s="3">
        <f t="shared" si="7"/>
        <v>24</v>
      </c>
    </row>
    <row r="64" spans="1:24" s="1" customFormat="1" ht="15" thickBot="1" x14ac:dyDescent="0.4">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5" thickBot="1" x14ac:dyDescent="0.4">
      <c r="A65" s="228" t="s">
        <v>58</v>
      </c>
      <c r="B65" s="229"/>
      <c r="C65" s="229"/>
      <c r="D65" s="229"/>
      <c r="E65" s="229"/>
      <c r="F65" s="229"/>
      <c r="G65" s="229"/>
      <c r="H65" s="229"/>
      <c r="I65" s="229"/>
      <c r="J65" s="229"/>
      <c r="K65" s="229"/>
      <c r="L65" s="229"/>
      <c r="M65" s="229"/>
      <c r="N65" s="229"/>
      <c r="O65" s="229"/>
      <c r="P65" s="229"/>
      <c r="Q65" s="229"/>
      <c r="R65" s="229"/>
      <c r="S65" s="229"/>
      <c r="T65" s="229"/>
      <c r="U65" s="229"/>
      <c r="V65" s="229"/>
    </row>
    <row r="66" spans="1:22" s="1" customFormat="1" x14ac:dyDescent="0.35">
      <c r="B66" s="1" t="s">
        <v>61</v>
      </c>
      <c r="C66" s="3"/>
      <c r="D66" s="3"/>
      <c r="E66" s="3"/>
      <c r="F66" s="3"/>
      <c r="G66" s="3"/>
      <c r="H66" s="3"/>
      <c r="I66" s="3"/>
      <c r="J66" s="3"/>
      <c r="K66" s="3"/>
      <c r="L66" s="3"/>
      <c r="M66" s="3"/>
      <c r="N66" s="3"/>
      <c r="O66" s="3"/>
      <c r="P66" s="3"/>
      <c r="Q66" s="3"/>
      <c r="R66" s="3"/>
      <c r="S66" s="3"/>
      <c r="T66" s="3"/>
      <c r="U66" s="3"/>
      <c r="V66" s="3"/>
    </row>
    <row r="67" spans="1:22" s="1" customFormat="1" x14ac:dyDescent="0.3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4">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5" thickBot="1" x14ac:dyDescent="0.4">
      <c r="A70" s="228" t="s">
        <v>53</v>
      </c>
      <c r="B70" s="229"/>
      <c r="C70" s="229"/>
      <c r="D70" s="229"/>
      <c r="E70" s="229"/>
      <c r="F70" s="229"/>
      <c r="G70" s="229"/>
      <c r="H70" s="229"/>
      <c r="I70" s="229"/>
      <c r="J70" s="229"/>
      <c r="K70" s="229"/>
      <c r="L70" s="229"/>
      <c r="M70" s="229"/>
      <c r="N70" s="229"/>
      <c r="O70" s="229"/>
      <c r="P70" s="229"/>
      <c r="Q70" s="229"/>
      <c r="R70" s="229"/>
      <c r="S70" s="229"/>
      <c r="T70" s="229"/>
      <c r="U70" s="229"/>
      <c r="V70" s="229"/>
    </row>
    <row r="71" spans="1:22" ht="15" thickBot="1" x14ac:dyDescent="0.4"/>
    <row r="72" spans="1:22" s="48" customFormat="1" ht="26.5" thickBot="1" x14ac:dyDescent="0.4">
      <c r="A72" s="228" t="s">
        <v>54</v>
      </c>
      <c r="B72" s="229"/>
      <c r="C72" s="229"/>
      <c r="D72" s="229"/>
      <c r="E72" s="229"/>
      <c r="F72" s="229"/>
      <c r="G72" s="229"/>
      <c r="H72" s="229"/>
      <c r="I72" s="229"/>
      <c r="J72" s="229"/>
      <c r="K72" s="229"/>
      <c r="L72" s="229"/>
      <c r="M72" s="229"/>
      <c r="N72" s="229"/>
      <c r="O72" s="229"/>
      <c r="P72" s="229"/>
      <c r="Q72" s="229"/>
      <c r="R72" s="229"/>
      <c r="S72" s="229"/>
      <c r="T72" s="229"/>
      <c r="U72" s="229"/>
      <c r="V72" s="229"/>
    </row>
    <row r="73" spans="1:22" ht="15" thickBot="1" x14ac:dyDescent="0.4">
      <c r="J73" s="3">
        <v>1</v>
      </c>
      <c r="K73" s="3">
        <v>2</v>
      </c>
      <c r="L73" s="3">
        <v>3</v>
      </c>
      <c r="M73" s="3">
        <v>4</v>
      </c>
      <c r="R73" s="3">
        <v>1</v>
      </c>
      <c r="S73" s="3">
        <v>2</v>
      </c>
      <c r="T73" s="3">
        <v>3</v>
      </c>
      <c r="U73" s="3">
        <v>4</v>
      </c>
      <c r="V73" s="3">
        <v>5</v>
      </c>
    </row>
    <row r="74" spans="1:22" s="1" customFormat="1" x14ac:dyDescent="0.3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Saccharin-0,01mg/L</v>
      </c>
      <c r="J74" s="46" t="str">
        <f t="shared" si="9"/>
        <v>Saccharin-0,1mg/L</v>
      </c>
      <c r="K74" s="46" t="str">
        <f t="shared" si="9"/>
        <v>Saccharin-1mg/L</v>
      </c>
      <c r="L74" s="46" t="str">
        <f t="shared" si="9"/>
        <v>Saccharin-10mg/L</v>
      </c>
      <c r="M74" s="46" t="str">
        <f t="shared" si="9"/>
        <v>Saccharin-100mg/L</v>
      </c>
      <c r="N74" s="46"/>
      <c r="O74" s="46" t="str">
        <f t="shared" ref="O74:V74" si="10">O4</f>
        <v>Testo -30µg/L</v>
      </c>
      <c r="P74" s="46" t="str">
        <f t="shared" si="10"/>
        <v>Testo 30µg/L + EE2 -64ng/L</v>
      </c>
      <c r="Q74" s="46" t="str">
        <f t="shared" si="10"/>
        <v>Testo 30µg/L + FAD-10µg/L</v>
      </c>
      <c r="R74" s="46" t="str">
        <f t="shared" si="10"/>
        <v>Saccharin-0,01mg/L + Testostérone</v>
      </c>
      <c r="S74" s="46" t="str">
        <f t="shared" si="10"/>
        <v>Saccharin-0,1mg/L + Testostérone</v>
      </c>
      <c r="T74" s="46" t="str">
        <f t="shared" si="10"/>
        <v>Saccharin-1mg/L + Testostérone</v>
      </c>
      <c r="U74" s="46" t="str">
        <f t="shared" si="10"/>
        <v>Saccharin-10mg/L + Testostérone</v>
      </c>
      <c r="V74" s="46" t="str">
        <f t="shared" si="10"/>
        <v>Saccharin-100mg/L + Testostérone</v>
      </c>
    </row>
    <row r="75" spans="1:22" s="3" customFormat="1" x14ac:dyDescent="0.35">
      <c r="A75" s="61" t="s">
        <v>32</v>
      </c>
      <c r="B75" s="141">
        <f>B56</f>
        <v>0.13067527039799842</v>
      </c>
      <c r="C75" s="141">
        <f t="shared" ref="C75:V75" si="11">C56</f>
        <v>0.12672723416803669</v>
      </c>
      <c r="D75" s="141">
        <f t="shared" si="11"/>
        <v>0.84104043904081438</v>
      </c>
      <c r="E75" s="141">
        <f t="shared" si="11"/>
        <v>1.0786584609738992</v>
      </c>
      <c r="F75" s="141">
        <f t="shared" si="11"/>
        <v>3.1005300031378256</v>
      </c>
      <c r="G75" s="141">
        <f t="shared" si="11"/>
        <v>4.366947048022733</v>
      </c>
      <c r="H75" s="141">
        <f t="shared" si="11"/>
        <v>6.9906977820231972</v>
      </c>
      <c r="I75" s="141">
        <f t="shared" si="11"/>
        <v>0.14151145777608742</v>
      </c>
      <c r="J75" s="141">
        <f t="shared" si="11"/>
        <v>7.7575749695156224E-2</v>
      </c>
      <c r="K75" s="141">
        <f t="shared" si="11"/>
        <v>8.0803510231486714E-2</v>
      </c>
      <c r="L75" s="141">
        <f t="shared" si="11"/>
        <v>9.3075778167342249E-2</v>
      </c>
      <c r="M75" s="141">
        <f t="shared" si="11"/>
        <v>0.11376872409723279</v>
      </c>
      <c r="N75" s="141"/>
      <c r="O75" s="141">
        <f t="shared" si="11"/>
        <v>1</v>
      </c>
      <c r="P75" s="141">
        <f t="shared" si="11"/>
        <v>3.9253794183586117</v>
      </c>
      <c r="Q75" s="141">
        <f t="shared" si="11"/>
        <v>0.16261452775129098</v>
      </c>
      <c r="R75" s="141">
        <f t="shared" si="11"/>
        <v>0.74531449322705579</v>
      </c>
      <c r="S75" s="141">
        <f t="shared" si="11"/>
        <v>1.0366912081111728</v>
      </c>
      <c r="T75" s="141">
        <f t="shared" si="11"/>
        <v>1.257970450254347</v>
      </c>
      <c r="U75" s="141">
        <f t="shared" si="11"/>
        <v>1.1114623718346601</v>
      </c>
      <c r="V75" s="141">
        <f t="shared" si="11"/>
        <v>1.2851097393061031</v>
      </c>
    </row>
    <row r="76" spans="1:22" s="3" customFormat="1" x14ac:dyDescent="0.35">
      <c r="A76" s="61" t="s">
        <v>2</v>
      </c>
      <c r="B76" s="141">
        <f>B58</f>
        <v>2.3221462061790637E-2</v>
      </c>
      <c r="C76" s="141">
        <f t="shared" ref="C76:V76" si="12">C58</f>
        <v>3.6502498985669977E-2</v>
      </c>
      <c r="D76" s="141">
        <f t="shared" si="12"/>
        <v>0.23349190472805287</v>
      </c>
      <c r="E76" s="141">
        <f t="shared" si="12"/>
        <v>0.13396286594256923</v>
      </c>
      <c r="F76" s="141">
        <f t="shared" si="12"/>
        <v>0.32102353669988976</v>
      </c>
      <c r="G76" s="141">
        <f t="shared" si="12"/>
        <v>0.38028614340544958</v>
      </c>
      <c r="H76" s="141">
        <f t="shared" si="12"/>
        <v>0.40896558082658957</v>
      </c>
      <c r="I76" s="141">
        <f t="shared" si="12"/>
        <v>3.3631155847157097E-2</v>
      </c>
      <c r="J76" s="141">
        <f t="shared" si="12"/>
        <v>1.3453172576540167E-2</v>
      </c>
      <c r="K76" s="141">
        <f t="shared" si="12"/>
        <v>1.9011352627021604E-2</v>
      </c>
      <c r="L76" s="141">
        <f t="shared" si="12"/>
        <v>1.6222293629566939E-2</v>
      </c>
      <c r="M76" s="141">
        <f t="shared" si="12"/>
        <v>2.4485878785900052E-2</v>
      </c>
      <c r="N76" s="141"/>
      <c r="O76" s="141">
        <f t="shared" si="12"/>
        <v>0.11279696573613029</v>
      </c>
      <c r="P76" s="141">
        <f t="shared" si="12"/>
        <v>0.42886160620072145</v>
      </c>
      <c r="Q76" s="141">
        <f t="shared" si="12"/>
        <v>4.2438928238614428E-2</v>
      </c>
      <c r="R76" s="141">
        <f t="shared" si="12"/>
        <v>0.1281529320296135</v>
      </c>
      <c r="S76" s="141">
        <f t="shared" si="12"/>
        <v>0.17603862190996819</v>
      </c>
      <c r="T76" s="141">
        <f t="shared" si="12"/>
        <v>0.26831161250618607</v>
      </c>
      <c r="U76" s="141">
        <f t="shared" si="12"/>
        <v>0.29434882842010673</v>
      </c>
      <c r="V76" s="141">
        <f t="shared" si="12"/>
        <v>0.25086873067502363</v>
      </c>
    </row>
    <row r="77" spans="1:22" s="3" customFormat="1" x14ac:dyDescent="0.35">
      <c r="A77" s="61" t="s">
        <v>79</v>
      </c>
      <c r="B77" s="141">
        <f>(B75*100/$B$75)-100</f>
        <v>0</v>
      </c>
      <c r="C77" s="141">
        <f t="shared" ref="C77:M77" si="13">(C75*100/$B$75)-100</f>
        <v>-3.0212573641035334</v>
      </c>
      <c r="D77" s="141">
        <f t="shared" si="13"/>
        <v>543.61101873311816</v>
      </c>
      <c r="E77" s="141">
        <f t="shared" si="13"/>
        <v>725.44957258448585</v>
      </c>
      <c r="F77" s="141">
        <f t="shared" si="13"/>
        <v>2272.6983641927991</v>
      </c>
      <c r="G77" s="141">
        <f t="shared" si="13"/>
        <v>3241.8312697745314</v>
      </c>
      <c r="H77" s="141">
        <f t="shared" si="13"/>
        <v>5249.6715642765375</v>
      </c>
      <c r="I77" s="141">
        <f t="shared" si="13"/>
        <v>8.2924545287606293</v>
      </c>
      <c r="J77" s="141">
        <f t="shared" si="13"/>
        <v>-40.63471270510226</v>
      </c>
      <c r="K77" s="141">
        <f t="shared" si="13"/>
        <v>-38.164650445808917</v>
      </c>
      <c r="L77" s="141">
        <f t="shared" si="13"/>
        <v>-28.77322703533666</v>
      </c>
      <c r="M77" s="141">
        <f t="shared" si="13"/>
        <v>-12.937831503446105</v>
      </c>
      <c r="N77" s="141"/>
      <c r="O77" s="141">
        <f>(O75*100/$O$75)-100</f>
        <v>0</v>
      </c>
      <c r="P77" s="141">
        <f t="shared" ref="P77:V77" si="14">(P75*100/$O$75)-100</f>
        <v>292.53794183586115</v>
      </c>
      <c r="Q77" s="141">
        <f t="shared" si="14"/>
        <v>-83.738547224870899</v>
      </c>
      <c r="R77" s="141">
        <f t="shared" si="14"/>
        <v>-25.468550677294417</v>
      </c>
      <c r="S77" s="141">
        <f t="shared" si="14"/>
        <v>3.6691208111172813</v>
      </c>
      <c r="T77" s="141">
        <f t="shared" si="14"/>
        <v>25.797045025434699</v>
      </c>
      <c r="U77" s="141">
        <f t="shared" si="14"/>
        <v>11.146237183466013</v>
      </c>
      <c r="V77" s="141">
        <f t="shared" si="14"/>
        <v>28.510973930610305</v>
      </c>
    </row>
    <row r="78" spans="1:22" s="3" customFormat="1" x14ac:dyDescent="0.35">
      <c r="A78" s="61" t="s">
        <v>81</v>
      </c>
      <c r="B78" s="141">
        <f>[1]!DPTEST(B6:B53)</f>
        <v>0.18649425541723585</v>
      </c>
      <c r="C78" s="141">
        <f>[1]!DPTEST(C6:C53)</f>
        <v>1.0633807415727503E-6</v>
      </c>
      <c r="D78" s="141">
        <f>[1]!DPTEST(D6:D53)</f>
        <v>3.7561802072039185E-6</v>
      </c>
      <c r="E78" s="141">
        <f>[1]!DPTEST(E6:E53)</f>
        <v>0.15595883053420012</v>
      </c>
      <c r="F78" s="141">
        <f>[1]!DPTEST(F6:F53)</f>
        <v>6.6937693162747447E-3</v>
      </c>
      <c r="G78" s="141">
        <f>[1]!DPTEST(G6:G53)</f>
        <v>0.22505154316425058</v>
      </c>
      <c r="H78" s="141">
        <f>[1]!DPTEST(H6:H53)</f>
        <v>0.38398349131272214</v>
      </c>
      <c r="I78" s="141">
        <f>[1]!DPTEST(I6:I53)</f>
        <v>1.8426528258946862E-3</v>
      </c>
      <c r="J78" s="141">
        <f>[1]!DPTEST(J6:J53)</f>
        <v>0.28320843782917415</v>
      </c>
      <c r="K78" s="141">
        <f>[1]!DPTEST(K6:K53)</f>
        <v>2.8692764736382159E-6</v>
      </c>
      <c r="L78" s="141">
        <f>[1]!DPTEST(L6:L53)</f>
        <v>0.1088556846500135</v>
      </c>
      <c r="M78" s="141">
        <f>[1]!DPTEST(M6:M53)</f>
        <v>2.2834656970086464E-2</v>
      </c>
      <c r="N78" s="141"/>
      <c r="O78" s="141">
        <f>[1]!DPTEST(O6:O53)</f>
        <v>7.6455788792003765E-2</v>
      </c>
      <c r="P78" s="141">
        <f>[1]!DPTEST(P6:P53)</f>
        <v>4.0602964272565933E-2</v>
      </c>
      <c r="Q78" s="141">
        <f>[1]!DPTEST(Q6:Q53)</f>
        <v>2.6862562729768058E-8</v>
      </c>
      <c r="R78" s="141">
        <f>[1]!DPTEST(R6:R53)</f>
        <v>0.16568501769221777</v>
      </c>
      <c r="S78" s="141">
        <f>[1]!DPTEST(S6:S53)</f>
        <v>0.27081679490630062</v>
      </c>
      <c r="T78" s="141">
        <f>[1]!DPTEST(T6:T53)</f>
        <v>3.9010947404993779E-5</v>
      </c>
      <c r="U78" s="141">
        <f>[1]!DPTEST(U6:U53)</f>
        <v>1.9641892134714123E-4</v>
      </c>
      <c r="V78" s="141">
        <f>[1]!DPTEST(V6:V53)</f>
        <v>8.9324506878037169E-2</v>
      </c>
    </row>
    <row r="79" spans="1:22" s="3" customFormat="1" x14ac:dyDescent="0.35">
      <c r="A79" s="61" t="s">
        <v>85</v>
      </c>
      <c r="B79" s="141" t="str">
        <f>IF(B78&gt;0.05,"Oui","Non")</f>
        <v>Oui</v>
      </c>
      <c r="C79" s="141" t="str">
        <f t="shared" ref="C79:V79" si="15">IF(C78&gt;0.05,"Oui","Non")</f>
        <v>Non</v>
      </c>
      <c r="D79" s="141" t="str">
        <f t="shared" si="15"/>
        <v>Non</v>
      </c>
      <c r="E79" s="141" t="str">
        <f t="shared" si="15"/>
        <v>Oui</v>
      </c>
      <c r="F79" s="141" t="str">
        <f t="shared" si="15"/>
        <v>Non</v>
      </c>
      <c r="G79" s="141" t="str">
        <f t="shared" si="15"/>
        <v>Oui</v>
      </c>
      <c r="H79" s="141" t="str">
        <f t="shared" si="15"/>
        <v>Oui</v>
      </c>
      <c r="I79" s="141" t="str">
        <f t="shared" si="15"/>
        <v>Non</v>
      </c>
      <c r="J79" s="141" t="str">
        <f t="shared" si="15"/>
        <v>Oui</v>
      </c>
      <c r="K79" s="141" t="str">
        <f t="shared" si="15"/>
        <v>Non</v>
      </c>
      <c r="L79" s="141" t="str">
        <f t="shared" si="15"/>
        <v>Oui</v>
      </c>
      <c r="M79" s="141" t="str">
        <f t="shared" si="15"/>
        <v>Non</v>
      </c>
      <c r="N79" s="141"/>
      <c r="O79" s="141" t="str">
        <f t="shared" si="15"/>
        <v>Oui</v>
      </c>
      <c r="P79" s="141" t="str">
        <f t="shared" si="15"/>
        <v>Non</v>
      </c>
      <c r="Q79" s="141" t="str">
        <f t="shared" si="15"/>
        <v>Non</v>
      </c>
      <c r="R79" s="141" t="str">
        <f t="shared" si="15"/>
        <v>Oui</v>
      </c>
      <c r="S79" s="141" t="str">
        <f t="shared" si="15"/>
        <v>Oui</v>
      </c>
      <c r="T79" s="141" t="str">
        <f t="shared" si="15"/>
        <v>Non</v>
      </c>
      <c r="U79" s="141" t="str">
        <f t="shared" si="15"/>
        <v>Non</v>
      </c>
      <c r="V79" s="141" t="str">
        <f t="shared" si="15"/>
        <v>Oui</v>
      </c>
    </row>
    <row r="80" spans="1:22" s="3" customFormat="1" x14ac:dyDescent="0.35">
      <c r="A80" s="61" t="s">
        <v>122</v>
      </c>
      <c r="B80" s="141"/>
      <c r="C80" s="141"/>
      <c r="D80" s="141"/>
      <c r="E80" s="141"/>
      <c r="F80" s="141"/>
      <c r="G80" s="141"/>
      <c r="H80" s="141"/>
      <c r="I80" s="141"/>
      <c r="J80" s="141"/>
      <c r="K80" s="141"/>
      <c r="L80" s="141"/>
      <c r="M80" s="141"/>
      <c r="N80" s="141"/>
      <c r="O80" s="141"/>
      <c r="P80" s="141"/>
      <c r="Q80" s="141"/>
      <c r="R80" s="141"/>
      <c r="S80" s="141"/>
      <c r="T80" s="141"/>
      <c r="U80" s="141"/>
      <c r="V80" s="141"/>
    </row>
    <row r="81" spans="1:22" s="3" customFormat="1" x14ac:dyDescent="0.35">
      <c r="A81" s="61" t="s">
        <v>82</v>
      </c>
      <c r="B81" s="141"/>
      <c r="C81" s="141" t="s">
        <v>174</v>
      </c>
      <c r="D81" s="141" t="s">
        <v>174</v>
      </c>
      <c r="E81" s="141" t="s">
        <v>174</v>
      </c>
      <c r="F81" s="141" t="s">
        <v>174</v>
      </c>
      <c r="G81" s="141" t="s">
        <v>174</v>
      </c>
      <c r="H81" s="141" t="s">
        <v>174</v>
      </c>
      <c r="I81" s="141" t="s">
        <v>174</v>
      </c>
      <c r="J81" s="141" t="s">
        <v>174</v>
      </c>
      <c r="K81" s="141" t="s">
        <v>174</v>
      </c>
      <c r="L81" s="141" t="s">
        <v>174</v>
      </c>
      <c r="M81" s="141" t="s">
        <v>174</v>
      </c>
      <c r="N81" s="141"/>
      <c r="O81" s="141" t="str">
        <f>IF($B79="Non",IF(O79="Non","Mann Withney",IF(O79="Oui","Mann Withney","")),IF($B79="Oui",IF(O79="Oui","T-Test Welch",IF(O79="Non","Mann Withney",""))))</f>
        <v>T-Test Welch</v>
      </c>
      <c r="P81" s="141" t="str">
        <f t="shared" ref="P81:Q81" si="16">IF($O79="Non",IF(P79="Non","Mann Withney",IF(P$79="Oui","Mann Withney","")),IF($O79="Oui",IF(P79="Oui","T-Test Welch",IF(P79="Non","Mann Withney",""))))</f>
        <v>Mann Withney</v>
      </c>
      <c r="Q81" s="141" t="str">
        <f t="shared" si="16"/>
        <v>Mann Withney</v>
      </c>
      <c r="R81" s="141" t="s">
        <v>174</v>
      </c>
      <c r="S81" s="141" t="s">
        <v>174</v>
      </c>
      <c r="T81" s="141" t="s">
        <v>174</v>
      </c>
      <c r="U81" s="141" t="s">
        <v>174</v>
      </c>
      <c r="V81" s="141" t="s">
        <v>174</v>
      </c>
    </row>
    <row r="82" spans="1:22" s="3" customFormat="1" x14ac:dyDescent="0.35">
      <c r="A82" s="61" t="s">
        <v>83</v>
      </c>
      <c r="B82" s="141"/>
      <c r="C82" s="141" t="s">
        <v>170</v>
      </c>
      <c r="D82" s="141">
        <v>0.34</v>
      </c>
      <c r="E82" s="141">
        <v>7.0000000000000001E-3</v>
      </c>
      <c r="F82" s="141" t="s">
        <v>173</v>
      </c>
      <c r="G82" s="141" t="s">
        <v>173</v>
      </c>
      <c r="H82" s="141" t="s">
        <v>173</v>
      </c>
      <c r="I82" s="141" t="s">
        <v>170</v>
      </c>
      <c r="J82" s="141">
        <v>0.77</v>
      </c>
      <c r="K82" s="141">
        <v>0.65</v>
      </c>
      <c r="L82" s="141" t="s">
        <v>170</v>
      </c>
      <c r="M82" s="141" t="s">
        <v>170</v>
      </c>
      <c r="N82" s="141"/>
      <c r="O82" s="141">
        <f>IF(O81="Mann Withney",[1]!MTEST($B6:$B53,O6:O53,2), IF(O81="T-Test Welch",_xlfn.T.TEST($B6:$B53,O6:O53,2,3),""))</f>
        <v>9.7407396994778984E-10</v>
      </c>
      <c r="P82" s="141">
        <f>IF(P81="Mann Withney",[1]!MTEST($O6:$O53,P6:P53,2), IF(P81="T-Test Welch",_xlfn.T.TEST($O6:$O53,P6:P53,2,3),""))</f>
        <v>5.6193627528955403E-9</v>
      </c>
      <c r="Q82" s="141">
        <f>IF(Q81="Mann Withney",[1]!MTEST($O6:$O53,Q6:Q53,2), IF(Q81="T-Test Welch",_xlfn.T.TEST($O6:$O53,Q6:Q53,2,3),""))</f>
        <v>3.2203717892365091E-7</v>
      </c>
      <c r="R82" s="141" t="s">
        <v>170</v>
      </c>
      <c r="S82" s="141" t="s">
        <v>170</v>
      </c>
      <c r="T82" s="141" t="s">
        <v>170</v>
      </c>
      <c r="U82" s="141" t="s">
        <v>170</v>
      </c>
      <c r="V82" s="141" t="s">
        <v>170</v>
      </c>
    </row>
    <row r="83" spans="1:22" s="3" customFormat="1" ht="15" thickBot="1" x14ac:dyDescent="0.4">
      <c r="A83" s="62" t="s">
        <v>84</v>
      </c>
      <c r="B83" s="142"/>
      <c r="C83" s="142" t="s">
        <v>169</v>
      </c>
      <c r="D83" s="142" t="s">
        <v>169</v>
      </c>
      <c r="E83" s="142" t="s">
        <v>171</v>
      </c>
      <c r="F83" s="142" t="s">
        <v>172</v>
      </c>
      <c r="G83" s="142" t="s">
        <v>172</v>
      </c>
      <c r="H83" s="142" t="s">
        <v>172</v>
      </c>
      <c r="I83" s="142" t="s">
        <v>169</v>
      </c>
      <c r="J83" s="142" t="s">
        <v>169</v>
      </c>
      <c r="K83" s="142" t="s">
        <v>169</v>
      </c>
      <c r="L83" s="142" t="s">
        <v>169</v>
      </c>
      <c r="M83" s="142" t="s">
        <v>169</v>
      </c>
      <c r="N83" s="142"/>
      <c r="O83" s="142" t="str">
        <f t="shared" ref="O83" si="17">IF(O82&gt;0.05,"NS",IF(O82&gt;0.01,"*",IF(O82&gt;0.001,"**","***")))</f>
        <v>***</v>
      </c>
      <c r="P83" s="142" t="str">
        <f t="shared" ref="P83" si="18">IF(P82&gt;0.05,"NS",IF(P82&gt;0.01,"*",IF(P82&gt;0.001,"**","***")))</f>
        <v>***</v>
      </c>
      <c r="Q83" s="142" t="str">
        <f t="shared" ref="Q83" si="19">IF(Q82&gt;0.05,"NS",IF(Q82&gt;0.01,"*",IF(Q82&gt;0.001,"**","***")))</f>
        <v>***</v>
      </c>
      <c r="R83" s="142" t="s">
        <v>169</v>
      </c>
      <c r="S83" s="142" t="s">
        <v>169</v>
      </c>
      <c r="T83" s="142" t="s">
        <v>169</v>
      </c>
      <c r="U83" s="142" t="s">
        <v>169</v>
      </c>
      <c r="V83" s="142" t="s">
        <v>169</v>
      </c>
    </row>
    <row r="84" spans="1:22" s="1" customFormat="1" x14ac:dyDescent="0.35"/>
    <row r="85" spans="1:22" s="1" customFormat="1" x14ac:dyDescent="0.35">
      <c r="A85" s="2" t="s">
        <v>39</v>
      </c>
    </row>
    <row r="86" spans="1:22" x14ac:dyDescent="0.35">
      <c r="A86" s="1" t="s">
        <v>23</v>
      </c>
      <c r="B86" s="1">
        <f>B56+(3*B57)</f>
        <v>0.47195966919470766</v>
      </c>
    </row>
    <row r="87" spans="1:22" x14ac:dyDescent="0.35">
      <c r="A87" s="1" t="s">
        <v>24</v>
      </c>
      <c r="B87" s="1">
        <f>B56+(10*B57)</f>
        <v>1.2682899330536959</v>
      </c>
    </row>
    <row r="88" spans="1:22" ht="15" thickBot="1" x14ac:dyDescent="0.4"/>
    <row r="89" spans="1:22" s="48" customFormat="1" ht="26.5" thickBot="1" x14ac:dyDescent="0.4">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4"/>
    <row r="91" spans="1:22" s="48" customFormat="1" ht="26.5" thickBot="1" x14ac:dyDescent="0.4">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4"/>
    <row r="93" spans="1:22" s="48" customFormat="1" ht="26.5" thickBot="1" x14ac:dyDescent="0.4">
      <c r="A93" s="228" t="s">
        <v>57</v>
      </c>
      <c r="B93" s="229"/>
      <c r="C93" s="229"/>
      <c r="D93" s="229"/>
      <c r="E93" s="229"/>
      <c r="F93" s="229"/>
      <c r="G93" s="229"/>
      <c r="H93" s="229"/>
      <c r="I93" s="229"/>
      <c r="J93" s="229"/>
      <c r="K93" s="229"/>
      <c r="L93" s="229"/>
      <c r="M93" s="229"/>
      <c r="N93" s="229"/>
      <c r="O93" s="229"/>
      <c r="P93" s="229"/>
      <c r="Q93" s="229"/>
      <c r="R93" s="229"/>
      <c r="S93" s="229"/>
      <c r="T93" s="229"/>
      <c r="U93" s="229"/>
      <c r="V93" s="229"/>
    </row>
    <row r="94" spans="1:22" x14ac:dyDescent="0.35">
      <c r="B94" s="1">
        <f t="shared" ref="B94:V94" si="20">B75/$B$75</f>
        <v>1</v>
      </c>
      <c r="C94" s="1">
        <f t="shared" si="20"/>
        <v>0.96978742635896464</v>
      </c>
      <c r="D94" s="1">
        <f t="shared" si="20"/>
        <v>6.436110187331181</v>
      </c>
      <c r="E94" s="1">
        <f t="shared" si="20"/>
        <v>8.2544957258448584</v>
      </c>
      <c r="F94" s="1">
        <f t="shared" si="20"/>
        <v>23.72698364192799</v>
      </c>
      <c r="G94" s="1">
        <f t="shared" si="20"/>
        <v>33.418312697745314</v>
      </c>
      <c r="H94" s="1">
        <f>H75/$B$75</f>
        <v>53.496715642765373</v>
      </c>
      <c r="I94" s="1">
        <f t="shared" si="20"/>
        <v>1.0829245452876062</v>
      </c>
      <c r="J94" s="1">
        <f t="shared" si="20"/>
        <v>0.59365287294897739</v>
      </c>
      <c r="K94" s="1">
        <f t="shared" si="20"/>
        <v>0.61835349554191088</v>
      </c>
      <c r="L94" s="1">
        <f t="shared" si="20"/>
        <v>0.71226772964663332</v>
      </c>
      <c r="M94" s="1">
        <f t="shared" si="20"/>
        <v>0.87062168496553893</v>
      </c>
      <c r="N94" s="1">
        <f t="shared" si="20"/>
        <v>0</v>
      </c>
      <c r="O94" s="1">
        <f t="shared" si="20"/>
        <v>7.6525573427496596</v>
      </c>
      <c r="P94" s="1">
        <f t="shared" si="20"/>
        <v>30.039191091038582</v>
      </c>
      <c r="Q94" s="1">
        <f t="shared" si="20"/>
        <v>1.2444169983809101</v>
      </c>
      <c r="R94" s="1">
        <f t="shared" si="20"/>
        <v>5.7035618978024472</v>
      </c>
      <c r="S94" s="1">
        <f t="shared" si="20"/>
        <v>7.9333389167951704</v>
      </c>
      <c r="T94" s="1">
        <f t="shared" si="20"/>
        <v>9.6266910060559976</v>
      </c>
      <c r="U94" s="1">
        <f t="shared" si="20"/>
        <v>8.5055295347732809</v>
      </c>
      <c r="V94" s="1">
        <f t="shared" si="20"/>
        <v>9.8343759717660184</v>
      </c>
    </row>
    <row r="101" spans="4:26" x14ac:dyDescent="0.35">
      <c r="D101" s="1"/>
      <c r="E101" s="1"/>
      <c r="G101" s="1"/>
      <c r="H101" s="1"/>
      <c r="I101" s="1"/>
      <c r="J101" s="1"/>
      <c r="K101" s="1"/>
      <c r="L101" s="1"/>
      <c r="M101" s="1"/>
      <c r="N101" s="1"/>
      <c r="O101" s="1"/>
      <c r="P101" s="1"/>
      <c r="Q101" s="1"/>
      <c r="R101" s="1"/>
      <c r="S101" s="1"/>
      <c r="T101" s="1"/>
      <c r="U101" s="1"/>
      <c r="V101" s="1"/>
      <c r="W101" s="1"/>
      <c r="X101" s="1"/>
      <c r="Y101" s="1"/>
      <c r="Z101" s="1"/>
    </row>
    <row r="102" spans="4:26" x14ac:dyDescent="0.35">
      <c r="D102" s="1"/>
      <c r="E102" s="1"/>
      <c r="G102" s="1"/>
      <c r="H102" s="1"/>
      <c r="I102" s="1"/>
      <c r="J102" s="1"/>
      <c r="K102" s="1"/>
      <c r="L102" s="1"/>
      <c r="M102" s="1"/>
      <c r="N102" s="1"/>
      <c r="O102" s="1"/>
      <c r="P102" s="1"/>
      <c r="Q102" s="1"/>
      <c r="R102" s="1"/>
      <c r="S102" s="1"/>
      <c r="T102" s="1"/>
      <c r="U102" s="1"/>
      <c r="V102" s="1"/>
      <c r="W102" s="1"/>
      <c r="X102" s="1"/>
      <c r="Y102" s="1"/>
      <c r="Z102" s="1"/>
    </row>
    <row r="103" spans="4:26" x14ac:dyDescent="0.35">
      <c r="D103" s="1"/>
      <c r="E103" s="1"/>
    </row>
    <row r="104" spans="4:26" x14ac:dyDescent="0.35">
      <c r="D104" s="1"/>
      <c r="E104" s="1"/>
    </row>
    <row r="105" spans="4:26" x14ac:dyDescent="0.35">
      <c r="D105" s="1"/>
      <c r="E105" s="1"/>
    </row>
    <row r="106" spans="4:26" x14ac:dyDescent="0.35">
      <c r="D106" s="1"/>
      <c r="E106" s="1"/>
    </row>
    <row r="107" spans="4:26" x14ac:dyDescent="0.35">
      <c r="D107" s="1"/>
      <c r="E107" s="1"/>
    </row>
    <row r="108" spans="4:26" x14ac:dyDescent="0.35">
      <c r="D108" s="1"/>
      <c r="E108" s="1"/>
    </row>
    <row r="109" spans="4:26" x14ac:dyDescent="0.35">
      <c r="D109" s="1"/>
      <c r="E109" s="1"/>
    </row>
    <row r="110" spans="4:26" x14ac:dyDescent="0.35">
      <c r="D110" s="1"/>
      <c r="E110" s="1"/>
    </row>
    <row r="111" spans="4:26" x14ac:dyDescent="0.35">
      <c r="D111" s="1"/>
      <c r="E111" s="1"/>
    </row>
    <row r="116" spans="4:5" x14ac:dyDescent="0.35">
      <c r="D116" s="1"/>
      <c r="E116" s="1"/>
    </row>
    <row r="117" spans="4:5" x14ac:dyDescent="0.35">
      <c r="D117" s="1"/>
      <c r="E117" s="1"/>
    </row>
    <row r="118" spans="4:5" x14ac:dyDescent="0.35">
      <c r="D118" s="1"/>
      <c r="E118" s="1"/>
    </row>
    <row r="119" spans="4:5" x14ac:dyDescent="0.35">
      <c r="D119" s="1"/>
      <c r="E119" s="1"/>
    </row>
    <row r="120" spans="4:5" x14ac:dyDescent="0.35">
      <c r="D120" s="1"/>
      <c r="E120" s="1"/>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796875" defaultRowHeight="14.5" x14ac:dyDescent="0.35"/>
  <cols>
    <col min="1" max="1" width="33.7265625" style="41" bestFit="1" customWidth="1"/>
    <col min="2" max="3" width="14" style="41" bestFit="1" customWidth="1"/>
    <col min="4" max="4" width="14" style="41" customWidth="1"/>
    <col min="5" max="5" width="16" style="15" bestFit="1" customWidth="1"/>
    <col min="6" max="8" width="16" style="15" customWidth="1"/>
    <col min="9" max="13" width="19.1796875" style="15" customWidth="1"/>
    <col min="14" max="14" width="32.1796875" style="15" bestFit="1" customWidth="1"/>
    <col min="15" max="15" width="19.54296875" style="41" customWidth="1"/>
    <col min="16" max="16384" width="9.1796875" style="41"/>
  </cols>
  <sheetData>
    <row r="1" spans="1:15" s="48" customFormat="1" ht="26.5" thickBot="1" x14ac:dyDescent="0.4">
      <c r="A1" s="228" t="s">
        <v>104</v>
      </c>
      <c r="B1" s="229"/>
      <c r="C1" s="229"/>
      <c r="D1" s="229"/>
      <c r="E1" s="229"/>
      <c r="F1" s="229"/>
      <c r="G1" s="229"/>
      <c r="H1" s="229"/>
      <c r="I1" s="229"/>
      <c r="J1" s="229"/>
      <c r="K1" s="229"/>
      <c r="L1" s="229"/>
      <c r="M1" s="229"/>
      <c r="N1" s="229"/>
      <c r="O1" s="230"/>
    </row>
    <row r="2" spans="1:15" s="48" customFormat="1" ht="26.5" thickBot="1" x14ac:dyDescent="0.4">
      <c r="A2" s="228" t="s">
        <v>105</v>
      </c>
      <c r="B2" s="229"/>
      <c r="C2" s="229"/>
      <c r="D2" s="229"/>
      <c r="E2" s="229"/>
      <c r="F2" s="229"/>
      <c r="G2" s="229"/>
      <c r="H2" s="229"/>
      <c r="I2" s="229"/>
      <c r="J2" s="229"/>
      <c r="K2" s="229"/>
      <c r="L2" s="229"/>
      <c r="M2" s="229"/>
      <c r="N2" s="229"/>
      <c r="O2" s="230"/>
    </row>
    <row r="3" spans="1:15" s="76" customFormat="1" ht="15.5" x14ac:dyDescent="0.35">
      <c r="H3" s="77"/>
      <c r="I3" s="77"/>
      <c r="J3" s="77"/>
      <c r="K3" s="77"/>
      <c r="L3" s="77"/>
      <c r="M3" s="77"/>
      <c r="N3" s="77"/>
    </row>
    <row r="4" spans="1:15" s="76" customFormat="1" ht="15.5" x14ac:dyDescent="0.35">
      <c r="O4"/>
    </row>
    <row r="5" spans="1:15" s="76" customFormat="1" ht="45.75" customHeight="1" thickBot="1" x14ac:dyDescent="0.4">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5" x14ac:dyDescent="0.35">
      <c r="A6" s="79" t="s">
        <v>28</v>
      </c>
      <c r="B6" s="99">
        <v>64</v>
      </c>
      <c r="C6" s="79"/>
      <c r="D6" s="79"/>
      <c r="E6" s="89"/>
      <c r="F6" s="90"/>
      <c r="G6" s="128">
        <f>IF(F6="NS","NC",ROUND(B6,2-(1+INT(LOG10(ABS(B6))))))</f>
        <v>64</v>
      </c>
      <c r="H6" s="120"/>
      <c r="I6" s="120"/>
      <c r="J6" s="121"/>
      <c r="K6" s="122"/>
      <c r="L6" s="124"/>
      <c r="M6" s="121"/>
      <c r="N6" s="91"/>
      <c r="O6"/>
    </row>
    <row r="7" spans="1:15" s="76" customFormat="1" ht="15.5" x14ac:dyDescent="0.35">
      <c r="A7" s="79" t="str">
        <f>'Page de garde'!A15</f>
        <v>Saccharin-0,01mg/L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Saccharin-0,01mg/L : 0%</v>
      </c>
      <c r="O7"/>
    </row>
    <row r="8" spans="1:15" s="76" customFormat="1" ht="15.5" x14ac:dyDescent="0.35">
      <c r="A8" s="79" t="str">
        <f>'Page de garde'!A16</f>
        <v>Saccharin-0,1mg/L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Saccharin-0,1mg/L : 0%</v>
      </c>
      <c r="O8"/>
    </row>
    <row r="9" spans="1:15" s="76" customFormat="1" ht="15.5" x14ac:dyDescent="0.35">
      <c r="A9" s="79" t="str">
        <f>'Page de garde'!A17</f>
        <v>Saccharin-1mg/L</v>
      </c>
      <c r="B9" s="98"/>
      <c r="C9" s="82"/>
      <c r="D9" s="80"/>
      <c r="E9" s="81"/>
      <c r="F9" s="97" t="str">
        <f>HLOOKUP(A9,'pooled normalised values'!$B$74:$V$83,10,FALSE)</f>
        <v>ns</v>
      </c>
      <c r="G9" s="128" t="str">
        <f t="shared" si="0"/>
        <v>NC</v>
      </c>
      <c r="H9" s="119" t="str">
        <f>IF(VLOOKUP(A9,liste_groupe[],4,FALSE)="%",VLOOKUP(A9,liste_groupe[],3,FALSE)/100,IF(ISBLANK(VLOOKUP(A9,liste_groupe[],4,FALSE)),"Non","Non"))</f>
        <v>Non</v>
      </c>
      <c r="I9" s="128" t="str">
        <f t="shared" si="1"/>
        <v>NC</v>
      </c>
      <c r="J9" s="129">
        <v>64</v>
      </c>
      <c r="K9" s="130">
        <f t="shared" si="2"/>
        <v>0</v>
      </c>
      <c r="L9" s="125"/>
      <c r="M9" s="131">
        <f t="shared" si="3"/>
        <v>0</v>
      </c>
      <c r="N9" s="92" t="str">
        <f>IF(H9="Non",CONCATENATE(VLOOKUP(A9,liste_groupe[],5,FALSE),"-",VLOOKUP(A9,liste_groupe[],3,FALSE),VLOOKUP(A9,liste_groupe[],4,FALSE)," : ",ROUND(K9,0),"%"),CONCATENATE(VLOOKUP(A9,liste_groupe[],5,FALSE)," : ",ROUND(K9,0),"%"))</f>
        <v>Saccharin-1mg/L : 0%</v>
      </c>
      <c r="O9"/>
    </row>
    <row r="10" spans="1:15" s="76" customFormat="1" ht="15.5" x14ac:dyDescent="0.35">
      <c r="A10" s="79" t="str">
        <f>'Page de garde'!A18</f>
        <v>Saccharin-10mg/L</v>
      </c>
      <c r="B10" s="99"/>
      <c r="C10" s="79"/>
      <c r="D10" s="84"/>
      <c r="E10" s="81"/>
      <c r="F10" s="97" t="str">
        <f>HLOOKUP(A10,'pooled normalised values'!$B$74:$V$83,10,FALSE)</f>
        <v>ns</v>
      </c>
      <c r="G10" s="128" t="str">
        <f t="shared" si="0"/>
        <v>NC</v>
      </c>
      <c r="H10" s="119" t="str">
        <f>IF(VLOOKUP(A10,liste_groupe[],4,FALSE)="%",VLOOKUP(A10,liste_groupe[],3,FALSE)/100,IF(ISBLANK(VLOOKUP(A10,liste_groupe[],4,FALSE)),"Non","Non"))</f>
        <v>Non</v>
      </c>
      <c r="I10" s="128" t="str">
        <f t="shared" si="1"/>
        <v>NC</v>
      </c>
      <c r="J10" s="129">
        <v>64</v>
      </c>
      <c r="K10" s="130">
        <f t="shared" si="2"/>
        <v>0</v>
      </c>
      <c r="L10" s="125"/>
      <c r="M10" s="131">
        <f t="shared" si="3"/>
        <v>0</v>
      </c>
      <c r="N10" s="92" t="str">
        <f>IF(H10="Non",CONCATENATE(VLOOKUP(A10,liste_groupe[],5,FALSE),"-",VLOOKUP(A10,liste_groupe[],3,FALSE),VLOOKUP(A10,liste_groupe[],4,FALSE)," : ",ROUND(K10,0),"%"),CONCATENATE(VLOOKUP(A10,liste_groupe[],5,FALSE)," : ",ROUND(K10,0),"%"))</f>
        <v>Saccharin-10mg/L : 0%</v>
      </c>
      <c r="O10"/>
    </row>
    <row r="11" spans="1:15" s="76" customFormat="1" ht="15.5" x14ac:dyDescent="0.35">
      <c r="A11" s="79" t="str">
        <f>'Page de garde'!A19</f>
        <v>Saccharin-100mg/L</v>
      </c>
      <c r="B11" s="99"/>
      <c r="C11" s="79"/>
      <c r="D11" s="84"/>
      <c r="E11" s="81"/>
      <c r="F11" s="97" t="str">
        <f>HLOOKUP(A11,'pooled normalised values'!$B$74:$V$83,10,FALSE)</f>
        <v>ns</v>
      </c>
      <c r="G11" s="128" t="str">
        <f t="shared" si="0"/>
        <v>NC</v>
      </c>
      <c r="H11" s="119" t="str">
        <f>IF(VLOOKUP(A11,liste_groupe[],4,FALSE)="%",VLOOKUP(A11,liste_groupe[],3,FALSE)/100,IF(ISBLANK(VLOOKUP(A11,liste_groupe[],4,FALSE)),"Non","Non"))</f>
        <v>Non</v>
      </c>
      <c r="I11" s="128" t="str">
        <f t="shared" si="1"/>
        <v>NC</v>
      </c>
      <c r="J11" s="129">
        <v>64</v>
      </c>
      <c r="K11" s="130">
        <f t="shared" si="2"/>
        <v>0</v>
      </c>
      <c r="L11" s="125"/>
      <c r="M11" s="131">
        <f t="shared" si="3"/>
        <v>0</v>
      </c>
      <c r="N11" s="92" t="str">
        <f>IF(H11="Non",CONCATENATE(VLOOKUP(A11,liste_groupe[],5,FALSE),"-",VLOOKUP(A11,liste_groupe[],3,FALSE),VLOOKUP(A11,liste_groupe[],4,FALSE)," : ",ROUND(K11,0),"%"),CONCATENATE(VLOOKUP(A11,liste_groupe[],5,FALSE)," : ",ROUND(K11,0),"%"))</f>
        <v>Saccharin-100mg/L : 0%</v>
      </c>
      <c r="O11"/>
    </row>
    <row r="12" spans="1:15" s="76" customFormat="1" ht="15.5" x14ac:dyDescent="0.35">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5" x14ac:dyDescent="0.35">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5" x14ac:dyDescent="0.35">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5" x14ac:dyDescent="0.35">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5" x14ac:dyDescent="0.35">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5" x14ac:dyDescent="0.35">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5" x14ac:dyDescent="0.35">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5" x14ac:dyDescent="0.35">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5" x14ac:dyDescent="0.35">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5" x14ac:dyDescent="0.35">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5" x14ac:dyDescent="0.35">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5" x14ac:dyDescent="0.35">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5" x14ac:dyDescent="0.35">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5" x14ac:dyDescent="0.35">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5" x14ac:dyDescent="0.35">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5" x14ac:dyDescent="0.35">
      <c r="A27"/>
      <c r="B27"/>
      <c r="C27"/>
      <c r="D27"/>
      <c r="E27"/>
      <c r="F27"/>
      <c r="G27"/>
      <c r="H27"/>
      <c r="I27"/>
      <c r="J27"/>
      <c r="K27"/>
      <c r="L27"/>
      <c r="M27"/>
      <c r="N27"/>
      <c r="O27" s="1"/>
    </row>
    <row r="28" spans="1:15" s="76" customFormat="1" ht="31.5" thickBot="1" x14ac:dyDescent="0.4">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5" x14ac:dyDescent="0.35">
      <c r="A29" s="83" t="s">
        <v>29</v>
      </c>
      <c r="B29" s="99"/>
      <c r="C29" s="79"/>
      <c r="D29" s="79"/>
      <c r="E29" s="81"/>
      <c r="F29" s="90"/>
      <c r="G29" s="133"/>
      <c r="H29" s="120"/>
      <c r="I29" s="120"/>
      <c r="J29" s="121"/>
      <c r="K29" s="122"/>
      <c r="L29" s="124"/>
      <c r="M29" s="121"/>
      <c r="N29" s="91"/>
      <c r="O29"/>
    </row>
    <row r="30" spans="1:15" s="76" customFormat="1" ht="15.5" x14ac:dyDescent="0.35">
      <c r="A30" s="83" t="s">
        <v>31</v>
      </c>
      <c r="B30" s="99"/>
      <c r="C30" s="79"/>
      <c r="D30" s="79"/>
      <c r="E30" s="81"/>
      <c r="F30" s="90"/>
      <c r="G30" s="132" t="e">
        <f>IF(F30="NS","NC",ROUND(B30-$B$29,2-(1+INT(LOG10(ABS(B30-$B$29))))))</f>
        <v>#NUM!</v>
      </c>
      <c r="H30" s="120"/>
      <c r="I30" s="133"/>
      <c r="J30" s="134"/>
      <c r="K30" s="135"/>
      <c r="L30" s="134"/>
      <c r="M30" s="134"/>
      <c r="N30" s="136"/>
      <c r="O30"/>
    </row>
    <row r="31" spans="1:15" s="76" customFormat="1" ht="15.5" x14ac:dyDescent="0.35">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5" x14ac:dyDescent="0.35">
      <c r="A32" s="127" t="str">
        <f>'Page de garde'!A39</f>
        <v>Saccharin-0,01mg/L + Testostérone</v>
      </c>
      <c r="B32" s="99"/>
      <c r="C32" s="79"/>
      <c r="D32" s="79"/>
      <c r="E32" s="81"/>
      <c r="F32" s="93"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Saccharin-0,01mg/L : 0%</v>
      </c>
    </row>
    <row r="33" spans="1:14" s="76" customFormat="1" ht="15.5" x14ac:dyDescent="0.35">
      <c r="A33" s="127" t="str">
        <f>'Page de garde'!A40</f>
        <v>Saccharin-0,1mg/L + Testostérone</v>
      </c>
      <c r="B33" s="98"/>
      <c r="C33" s="86"/>
      <c r="D33" s="86"/>
      <c r="E33" s="81"/>
      <c r="F33" s="93" t="str">
        <f>HLOOKUP(A33,'pooled normalised values'!$B$74:$V$83,10,FALSE)</f>
        <v>ns</v>
      </c>
      <c r="G33" s="132" t="str">
        <f>IF(F33="NS","NC",ROUND(B33-$B$29,2-(1+INT(LOG10(ABS(B33-$B$29))))))</f>
        <v>NC</v>
      </c>
      <c r="H33" s="123" t="str">
        <f>IF(VLOOKUP(A33,liste_groupe[],4,FALSE)="%",VLOOKUP(A33,liste_groupe[],3,FALSE)/100,IF(ISBLANK(VLOOKUP(A33,liste_groupe[],4,FALSE)),"Non","Non"))</f>
        <v>Non</v>
      </c>
      <c r="I33" s="132" t="str">
        <f t="shared" ref="I33:I51" si="7">IF(F33="NS","NC",IF(H33="Non",G33,G33*(1/H33)))</f>
        <v>NC</v>
      </c>
      <c r="J33" s="137" t="e">
        <f t="shared" ref="J33:J51" si="8">IF(G33&lt;0,$G$31,$G$30)</f>
        <v>#NUM!</v>
      </c>
      <c r="K33" s="138">
        <f t="shared" ref="K33:K51" si="9">IF(F33="NS",0,IF(I33&lt;0,-ROUND(I33/J33*100,0),ROUND(I33/J33*100,0)))</f>
        <v>0</v>
      </c>
      <c r="L33" s="139"/>
      <c r="M33" s="131">
        <f t="shared" ref="M33:M51" si="10">IF(I33&lt;0,IF(K33&lt;-100,-125,K33),IF(K33&gt;100,125,K33))</f>
        <v>0</v>
      </c>
      <c r="N33" s="140" t="str">
        <f>IF(H33="Non",CONCATENATE(VLOOKUP(A33,liste_groupe[],5,FALSE),"-",VLOOKUP(A33,liste_groupe[],3,FALSE),VLOOKUP(A33,liste_groupe[],4,FALSE)," : ",ROUND(K33,0),"%"),CONCATENATE(VLOOKUP(A33,liste_groupe[],5,FALSE)," : ",ROUND(K33,0),"%"))</f>
        <v>Saccharin-0,1mg/L : 0%</v>
      </c>
    </row>
    <row r="34" spans="1:14" s="76" customFormat="1" ht="15.5" x14ac:dyDescent="0.35">
      <c r="A34" s="127" t="str">
        <f>'Page de garde'!A41</f>
        <v>Saccharin-1mg/L + Testostérone</v>
      </c>
      <c r="B34" s="99"/>
      <c r="C34" s="79"/>
      <c r="D34" s="79"/>
      <c r="E34" s="81"/>
      <c r="F34" s="93" t="str">
        <f>HLOOKUP(A34,'pooled normalised values'!$B$74:$V$83,10,FALSE)</f>
        <v>ns</v>
      </c>
      <c r="G34" s="132" t="str">
        <f t="shared" si="6"/>
        <v>NC</v>
      </c>
      <c r="H34" s="123" t="str">
        <f>IF(VLOOKUP(A34,liste_groupe[],4,FALSE)="%",VLOOKUP(A34,liste_groupe[],3,FALSE)/100,IF(ISBLANK(VLOOKUP(A34,liste_groupe[],4,FALSE)),"Non","Non"))</f>
        <v>Non</v>
      </c>
      <c r="I34" s="132" t="str">
        <f t="shared" si="7"/>
        <v>NC</v>
      </c>
      <c r="J34" s="137" t="e">
        <f t="shared" si="8"/>
        <v>#NUM!</v>
      </c>
      <c r="K34" s="138">
        <f t="shared" si="9"/>
        <v>0</v>
      </c>
      <c r="L34" s="139"/>
      <c r="M34" s="131">
        <f t="shared" si="10"/>
        <v>0</v>
      </c>
      <c r="N34" s="140" t="str">
        <f>IF(H34="Non",CONCATENATE(VLOOKUP(A34,liste_groupe[],5,FALSE),"-",VLOOKUP(A34,liste_groupe[],3,FALSE),VLOOKUP(A34,liste_groupe[],4,FALSE)," : ",ROUND(K34,0),"%"),CONCATENATE(VLOOKUP(A34,liste_groupe[],5,FALSE)," : ",ROUND(K34,0),"%"))</f>
        <v>Saccharin-1mg/L : 0%</v>
      </c>
    </row>
    <row r="35" spans="1:14" s="76" customFormat="1" ht="15.5" x14ac:dyDescent="0.35">
      <c r="A35" s="127" t="str">
        <f>'Page de garde'!A42</f>
        <v>Saccharin-10mg/L + Testostérone</v>
      </c>
      <c r="B35" s="98"/>
      <c r="C35" s="86"/>
      <c r="D35" s="86"/>
      <c r="E35" s="81"/>
      <c r="F35" s="93" t="str">
        <f>HLOOKUP(A35,'pooled normalised values'!$B$74:$V$83,10,FALSE)</f>
        <v>ns</v>
      </c>
      <c r="G35" s="132" t="str">
        <f t="shared" si="6"/>
        <v>NC</v>
      </c>
      <c r="H35" s="123" t="str">
        <f>IF(VLOOKUP(A35,liste_groupe[],4,FALSE)="%",VLOOKUP(A35,liste_groupe[],3,FALSE)/100,IF(ISBLANK(VLOOKUP(A35,liste_groupe[],4,FALSE)),"Non","Non"))</f>
        <v>Non</v>
      </c>
      <c r="I35" s="132" t="str">
        <f t="shared" si="7"/>
        <v>NC</v>
      </c>
      <c r="J35" s="137" t="e">
        <f t="shared" si="8"/>
        <v>#NUM!</v>
      </c>
      <c r="K35" s="138">
        <f t="shared" si="9"/>
        <v>0</v>
      </c>
      <c r="L35" s="139"/>
      <c r="M35" s="131">
        <f t="shared" si="10"/>
        <v>0</v>
      </c>
      <c r="N35" s="140" t="str">
        <f>IF(H35="Non",CONCATENATE(VLOOKUP(A35,liste_groupe[],5,FALSE),"-",VLOOKUP(A35,liste_groupe[],3,FALSE),VLOOKUP(A35,liste_groupe[],4,FALSE)," : ",ROUND(K35,0),"%"),CONCATENATE(VLOOKUP(A35,liste_groupe[],5,FALSE)," : ",ROUND(K35,0),"%"))</f>
        <v>Saccharin-10mg/L : 0%</v>
      </c>
    </row>
    <row r="36" spans="1:14" s="76" customFormat="1" ht="15.5" x14ac:dyDescent="0.35">
      <c r="A36" s="127" t="str">
        <f>'Page de garde'!A43</f>
        <v>Saccharin-100mg/L + Testostérone</v>
      </c>
      <c r="B36" s="98"/>
      <c r="C36" s="86"/>
      <c r="D36" s="86"/>
      <c r="E36" s="81"/>
      <c r="F36" s="93" t="str">
        <f>HLOOKUP(A36,'pooled normalised values'!$B$74:$V$83,10,FALSE)</f>
        <v>ns</v>
      </c>
      <c r="G36" s="132" t="str">
        <f t="shared" si="6"/>
        <v>NC</v>
      </c>
      <c r="H36" s="123" t="str">
        <f>IF(VLOOKUP(A36,liste_groupe[],4,FALSE)="%",VLOOKUP(A36,liste_groupe[],3,FALSE)/100,IF(ISBLANK(VLOOKUP(A36,liste_groupe[],4,FALSE)),"Non","Non"))</f>
        <v>Non</v>
      </c>
      <c r="I36" s="132" t="str">
        <f t="shared" si="7"/>
        <v>NC</v>
      </c>
      <c r="J36" s="137" t="e">
        <f t="shared" si="8"/>
        <v>#NUM!</v>
      </c>
      <c r="K36" s="138">
        <f t="shared" si="9"/>
        <v>0</v>
      </c>
      <c r="L36" s="139"/>
      <c r="M36" s="131">
        <f t="shared" si="10"/>
        <v>0</v>
      </c>
      <c r="N36" s="140" t="str">
        <f>IF(H36="Non",CONCATENATE(VLOOKUP(A36,liste_groupe[],5,FALSE),"-",VLOOKUP(A36,liste_groupe[],3,FALSE),VLOOKUP(A36,liste_groupe[],4,FALSE)," : ",ROUND(K36,0),"%"),CONCATENATE(VLOOKUP(A36,liste_groupe[],5,FALSE)," : ",ROUND(K36,0),"%"))</f>
        <v>Saccharin-100mg/L : 0%</v>
      </c>
    </row>
    <row r="37" spans="1:14" s="76" customFormat="1" ht="15.5" x14ac:dyDescent="0.35">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5" x14ac:dyDescent="0.35">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5" x14ac:dyDescent="0.35">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5" x14ac:dyDescent="0.35">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5" x14ac:dyDescent="0.35">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5" x14ac:dyDescent="0.35">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5" x14ac:dyDescent="0.35">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5" x14ac:dyDescent="0.35">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5" x14ac:dyDescent="0.35">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5" x14ac:dyDescent="0.35">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5" x14ac:dyDescent="0.35">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5" x14ac:dyDescent="0.35">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5" x14ac:dyDescent="0.35">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5" x14ac:dyDescent="0.35">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5" x14ac:dyDescent="0.35">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 thickBot="1" x14ac:dyDescent="0.4">
      <c r="E52" s="77"/>
      <c r="F52" s="77"/>
      <c r="G52" s="77"/>
      <c r="H52" s="77"/>
      <c r="I52" s="77"/>
      <c r="J52" s="77"/>
      <c r="K52" s="77"/>
      <c r="L52" s="77"/>
      <c r="M52" s="77"/>
      <c r="N52" s="77"/>
    </row>
    <row r="53" spans="1:15" s="48" customFormat="1" ht="26.5" thickBot="1" x14ac:dyDescent="0.4">
      <c r="A53" s="228" t="s">
        <v>60</v>
      </c>
      <c r="B53" s="229"/>
      <c r="C53" s="229"/>
      <c r="D53" s="229"/>
      <c r="E53" s="229"/>
      <c r="F53" s="229"/>
      <c r="G53" s="229"/>
      <c r="H53" s="229"/>
      <c r="I53" s="229"/>
      <c r="J53" s="229"/>
      <c r="K53" s="229"/>
      <c r="L53" s="229"/>
      <c r="M53" s="229"/>
      <c r="N53" s="229"/>
      <c r="O53" s="230"/>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53125" defaultRowHeight="14.5" x14ac:dyDescent="0.35"/>
  <cols>
    <col min="1" max="1" width="22.81640625" style="179" customWidth="1"/>
    <col min="2" max="2" width="46.26953125" style="179" customWidth="1"/>
    <col min="3" max="3" width="15.26953125" style="179" customWidth="1"/>
    <col min="4" max="4" width="24.7265625" style="179" customWidth="1"/>
    <col min="5" max="5" width="24.453125" style="179" customWidth="1"/>
    <col min="6" max="6" width="23.1796875" style="179" customWidth="1"/>
    <col min="7" max="7" width="21.26953125" style="179" customWidth="1"/>
    <col min="8" max="16384" width="11.453125" style="179"/>
  </cols>
  <sheetData>
    <row r="1" spans="1:7" ht="29.5" thickBot="1" x14ac:dyDescent="0.4">
      <c r="A1" s="184" t="s">
        <v>131</v>
      </c>
      <c r="B1" s="185" t="s">
        <v>132</v>
      </c>
      <c r="C1" s="185" t="s">
        <v>138</v>
      </c>
      <c r="D1" s="185" t="s">
        <v>137</v>
      </c>
      <c r="E1" s="185" t="s">
        <v>139</v>
      </c>
      <c r="F1" s="186" t="s">
        <v>140</v>
      </c>
      <c r="G1" s="187" t="s">
        <v>141</v>
      </c>
    </row>
    <row r="2" spans="1:7" ht="58" x14ac:dyDescent="0.35">
      <c r="A2" s="180" t="s">
        <v>133</v>
      </c>
      <c r="B2" s="181" t="s">
        <v>134</v>
      </c>
      <c r="C2" s="181" t="s">
        <v>135</v>
      </c>
      <c r="D2" s="181" t="s">
        <v>142</v>
      </c>
      <c r="E2" s="181" t="s">
        <v>136</v>
      </c>
      <c r="F2" s="182" t="s">
        <v>135</v>
      </c>
      <c r="G2" s="183" t="s">
        <v>135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19" width="14.81640625" style="17" customWidth="1"/>
    <col min="20" max="21" width="11.453125" style="17"/>
    <col min="22" max="22" width="13.54296875" style="17" bestFit="1" customWidth="1"/>
    <col min="23" max="34" width="13.54296875" style="17" customWidth="1"/>
    <col min="35" max="35" width="13.54296875" style="17" bestFit="1" customWidth="1"/>
    <col min="36" max="282" width="11.453125" style="17"/>
    <col min="283" max="283" width="18.7265625" style="17" customWidth="1"/>
    <col min="284" max="284" width="13.7265625" style="17" bestFit="1" customWidth="1"/>
    <col min="285" max="285" width="17.26953125" style="17" customWidth="1"/>
    <col min="286" max="286" width="11" style="17" customWidth="1"/>
    <col min="287" max="287" width="12" style="17" bestFit="1" customWidth="1"/>
    <col min="288" max="288" width="14.81640625" style="17" customWidth="1"/>
    <col min="289" max="538" width="11.453125" style="17"/>
    <col min="539" max="539" width="18.7265625" style="17" customWidth="1"/>
    <col min="540" max="540" width="13.7265625" style="17" bestFit="1" customWidth="1"/>
    <col min="541" max="541" width="17.26953125" style="17" customWidth="1"/>
    <col min="542" max="542" width="11" style="17" customWidth="1"/>
    <col min="543" max="543" width="12" style="17" bestFit="1" customWidth="1"/>
    <col min="544" max="544" width="14.81640625" style="17" customWidth="1"/>
    <col min="545" max="794" width="11.453125" style="17"/>
    <col min="795" max="795" width="18.7265625" style="17" customWidth="1"/>
    <col min="796" max="796" width="13.7265625" style="17" bestFit="1" customWidth="1"/>
    <col min="797" max="797" width="17.26953125" style="17" customWidth="1"/>
    <col min="798" max="798" width="11" style="17" customWidth="1"/>
    <col min="799" max="799" width="12" style="17" bestFit="1" customWidth="1"/>
    <col min="800" max="800" width="14.81640625" style="17" customWidth="1"/>
    <col min="801" max="1050" width="11.453125" style="17"/>
    <col min="1051" max="1051" width="18.7265625" style="17" customWidth="1"/>
    <col min="1052" max="1052" width="13.7265625" style="17" bestFit="1" customWidth="1"/>
    <col min="1053" max="1053" width="17.26953125" style="17" customWidth="1"/>
    <col min="1054" max="1054" width="11" style="17" customWidth="1"/>
    <col min="1055" max="1055" width="12" style="17" bestFit="1" customWidth="1"/>
    <col min="1056" max="1056" width="14.81640625" style="17" customWidth="1"/>
    <col min="1057" max="1306" width="11.453125" style="17"/>
    <col min="1307" max="1307" width="18.7265625" style="17" customWidth="1"/>
    <col min="1308" max="1308" width="13.7265625" style="17" bestFit="1" customWidth="1"/>
    <col min="1309" max="1309" width="17.26953125" style="17" customWidth="1"/>
    <col min="1310" max="1310" width="11" style="17" customWidth="1"/>
    <col min="1311" max="1311" width="12" style="17" bestFit="1" customWidth="1"/>
    <col min="1312" max="1312" width="14.81640625" style="17" customWidth="1"/>
    <col min="1313" max="1562" width="11.453125" style="17"/>
    <col min="1563" max="1563" width="18.7265625" style="17" customWidth="1"/>
    <col min="1564" max="1564" width="13.7265625" style="17" bestFit="1" customWidth="1"/>
    <col min="1565" max="1565" width="17.26953125" style="17" customWidth="1"/>
    <col min="1566" max="1566" width="11" style="17" customWidth="1"/>
    <col min="1567" max="1567" width="12" style="17" bestFit="1" customWidth="1"/>
    <col min="1568" max="1568" width="14.81640625" style="17" customWidth="1"/>
    <col min="1569" max="1818" width="11.453125" style="17"/>
    <col min="1819" max="1819" width="18.7265625" style="17" customWidth="1"/>
    <col min="1820" max="1820" width="13.7265625" style="17" bestFit="1" customWidth="1"/>
    <col min="1821" max="1821" width="17.26953125" style="17" customWidth="1"/>
    <col min="1822" max="1822" width="11" style="17" customWidth="1"/>
    <col min="1823" max="1823" width="12" style="17" bestFit="1" customWidth="1"/>
    <col min="1824" max="1824" width="14.81640625" style="17" customWidth="1"/>
    <col min="1825" max="2074" width="11.453125" style="17"/>
    <col min="2075" max="2075" width="18.7265625" style="17" customWidth="1"/>
    <col min="2076" max="2076" width="13.7265625" style="17" bestFit="1" customWidth="1"/>
    <col min="2077" max="2077" width="17.26953125" style="17" customWidth="1"/>
    <col min="2078" max="2078" width="11" style="17" customWidth="1"/>
    <col min="2079" max="2079" width="12" style="17" bestFit="1" customWidth="1"/>
    <col min="2080" max="2080" width="14.81640625" style="17" customWidth="1"/>
    <col min="2081" max="2330" width="11.453125" style="17"/>
    <col min="2331" max="2331" width="18.7265625" style="17" customWidth="1"/>
    <col min="2332" max="2332" width="13.7265625" style="17" bestFit="1" customWidth="1"/>
    <col min="2333" max="2333" width="17.26953125" style="17" customWidth="1"/>
    <col min="2334" max="2334" width="11" style="17" customWidth="1"/>
    <col min="2335" max="2335" width="12" style="17" bestFit="1" customWidth="1"/>
    <col min="2336" max="2336" width="14.81640625" style="17" customWidth="1"/>
    <col min="2337" max="2586" width="11.453125" style="17"/>
    <col min="2587" max="2587" width="18.7265625" style="17" customWidth="1"/>
    <col min="2588" max="2588" width="13.7265625" style="17" bestFit="1" customWidth="1"/>
    <col min="2589" max="2589" width="17.26953125" style="17" customWidth="1"/>
    <col min="2590" max="2590" width="11" style="17" customWidth="1"/>
    <col min="2591" max="2591" width="12" style="17" bestFit="1" customWidth="1"/>
    <col min="2592" max="2592" width="14.81640625" style="17" customWidth="1"/>
    <col min="2593" max="2842" width="11.453125" style="17"/>
    <col min="2843" max="2843" width="18.7265625" style="17" customWidth="1"/>
    <col min="2844" max="2844" width="13.7265625" style="17" bestFit="1" customWidth="1"/>
    <col min="2845" max="2845" width="17.26953125" style="17" customWidth="1"/>
    <col min="2846" max="2846" width="11" style="17" customWidth="1"/>
    <col min="2847" max="2847" width="12" style="17" bestFit="1" customWidth="1"/>
    <col min="2848" max="2848" width="14.81640625" style="17" customWidth="1"/>
    <col min="2849" max="3098" width="11.453125" style="17"/>
    <col min="3099" max="3099" width="18.7265625" style="17" customWidth="1"/>
    <col min="3100" max="3100" width="13.7265625" style="17" bestFit="1" customWidth="1"/>
    <col min="3101" max="3101" width="17.26953125" style="17" customWidth="1"/>
    <col min="3102" max="3102" width="11" style="17" customWidth="1"/>
    <col min="3103" max="3103" width="12" style="17" bestFit="1" customWidth="1"/>
    <col min="3104" max="3104" width="14.81640625" style="17" customWidth="1"/>
    <col min="3105" max="3354" width="11.453125" style="17"/>
    <col min="3355" max="3355" width="18.7265625" style="17" customWidth="1"/>
    <col min="3356" max="3356" width="13.7265625" style="17" bestFit="1" customWidth="1"/>
    <col min="3357" max="3357" width="17.26953125" style="17" customWidth="1"/>
    <col min="3358" max="3358" width="11" style="17" customWidth="1"/>
    <col min="3359" max="3359" width="12" style="17" bestFit="1" customWidth="1"/>
    <col min="3360" max="3360" width="14.81640625" style="17" customWidth="1"/>
    <col min="3361" max="3610" width="11.453125" style="17"/>
    <col min="3611" max="3611" width="18.7265625" style="17" customWidth="1"/>
    <col min="3612" max="3612" width="13.7265625" style="17" bestFit="1" customWidth="1"/>
    <col min="3613" max="3613" width="17.26953125" style="17" customWidth="1"/>
    <col min="3614" max="3614" width="11" style="17" customWidth="1"/>
    <col min="3615" max="3615" width="12" style="17" bestFit="1" customWidth="1"/>
    <col min="3616" max="3616" width="14.81640625" style="17" customWidth="1"/>
    <col min="3617" max="3866" width="11.453125" style="17"/>
    <col min="3867" max="3867" width="18.7265625" style="17" customWidth="1"/>
    <col min="3868" max="3868" width="13.7265625" style="17" bestFit="1" customWidth="1"/>
    <col min="3869" max="3869" width="17.26953125" style="17" customWidth="1"/>
    <col min="3870" max="3870" width="11" style="17" customWidth="1"/>
    <col min="3871" max="3871" width="12" style="17" bestFit="1" customWidth="1"/>
    <col min="3872" max="3872" width="14.81640625" style="17" customWidth="1"/>
    <col min="3873" max="4122" width="11.453125" style="17"/>
    <col min="4123" max="4123" width="18.7265625" style="17" customWidth="1"/>
    <col min="4124" max="4124" width="13.7265625" style="17" bestFit="1" customWidth="1"/>
    <col min="4125" max="4125" width="17.26953125" style="17" customWidth="1"/>
    <col min="4126" max="4126" width="11" style="17" customWidth="1"/>
    <col min="4127" max="4127" width="12" style="17" bestFit="1" customWidth="1"/>
    <col min="4128" max="4128" width="14.81640625" style="17" customWidth="1"/>
    <col min="4129" max="4378" width="11.453125" style="17"/>
    <col min="4379" max="4379" width="18.7265625" style="17" customWidth="1"/>
    <col min="4380" max="4380" width="13.7265625" style="17" bestFit="1" customWidth="1"/>
    <col min="4381" max="4381" width="17.26953125" style="17" customWidth="1"/>
    <col min="4382" max="4382" width="11" style="17" customWidth="1"/>
    <col min="4383" max="4383" width="12" style="17" bestFit="1" customWidth="1"/>
    <col min="4384" max="4384" width="14.81640625" style="17" customWidth="1"/>
    <col min="4385" max="4634" width="11.453125" style="17"/>
    <col min="4635" max="4635" width="18.7265625" style="17" customWidth="1"/>
    <col min="4636" max="4636" width="13.7265625" style="17" bestFit="1" customWidth="1"/>
    <col min="4637" max="4637" width="17.26953125" style="17" customWidth="1"/>
    <col min="4638" max="4638" width="11" style="17" customWidth="1"/>
    <col min="4639" max="4639" width="12" style="17" bestFit="1" customWidth="1"/>
    <col min="4640" max="4640" width="14.81640625" style="17" customWidth="1"/>
    <col min="4641" max="4890" width="11.453125" style="17"/>
    <col min="4891" max="4891" width="18.7265625" style="17" customWidth="1"/>
    <col min="4892" max="4892" width="13.7265625" style="17" bestFit="1" customWidth="1"/>
    <col min="4893" max="4893" width="17.26953125" style="17" customWidth="1"/>
    <col min="4894" max="4894" width="11" style="17" customWidth="1"/>
    <col min="4895" max="4895" width="12" style="17" bestFit="1" customWidth="1"/>
    <col min="4896" max="4896" width="14.81640625" style="17" customWidth="1"/>
    <col min="4897" max="5146" width="11.453125" style="17"/>
    <col min="5147" max="5147" width="18.7265625" style="17" customWidth="1"/>
    <col min="5148" max="5148" width="13.7265625" style="17" bestFit="1" customWidth="1"/>
    <col min="5149" max="5149" width="17.26953125" style="17" customWidth="1"/>
    <col min="5150" max="5150" width="11" style="17" customWidth="1"/>
    <col min="5151" max="5151" width="12" style="17" bestFit="1" customWidth="1"/>
    <col min="5152" max="5152" width="14.81640625" style="17" customWidth="1"/>
    <col min="5153" max="5402" width="11.453125" style="17"/>
    <col min="5403" max="5403" width="18.7265625" style="17" customWidth="1"/>
    <col min="5404" max="5404" width="13.7265625" style="17" bestFit="1" customWidth="1"/>
    <col min="5405" max="5405" width="17.26953125" style="17" customWidth="1"/>
    <col min="5406" max="5406" width="11" style="17" customWidth="1"/>
    <col min="5407" max="5407" width="12" style="17" bestFit="1" customWidth="1"/>
    <col min="5408" max="5408" width="14.81640625" style="17" customWidth="1"/>
    <col min="5409" max="5658" width="11.453125" style="17"/>
    <col min="5659" max="5659" width="18.7265625" style="17" customWidth="1"/>
    <col min="5660" max="5660" width="13.7265625" style="17" bestFit="1" customWidth="1"/>
    <col min="5661" max="5661" width="17.26953125" style="17" customWidth="1"/>
    <col min="5662" max="5662" width="11" style="17" customWidth="1"/>
    <col min="5663" max="5663" width="12" style="17" bestFit="1" customWidth="1"/>
    <col min="5664" max="5664" width="14.81640625" style="17" customWidth="1"/>
    <col min="5665" max="5914" width="11.453125" style="17"/>
    <col min="5915" max="5915" width="18.7265625" style="17" customWidth="1"/>
    <col min="5916" max="5916" width="13.7265625" style="17" bestFit="1" customWidth="1"/>
    <col min="5917" max="5917" width="17.26953125" style="17" customWidth="1"/>
    <col min="5918" max="5918" width="11" style="17" customWidth="1"/>
    <col min="5919" max="5919" width="12" style="17" bestFit="1" customWidth="1"/>
    <col min="5920" max="5920" width="14.81640625" style="17" customWidth="1"/>
    <col min="5921" max="6170" width="11.453125" style="17"/>
    <col min="6171" max="6171" width="18.7265625" style="17" customWidth="1"/>
    <col min="6172" max="6172" width="13.7265625" style="17" bestFit="1" customWidth="1"/>
    <col min="6173" max="6173" width="17.26953125" style="17" customWidth="1"/>
    <col min="6174" max="6174" width="11" style="17" customWidth="1"/>
    <col min="6175" max="6175" width="12" style="17" bestFit="1" customWidth="1"/>
    <col min="6176" max="6176" width="14.81640625" style="17" customWidth="1"/>
    <col min="6177" max="6426" width="11.453125" style="17"/>
    <col min="6427" max="6427" width="18.7265625" style="17" customWidth="1"/>
    <col min="6428" max="6428" width="13.7265625" style="17" bestFit="1" customWidth="1"/>
    <col min="6429" max="6429" width="17.26953125" style="17" customWidth="1"/>
    <col min="6430" max="6430" width="11" style="17" customWidth="1"/>
    <col min="6431" max="6431" width="12" style="17" bestFit="1" customWidth="1"/>
    <col min="6432" max="6432" width="14.81640625" style="17" customWidth="1"/>
    <col min="6433" max="6682" width="11.453125" style="17"/>
    <col min="6683" max="6683" width="18.7265625" style="17" customWidth="1"/>
    <col min="6684" max="6684" width="13.7265625" style="17" bestFit="1" customWidth="1"/>
    <col min="6685" max="6685" width="17.26953125" style="17" customWidth="1"/>
    <col min="6686" max="6686" width="11" style="17" customWidth="1"/>
    <col min="6687" max="6687" width="12" style="17" bestFit="1" customWidth="1"/>
    <col min="6688" max="6688" width="14.81640625" style="17" customWidth="1"/>
    <col min="6689" max="6938" width="11.453125" style="17"/>
    <col min="6939" max="6939" width="18.7265625" style="17" customWidth="1"/>
    <col min="6940" max="6940" width="13.7265625" style="17" bestFit="1" customWidth="1"/>
    <col min="6941" max="6941" width="17.26953125" style="17" customWidth="1"/>
    <col min="6942" max="6942" width="11" style="17" customWidth="1"/>
    <col min="6943" max="6943" width="12" style="17" bestFit="1" customWidth="1"/>
    <col min="6944" max="6944" width="14.81640625" style="17" customWidth="1"/>
    <col min="6945" max="7194" width="11.453125" style="17"/>
    <col min="7195" max="7195" width="18.7265625" style="17" customWidth="1"/>
    <col min="7196" max="7196" width="13.7265625" style="17" bestFit="1" customWidth="1"/>
    <col min="7197" max="7197" width="17.26953125" style="17" customWidth="1"/>
    <col min="7198" max="7198" width="11" style="17" customWidth="1"/>
    <col min="7199" max="7199" width="12" style="17" bestFit="1" customWidth="1"/>
    <col min="7200" max="7200" width="14.81640625" style="17" customWidth="1"/>
    <col min="7201" max="7450" width="11.453125" style="17"/>
    <col min="7451" max="7451" width="18.7265625" style="17" customWidth="1"/>
    <col min="7452" max="7452" width="13.7265625" style="17" bestFit="1" customWidth="1"/>
    <col min="7453" max="7453" width="17.26953125" style="17" customWidth="1"/>
    <col min="7454" max="7454" width="11" style="17" customWidth="1"/>
    <col min="7455" max="7455" width="12" style="17" bestFit="1" customWidth="1"/>
    <col min="7456" max="7456" width="14.81640625" style="17" customWidth="1"/>
    <col min="7457" max="7706" width="11.453125" style="17"/>
    <col min="7707" max="7707" width="18.7265625" style="17" customWidth="1"/>
    <col min="7708" max="7708" width="13.7265625" style="17" bestFit="1" customWidth="1"/>
    <col min="7709" max="7709" width="17.26953125" style="17" customWidth="1"/>
    <col min="7710" max="7710" width="11" style="17" customWidth="1"/>
    <col min="7711" max="7711" width="12" style="17" bestFit="1" customWidth="1"/>
    <col min="7712" max="7712" width="14.81640625" style="17" customWidth="1"/>
    <col min="7713" max="7962" width="11.453125" style="17"/>
    <col min="7963" max="7963" width="18.7265625" style="17" customWidth="1"/>
    <col min="7964" max="7964" width="13.7265625" style="17" bestFit="1" customWidth="1"/>
    <col min="7965" max="7965" width="17.26953125" style="17" customWidth="1"/>
    <col min="7966" max="7966" width="11" style="17" customWidth="1"/>
    <col min="7967" max="7967" width="12" style="17" bestFit="1" customWidth="1"/>
    <col min="7968" max="7968" width="14.81640625" style="17" customWidth="1"/>
    <col min="7969" max="8218" width="11.453125" style="17"/>
    <col min="8219" max="8219" width="18.7265625" style="17" customWidth="1"/>
    <col min="8220" max="8220" width="13.7265625" style="17" bestFit="1" customWidth="1"/>
    <col min="8221" max="8221" width="17.26953125" style="17" customWidth="1"/>
    <col min="8222" max="8222" width="11" style="17" customWidth="1"/>
    <col min="8223" max="8223" width="12" style="17" bestFit="1" customWidth="1"/>
    <col min="8224" max="8224" width="14.81640625" style="17" customWidth="1"/>
    <col min="8225" max="8474" width="11.453125" style="17"/>
    <col min="8475" max="8475" width="18.7265625" style="17" customWidth="1"/>
    <col min="8476" max="8476" width="13.7265625" style="17" bestFit="1" customWidth="1"/>
    <col min="8477" max="8477" width="17.26953125" style="17" customWidth="1"/>
    <col min="8478" max="8478" width="11" style="17" customWidth="1"/>
    <col min="8479" max="8479" width="12" style="17" bestFit="1" customWidth="1"/>
    <col min="8480" max="8480" width="14.81640625" style="17" customWidth="1"/>
    <col min="8481" max="8730" width="11.453125" style="17"/>
    <col min="8731" max="8731" width="18.7265625" style="17" customWidth="1"/>
    <col min="8732" max="8732" width="13.7265625" style="17" bestFit="1" customWidth="1"/>
    <col min="8733" max="8733" width="17.26953125" style="17" customWidth="1"/>
    <col min="8734" max="8734" width="11" style="17" customWidth="1"/>
    <col min="8735" max="8735" width="12" style="17" bestFit="1" customWidth="1"/>
    <col min="8736" max="8736" width="14.81640625" style="17" customWidth="1"/>
    <col min="8737" max="8986" width="11.453125" style="17"/>
    <col min="8987" max="8987" width="18.7265625" style="17" customWidth="1"/>
    <col min="8988" max="8988" width="13.7265625" style="17" bestFit="1" customWidth="1"/>
    <col min="8989" max="8989" width="17.26953125" style="17" customWidth="1"/>
    <col min="8990" max="8990" width="11" style="17" customWidth="1"/>
    <col min="8991" max="8991" width="12" style="17" bestFit="1" customWidth="1"/>
    <col min="8992" max="8992" width="14.81640625" style="17" customWidth="1"/>
    <col min="8993" max="9242" width="11.453125" style="17"/>
    <col min="9243" max="9243" width="18.7265625" style="17" customWidth="1"/>
    <col min="9244" max="9244" width="13.7265625" style="17" bestFit="1" customWidth="1"/>
    <col min="9245" max="9245" width="17.26953125" style="17" customWidth="1"/>
    <col min="9246" max="9246" width="11" style="17" customWidth="1"/>
    <col min="9247" max="9247" width="12" style="17" bestFit="1" customWidth="1"/>
    <col min="9248" max="9248" width="14.81640625" style="17" customWidth="1"/>
    <col min="9249" max="9498" width="11.453125" style="17"/>
    <col min="9499" max="9499" width="18.7265625" style="17" customWidth="1"/>
    <col min="9500" max="9500" width="13.7265625" style="17" bestFit="1" customWidth="1"/>
    <col min="9501" max="9501" width="17.26953125" style="17" customWidth="1"/>
    <col min="9502" max="9502" width="11" style="17" customWidth="1"/>
    <col min="9503" max="9503" width="12" style="17" bestFit="1" customWidth="1"/>
    <col min="9504" max="9504" width="14.81640625" style="17" customWidth="1"/>
    <col min="9505" max="9754" width="11.453125" style="17"/>
    <col min="9755" max="9755" width="18.7265625" style="17" customWidth="1"/>
    <col min="9756" max="9756" width="13.7265625" style="17" bestFit="1" customWidth="1"/>
    <col min="9757" max="9757" width="17.26953125" style="17" customWidth="1"/>
    <col min="9758" max="9758" width="11" style="17" customWidth="1"/>
    <col min="9759" max="9759" width="12" style="17" bestFit="1" customWidth="1"/>
    <col min="9760" max="9760" width="14.81640625" style="17" customWidth="1"/>
    <col min="9761" max="10010" width="11.453125" style="17"/>
    <col min="10011" max="10011" width="18.7265625" style="17" customWidth="1"/>
    <col min="10012" max="10012" width="13.7265625" style="17" bestFit="1" customWidth="1"/>
    <col min="10013" max="10013" width="17.26953125" style="17" customWidth="1"/>
    <col min="10014" max="10014" width="11" style="17" customWidth="1"/>
    <col min="10015" max="10015" width="12" style="17" bestFit="1" customWidth="1"/>
    <col min="10016" max="10016" width="14.81640625" style="17" customWidth="1"/>
    <col min="10017" max="10266" width="11.453125" style="17"/>
    <col min="10267" max="10267" width="18.7265625" style="17" customWidth="1"/>
    <col min="10268" max="10268" width="13.7265625" style="17" bestFit="1" customWidth="1"/>
    <col min="10269" max="10269" width="17.26953125" style="17" customWidth="1"/>
    <col min="10270" max="10270" width="11" style="17" customWidth="1"/>
    <col min="10271" max="10271" width="12" style="17" bestFit="1" customWidth="1"/>
    <col min="10272" max="10272" width="14.81640625" style="17" customWidth="1"/>
    <col min="10273" max="10522" width="11.453125" style="17"/>
    <col min="10523" max="10523" width="18.7265625" style="17" customWidth="1"/>
    <col min="10524" max="10524" width="13.7265625" style="17" bestFit="1" customWidth="1"/>
    <col min="10525" max="10525" width="17.26953125" style="17" customWidth="1"/>
    <col min="10526" max="10526" width="11" style="17" customWidth="1"/>
    <col min="10527" max="10527" width="12" style="17" bestFit="1" customWidth="1"/>
    <col min="10528" max="10528" width="14.81640625" style="17" customWidth="1"/>
    <col min="10529" max="10778" width="11.453125" style="17"/>
    <col min="10779" max="10779" width="18.7265625" style="17" customWidth="1"/>
    <col min="10780" max="10780" width="13.7265625" style="17" bestFit="1" customWidth="1"/>
    <col min="10781" max="10781" width="17.26953125" style="17" customWidth="1"/>
    <col min="10782" max="10782" width="11" style="17" customWidth="1"/>
    <col min="10783" max="10783" width="12" style="17" bestFit="1" customWidth="1"/>
    <col min="10784" max="10784" width="14.81640625" style="17" customWidth="1"/>
    <col min="10785" max="11034" width="11.453125" style="17"/>
    <col min="11035" max="11035" width="18.7265625" style="17" customWidth="1"/>
    <col min="11036" max="11036" width="13.7265625" style="17" bestFit="1" customWidth="1"/>
    <col min="11037" max="11037" width="17.26953125" style="17" customWidth="1"/>
    <col min="11038" max="11038" width="11" style="17" customWidth="1"/>
    <col min="11039" max="11039" width="12" style="17" bestFit="1" customWidth="1"/>
    <col min="11040" max="11040" width="14.81640625" style="17" customWidth="1"/>
    <col min="11041" max="11290" width="11.453125" style="17"/>
    <col min="11291" max="11291" width="18.7265625" style="17" customWidth="1"/>
    <col min="11292" max="11292" width="13.7265625" style="17" bestFit="1" customWidth="1"/>
    <col min="11293" max="11293" width="17.26953125" style="17" customWidth="1"/>
    <col min="11294" max="11294" width="11" style="17" customWidth="1"/>
    <col min="11295" max="11295" width="12" style="17" bestFit="1" customWidth="1"/>
    <col min="11296" max="11296" width="14.81640625" style="17" customWidth="1"/>
    <col min="11297" max="11546" width="11.453125" style="17"/>
    <col min="11547" max="11547" width="18.7265625" style="17" customWidth="1"/>
    <col min="11548" max="11548" width="13.7265625" style="17" bestFit="1" customWidth="1"/>
    <col min="11549" max="11549" width="17.26953125" style="17" customWidth="1"/>
    <col min="11550" max="11550" width="11" style="17" customWidth="1"/>
    <col min="11551" max="11551" width="12" style="17" bestFit="1" customWidth="1"/>
    <col min="11552" max="11552" width="14.81640625" style="17" customWidth="1"/>
    <col min="11553" max="11802" width="11.453125" style="17"/>
    <col min="11803" max="11803" width="18.7265625" style="17" customWidth="1"/>
    <col min="11804" max="11804" width="13.7265625" style="17" bestFit="1" customWidth="1"/>
    <col min="11805" max="11805" width="17.26953125" style="17" customWidth="1"/>
    <col min="11806" max="11806" width="11" style="17" customWidth="1"/>
    <col min="11807" max="11807" width="12" style="17" bestFit="1" customWidth="1"/>
    <col min="11808" max="11808" width="14.81640625" style="17" customWidth="1"/>
    <col min="11809" max="12058" width="11.453125" style="17"/>
    <col min="12059" max="12059" width="18.7265625" style="17" customWidth="1"/>
    <col min="12060" max="12060" width="13.7265625" style="17" bestFit="1" customWidth="1"/>
    <col min="12061" max="12061" width="17.26953125" style="17" customWidth="1"/>
    <col min="12062" max="12062" width="11" style="17" customWidth="1"/>
    <col min="12063" max="12063" width="12" style="17" bestFit="1" customWidth="1"/>
    <col min="12064" max="12064" width="14.81640625" style="17" customWidth="1"/>
    <col min="12065" max="12314" width="11.453125" style="17"/>
    <col min="12315" max="12315" width="18.7265625" style="17" customWidth="1"/>
    <col min="12316" max="12316" width="13.7265625" style="17" bestFit="1" customWidth="1"/>
    <col min="12317" max="12317" width="17.26953125" style="17" customWidth="1"/>
    <col min="12318" max="12318" width="11" style="17" customWidth="1"/>
    <col min="12319" max="12319" width="12" style="17" bestFit="1" customWidth="1"/>
    <col min="12320" max="12320" width="14.81640625" style="17" customWidth="1"/>
    <col min="12321" max="12570" width="11.453125" style="17"/>
    <col min="12571" max="12571" width="18.7265625" style="17" customWidth="1"/>
    <col min="12572" max="12572" width="13.7265625" style="17" bestFit="1" customWidth="1"/>
    <col min="12573" max="12573" width="17.26953125" style="17" customWidth="1"/>
    <col min="12574" max="12574" width="11" style="17" customWidth="1"/>
    <col min="12575" max="12575" width="12" style="17" bestFit="1" customWidth="1"/>
    <col min="12576" max="12576" width="14.81640625" style="17" customWidth="1"/>
    <col min="12577" max="12826" width="11.453125" style="17"/>
    <col min="12827" max="12827" width="18.7265625" style="17" customWidth="1"/>
    <col min="12828" max="12828" width="13.7265625" style="17" bestFit="1" customWidth="1"/>
    <col min="12829" max="12829" width="17.26953125" style="17" customWidth="1"/>
    <col min="12830" max="12830" width="11" style="17" customWidth="1"/>
    <col min="12831" max="12831" width="12" style="17" bestFit="1" customWidth="1"/>
    <col min="12832" max="12832" width="14.81640625" style="17" customWidth="1"/>
    <col min="12833" max="13082" width="11.453125" style="17"/>
    <col min="13083" max="13083" width="18.7265625" style="17" customWidth="1"/>
    <col min="13084" max="13084" width="13.7265625" style="17" bestFit="1" customWidth="1"/>
    <col min="13085" max="13085" width="17.26953125" style="17" customWidth="1"/>
    <col min="13086" max="13086" width="11" style="17" customWidth="1"/>
    <col min="13087" max="13087" width="12" style="17" bestFit="1" customWidth="1"/>
    <col min="13088" max="13088" width="14.81640625" style="17" customWidth="1"/>
    <col min="13089" max="13338" width="11.453125" style="17"/>
    <col min="13339" max="13339" width="18.7265625" style="17" customWidth="1"/>
    <col min="13340" max="13340" width="13.7265625" style="17" bestFit="1" customWidth="1"/>
    <col min="13341" max="13341" width="17.26953125" style="17" customWidth="1"/>
    <col min="13342" max="13342" width="11" style="17" customWidth="1"/>
    <col min="13343" max="13343" width="12" style="17" bestFit="1" customWidth="1"/>
    <col min="13344" max="13344" width="14.81640625" style="17" customWidth="1"/>
    <col min="13345" max="13594" width="11.453125" style="17"/>
    <col min="13595" max="13595" width="18.7265625" style="17" customWidth="1"/>
    <col min="13596" max="13596" width="13.7265625" style="17" bestFit="1" customWidth="1"/>
    <col min="13597" max="13597" width="17.26953125" style="17" customWidth="1"/>
    <col min="13598" max="13598" width="11" style="17" customWidth="1"/>
    <col min="13599" max="13599" width="12" style="17" bestFit="1" customWidth="1"/>
    <col min="13600" max="13600" width="14.81640625" style="17" customWidth="1"/>
    <col min="13601" max="13850" width="11.453125" style="17"/>
    <col min="13851" max="13851" width="18.7265625" style="17" customWidth="1"/>
    <col min="13852" max="13852" width="13.7265625" style="17" bestFit="1" customWidth="1"/>
    <col min="13853" max="13853" width="17.26953125" style="17" customWidth="1"/>
    <col min="13854" max="13854" width="11" style="17" customWidth="1"/>
    <col min="13855" max="13855" width="12" style="17" bestFit="1" customWidth="1"/>
    <col min="13856" max="13856" width="14.81640625" style="17" customWidth="1"/>
    <col min="13857" max="14106" width="11.453125" style="17"/>
    <col min="14107" max="14107" width="18.7265625" style="17" customWidth="1"/>
    <col min="14108" max="14108" width="13.7265625" style="17" bestFit="1" customWidth="1"/>
    <col min="14109" max="14109" width="17.26953125" style="17" customWidth="1"/>
    <col min="14110" max="14110" width="11" style="17" customWidth="1"/>
    <col min="14111" max="14111" width="12" style="17" bestFit="1" customWidth="1"/>
    <col min="14112" max="14112" width="14.81640625" style="17" customWidth="1"/>
    <col min="14113" max="14362" width="11.453125" style="17"/>
    <col min="14363" max="14363" width="18.7265625" style="17" customWidth="1"/>
    <col min="14364" max="14364" width="13.7265625" style="17" bestFit="1" customWidth="1"/>
    <col min="14365" max="14365" width="17.26953125" style="17" customWidth="1"/>
    <col min="14366" max="14366" width="11" style="17" customWidth="1"/>
    <col min="14367" max="14367" width="12" style="17" bestFit="1" customWidth="1"/>
    <col min="14368" max="14368" width="14.81640625" style="17" customWidth="1"/>
    <col min="14369" max="14618" width="11.453125" style="17"/>
    <col min="14619" max="14619" width="18.7265625" style="17" customWidth="1"/>
    <col min="14620" max="14620" width="13.7265625" style="17" bestFit="1" customWidth="1"/>
    <col min="14621" max="14621" width="17.26953125" style="17" customWidth="1"/>
    <col min="14622" max="14622" width="11" style="17" customWidth="1"/>
    <col min="14623" max="14623" width="12" style="17" bestFit="1" customWidth="1"/>
    <col min="14624" max="14624" width="14.81640625" style="17" customWidth="1"/>
    <col min="14625" max="14874" width="11.453125" style="17"/>
    <col min="14875" max="14875" width="18.7265625" style="17" customWidth="1"/>
    <col min="14876" max="14876" width="13.7265625" style="17" bestFit="1" customWidth="1"/>
    <col min="14877" max="14877" width="17.26953125" style="17" customWidth="1"/>
    <col min="14878" max="14878" width="11" style="17" customWidth="1"/>
    <col min="14879" max="14879" width="12" style="17" bestFit="1" customWidth="1"/>
    <col min="14880" max="14880" width="14.81640625" style="17" customWidth="1"/>
    <col min="14881" max="15130" width="11.453125" style="17"/>
    <col min="15131" max="15131" width="18.7265625" style="17" customWidth="1"/>
    <col min="15132" max="15132" width="13.7265625" style="17" bestFit="1" customWidth="1"/>
    <col min="15133" max="15133" width="17.26953125" style="17" customWidth="1"/>
    <col min="15134" max="15134" width="11" style="17" customWidth="1"/>
    <col min="15135" max="15135" width="12" style="17" bestFit="1" customWidth="1"/>
    <col min="15136" max="15136" width="14.81640625" style="17" customWidth="1"/>
    <col min="15137" max="15386" width="11.453125" style="17"/>
    <col min="15387" max="15387" width="18.7265625" style="17" customWidth="1"/>
    <col min="15388" max="15388" width="13.7265625" style="17" bestFit="1" customWidth="1"/>
    <col min="15389" max="15389" width="17.26953125" style="17" customWidth="1"/>
    <col min="15390" max="15390" width="11" style="17" customWidth="1"/>
    <col min="15391" max="15391" width="12" style="17" bestFit="1" customWidth="1"/>
    <col min="15392" max="15392" width="14.81640625" style="17" customWidth="1"/>
    <col min="15393" max="15642" width="11.453125" style="17"/>
    <col min="15643" max="15643" width="18.7265625" style="17" customWidth="1"/>
    <col min="15644" max="15644" width="13.7265625" style="17" bestFit="1" customWidth="1"/>
    <col min="15645" max="15645" width="17.26953125" style="17" customWidth="1"/>
    <col min="15646" max="15646" width="11" style="17" customWidth="1"/>
    <col min="15647" max="15647" width="12" style="17" bestFit="1" customWidth="1"/>
    <col min="15648" max="15648" width="14.81640625" style="17" customWidth="1"/>
    <col min="15649" max="15898" width="11.453125" style="17"/>
    <col min="15899" max="15899" width="18.7265625" style="17" customWidth="1"/>
    <col min="15900" max="15900" width="13.7265625" style="17" bestFit="1" customWidth="1"/>
    <col min="15901" max="15901" width="17.26953125" style="17" customWidth="1"/>
    <col min="15902" max="15902" width="11" style="17" customWidth="1"/>
    <col min="15903" max="15903" width="12" style="17" bestFit="1" customWidth="1"/>
    <col min="15904" max="15904" width="14.81640625" style="17" customWidth="1"/>
    <col min="15905" max="16154" width="11.453125" style="17"/>
    <col min="16155" max="16155" width="18.7265625" style="17" customWidth="1"/>
    <col min="16156" max="16156" width="13.7265625" style="17" bestFit="1" customWidth="1"/>
    <col min="16157" max="16157" width="17.26953125" style="17" customWidth="1"/>
    <col min="16158" max="16158" width="11" style="17" customWidth="1"/>
    <col min="16159" max="16159" width="12" style="17" bestFit="1" customWidth="1"/>
    <col min="16160" max="16160" width="14.81640625" style="17" customWidth="1"/>
    <col min="16161" max="16384" width="11.453125" style="17"/>
  </cols>
  <sheetData>
    <row r="2" spans="1:37" x14ac:dyDescent="0.25">
      <c r="A2" s="17" t="s">
        <v>70</v>
      </c>
      <c r="B2" s="63">
        <f>'pooled normalised values'!B75</f>
        <v>0.13067527039799842</v>
      </c>
      <c r="D2" s="17" t="s">
        <v>9</v>
      </c>
      <c r="E2" s="18"/>
      <c r="F2" s="19" t="str">
        <f>'pooled normalised values'!J74</f>
        <v>Saccharin-0,1mg/L</v>
      </c>
      <c r="G2" s="19" t="str">
        <f>'pooled normalised values'!K74</f>
        <v>Saccharin-1mg/L</v>
      </c>
      <c r="H2" s="19" t="str">
        <f>'pooled normalised values'!L74</f>
        <v>Saccharin-10mg/L</v>
      </c>
      <c r="I2" s="19" t="str">
        <f>'pooled normalised values'!M74</f>
        <v>Saccharin-100mg/L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Saccharin-0,01mg/L + Testostérone</v>
      </c>
      <c r="W2" s="19" t="str">
        <f>'pooled normalised values'!S74</f>
        <v>Saccharin-0,1mg/L + Testostérone</v>
      </c>
      <c r="X2" s="19" t="str">
        <f>'pooled normalised values'!T74</f>
        <v>Saccharin-1mg/L + Testostérone</v>
      </c>
      <c r="Y2" s="19" t="str">
        <f>'pooled normalised values'!U74</f>
        <v>Saccharin-10mg/L + Testostérone</v>
      </c>
      <c r="Z2" s="19" t="str">
        <f>'pooled normalised values'!V74</f>
        <v>Saccharin-100mg/L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7.7575749695156224E-2</v>
      </c>
      <c r="G3" s="19">
        <f>HLOOKUP(G2,'pooled normalised values'!C74:W83,2,FALSE)</f>
        <v>8.0803510231486714E-2</v>
      </c>
      <c r="H3" s="19">
        <f>HLOOKUP(H2,'pooled normalised values'!C74:X83,2,FALSE)</f>
        <v>9.3075778167342249E-2</v>
      </c>
      <c r="I3" s="19">
        <f>HLOOKUP(I2,'pooled normalised values'!D74:Y83,2,FALSE)</f>
        <v>0.11376872409723279</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0.74531449322705579</v>
      </c>
      <c r="W3" s="19">
        <f>HLOOKUP(W2,'pooled normalised values'!N74:AM83,2,FALSE)</f>
        <v>1.0366912081111728</v>
      </c>
      <c r="X3" s="19">
        <f>HLOOKUP(X2,'pooled normalised values'!N74:AN83,2,FALSE)</f>
        <v>1.257970450254347</v>
      </c>
      <c r="Y3" s="19">
        <f>HLOOKUP(Y2,'pooled normalised values'!N74:AO83,2,FALSE)</f>
        <v>1.1114623718346601</v>
      </c>
      <c r="Z3" s="19">
        <f>HLOOKUP(Z2,'pooled normalised values'!N74:AP83,2,FALSE)</f>
        <v>1.2851097393061031</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1</v>
      </c>
      <c r="D4" s="21" t="s">
        <v>2</v>
      </c>
      <c r="E4" s="22"/>
      <c r="F4" s="19">
        <f>HLOOKUP(F2,'pooled normalised values'!B74:V83,3,FALSE)</f>
        <v>1.3453172576540167E-2</v>
      </c>
      <c r="G4" s="19">
        <f>HLOOKUP(G2,'pooled normalised values'!C74:W83,3,FALSE)</f>
        <v>1.9011352627021604E-2</v>
      </c>
      <c r="H4" s="19">
        <f>HLOOKUP(H2,'pooled normalised values'!C74:X83,3,FALSE)</f>
        <v>1.6222293629566939E-2</v>
      </c>
      <c r="I4" s="19">
        <f>HLOOKUP(I2,'pooled normalised values'!D74:Y83,3,FALSE)</f>
        <v>2.4485878785900052E-2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0.1281529320296135</v>
      </c>
      <c r="W4" s="19">
        <f>HLOOKUP(W2,'pooled normalised values'!N74:AM83,3,FALSE)</f>
        <v>0.17603862190996819</v>
      </c>
      <c r="X4" s="19">
        <f>HLOOKUP(X2,'pooled normalised values'!N74:AN83,3,FALSE)</f>
        <v>0.26831161250618607</v>
      </c>
      <c r="Y4" s="19">
        <f>HLOOKUP(Y2,'pooled normalised values'!N74:AO83,3,FALSE)</f>
        <v>0.29434882842010673</v>
      </c>
      <c r="Z4" s="19">
        <f>HLOOKUP(Z2,'pooled normalised values'!N74:AP83,3,FALSE)</f>
        <v>0.25086873067502363</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3.9253794183586117</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ns</v>
      </c>
      <c r="Y5" s="19" t="str">
        <f>HLOOKUP(Y2,'pooled normalised values'!N74:AO83,10,FALSE)</f>
        <v>ns</v>
      </c>
      <c r="Z5" s="19" t="str">
        <f>HLOOKUP(Z2,'pooled normalised values'!N74:AP83,10,FALSE)</f>
        <v>ns</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0.16261452775129098</v>
      </c>
      <c r="D6" s="21" t="s">
        <v>12</v>
      </c>
      <c r="E6" s="24">
        <f>$B$2</f>
        <v>0.13067527039799842</v>
      </c>
      <c r="F6" s="24">
        <f>$B$2</f>
        <v>0.13067527039799842</v>
      </c>
      <c r="G6" s="24">
        <f t="shared" ref="G6:R6" si="0">$B$2</f>
        <v>0.13067527039799842</v>
      </c>
      <c r="H6" s="24">
        <f t="shared" si="0"/>
        <v>0.13067527039799842</v>
      </c>
      <c r="I6" s="24">
        <f t="shared" si="0"/>
        <v>0.13067527039799842</v>
      </c>
      <c r="J6" s="24">
        <f t="shared" si="0"/>
        <v>0.13067527039799842</v>
      </c>
      <c r="K6" s="24">
        <f t="shared" si="0"/>
        <v>0.13067527039799842</v>
      </c>
      <c r="L6" s="24">
        <f t="shared" si="0"/>
        <v>0.13067527039799842</v>
      </c>
      <c r="M6" s="24">
        <f t="shared" si="0"/>
        <v>0.13067527039799842</v>
      </c>
      <c r="N6" s="24">
        <f t="shared" si="0"/>
        <v>0.13067527039799842</v>
      </c>
      <c r="O6" s="24">
        <f t="shared" si="0"/>
        <v>0.13067527039799842</v>
      </c>
      <c r="P6" s="24">
        <f t="shared" si="0"/>
        <v>0.13067527039799842</v>
      </c>
      <c r="Q6" s="24">
        <f t="shared" si="0"/>
        <v>0.13067527039799842</v>
      </c>
      <c r="R6" s="24">
        <f t="shared" si="0"/>
        <v>0.13067527039799842</v>
      </c>
      <c r="S6" s="24">
        <f>$B$2</f>
        <v>0.13067527039799842</v>
      </c>
      <c r="T6" s="24">
        <f>$B$2</f>
        <v>0.13067527039799842</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v>
      </c>
      <c r="V7" s="25">
        <f t="shared" si="1"/>
        <v>1</v>
      </c>
      <c r="W7" s="25">
        <f t="shared" si="1"/>
        <v>1</v>
      </c>
      <c r="X7" s="25">
        <f t="shared" si="1"/>
        <v>1</v>
      </c>
      <c r="Y7" s="25">
        <f t="shared" si="1"/>
        <v>1</v>
      </c>
      <c r="Z7" s="25">
        <f t="shared" si="1"/>
        <v>1</v>
      </c>
      <c r="AA7" s="25">
        <f t="shared" si="1"/>
        <v>1</v>
      </c>
      <c r="AB7" s="25">
        <f t="shared" si="1"/>
        <v>1</v>
      </c>
      <c r="AC7" s="25">
        <f t="shared" si="1"/>
        <v>1</v>
      </c>
      <c r="AD7" s="25">
        <f t="shared" si="1"/>
        <v>1</v>
      </c>
      <c r="AE7" s="25">
        <f t="shared" si="1"/>
        <v>1</v>
      </c>
      <c r="AF7" s="25">
        <f t="shared" si="1"/>
        <v>1</v>
      </c>
      <c r="AG7" s="25">
        <f t="shared" si="1"/>
        <v>1</v>
      </c>
      <c r="AH7" s="25">
        <f t="shared" si="1"/>
        <v>1</v>
      </c>
      <c r="AI7" s="25">
        <f t="shared" si="1"/>
        <v>1</v>
      </c>
      <c r="AJ7" s="25">
        <f t="shared" si="1"/>
        <v>1</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0.16261452775129098</v>
      </c>
      <c r="V8" s="25">
        <f t="shared" ref="V8:AJ8" si="2">$B$6</f>
        <v>0.16261452775129098</v>
      </c>
      <c r="W8" s="25">
        <f t="shared" si="2"/>
        <v>0.16261452775129098</v>
      </c>
      <c r="X8" s="25">
        <f t="shared" si="2"/>
        <v>0.16261452775129098</v>
      </c>
      <c r="Y8" s="25">
        <f t="shared" si="2"/>
        <v>0.16261452775129098</v>
      </c>
      <c r="Z8" s="25">
        <f t="shared" si="2"/>
        <v>0.16261452775129098</v>
      </c>
      <c r="AA8" s="25">
        <f t="shared" si="2"/>
        <v>0.16261452775129098</v>
      </c>
      <c r="AB8" s="25">
        <f t="shared" si="2"/>
        <v>0.16261452775129098</v>
      </c>
      <c r="AC8" s="25">
        <f t="shared" si="2"/>
        <v>0.16261452775129098</v>
      </c>
      <c r="AD8" s="25">
        <f t="shared" si="2"/>
        <v>0.16261452775129098</v>
      </c>
      <c r="AE8" s="25">
        <f t="shared" si="2"/>
        <v>0.16261452775129098</v>
      </c>
      <c r="AF8" s="25">
        <f t="shared" si="2"/>
        <v>0.16261452775129098</v>
      </c>
      <c r="AG8" s="25">
        <f t="shared" si="2"/>
        <v>0.16261452775129098</v>
      </c>
      <c r="AH8" s="25">
        <f t="shared" si="2"/>
        <v>0.16261452775129098</v>
      </c>
      <c r="AI8" s="25">
        <f t="shared" si="2"/>
        <v>0.16261452775129098</v>
      </c>
      <c r="AJ8" s="25">
        <f t="shared" si="2"/>
        <v>0.16261452775129098</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3.7627648906073206</v>
      </c>
      <c r="V9" s="25">
        <f>$B$5-V8</f>
        <v>3.7627648906073206</v>
      </c>
      <c r="W9" s="25">
        <f t="shared" ref="W9:AH9" si="4">$B$5-W8</f>
        <v>3.7627648906073206</v>
      </c>
      <c r="X9" s="25">
        <f t="shared" si="4"/>
        <v>3.7627648906073206</v>
      </c>
      <c r="Y9" s="25">
        <f t="shared" si="4"/>
        <v>3.7627648906073206</v>
      </c>
      <c r="Z9" s="25">
        <f t="shared" si="4"/>
        <v>3.7627648906073206</v>
      </c>
      <c r="AA9" s="25">
        <f t="shared" si="4"/>
        <v>3.7627648906073206</v>
      </c>
      <c r="AB9" s="25">
        <f t="shared" si="4"/>
        <v>3.7627648906073206</v>
      </c>
      <c r="AC9" s="25">
        <f t="shared" si="4"/>
        <v>3.7627648906073206</v>
      </c>
      <c r="AD9" s="25">
        <f t="shared" si="4"/>
        <v>3.7627648906073206</v>
      </c>
      <c r="AE9" s="25">
        <f t="shared" si="4"/>
        <v>3.7627648906073206</v>
      </c>
      <c r="AF9" s="25">
        <f t="shared" si="4"/>
        <v>3.7627648906073206</v>
      </c>
      <c r="AG9" s="25">
        <f t="shared" si="4"/>
        <v>3.7627648906073206</v>
      </c>
      <c r="AH9" s="25">
        <f t="shared" si="4"/>
        <v>3.7627648906073206</v>
      </c>
      <c r="AI9" s="25">
        <f>$B$5-AI8</f>
        <v>3.7627648906073206</v>
      </c>
      <c r="AJ9" s="25">
        <f>$B$5-AJ8</f>
        <v>3.7627648906073206</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-1.2627648906073206</v>
      </c>
      <c r="V10" s="25">
        <f>2.5-V9</f>
        <v>-1.2627648906073206</v>
      </c>
      <c r="W10" s="25">
        <f t="shared" ref="W10:AH10" si="6">2.5-W9</f>
        <v>-1.2627648906073206</v>
      </c>
      <c r="X10" s="25">
        <f t="shared" si="6"/>
        <v>-1.2627648906073206</v>
      </c>
      <c r="Y10" s="25">
        <f t="shared" si="6"/>
        <v>-1.2627648906073206</v>
      </c>
      <c r="Z10" s="25">
        <f t="shared" si="6"/>
        <v>-1.2627648906073206</v>
      </c>
      <c r="AA10" s="25">
        <f t="shared" si="6"/>
        <v>-1.2627648906073206</v>
      </c>
      <c r="AB10" s="25">
        <f t="shared" si="6"/>
        <v>-1.2627648906073206</v>
      </c>
      <c r="AC10" s="25">
        <f t="shared" si="6"/>
        <v>-1.2627648906073206</v>
      </c>
      <c r="AD10" s="25">
        <f t="shared" si="6"/>
        <v>-1.2627648906073206</v>
      </c>
      <c r="AE10" s="25">
        <f t="shared" si="6"/>
        <v>-1.2627648906073206</v>
      </c>
      <c r="AF10" s="25">
        <f t="shared" si="6"/>
        <v>-1.2627648906073206</v>
      </c>
      <c r="AG10" s="25">
        <f t="shared" si="6"/>
        <v>-1.2627648906073206</v>
      </c>
      <c r="AH10" s="25">
        <f t="shared" si="6"/>
        <v>-1.2627648906073206</v>
      </c>
      <c r="AI10" s="25">
        <f>2.5-AI9</f>
        <v>-1.2627648906073206</v>
      </c>
      <c r="AJ10" s="25">
        <f>2.5-AJ9</f>
        <v>-1.2627648906073206</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6" width="14.81640625" style="17" customWidth="1"/>
    <col min="7" max="8" width="11.453125" style="17"/>
    <col min="9" max="9" width="13.54296875" style="17" bestFit="1" customWidth="1"/>
    <col min="10" max="256" width="11.453125" style="17"/>
    <col min="257" max="257" width="18.7265625" style="17" customWidth="1"/>
    <col min="258" max="258" width="13.7265625" style="17" bestFit="1" customWidth="1"/>
    <col min="259" max="259" width="17.26953125" style="17" customWidth="1"/>
    <col min="260" max="260" width="11" style="17" customWidth="1"/>
    <col min="261" max="261" width="12" style="17" bestFit="1" customWidth="1"/>
    <col min="262" max="262" width="14.81640625" style="17" customWidth="1"/>
    <col min="263" max="512" width="11.453125" style="17"/>
    <col min="513" max="513" width="18.7265625" style="17" customWidth="1"/>
    <col min="514" max="514" width="13.7265625" style="17" bestFit="1" customWidth="1"/>
    <col min="515" max="515" width="17.26953125" style="17" customWidth="1"/>
    <col min="516" max="516" width="11" style="17" customWidth="1"/>
    <col min="517" max="517" width="12" style="17" bestFit="1" customWidth="1"/>
    <col min="518" max="518" width="14.81640625" style="17" customWidth="1"/>
    <col min="519" max="768" width="11.453125" style="17"/>
    <col min="769" max="769" width="18.7265625" style="17" customWidth="1"/>
    <col min="770" max="770" width="13.7265625" style="17" bestFit="1" customWidth="1"/>
    <col min="771" max="771" width="17.26953125" style="17" customWidth="1"/>
    <col min="772" max="772" width="11" style="17" customWidth="1"/>
    <col min="773" max="773" width="12" style="17" bestFit="1" customWidth="1"/>
    <col min="774" max="774" width="14.81640625" style="17" customWidth="1"/>
    <col min="775" max="1024" width="11.453125" style="17"/>
    <col min="1025" max="1025" width="18.7265625" style="17" customWidth="1"/>
    <col min="1026" max="1026" width="13.7265625" style="17" bestFit="1" customWidth="1"/>
    <col min="1027" max="1027" width="17.26953125" style="17" customWidth="1"/>
    <col min="1028" max="1028" width="11" style="17" customWidth="1"/>
    <col min="1029" max="1029" width="12" style="17" bestFit="1" customWidth="1"/>
    <col min="1030" max="1030" width="14.81640625" style="17" customWidth="1"/>
    <col min="1031" max="1280" width="11.453125" style="17"/>
    <col min="1281" max="1281" width="18.7265625" style="17" customWidth="1"/>
    <col min="1282" max="1282" width="13.7265625" style="17" bestFit="1" customWidth="1"/>
    <col min="1283" max="1283" width="17.26953125" style="17" customWidth="1"/>
    <col min="1284" max="1284" width="11" style="17" customWidth="1"/>
    <col min="1285" max="1285" width="12" style="17" bestFit="1" customWidth="1"/>
    <col min="1286" max="1286" width="14.81640625" style="17" customWidth="1"/>
    <col min="1287" max="1536" width="11.453125" style="17"/>
    <col min="1537" max="1537" width="18.7265625" style="17" customWidth="1"/>
    <col min="1538" max="1538" width="13.7265625" style="17" bestFit="1" customWidth="1"/>
    <col min="1539" max="1539" width="17.26953125" style="17" customWidth="1"/>
    <col min="1540" max="1540" width="11" style="17" customWidth="1"/>
    <col min="1541" max="1541" width="12" style="17" bestFit="1" customWidth="1"/>
    <col min="1542" max="1542" width="14.81640625" style="17" customWidth="1"/>
    <col min="1543" max="1792" width="11.453125" style="17"/>
    <col min="1793" max="1793" width="18.7265625" style="17" customWidth="1"/>
    <col min="1794" max="1794" width="13.7265625" style="17" bestFit="1" customWidth="1"/>
    <col min="1795" max="1795" width="17.26953125" style="17" customWidth="1"/>
    <col min="1796" max="1796" width="11" style="17" customWidth="1"/>
    <col min="1797" max="1797" width="12" style="17" bestFit="1" customWidth="1"/>
    <col min="1798" max="1798" width="14.81640625" style="17" customWidth="1"/>
    <col min="1799" max="2048" width="11.453125" style="17"/>
    <col min="2049" max="2049" width="18.7265625" style="17" customWidth="1"/>
    <col min="2050" max="2050" width="13.7265625" style="17" bestFit="1" customWidth="1"/>
    <col min="2051" max="2051" width="17.26953125" style="17" customWidth="1"/>
    <col min="2052" max="2052" width="11" style="17" customWidth="1"/>
    <col min="2053" max="2053" width="12" style="17" bestFit="1" customWidth="1"/>
    <col min="2054" max="2054" width="14.81640625" style="17" customWidth="1"/>
    <col min="2055" max="2304" width="11.453125" style="17"/>
    <col min="2305" max="2305" width="18.7265625" style="17" customWidth="1"/>
    <col min="2306" max="2306" width="13.7265625" style="17" bestFit="1" customWidth="1"/>
    <col min="2307" max="2307" width="17.26953125" style="17" customWidth="1"/>
    <col min="2308" max="2308" width="11" style="17" customWidth="1"/>
    <col min="2309" max="2309" width="12" style="17" bestFit="1" customWidth="1"/>
    <col min="2310" max="2310" width="14.81640625" style="17" customWidth="1"/>
    <col min="2311" max="2560" width="11.453125" style="17"/>
    <col min="2561" max="2561" width="18.7265625" style="17" customWidth="1"/>
    <col min="2562" max="2562" width="13.7265625" style="17" bestFit="1" customWidth="1"/>
    <col min="2563" max="2563" width="17.26953125" style="17" customWidth="1"/>
    <col min="2564" max="2564" width="11" style="17" customWidth="1"/>
    <col min="2565" max="2565" width="12" style="17" bestFit="1" customWidth="1"/>
    <col min="2566" max="2566" width="14.81640625" style="17" customWidth="1"/>
    <col min="2567" max="2816" width="11.453125" style="17"/>
    <col min="2817" max="2817" width="18.7265625" style="17" customWidth="1"/>
    <col min="2818" max="2818" width="13.7265625" style="17" bestFit="1" customWidth="1"/>
    <col min="2819" max="2819" width="17.26953125" style="17" customWidth="1"/>
    <col min="2820" max="2820" width="11" style="17" customWidth="1"/>
    <col min="2821" max="2821" width="12" style="17" bestFit="1" customWidth="1"/>
    <col min="2822" max="2822" width="14.81640625" style="17" customWidth="1"/>
    <col min="2823" max="3072" width="11.453125" style="17"/>
    <col min="3073" max="3073" width="18.7265625" style="17" customWidth="1"/>
    <col min="3074" max="3074" width="13.7265625" style="17" bestFit="1" customWidth="1"/>
    <col min="3075" max="3075" width="17.26953125" style="17" customWidth="1"/>
    <col min="3076" max="3076" width="11" style="17" customWidth="1"/>
    <col min="3077" max="3077" width="12" style="17" bestFit="1" customWidth="1"/>
    <col min="3078" max="3078" width="14.81640625" style="17" customWidth="1"/>
    <col min="3079" max="3328" width="11.453125" style="17"/>
    <col min="3329" max="3329" width="18.7265625" style="17" customWidth="1"/>
    <col min="3330" max="3330" width="13.7265625" style="17" bestFit="1" customWidth="1"/>
    <col min="3331" max="3331" width="17.26953125" style="17" customWidth="1"/>
    <col min="3332" max="3332" width="11" style="17" customWidth="1"/>
    <col min="3333" max="3333" width="12" style="17" bestFit="1" customWidth="1"/>
    <col min="3334" max="3334" width="14.81640625" style="17" customWidth="1"/>
    <col min="3335" max="3584" width="11.453125" style="17"/>
    <col min="3585" max="3585" width="18.7265625" style="17" customWidth="1"/>
    <col min="3586" max="3586" width="13.7265625" style="17" bestFit="1" customWidth="1"/>
    <col min="3587" max="3587" width="17.26953125" style="17" customWidth="1"/>
    <col min="3588" max="3588" width="11" style="17" customWidth="1"/>
    <col min="3589" max="3589" width="12" style="17" bestFit="1" customWidth="1"/>
    <col min="3590" max="3590" width="14.81640625" style="17" customWidth="1"/>
    <col min="3591" max="3840" width="11.453125" style="17"/>
    <col min="3841" max="3841" width="18.7265625" style="17" customWidth="1"/>
    <col min="3842" max="3842" width="13.7265625" style="17" bestFit="1" customWidth="1"/>
    <col min="3843" max="3843" width="17.26953125" style="17" customWidth="1"/>
    <col min="3844" max="3844" width="11" style="17" customWidth="1"/>
    <col min="3845" max="3845" width="12" style="17" bestFit="1" customWidth="1"/>
    <col min="3846" max="3846" width="14.81640625" style="17" customWidth="1"/>
    <col min="3847" max="4096" width="11.453125" style="17"/>
    <col min="4097" max="4097" width="18.7265625" style="17" customWidth="1"/>
    <col min="4098" max="4098" width="13.7265625" style="17" bestFit="1" customWidth="1"/>
    <col min="4099" max="4099" width="17.26953125" style="17" customWidth="1"/>
    <col min="4100" max="4100" width="11" style="17" customWidth="1"/>
    <col min="4101" max="4101" width="12" style="17" bestFit="1" customWidth="1"/>
    <col min="4102" max="4102" width="14.81640625" style="17" customWidth="1"/>
    <col min="4103" max="4352" width="11.453125" style="17"/>
    <col min="4353" max="4353" width="18.7265625" style="17" customWidth="1"/>
    <col min="4354" max="4354" width="13.7265625" style="17" bestFit="1" customWidth="1"/>
    <col min="4355" max="4355" width="17.26953125" style="17" customWidth="1"/>
    <col min="4356" max="4356" width="11" style="17" customWidth="1"/>
    <col min="4357" max="4357" width="12" style="17" bestFit="1" customWidth="1"/>
    <col min="4358" max="4358" width="14.81640625" style="17" customWidth="1"/>
    <col min="4359" max="4608" width="11.453125" style="17"/>
    <col min="4609" max="4609" width="18.7265625" style="17" customWidth="1"/>
    <col min="4610" max="4610" width="13.7265625" style="17" bestFit="1" customWidth="1"/>
    <col min="4611" max="4611" width="17.26953125" style="17" customWidth="1"/>
    <col min="4612" max="4612" width="11" style="17" customWidth="1"/>
    <col min="4613" max="4613" width="12" style="17" bestFit="1" customWidth="1"/>
    <col min="4614" max="4614" width="14.81640625" style="17" customWidth="1"/>
    <col min="4615" max="4864" width="11.453125" style="17"/>
    <col min="4865" max="4865" width="18.7265625" style="17" customWidth="1"/>
    <col min="4866" max="4866" width="13.7265625" style="17" bestFit="1" customWidth="1"/>
    <col min="4867" max="4867" width="17.26953125" style="17" customWidth="1"/>
    <col min="4868" max="4868" width="11" style="17" customWidth="1"/>
    <col min="4869" max="4869" width="12" style="17" bestFit="1" customWidth="1"/>
    <col min="4870" max="4870" width="14.81640625" style="17" customWidth="1"/>
    <col min="4871" max="5120" width="11.453125" style="17"/>
    <col min="5121" max="5121" width="18.7265625" style="17" customWidth="1"/>
    <col min="5122" max="5122" width="13.7265625" style="17" bestFit="1" customWidth="1"/>
    <col min="5123" max="5123" width="17.26953125" style="17" customWidth="1"/>
    <col min="5124" max="5124" width="11" style="17" customWidth="1"/>
    <col min="5125" max="5125" width="12" style="17" bestFit="1" customWidth="1"/>
    <col min="5126" max="5126" width="14.81640625" style="17" customWidth="1"/>
    <col min="5127" max="5376" width="11.453125" style="17"/>
    <col min="5377" max="5377" width="18.7265625" style="17" customWidth="1"/>
    <col min="5378" max="5378" width="13.7265625" style="17" bestFit="1" customWidth="1"/>
    <col min="5379" max="5379" width="17.26953125" style="17" customWidth="1"/>
    <col min="5380" max="5380" width="11" style="17" customWidth="1"/>
    <col min="5381" max="5381" width="12" style="17" bestFit="1" customWidth="1"/>
    <col min="5382" max="5382" width="14.81640625" style="17" customWidth="1"/>
    <col min="5383" max="5632" width="11.453125" style="17"/>
    <col min="5633" max="5633" width="18.7265625" style="17" customWidth="1"/>
    <col min="5634" max="5634" width="13.7265625" style="17" bestFit="1" customWidth="1"/>
    <col min="5635" max="5635" width="17.26953125" style="17" customWidth="1"/>
    <col min="5636" max="5636" width="11" style="17" customWidth="1"/>
    <col min="5637" max="5637" width="12" style="17" bestFit="1" customWidth="1"/>
    <col min="5638" max="5638" width="14.81640625" style="17" customWidth="1"/>
    <col min="5639" max="5888" width="11.453125" style="17"/>
    <col min="5889" max="5889" width="18.7265625" style="17" customWidth="1"/>
    <col min="5890" max="5890" width="13.7265625" style="17" bestFit="1" customWidth="1"/>
    <col min="5891" max="5891" width="17.26953125" style="17" customWidth="1"/>
    <col min="5892" max="5892" width="11" style="17" customWidth="1"/>
    <col min="5893" max="5893" width="12" style="17" bestFit="1" customWidth="1"/>
    <col min="5894" max="5894" width="14.81640625" style="17" customWidth="1"/>
    <col min="5895" max="6144" width="11.453125" style="17"/>
    <col min="6145" max="6145" width="18.7265625" style="17" customWidth="1"/>
    <col min="6146" max="6146" width="13.7265625" style="17" bestFit="1" customWidth="1"/>
    <col min="6147" max="6147" width="17.26953125" style="17" customWidth="1"/>
    <col min="6148" max="6148" width="11" style="17" customWidth="1"/>
    <col min="6149" max="6149" width="12" style="17" bestFit="1" customWidth="1"/>
    <col min="6150" max="6150" width="14.81640625" style="17" customWidth="1"/>
    <col min="6151" max="6400" width="11.453125" style="17"/>
    <col min="6401" max="6401" width="18.7265625" style="17" customWidth="1"/>
    <col min="6402" max="6402" width="13.7265625" style="17" bestFit="1" customWidth="1"/>
    <col min="6403" max="6403" width="17.26953125" style="17" customWidth="1"/>
    <col min="6404" max="6404" width="11" style="17" customWidth="1"/>
    <col min="6405" max="6405" width="12" style="17" bestFit="1" customWidth="1"/>
    <col min="6406" max="6406" width="14.81640625" style="17" customWidth="1"/>
    <col min="6407" max="6656" width="11.453125" style="17"/>
    <col min="6657" max="6657" width="18.7265625" style="17" customWidth="1"/>
    <col min="6658" max="6658" width="13.7265625" style="17" bestFit="1" customWidth="1"/>
    <col min="6659" max="6659" width="17.26953125" style="17" customWidth="1"/>
    <col min="6660" max="6660" width="11" style="17" customWidth="1"/>
    <col min="6661" max="6661" width="12" style="17" bestFit="1" customWidth="1"/>
    <col min="6662" max="6662" width="14.81640625" style="17" customWidth="1"/>
    <col min="6663" max="6912" width="11.453125" style="17"/>
    <col min="6913" max="6913" width="18.7265625" style="17" customWidth="1"/>
    <col min="6914" max="6914" width="13.7265625" style="17" bestFit="1" customWidth="1"/>
    <col min="6915" max="6915" width="17.26953125" style="17" customWidth="1"/>
    <col min="6916" max="6916" width="11" style="17" customWidth="1"/>
    <col min="6917" max="6917" width="12" style="17" bestFit="1" customWidth="1"/>
    <col min="6918" max="6918" width="14.81640625" style="17" customWidth="1"/>
    <col min="6919" max="7168" width="11.453125" style="17"/>
    <col min="7169" max="7169" width="18.7265625" style="17" customWidth="1"/>
    <col min="7170" max="7170" width="13.7265625" style="17" bestFit="1" customWidth="1"/>
    <col min="7171" max="7171" width="17.26953125" style="17" customWidth="1"/>
    <col min="7172" max="7172" width="11" style="17" customWidth="1"/>
    <col min="7173" max="7173" width="12" style="17" bestFit="1" customWidth="1"/>
    <col min="7174" max="7174" width="14.81640625" style="17" customWidth="1"/>
    <col min="7175" max="7424" width="11.453125" style="17"/>
    <col min="7425" max="7425" width="18.7265625" style="17" customWidth="1"/>
    <col min="7426" max="7426" width="13.7265625" style="17" bestFit="1" customWidth="1"/>
    <col min="7427" max="7427" width="17.26953125" style="17" customWidth="1"/>
    <col min="7428" max="7428" width="11" style="17" customWidth="1"/>
    <col min="7429" max="7429" width="12" style="17" bestFit="1" customWidth="1"/>
    <col min="7430" max="7430" width="14.81640625" style="17" customWidth="1"/>
    <col min="7431" max="7680" width="11.453125" style="17"/>
    <col min="7681" max="7681" width="18.7265625" style="17" customWidth="1"/>
    <col min="7682" max="7682" width="13.7265625" style="17" bestFit="1" customWidth="1"/>
    <col min="7683" max="7683" width="17.26953125" style="17" customWidth="1"/>
    <col min="7684" max="7684" width="11" style="17" customWidth="1"/>
    <col min="7685" max="7685" width="12" style="17" bestFit="1" customWidth="1"/>
    <col min="7686" max="7686" width="14.81640625" style="17" customWidth="1"/>
    <col min="7687" max="7936" width="11.453125" style="17"/>
    <col min="7937" max="7937" width="18.7265625" style="17" customWidth="1"/>
    <col min="7938" max="7938" width="13.7265625" style="17" bestFit="1" customWidth="1"/>
    <col min="7939" max="7939" width="17.26953125" style="17" customWidth="1"/>
    <col min="7940" max="7940" width="11" style="17" customWidth="1"/>
    <col min="7941" max="7941" width="12" style="17" bestFit="1" customWidth="1"/>
    <col min="7942" max="7942" width="14.81640625" style="17" customWidth="1"/>
    <col min="7943" max="8192" width="11.453125" style="17"/>
    <col min="8193" max="8193" width="18.7265625" style="17" customWidth="1"/>
    <col min="8194" max="8194" width="13.7265625" style="17" bestFit="1" customWidth="1"/>
    <col min="8195" max="8195" width="17.26953125" style="17" customWidth="1"/>
    <col min="8196" max="8196" width="11" style="17" customWidth="1"/>
    <col min="8197" max="8197" width="12" style="17" bestFit="1" customWidth="1"/>
    <col min="8198" max="8198" width="14.81640625" style="17" customWidth="1"/>
    <col min="8199" max="8448" width="11.453125" style="17"/>
    <col min="8449" max="8449" width="18.7265625" style="17" customWidth="1"/>
    <col min="8450" max="8450" width="13.7265625" style="17" bestFit="1" customWidth="1"/>
    <col min="8451" max="8451" width="17.26953125" style="17" customWidth="1"/>
    <col min="8452" max="8452" width="11" style="17" customWidth="1"/>
    <col min="8453" max="8453" width="12" style="17" bestFit="1" customWidth="1"/>
    <col min="8454" max="8454" width="14.81640625" style="17" customWidth="1"/>
    <col min="8455" max="8704" width="11.453125" style="17"/>
    <col min="8705" max="8705" width="18.7265625" style="17" customWidth="1"/>
    <col min="8706" max="8706" width="13.7265625" style="17" bestFit="1" customWidth="1"/>
    <col min="8707" max="8707" width="17.26953125" style="17" customWidth="1"/>
    <col min="8708" max="8708" width="11" style="17" customWidth="1"/>
    <col min="8709" max="8709" width="12" style="17" bestFit="1" customWidth="1"/>
    <col min="8710" max="8710" width="14.81640625" style="17" customWidth="1"/>
    <col min="8711" max="8960" width="11.453125" style="17"/>
    <col min="8961" max="8961" width="18.7265625" style="17" customWidth="1"/>
    <col min="8962" max="8962" width="13.7265625" style="17" bestFit="1" customWidth="1"/>
    <col min="8963" max="8963" width="17.26953125" style="17" customWidth="1"/>
    <col min="8964" max="8964" width="11" style="17" customWidth="1"/>
    <col min="8965" max="8965" width="12" style="17" bestFit="1" customWidth="1"/>
    <col min="8966" max="8966" width="14.81640625" style="17" customWidth="1"/>
    <col min="8967" max="9216" width="11.453125" style="17"/>
    <col min="9217" max="9217" width="18.7265625" style="17" customWidth="1"/>
    <col min="9218" max="9218" width="13.7265625" style="17" bestFit="1" customWidth="1"/>
    <col min="9219" max="9219" width="17.26953125" style="17" customWidth="1"/>
    <col min="9220" max="9220" width="11" style="17" customWidth="1"/>
    <col min="9221" max="9221" width="12" style="17" bestFit="1" customWidth="1"/>
    <col min="9222" max="9222" width="14.81640625" style="17" customWidth="1"/>
    <col min="9223" max="9472" width="11.453125" style="17"/>
    <col min="9473" max="9473" width="18.7265625" style="17" customWidth="1"/>
    <col min="9474" max="9474" width="13.7265625" style="17" bestFit="1" customWidth="1"/>
    <col min="9475" max="9475" width="17.26953125" style="17" customWidth="1"/>
    <col min="9476" max="9476" width="11" style="17" customWidth="1"/>
    <col min="9477" max="9477" width="12" style="17" bestFit="1" customWidth="1"/>
    <col min="9478" max="9478" width="14.81640625" style="17" customWidth="1"/>
    <col min="9479" max="9728" width="11.453125" style="17"/>
    <col min="9729" max="9729" width="18.7265625" style="17" customWidth="1"/>
    <col min="9730" max="9730" width="13.7265625" style="17" bestFit="1" customWidth="1"/>
    <col min="9731" max="9731" width="17.26953125" style="17" customWidth="1"/>
    <col min="9732" max="9732" width="11" style="17" customWidth="1"/>
    <col min="9733" max="9733" width="12" style="17" bestFit="1" customWidth="1"/>
    <col min="9734" max="9734" width="14.81640625" style="17" customWidth="1"/>
    <col min="9735" max="9984" width="11.453125" style="17"/>
    <col min="9985" max="9985" width="18.7265625" style="17" customWidth="1"/>
    <col min="9986" max="9986" width="13.7265625" style="17" bestFit="1" customWidth="1"/>
    <col min="9987" max="9987" width="17.26953125" style="17" customWidth="1"/>
    <col min="9988" max="9988" width="11" style="17" customWidth="1"/>
    <col min="9989" max="9989" width="12" style="17" bestFit="1" customWidth="1"/>
    <col min="9990" max="9990" width="14.81640625" style="17" customWidth="1"/>
    <col min="9991" max="10240" width="11.453125" style="17"/>
    <col min="10241" max="10241" width="18.7265625" style="17" customWidth="1"/>
    <col min="10242" max="10242" width="13.7265625" style="17" bestFit="1" customWidth="1"/>
    <col min="10243" max="10243" width="17.26953125" style="17" customWidth="1"/>
    <col min="10244" max="10244" width="11" style="17" customWidth="1"/>
    <col min="10245" max="10245" width="12" style="17" bestFit="1" customWidth="1"/>
    <col min="10246" max="10246" width="14.81640625" style="17" customWidth="1"/>
    <col min="10247" max="10496" width="11.453125" style="17"/>
    <col min="10497" max="10497" width="18.7265625" style="17" customWidth="1"/>
    <col min="10498" max="10498" width="13.7265625" style="17" bestFit="1" customWidth="1"/>
    <col min="10499" max="10499" width="17.26953125" style="17" customWidth="1"/>
    <col min="10500" max="10500" width="11" style="17" customWidth="1"/>
    <col min="10501" max="10501" width="12" style="17" bestFit="1" customWidth="1"/>
    <col min="10502" max="10502" width="14.81640625" style="17" customWidth="1"/>
    <col min="10503" max="10752" width="11.453125" style="17"/>
    <col min="10753" max="10753" width="18.7265625" style="17" customWidth="1"/>
    <col min="10754" max="10754" width="13.7265625" style="17" bestFit="1" customWidth="1"/>
    <col min="10755" max="10755" width="17.26953125" style="17" customWidth="1"/>
    <col min="10756" max="10756" width="11" style="17" customWidth="1"/>
    <col min="10757" max="10757" width="12" style="17" bestFit="1" customWidth="1"/>
    <col min="10758" max="10758" width="14.81640625" style="17" customWidth="1"/>
    <col min="10759" max="11008" width="11.453125" style="17"/>
    <col min="11009" max="11009" width="18.7265625" style="17" customWidth="1"/>
    <col min="11010" max="11010" width="13.7265625" style="17" bestFit="1" customWidth="1"/>
    <col min="11011" max="11011" width="17.26953125" style="17" customWidth="1"/>
    <col min="11012" max="11012" width="11" style="17" customWidth="1"/>
    <col min="11013" max="11013" width="12" style="17" bestFit="1" customWidth="1"/>
    <col min="11014" max="11014" width="14.81640625" style="17" customWidth="1"/>
    <col min="11015" max="11264" width="11.453125" style="17"/>
    <col min="11265" max="11265" width="18.7265625" style="17" customWidth="1"/>
    <col min="11266" max="11266" width="13.7265625" style="17" bestFit="1" customWidth="1"/>
    <col min="11267" max="11267" width="17.26953125" style="17" customWidth="1"/>
    <col min="11268" max="11268" width="11" style="17" customWidth="1"/>
    <col min="11269" max="11269" width="12" style="17" bestFit="1" customWidth="1"/>
    <col min="11270" max="11270" width="14.81640625" style="17" customWidth="1"/>
    <col min="11271" max="11520" width="11.453125" style="17"/>
    <col min="11521" max="11521" width="18.7265625" style="17" customWidth="1"/>
    <col min="11522" max="11522" width="13.7265625" style="17" bestFit="1" customWidth="1"/>
    <col min="11523" max="11523" width="17.26953125" style="17" customWidth="1"/>
    <col min="11524" max="11524" width="11" style="17" customWidth="1"/>
    <col min="11525" max="11525" width="12" style="17" bestFit="1" customWidth="1"/>
    <col min="11526" max="11526" width="14.81640625" style="17" customWidth="1"/>
    <col min="11527" max="11776" width="11.453125" style="17"/>
    <col min="11777" max="11777" width="18.7265625" style="17" customWidth="1"/>
    <col min="11778" max="11778" width="13.7265625" style="17" bestFit="1" customWidth="1"/>
    <col min="11779" max="11779" width="17.26953125" style="17" customWidth="1"/>
    <col min="11780" max="11780" width="11" style="17" customWidth="1"/>
    <col min="11781" max="11781" width="12" style="17" bestFit="1" customWidth="1"/>
    <col min="11782" max="11782" width="14.81640625" style="17" customWidth="1"/>
    <col min="11783" max="12032" width="11.453125" style="17"/>
    <col min="12033" max="12033" width="18.7265625" style="17" customWidth="1"/>
    <col min="12034" max="12034" width="13.7265625" style="17" bestFit="1" customWidth="1"/>
    <col min="12035" max="12035" width="17.26953125" style="17" customWidth="1"/>
    <col min="12036" max="12036" width="11" style="17" customWidth="1"/>
    <col min="12037" max="12037" width="12" style="17" bestFit="1" customWidth="1"/>
    <col min="12038" max="12038" width="14.81640625" style="17" customWidth="1"/>
    <col min="12039" max="12288" width="11.453125" style="17"/>
    <col min="12289" max="12289" width="18.7265625" style="17" customWidth="1"/>
    <col min="12290" max="12290" width="13.7265625" style="17" bestFit="1" customWidth="1"/>
    <col min="12291" max="12291" width="17.26953125" style="17" customWidth="1"/>
    <col min="12292" max="12292" width="11" style="17" customWidth="1"/>
    <col min="12293" max="12293" width="12" style="17" bestFit="1" customWidth="1"/>
    <col min="12294" max="12294" width="14.81640625" style="17" customWidth="1"/>
    <col min="12295" max="12544" width="11.453125" style="17"/>
    <col min="12545" max="12545" width="18.7265625" style="17" customWidth="1"/>
    <col min="12546" max="12546" width="13.7265625" style="17" bestFit="1" customWidth="1"/>
    <col min="12547" max="12547" width="17.26953125" style="17" customWidth="1"/>
    <col min="12548" max="12548" width="11" style="17" customWidth="1"/>
    <col min="12549" max="12549" width="12" style="17" bestFit="1" customWidth="1"/>
    <col min="12550" max="12550" width="14.81640625" style="17" customWidth="1"/>
    <col min="12551" max="12800" width="11.453125" style="17"/>
    <col min="12801" max="12801" width="18.7265625" style="17" customWidth="1"/>
    <col min="12802" max="12802" width="13.7265625" style="17" bestFit="1" customWidth="1"/>
    <col min="12803" max="12803" width="17.26953125" style="17" customWidth="1"/>
    <col min="12804" max="12804" width="11" style="17" customWidth="1"/>
    <col min="12805" max="12805" width="12" style="17" bestFit="1" customWidth="1"/>
    <col min="12806" max="12806" width="14.81640625" style="17" customWidth="1"/>
    <col min="12807" max="13056" width="11.453125" style="17"/>
    <col min="13057" max="13057" width="18.7265625" style="17" customWidth="1"/>
    <col min="13058" max="13058" width="13.7265625" style="17" bestFit="1" customWidth="1"/>
    <col min="13059" max="13059" width="17.26953125" style="17" customWidth="1"/>
    <col min="13060" max="13060" width="11" style="17" customWidth="1"/>
    <col min="13061" max="13061" width="12" style="17" bestFit="1" customWidth="1"/>
    <col min="13062" max="13062" width="14.81640625" style="17" customWidth="1"/>
    <col min="13063" max="13312" width="11.453125" style="17"/>
    <col min="13313" max="13313" width="18.7265625" style="17" customWidth="1"/>
    <col min="13314" max="13314" width="13.7265625" style="17" bestFit="1" customWidth="1"/>
    <col min="13315" max="13315" width="17.26953125" style="17" customWidth="1"/>
    <col min="13316" max="13316" width="11" style="17" customWidth="1"/>
    <col min="13317" max="13317" width="12" style="17" bestFit="1" customWidth="1"/>
    <col min="13318" max="13318" width="14.81640625" style="17" customWidth="1"/>
    <col min="13319" max="13568" width="11.453125" style="17"/>
    <col min="13569" max="13569" width="18.7265625" style="17" customWidth="1"/>
    <col min="13570" max="13570" width="13.7265625" style="17" bestFit="1" customWidth="1"/>
    <col min="13571" max="13571" width="17.26953125" style="17" customWidth="1"/>
    <col min="13572" max="13572" width="11" style="17" customWidth="1"/>
    <col min="13573" max="13573" width="12" style="17" bestFit="1" customWidth="1"/>
    <col min="13574" max="13574" width="14.81640625" style="17" customWidth="1"/>
    <col min="13575" max="13824" width="11.453125" style="17"/>
    <col min="13825" max="13825" width="18.7265625" style="17" customWidth="1"/>
    <col min="13826" max="13826" width="13.7265625" style="17" bestFit="1" customWidth="1"/>
    <col min="13827" max="13827" width="17.26953125" style="17" customWidth="1"/>
    <col min="13828" max="13828" width="11" style="17" customWidth="1"/>
    <col min="13829" max="13829" width="12" style="17" bestFit="1" customWidth="1"/>
    <col min="13830" max="13830" width="14.81640625" style="17" customWidth="1"/>
    <col min="13831" max="14080" width="11.453125" style="17"/>
    <col min="14081" max="14081" width="18.7265625" style="17" customWidth="1"/>
    <col min="14082" max="14082" width="13.7265625" style="17" bestFit="1" customWidth="1"/>
    <col min="14083" max="14083" width="17.26953125" style="17" customWidth="1"/>
    <col min="14084" max="14084" width="11" style="17" customWidth="1"/>
    <col min="14085" max="14085" width="12" style="17" bestFit="1" customWidth="1"/>
    <col min="14086" max="14086" width="14.81640625" style="17" customWidth="1"/>
    <col min="14087" max="14336" width="11.453125" style="17"/>
    <col min="14337" max="14337" width="18.7265625" style="17" customWidth="1"/>
    <col min="14338" max="14338" width="13.7265625" style="17" bestFit="1" customWidth="1"/>
    <col min="14339" max="14339" width="17.26953125" style="17" customWidth="1"/>
    <col min="14340" max="14340" width="11" style="17" customWidth="1"/>
    <col min="14341" max="14341" width="12" style="17" bestFit="1" customWidth="1"/>
    <col min="14342" max="14342" width="14.81640625" style="17" customWidth="1"/>
    <col min="14343" max="14592" width="11.453125" style="17"/>
    <col min="14593" max="14593" width="18.7265625" style="17" customWidth="1"/>
    <col min="14594" max="14594" width="13.7265625" style="17" bestFit="1" customWidth="1"/>
    <col min="14595" max="14595" width="17.26953125" style="17" customWidth="1"/>
    <col min="14596" max="14596" width="11" style="17" customWidth="1"/>
    <col min="14597" max="14597" width="12" style="17" bestFit="1" customWidth="1"/>
    <col min="14598" max="14598" width="14.81640625" style="17" customWidth="1"/>
    <col min="14599" max="14848" width="11.453125" style="17"/>
    <col min="14849" max="14849" width="18.7265625" style="17" customWidth="1"/>
    <col min="14850" max="14850" width="13.7265625" style="17" bestFit="1" customWidth="1"/>
    <col min="14851" max="14851" width="17.26953125" style="17" customWidth="1"/>
    <col min="14852" max="14852" width="11" style="17" customWidth="1"/>
    <col min="14853" max="14853" width="12" style="17" bestFit="1" customWidth="1"/>
    <col min="14854" max="14854" width="14.81640625" style="17" customWidth="1"/>
    <col min="14855" max="15104" width="11.453125" style="17"/>
    <col min="15105" max="15105" width="18.7265625" style="17" customWidth="1"/>
    <col min="15106" max="15106" width="13.7265625" style="17" bestFit="1" customWidth="1"/>
    <col min="15107" max="15107" width="17.26953125" style="17" customWidth="1"/>
    <col min="15108" max="15108" width="11" style="17" customWidth="1"/>
    <col min="15109" max="15109" width="12" style="17" bestFit="1" customWidth="1"/>
    <col min="15110" max="15110" width="14.81640625" style="17" customWidth="1"/>
    <col min="15111" max="15360" width="11.453125" style="17"/>
    <col min="15361" max="15361" width="18.7265625" style="17" customWidth="1"/>
    <col min="15362" max="15362" width="13.7265625" style="17" bestFit="1" customWidth="1"/>
    <col min="15363" max="15363" width="17.26953125" style="17" customWidth="1"/>
    <col min="15364" max="15364" width="11" style="17" customWidth="1"/>
    <col min="15365" max="15365" width="12" style="17" bestFit="1" customWidth="1"/>
    <col min="15366" max="15366" width="14.81640625" style="17" customWidth="1"/>
    <col min="15367" max="15616" width="11.453125" style="17"/>
    <col min="15617" max="15617" width="18.7265625" style="17" customWidth="1"/>
    <col min="15618" max="15618" width="13.7265625" style="17" bestFit="1" customWidth="1"/>
    <col min="15619" max="15619" width="17.26953125" style="17" customWidth="1"/>
    <col min="15620" max="15620" width="11" style="17" customWidth="1"/>
    <col min="15621" max="15621" width="12" style="17" bestFit="1" customWidth="1"/>
    <col min="15622" max="15622" width="14.81640625" style="17" customWidth="1"/>
    <col min="15623" max="15872" width="11.453125" style="17"/>
    <col min="15873" max="15873" width="18.7265625" style="17" customWidth="1"/>
    <col min="15874" max="15874" width="13.7265625" style="17" bestFit="1" customWidth="1"/>
    <col min="15875" max="15875" width="17.26953125" style="17" customWidth="1"/>
    <col min="15876" max="15876" width="11" style="17" customWidth="1"/>
    <col min="15877" max="15877" width="12" style="17" bestFit="1" customWidth="1"/>
    <col min="15878" max="15878" width="14.81640625" style="17" customWidth="1"/>
    <col min="15879" max="16128" width="11.453125" style="17"/>
    <col min="16129" max="16129" width="18.7265625" style="17" customWidth="1"/>
    <col min="16130" max="16130" width="13.7265625" style="17" bestFit="1" customWidth="1"/>
    <col min="16131" max="16131" width="17.26953125" style="17" customWidth="1"/>
    <col min="16132" max="16132" width="11" style="17" customWidth="1"/>
    <col min="16133" max="16133" width="12" style="17" bestFit="1" customWidth="1"/>
    <col min="16134" max="16134" width="14.81640625" style="17" customWidth="1"/>
    <col min="16135" max="16384" width="11.453125" style="17"/>
  </cols>
  <sheetData>
    <row r="2" spans="1:11" x14ac:dyDescent="0.25">
      <c r="A2" s="17" t="s">
        <v>70</v>
      </c>
      <c r="B2" s="63">
        <f>'pooled normalised values'!B75</f>
        <v>0.13067527039799842</v>
      </c>
      <c r="D2" s="17" t="s">
        <v>9</v>
      </c>
      <c r="E2" s="18"/>
      <c r="F2" s="19" t="str">
        <f>'pooled normalised values'!J74</f>
        <v>Saccharin-0,1mg/L</v>
      </c>
      <c r="G2" s="18"/>
      <c r="H2" s="20"/>
      <c r="I2" s="19" t="str">
        <f>'pooled normalised values'!R74</f>
        <v>Saccharin-0,01mg/L + Testostérone</v>
      </c>
      <c r="J2" s="20"/>
      <c r="K2" s="17" t="s">
        <v>9</v>
      </c>
    </row>
    <row r="3" spans="1:11" x14ac:dyDescent="0.25">
      <c r="A3" s="17" t="s">
        <v>71</v>
      </c>
      <c r="B3" s="63">
        <f>'summary results'!E6</f>
        <v>0</v>
      </c>
      <c r="D3" s="21" t="s">
        <v>10</v>
      </c>
      <c r="E3" s="22"/>
      <c r="F3" s="19">
        <f>HLOOKUP(F2,'pooled normalised values'!B74:V83,2,FALSE)</f>
        <v>7.7575749695156224E-2</v>
      </c>
      <c r="G3" s="22"/>
      <c r="H3" s="20"/>
      <c r="I3" s="19">
        <f>HLOOKUP(I2,'pooled normalised values'!N74:AL83,2,FALSE)</f>
        <v>0.74531449322705579</v>
      </c>
      <c r="J3" s="20"/>
      <c r="K3" s="21" t="s">
        <v>10</v>
      </c>
    </row>
    <row r="4" spans="1:11" x14ac:dyDescent="0.25">
      <c r="A4" s="17" t="s">
        <v>72</v>
      </c>
      <c r="B4" s="63">
        <f>'pooled normalised values'!O75</f>
        <v>1</v>
      </c>
      <c r="D4" s="21" t="s">
        <v>2</v>
      </c>
      <c r="E4" s="22"/>
      <c r="F4" s="19">
        <f>HLOOKUP(F2,'pooled normalised values'!B74:V83,3,FALSE)</f>
        <v>1.3453172576540167E-2</v>
      </c>
      <c r="G4" s="22"/>
      <c r="H4" s="20"/>
      <c r="I4" s="19">
        <f>HLOOKUP(I2,'pooled normalised values'!N74:AL83,3,FALSE)</f>
        <v>0.1281529320296135</v>
      </c>
      <c r="J4" s="20"/>
      <c r="K4" s="21" t="s">
        <v>2</v>
      </c>
    </row>
    <row r="5" spans="1:11" x14ac:dyDescent="0.25">
      <c r="A5" s="17" t="s">
        <v>73</v>
      </c>
      <c r="B5" s="63">
        <f>'pooled normalised values'!P75</f>
        <v>3.9253794183586117</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0.16261452775129098</v>
      </c>
      <c r="D6" s="21" t="s">
        <v>12</v>
      </c>
      <c r="E6" s="24">
        <f>$B$2</f>
        <v>0.13067527039799842</v>
      </c>
      <c r="F6" s="24">
        <f>$B$2</f>
        <v>0.13067527039799842</v>
      </c>
      <c r="G6" s="24">
        <f>$B$2</f>
        <v>0.13067527039799842</v>
      </c>
      <c r="H6" s="25"/>
      <c r="I6" s="25"/>
      <c r="J6" s="25"/>
      <c r="K6" s="21" t="s">
        <v>12</v>
      </c>
    </row>
    <row r="7" spans="1:11" x14ac:dyDescent="0.25">
      <c r="B7" s="26"/>
      <c r="D7" s="26" t="s">
        <v>13</v>
      </c>
      <c r="E7" s="24"/>
      <c r="F7" s="24"/>
      <c r="G7" s="27"/>
      <c r="H7" s="25">
        <f t="shared" ref="H7:J7" si="0">$B$4</f>
        <v>1</v>
      </c>
      <c r="I7" s="25">
        <f t="shared" si="0"/>
        <v>1</v>
      </c>
      <c r="J7" s="25">
        <f t="shared" si="0"/>
        <v>1</v>
      </c>
      <c r="K7" s="26" t="s">
        <v>13</v>
      </c>
    </row>
    <row r="8" spans="1:11" x14ac:dyDescent="0.25">
      <c r="D8" s="28" t="s">
        <v>14</v>
      </c>
      <c r="E8" s="24">
        <v>0</v>
      </c>
      <c r="F8" s="24">
        <v>0</v>
      </c>
      <c r="G8" s="27">
        <v>0</v>
      </c>
      <c r="H8" s="25">
        <f>$B$6</f>
        <v>0.16261452775129098</v>
      </c>
      <c r="I8" s="25">
        <f t="shared" ref="I8:J8" si="1">$B$6</f>
        <v>0.16261452775129098</v>
      </c>
      <c r="J8" s="25">
        <f t="shared" si="1"/>
        <v>0.16261452775129098</v>
      </c>
      <c r="K8" s="28" t="s">
        <v>14</v>
      </c>
    </row>
    <row r="9" spans="1:11" x14ac:dyDescent="0.25">
      <c r="D9" s="28" t="s">
        <v>15</v>
      </c>
      <c r="E9" s="29">
        <f>$B$3-E8</f>
        <v>0</v>
      </c>
      <c r="F9" s="29">
        <f>$B$3-F8</f>
        <v>0</v>
      </c>
      <c r="G9" s="29">
        <f>$B$3-G8</f>
        <v>0</v>
      </c>
      <c r="H9" s="25">
        <f>$B$5-H8</f>
        <v>3.7627648906073206</v>
      </c>
      <c r="I9" s="25">
        <f>$B$5-I8</f>
        <v>3.7627648906073206</v>
      </c>
      <c r="J9" s="25">
        <f>$B$5-J8</f>
        <v>3.7627648906073206</v>
      </c>
      <c r="K9" s="28" t="s">
        <v>15</v>
      </c>
    </row>
    <row r="10" spans="1:11" x14ac:dyDescent="0.25">
      <c r="D10" s="28" t="s">
        <v>16</v>
      </c>
      <c r="E10" s="27">
        <f t="shared" ref="E10:J10" si="2">2.5-E9</f>
        <v>2.5</v>
      </c>
      <c r="F10" s="27">
        <f t="shared" si="2"/>
        <v>2.5</v>
      </c>
      <c r="G10" s="27">
        <f t="shared" si="2"/>
        <v>2.5</v>
      </c>
      <c r="H10" s="25">
        <f t="shared" si="2"/>
        <v>-1.2627648906073206</v>
      </c>
      <c r="I10" s="25">
        <f t="shared" si="2"/>
        <v>-1.2627648906073206</v>
      </c>
      <c r="J10" s="25">
        <f t="shared" si="2"/>
        <v>-1.2627648906073206</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4.5" x14ac:dyDescent="0.35"/>
  <cols>
    <col min="1" max="1" width="11.453125" style="1"/>
    <col min="3" max="3" width="15.26953125" customWidth="1"/>
    <col min="4" max="4" width="13.7265625" customWidth="1"/>
    <col min="5" max="5" width="18.26953125" customWidth="1"/>
    <col min="6" max="6" width="14" customWidth="1"/>
    <col min="7" max="7" width="14.453125" customWidth="1"/>
    <col min="8" max="8" width="14.26953125" customWidth="1"/>
    <col min="9" max="9" width="17" customWidth="1"/>
    <col min="10" max="10" width="12.54296875" customWidth="1"/>
    <col min="11" max="11" width="13.1796875" customWidth="1"/>
    <col min="12" max="12" width="15.7265625" customWidth="1"/>
    <col min="13" max="14" width="16.1796875" customWidth="1"/>
    <col min="17" max="23" width="9.7265625" customWidth="1"/>
  </cols>
  <sheetData>
    <row r="1" spans="1:23" ht="29.5" thickBot="1" x14ac:dyDescent="0.4">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1" t="s">
        <v>99</v>
      </c>
      <c r="R1" s="231"/>
      <c r="S1" s="231"/>
      <c r="U1" s="231" t="s">
        <v>98</v>
      </c>
      <c r="V1" s="231"/>
      <c r="W1" s="231"/>
    </row>
    <row r="2" spans="1:23" x14ac:dyDescent="0.3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130</v>
      </c>
      <c r="U2" s="118" t="s">
        <v>7</v>
      </c>
      <c r="V2" s="1" t="s">
        <v>130</v>
      </c>
    </row>
    <row r="3" spans="1:23" x14ac:dyDescent="0.35">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8" t="s">
        <v>78</v>
      </c>
      <c r="R3" s="1" t="s">
        <v>106</v>
      </c>
      <c r="U3" s="118" t="s">
        <v>78</v>
      </c>
      <c r="V3" s="1" t="s">
        <v>50</v>
      </c>
    </row>
    <row r="4" spans="1:23" x14ac:dyDescent="0.3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8" t="s">
        <v>100</v>
      </c>
      <c r="U5" s="118" t="s">
        <v>100</v>
      </c>
    </row>
    <row r="6" spans="1:23" x14ac:dyDescent="0.3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5" t="s">
        <v>112</v>
      </c>
      <c r="U6" s="145" t="s">
        <v>101</v>
      </c>
    </row>
    <row r="7" spans="1:23" x14ac:dyDescent="0.3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5">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30A70C-CBA2-4603-AF18-299E904407EA}"/>
</file>

<file path=customXml/itemProps2.xml><?xml version="1.0" encoding="utf-8"?>
<ds:datastoreItem xmlns:ds="http://schemas.openxmlformats.org/officeDocument/2006/customXml" ds:itemID="{B2E804BA-8A3F-4248-A7E5-F15FE24516D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2022-10-05T13:34:04Z</dcterms:modified>
</cp:coreProperties>
</file>